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/_GameData/"/>
    </mc:Choice>
  </mc:AlternateContent>
  <xr:revisionPtr revIDLastSave="0" documentId="13_ncr:1_{1FF63701-AE97-9340-836F-EA79AB18A36D}" xr6:coauthVersionLast="47" xr6:coauthVersionMax="47" xr10:uidLastSave="{00000000-0000-0000-0000-000000000000}"/>
  <bookViews>
    <workbookView xWindow="0" yWindow="500" windowWidth="51200" windowHeight="21100" firstSheet="8" activeTab="18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4" i="9" l="1"/>
  <c r="N13" i="9"/>
  <c r="N12" i="9"/>
  <c r="N9" i="9"/>
  <c r="N8" i="9"/>
  <c r="N7" i="9"/>
  <c r="N6" i="9"/>
  <c r="N5" i="9"/>
  <c r="N16" i="9"/>
  <c r="N17" i="9"/>
  <c r="I46" i="16"/>
  <c r="B46" i="16" s="1"/>
  <c r="I79" i="16"/>
  <c r="B79" i="16" s="1"/>
  <c r="I80" i="16"/>
  <c r="B80" i="16" s="1"/>
  <c r="I92" i="16"/>
  <c r="B92" i="16" s="1"/>
  <c r="I99" i="16"/>
  <c r="B99" i="16" s="1"/>
  <c r="I100" i="16"/>
  <c r="B100" i="16" s="1"/>
  <c r="I95" i="16"/>
  <c r="B95" i="16" s="1"/>
  <c r="I96" i="16"/>
  <c r="B96" i="16" s="1"/>
  <c r="I97" i="16"/>
  <c r="B97" i="16" s="1"/>
  <c r="I98" i="16"/>
  <c r="B98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81" i="16"/>
  <c r="B81" i="16" s="1"/>
  <c r="I82" i="16"/>
  <c r="B82" i="16" s="1"/>
  <c r="I83" i="16"/>
  <c r="B83" i="16" s="1"/>
  <c r="I84" i="16"/>
  <c r="B84" i="16" s="1"/>
  <c r="I93" i="16"/>
  <c r="B93" i="16" s="1"/>
  <c r="I94" i="16"/>
  <c r="B94" i="16" s="1"/>
  <c r="E24" i="3" a="1"/>
  <c r="E24" i="3" s="1"/>
  <c r="I155" i="16"/>
  <c r="B155" i="16" s="1"/>
  <c r="I186" i="16"/>
  <c r="B186" i="16" s="1"/>
  <c r="I217" i="16"/>
  <c r="B217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216" i="16"/>
  <c r="B216" i="16" s="1"/>
  <c r="I185" i="16"/>
  <c r="B185" i="16" s="1"/>
  <c r="I154" i="16"/>
  <c r="B154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206" i="16"/>
  <c r="B206" i="16" s="1"/>
  <c r="I175" i="16"/>
  <c r="B175" i="16" s="1"/>
  <c r="I144" i="16"/>
  <c r="B144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01" i="16"/>
  <c r="B101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214" i="16"/>
  <c r="B214" i="16" s="1"/>
  <c r="I183" i="16"/>
  <c r="B183" i="16" s="1"/>
  <c r="I152" i="16"/>
  <c r="B152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37" i="16"/>
  <c r="B237" i="16" s="1"/>
  <c r="I224" i="16"/>
  <c r="B224" i="16" s="1"/>
  <c r="O27" i="13" a="1"/>
  <c r="O27" i="13" s="1"/>
  <c r="I162" i="16"/>
  <c r="B162" i="16" s="1"/>
  <c r="I193" i="16"/>
  <c r="B193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3" i="16"/>
  <c r="B63" i="16" s="1"/>
  <c r="I64" i="16"/>
  <c r="B64" i="16" s="1"/>
  <c r="I54" i="16"/>
  <c r="B54" i="16" s="1"/>
  <c r="I53" i="16"/>
  <c r="B53" i="16" s="1"/>
  <c r="I51" i="16"/>
  <c r="B51" i="16" s="1"/>
  <c r="I52" i="16"/>
  <c r="B52" i="16" s="1"/>
  <c r="I50" i="16"/>
  <c r="B50" i="16" s="1"/>
  <c r="I49" i="16"/>
  <c r="B49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3" i="3"/>
  <c r="E54" i="3"/>
  <c r="D52" i="3" a="1"/>
  <c r="D52" i="3" s="1"/>
  <c r="E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6" i="16"/>
  <c r="B76" i="16" s="1"/>
  <c r="I75" i="16"/>
  <c r="B75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65" i="16"/>
  <c r="B65" i="16" s="1"/>
  <c r="I66" i="16"/>
  <c r="B66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2" i="16"/>
  <c r="B62" i="16" s="1"/>
  <c r="I61" i="16"/>
  <c r="B61" i="16" s="1"/>
  <c r="I77" i="16"/>
  <c r="B77" i="16" s="1"/>
  <c r="I78" i="16"/>
  <c r="B78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13" i="2"/>
  <c r="M20" i="2" s="1"/>
  <c r="N20" i="2" s="1"/>
  <c r="K14" i="2"/>
  <c r="K15" i="2"/>
  <c r="O22" i="2" s="1"/>
  <c r="P22" i="2" s="1"/>
  <c r="O35" i="14" l="1"/>
  <c r="K22" i="2"/>
  <c r="L22" i="2" s="1"/>
  <c r="L14" i="19"/>
  <c r="K20" i="2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23" i="9"/>
  <c r="I3" i="16"/>
  <c r="B3" i="16" s="1"/>
  <c r="I4" i="16"/>
  <c r="B4" i="16" s="1"/>
  <c r="I5" i="16"/>
  <c r="B5" i="16" s="1"/>
  <c r="I60" i="16"/>
  <c r="B60" i="16" s="1"/>
  <c r="I59" i="16"/>
  <c r="B59" i="16" s="1"/>
  <c r="I58" i="16"/>
  <c r="B58" i="16" s="1"/>
  <c r="I57" i="16"/>
  <c r="B57" i="16" s="1"/>
  <c r="I56" i="16"/>
  <c r="B56" i="16" s="1"/>
  <c r="I55" i="16"/>
  <c r="B55" i="16" s="1"/>
  <c r="I48" i="16"/>
  <c r="B48" i="16" s="1"/>
  <c r="I47" i="16"/>
  <c r="B4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6" i="16"/>
  <c r="B156" i="16" s="1"/>
  <c r="I157" i="16"/>
  <c r="B157" i="16" s="1"/>
  <c r="I158" i="16"/>
  <c r="B158" i="16" s="1"/>
  <c r="I159" i="16"/>
  <c r="B159" i="16" s="1"/>
  <c r="I160" i="16"/>
  <c r="B160" i="16" s="1"/>
  <c r="I161" i="16"/>
  <c r="B161" i="16" s="1"/>
  <c r="I163" i="16"/>
  <c r="B163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0" i="16"/>
  <c r="B170" i="16" s="1"/>
  <c r="I171" i="16"/>
  <c r="B171" i="16" s="1"/>
  <c r="I172" i="16"/>
  <c r="B172" i="16" s="1"/>
  <c r="I173" i="16"/>
  <c r="B173" i="16" s="1"/>
  <c r="I174" i="16"/>
  <c r="B174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7" i="16"/>
  <c r="B187" i="16" s="1"/>
  <c r="I188" i="16"/>
  <c r="B188" i="16" s="1"/>
  <c r="I189" i="16"/>
  <c r="B189" i="16" s="1"/>
  <c r="I190" i="16"/>
  <c r="B190" i="16" s="1"/>
  <c r="I191" i="16"/>
  <c r="B191" i="16" s="1"/>
  <c r="I192" i="16"/>
  <c r="B192" i="16" s="1"/>
  <c r="I194" i="16"/>
  <c r="B194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1" i="16"/>
  <c r="B201" i="16" s="1"/>
  <c r="I202" i="16"/>
  <c r="B202" i="16" s="1"/>
  <c r="I203" i="16"/>
  <c r="B203" i="16" s="1"/>
  <c r="I204" i="16"/>
  <c r="B204" i="16" s="1"/>
  <c r="I205" i="16"/>
  <c r="B205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I215" i="16"/>
  <c r="B215" i="16" s="1"/>
  <c r="I218" i="16"/>
  <c r="B218" i="16" s="1"/>
  <c r="I219" i="16"/>
  <c r="B219" i="16" s="1"/>
  <c r="I220" i="16"/>
  <c r="B220" i="16" s="1"/>
  <c r="I221" i="16"/>
  <c r="B221" i="16" s="1"/>
  <c r="I222" i="16"/>
  <c r="B222" i="16" s="1"/>
  <c r="I223" i="16"/>
  <c r="B223" i="16" s="1"/>
  <c r="I225" i="16"/>
  <c r="B225" i="16" s="1"/>
  <c r="I226" i="16"/>
  <c r="B226" i="16" s="1"/>
  <c r="I227" i="16"/>
  <c r="B227" i="16" s="1"/>
  <c r="I228" i="16"/>
  <c r="B228" i="16" s="1"/>
  <c r="I229" i="16"/>
  <c r="B229" i="16" s="1"/>
  <c r="I230" i="16"/>
  <c r="B230" i="16" s="1"/>
  <c r="I231" i="16"/>
  <c r="B231" i="16" s="1"/>
  <c r="I232" i="16"/>
  <c r="B232" i="16" s="1"/>
  <c r="I233" i="16"/>
  <c r="B233" i="16" s="1"/>
  <c r="I234" i="16"/>
  <c r="B234" i="16" s="1"/>
  <c r="I235" i="16"/>
  <c r="B235" i="16" s="1"/>
  <c r="I236" i="16"/>
  <c r="B236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E38" i="21" l="1"/>
  <c r="E16" i="21"/>
  <c r="E26" i="21"/>
  <c r="E36" i="21"/>
  <c r="F15" i="21"/>
  <c r="F25" i="21"/>
  <c r="F35" i="21"/>
  <c r="F8" i="21"/>
  <c r="F38" i="21"/>
  <c r="E17" i="21"/>
  <c r="E27" i="21"/>
  <c r="E37" i="21"/>
  <c r="F16" i="21"/>
  <c r="F26" i="21"/>
  <c r="F36" i="21"/>
  <c r="F7" i="21"/>
  <c r="E18" i="21"/>
  <c r="E28" i="21"/>
  <c r="E39" i="21"/>
  <c r="F17" i="21"/>
  <c r="F27" i="21"/>
  <c r="F37" i="21"/>
  <c r="E5" i="21"/>
  <c r="E9" i="21"/>
  <c r="E19" i="21"/>
  <c r="E29" i="21"/>
  <c r="E40" i="21"/>
  <c r="F18" i="21"/>
  <c r="F28" i="21"/>
  <c r="F39" i="21"/>
  <c r="F5" i="21"/>
  <c r="E10" i="21"/>
  <c r="E20" i="21"/>
  <c r="E30" i="21"/>
  <c r="F9" i="21"/>
  <c r="F19" i="21"/>
  <c r="F29" i="21"/>
  <c r="F40" i="21"/>
  <c r="F3" i="21"/>
  <c r="E11" i="21"/>
  <c r="E21" i="21"/>
  <c r="E31" i="21"/>
  <c r="F10" i="21"/>
  <c r="F20" i="21"/>
  <c r="F30" i="21"/>
  <c r="F6" i="21"/>
  <c r="F4" i="21"/>
  <c r="E12" i="21"/>
  <c r="E22" i="21"/>
  <c r="E32" i="21"/>
  <c r="F11" i="21"/>
  <c r="F21" i="21"/>
  <c r="F31" i="21"/>
  <c r="E6" i="21"/>
  <c r="E3" i="21"/>
  <c r="E13" i="21"/>
  <c r="E23" i="21"/>
  <c r="E33" i="21"/>
  <c r="F12" i="21"/>
  <c r="F22" i="21"/>
  <c r="F32" i="21"/>
  <c r="E7" i="21"/>
  <c r="E4" i="21"/>
  <c r="E14" i="21"/>
  <c r="E24" i="21"/>
  <c r="E34" i="21"/>
  <c r="F13" i="21"/>
  <c r="F23" i="21"/>
  <c r="F33" i="21"/>
  <c r="E15" i="21"/>
  <c r="E25" i="21"/>
  <c r="E35" i="21"/>
  <c r="F14" i="21"/>
  <c r="F24" i="21"/>
  <c r="F34" i="21"/>
  <c r="E8" i="21"/>
  <c r="P25" i="19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B27" i="13" l="1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T16" i="19" l="1" a="1"/>
  <c r="T16" i="19" s="1"/>
  <c r="B21" i="14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<sst xmlns="http://schemas.openxmlformats.org/spreadsheetml/2006/main" count="2788" uniqueCount="1165">
  <si>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</si>
  <si>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</si>
  <si>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</si>
  <si>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</si>
  <si>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</si>
  <si>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</si>
  <si>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</si>
  <si>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</si>
  <si>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</si>
  <si>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</si>
  <si>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</si>
  <si>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</si>
  <si>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</si>
  <si>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</si>
  <si>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</si>
  <si>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</si>
  <si>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</si>
  <si>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</si>
  <si>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</si>
  <si>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</si>
  <si>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</si>
  <si>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</si>
  <si>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</si>
  <si>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</si>
  <si>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</si>
  <si>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</si>
  <si>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</si>
  <si>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</si>
  <si>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</si>
  <si>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</si>
  <si>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</si>
  <si>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</si>
  <si>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</si>
  <si>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</si>
  <si>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</si>
  <si>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</si>
  <si>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</si>
  <si>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</si>
  <si>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</si>
  <si>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</si>
  <si>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</si>
  <si>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</si>
  <si>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</si>
  <si>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</si>
  <si>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</si>
  <si>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</si>
  <si>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</si>
  <si>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</si>
  <si>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</si>
  <si>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</si>
  <si>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</si>
  <si>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</si>
  <si>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</si>
  <si>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</si>
  <si>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</si>
  <si>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</si>
  <si>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</si>
  <si>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</si>
  <si>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</si>
  <si>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</si>
  <si>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</si>
  <si>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</si>
  <si>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</si>
  <si>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</si>
  <si>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</si>
  <si>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</si>
  <si>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</si>
  <si>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</si>
  <si>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</si>
  <si>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</si>
  <si>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</si>
  <si>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</si>
  <si>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</si>
  <si>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</si>
  <si>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</si>
  <si>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</si>
  <si>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</si>
  <si>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</si>
  <si>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</si>
  <si>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</si>
  <si>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</si>
  <si>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</si>
  <si>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</si>
  <si>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</si>
  <si>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</si>
  <si>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</si>
  <si>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</si>
  <si>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</si>
  <si>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</si>
  <si>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</si>
  <si>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</si>
  <si>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</si>
  <si>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</si>
  <si>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</si>
  <si>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</si>
  <si>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</si>
  <si>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</si>
  <si>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</si>
  <si>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</si>
  <si>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</si>
  <si>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</si>
  <si>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</si>
  <si>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</si>
  <si>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</si>
  <si>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</si>
  <si>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</si>
  <si>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</si>
  <si>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</si>
  <si>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</si>
  <si>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</si>
  <si>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</si>
  <si>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</si>
  <si>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</si>
  <si>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</si>
  <si>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</si>
  <si>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</si>
  <si>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</si>
  <si>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</si>
  <si>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</si>
  <si>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</si>
  <si>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</si>
  <si>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</si>
  <si>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</si>
  <si>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</si>
  <si>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</si>
  <si>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</si>
  <si>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</si>
  <si>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</si>
  <si>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</si>
  <si>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</si>
  <si>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</si>
  <si>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</si>
  <si>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</si>
  <si>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</si>
  <si>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</si>
  <si>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</si>
  <si>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</si>
  <si>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</si>
  <si>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</si>
  <si>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</si>
  <si>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</si>
  <si>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</si>
  <si>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</si>
  <si>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</si>
  <si>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</si>
  <si>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</si>
  <si>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</si>
  <si>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</si>
  <si>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</si>
  <si>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</si>
  <si>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</si>
  <si>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</si>
  <si>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</si>
  <si>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</si>
  <si>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</si>
  <si>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</si>
  <si>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</si>
  <si>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</si>
  <si>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</si>
  <si>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</si>
  <si>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</si>
  <si>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</si>
  <si>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</si>
  <si>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</si>
  <si>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</si>
  <si>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</si>
  <si>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</si>
  <si>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</si>
  <si>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</si>
  <si>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</si>
  <si>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</si>
  <si>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</si>
  <si>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</si>
  <si>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</si>
  <si>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</si>
  <si>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</si>
  <si>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</si>
  <si>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</si>
  <si>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</si>
  <si>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</si>
  <si>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</si>
  <si>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</si>
  <si>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</si>
  <si>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</si>
  <si>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</si>
  <si>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</si>
  <si>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</si>
  <si>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</si>
  <si>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</si>
  <si>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</si>
  <si>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</si>
  <si>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</si>
  <si>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</si>
  <si>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</si>
  <si>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</si>
  <si>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</si>
  <si>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</si>
  <si>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</si>
  <si>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</si>
  <si>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</si>
  <si>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</si>
  <si>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</si>
  <si>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</si>
  <si>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</si>
  <si>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</si>
  <si>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</si>
  <si>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</si>
  <si>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</si>
  <si>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</si>
  <si>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</si>
  <si>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</si>
  <si>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</si>
  <si>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</si>
  <si>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</si>
  <si>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</si>
  <si>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</si>
  <si>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</si>
  <si>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</si>
  <si>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</si>
  <si>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</si>
  <si>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</si>
  <si>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</si>
  <si>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</si>
  <si>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</si>
  <si>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</si>
  <si>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</si>
  <si>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</si>
  <si>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</si>
  <si>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</si>
  <si>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</si>
  <si>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</si>
  <si>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</si>
  <si>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</si>
  <si>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</si>
  <si>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</si>
  <si>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</si>
  <si>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</si>
  <si>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</si>
  <si>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</si>
  <si>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</si>
  <si>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</si>
  <si>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</si>
  <si>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</si>
  <si>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</si>
  <si>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</si>
  <si>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</si>
  <si>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</si>
  <si>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</si>
  <si>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</si>
  <si>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</si>
  <si>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</si>
  <si>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</si>
  <si>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</si>
  <si>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</si>
  <si>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</si>
  <si>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</si>
  <si>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</si>
  <si>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</si>
  <si>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</si>
  <si>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</si>
  <si>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</si>
  <si>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</si>
  <si>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</si>
  <si>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</si>
  <si>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</si>
  <si>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</si>
  <si>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</si>
  <si>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</si>
  <si>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</si>
  <si>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</si>
  <si>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</si>
  <si>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</si>
  <si>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</si>
  <si>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</si>
  <si>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</si>
  <si>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</si>
  <si>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</si>
  <si>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</si>
  <si>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</si>
  <si>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</si>
  <si>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</si>
  <si>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</si>
  <si>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</si>
  <si>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</si>
  <si>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</si>
  <si>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</si>
  <si>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</si>
  <si>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</si>
  <si>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</si>
  <si>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</si>
  <si>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</si>
  <si>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</si>
  <si>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</si>
  <si>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</si>
  <si>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</si>
  <si>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</si>
  <si>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</si>
  <si>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</si>
  <si>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</si>
  <si>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</si>
  <si>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</si>
  <si>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</si>
  <si>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</si>
  <si>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</si>
  <si>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</si>
  <si>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</si>
  <si>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</si>
  <si>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</si>
  <si>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</si>
  <si>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</si>
  <si>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</si>
  <si>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</si>
  <si>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</si>
  <si>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</si>
  <si>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</si>
  <si>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</si>
  <si>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</si>
  <si>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</si>
  <si>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</si>
  <si>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</si>
  <si>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</si>
  <si>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</si>
  <si>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</si>
  <si>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</si>
  <si>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</si>
  <si>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</si>
  <si>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</si>
  <si>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</si>
  <si>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</si>
  <si>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</si>
  <si>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</si>
  <si>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</si>
  <si>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</si>
  <si>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</si>
  <si>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</si>
  <si>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</si>
  <si>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</si>
  <si>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</si>
  <si>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</si>
  <si>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</si>
  <si>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</si>
  <si>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</si>
  <si>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</si>
  <si>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</si>
  <si>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</si>
  <si>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</si>
  <si>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</si>
  <si>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</si>
  <si>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</si>
  <si>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</si>
  <si>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</si>
  <si>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</si>
  <si>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</si>
  <si>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</si>
  <si>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</si>
  <si>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</si>
  <si>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</si>
  <si>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</si>
  <si>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</si>
  <si>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</si>
  <si>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</si>
  <si>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</si>
  <si>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</si>
  <si>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</si>
  <si>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</si>
  <si>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</si>
  <si>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</si>
  <si>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</si>
  <si>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</si>
  <si>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</si>
  <si>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</si>
  <si>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</si>
  <si>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</si>
  <si>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</si>
  <si>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</si>
  <si>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</si>
  <si>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</si>
  <si>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</si>
  <si>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</si>
  <si>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</si>
  <si>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</si>
  <si>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</si>
  <si>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</si>
  <si>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</si>
  <si>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</si>
  <si>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</si>
  <si>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</si>
  <si>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</si>
  <si>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</si>
  <si>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</si>
  <si>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</si>
  <si>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</si>
  <si>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</si>
  <si>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</si>
  <si>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</si>
  <si>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</si>
  <si>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</si>
  <si>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</si>
  <si>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</si>
  <si>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</si>
  <si>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</si>
  <si>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</si>
  <si>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</si>
  <si>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</si>
  <si>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</si>
  <si>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</si>
  <si>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</si>
  <si>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</si>
  <si>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</si>
  <si>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</si>
  <si>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</si>
  <si>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</si>
  <si>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</si>
  <si>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</si>
  <si>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</si>
  <si>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</si>
  <si>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</si>
  <si>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</si>
  <si>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</si>
  <si>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</si>
  <si>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</si>
  <si>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</si>
  <si>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</si>
  <si>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</si>
  <si>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</si>
  <si>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</si>
  <si>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</si>
  <si>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</si>
  <si>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</si>
  <si>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</si>
  <si>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</si>
  <si>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</si>
  <si>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</si>
  <si>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</si>
  <si>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</si>
  <si>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</si>
  <si>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</si>
  <si>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</si>
  <si>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</si>
  <si>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</si>
  <si>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</si>
  <si>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</si>
  <si>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</si>
  <si>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</si>
  <si>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</si>
  <si>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</si>
  <si>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</si>
  <si>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</si>
  <si>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</si>
  <si>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</si>
  <si>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</si>
  <si>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</si>
  <si>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</si>
  <si>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</si>
  <si>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</si>
  <si>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</si>
  <si>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</si>
  <si>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</si>
  <si>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</si>
  <si>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</si>
  <si>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</si>
  <si>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</si>
  <si>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</si>
  <si>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</si>
  <si>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</si>
  <si>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</si>
  <si>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</si>
  <si>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</si>
  <si>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</si>
  <si>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</si>
  <si>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</si>
  <si>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</si>
  <si>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</si>
  <si>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</si>
  <si>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</si>
  <si>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</si>
  <si>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</si>
  <si>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</si>
  <si>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</si>
  <si>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</si>
  <si>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</si>
  <si>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</si>
  <si>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</si>
  <si>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</si>
  <si>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</si>
  <si>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</si>
  <si>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</si>
  <si>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</si>
  <si>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</si>
  <si>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</si>
  <si>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</si>
  <si>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</si>
  <si>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</si>
  <si>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</si>
  <si>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</si>
  <si>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</si>
  <si>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</si>
  <si>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</si>
  <si>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</si>
  <si>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</si>
  <si>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</si>
  <si>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</si>
  <si>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</si>
  <si>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</si>
  <si>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</si>
  <si>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</si>
  <si>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</si>
  <si>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</si>
  <si>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</si>
  <si>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</si>
  <si>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</si>
  <si>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</si>
  <si>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</si>
  <si>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</si>
  <si>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</si>
  <si>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</si>
  <si>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</si>
  <si>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</si>
  <si>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</si>
  <si>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</si>
  <si>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</si>
  <si>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</si>
  <si>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</si>
  <si>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</si>
  <si>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</si>
  <si>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</si>
  <si>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</si>
  <si>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</si>
  <si>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</si>
  <si>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</si>
  <si>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</si>
  <si>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</si>
  <si>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</si>
  <si>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</si>
  <si>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</si>
  <si>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</si>
  <si>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</si>
  <si>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</si>
  <si>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</si>
  <si>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</si>
  <si>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</si>
  <si>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</si>
  <si>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</si>
  <si>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</si>
  <si>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</si>
  <si>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</si>
  <si>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</si>
  <si>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</si>
  <si>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</si>
  <si>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</si>
  <si>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</si>
  <si>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</si>
  <si>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</si>
  <si>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</si>
  <si>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</si>
  <si>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</si>
  <si>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</si>
  <si>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</si>
  <si>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</si>
  <si>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</si>
  <si>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</si>
  <si>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</si>
  <si>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</si>
  <si>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</si>
  <si>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</si>
  <si>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</si>
  <si>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</si>
  <si>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</si>
  <si>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</si>
  <si>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</si>
  <si>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</si>
  <si>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</si>
  <si>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</si>
  <si>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</si>
  <si>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</si>
  <si>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</si>
  <si>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</si>
  <si>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</si>
  <si>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</si>
  <si>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</si>
  <si>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</si>
  <si>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</si>
  <si>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</si>
  <si>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</si>
  <si>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</si>
  <si>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</si>
  <si>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</si>
  <si>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</si>
  <si>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</si>
  <si>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</si>
  <si>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</si>
  <si>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</si>
  <si>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</si>
  <si>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</si>
  <si>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</si>
  <si>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</si>
  <si>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</si>
  <si>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</si>
  <si>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</si>
  <si>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</si>
  <si>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</si>
  <si>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</si>
  <si>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</si>
  <si>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</si>
  <si>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</si>
  <si>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</si>
  <si>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</si>
  <si>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</si>
  <si>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</si>
  <si>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</si>
  <si>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</si>
  <si>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</si>
  <si>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</si>
  <si>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</si>
  <si>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</si>
  <si>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</si>
  <si>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</si>
  <si>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</si>
  <si>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</si>
  <si>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</si>
  <si>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</si>
  <si>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</si>
  <si>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</si>
  <si>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</si>
  <si>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</si>
  <si>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</si>
  <si>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</si>
  <si>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</si>
  <si>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</si>
  <si>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</si>
  <si>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</si>
  <si>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</si>
  <si>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</si>
  <si>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</si>
  <si>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</si>
  <si>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</si>
  <si>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</si>
  <si>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</si>
  <si>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</si>
  <si>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</si>
  <si>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</si>
  <si>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</si>
  <si>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</si>
  <si>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</si>
  <si>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</si>
  <si>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</si>
  <si>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</si>
  <si>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</si>
  <si>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</si>
  <si>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</si>
  <si>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</si>
  <si>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</si>
  <si>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</si>
  <si>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</si>
  <si>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</si>
  <si>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</si>
  <si>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</si>
  <si>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</si>
  <si>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</si>
  <si>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</si>
  <si>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</si>
  <si>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</si>
  <si>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</si>
  <si>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</si>
  <si>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</si>
  <si>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</si>
  <si>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</si>
  <si>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</si>
  <si>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</si>
  <si>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</si>
  <si>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</si>
  <si>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</si>
  <si>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</si>
  <si>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</si>
  <si>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</si>
  <si>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</si>
  <si>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</si>
  <si>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</si>
  <si>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</si>
  <si>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</si>
  <si>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</si>
  <si>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</si>
  <si>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</si>
  <si>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</si>
  <si>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</si>
  <si>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</si>
  <si>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</si>
  <si>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</si>
  <si>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</si>
  <si>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</si>
  <si>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</si>
  <si>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</si>
  <si>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</si>
  <si>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</si>
  <si>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</si>
  <si>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</si>
  <si>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</si>
  <si>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</si>
  <si>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</si>
  <si>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</si>
  <si>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</si>
  <si>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</si>
  <si>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</si>
  <si>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</si>
  <si>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</si>
  <si>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</si>
  <si>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</si>
  <si>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</si>
  <si>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</si>
  <si>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</si>
  <si>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</si>
  <si>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</si>
  <si>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</si>
  <si>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</si>
  <si>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</si>
  <si>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</si>
  <si>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</si>
  <si>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</si>
  <si>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</si>
  <si>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</si>
  <si>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</si>
  <si>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</si>
  <si>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</si>
  <si>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</si>
  <si>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</si>
  <si>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</si>
  <si>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</si>
  <si>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</si>
  <si>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</si>
  <si>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</si>
  <si>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</si>
  <si>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</si>
  <si>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</si>
  <si>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</si>
  <si>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</si>
  <si>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</si>
  <si>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</si>
  <si>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</si>
  <si>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</si>
  <si>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</si>
  <si>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</si>
  <si>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</si>
  <si>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</si>
  <si>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</si>
  <si>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</si>
  <si>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</si>
  <si>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</si>
  <si>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</si>
  <si>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</si>
  <si>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</si>
  <si>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</si>
  <si>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</si>
  <si>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</si>
  <si>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</si>
  <si>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</si>
  <si>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</si>
  <si>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</si>
  <si>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</si>
  <si>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</si>
  <si>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</si>
  <si>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</si>
  <si>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</si>
  <si>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</si>
  <si>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</si>
  <si>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</si>
  <si>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</si>
  <si>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</si>
  <si>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</si>
  <si>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</si>
  <si>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</si>
  <si>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</si>
  <si>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</si>
  <si>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</si>
  <si>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</si>
  <si>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</si>
  <si>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</si>
  <si>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</si>
  <si>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</si>
  <si>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</si>
  <si>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</si>
  <si>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</si>
  <si>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</si>
  <si>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</si>
  <si>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</si>
  <si>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</si>
  <si>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</si>
  <si>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</si>
  <si>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</si>
  <si>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</si>
  <si>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</si>
  <si>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</si>
  <si>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</si>
  <si>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</si>
  <si>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</si>
  <si>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</si>
  <si>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</si>
  <si>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</si>
  <si>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</si>
  <si>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</si>
  <si>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</si>
  <si>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</si>
  <si>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</si>
  <si>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</si>
  <si>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</si>
  <si>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</si>
  <si>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</si>
  <si>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</si>
  <si>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</si>
  <si>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</si>
  <si>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</si>
  <si>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</si>
  <si>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</si>
  <si>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</si>
  <si>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</si>
  <si>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</si>
  <si>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</si>
  <si>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</si>
  <si>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</si>
  <si>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</si>
  <si>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</si>
  <si>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</si>
  <si>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</si>
  <si>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</si>
  <si>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</si>
  <si>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</si>
  <si>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</si>
  <si>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</si>
  <si>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</si>
  <si>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</si>
  <si>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</si>
  <si>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</si>
  <si>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</si>
  <si>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</si>
  <si>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</si>
  <si>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</si>
  <si>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</si>
  <si>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</si>
  <si>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</si>
  <si>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</si>
  <si>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</si>
  <si>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</si>
  <si>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</si>
  <si>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</si>
  <si>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</si>
  <si>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</si>
  <si>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</si>
  <si>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</si>
  <si>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</si>
  <si>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</si>
  <si>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</si>
  <si>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</si>
  <si>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</si>
  <si>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</si>
  <si>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</si>
  <si>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</si>
  <si>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</si>
  <si>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</si>
  <si>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</si>
  <si>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</si>
  <si>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</si>
  <si>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</si>
  <si>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</si>
  <si>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</si>
  <si>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</si>
  <si>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</si>
  <si>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</si>
  <si>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</si>
  <si>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</si>
  <si>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</si>
  <si>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</si>
  <si>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</si>
  <si>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</si>
  <si>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</si>
  <si>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</si>
  <si>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</si>
  <si>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</si>
  <si>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</si>
  <si>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</si>
  <si>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</si>
  <si>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</si>
  <si>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</si>
  <si>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</si>
  <si>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</si>
  <si>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</si>
  <si>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</si>
  <si>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</si>
  <si>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</si>
  <si>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</si>
  <si>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</si>
  <si>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</si>
  <si>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</si>
  <si>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</si>
  <si>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</si>
  <si>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</si>
  <si>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</si>
  <si>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</si>
  <si>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</si>
  <si>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</si>
  <si>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</si>
  <si>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</si>
  <si>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</si>
  <si>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</si>
  <si>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</si>
  <si>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</si>
  <si>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</si>
  <si>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</si>
  <si>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</si>
  <si>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</si>
  <si>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</si>
  <si>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</si>
  <si>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</si>
  <si>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</si>
  <si>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</si>
  <si>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</si>
  <si>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</si>
  <si>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</si>
  <si>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</si>
  <si>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</si>
  <si>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</si>
  <si>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</si>
  <si>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</si>
  <si>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</si>
  <si>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</si>
  <si>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배쉬 선수 오셨군요!\n그대가 챔피언이 되는 날이 오기를!</t>
  </si>
  <si>
    <t>배쉬 선수! 환영합니다!\n어서 젤로의 독주를 막아주세요!</t>
  </si>
  <si>
    <t>배쉬 선수! 좀 전에 새디님께서 들리셨습니다!\n당신을 기다리고 있겠다고!</t>
  </si>
  <si>
    <t>어서오세요! 배쉬 선수!\n듀라한님께서 당신을 노리고 계십니다!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</si>
  <si>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</si>
  <si>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</si>
  <si>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</si>
  <si>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</si>
  <si>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</si>
  <si>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</si>
  <si>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</si>
  <si>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</si>
  <si>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</si>
  <si>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</si>
  <si>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</si>
  <si>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</si>
  <si>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</si>
  <si>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</si>
  <si>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</si>
  <si>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</si>
  <si>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</si>
  <si>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</si>
  <si>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</si>
  <si>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</si>
  <si>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</si>
  <si>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</si>
  <si>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</si>
  <si>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</si>
  <si>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</si>
  <si>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</si>
  <si>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</si>
  <si>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</si>
  <si>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</si>
  <si>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</si>
  <si>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</si>
  <si>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</si>
  <si>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</si>
  <si>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</si>
  <si>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</si>
  <si>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</si>
  <si>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</si>
  <si>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</si>
  <si>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</si>
  <si>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</si>
  <si>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</si>
  <si>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</si>
  <si>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</si>
  <si>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</si>
  <si>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</si>
  <si>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</si>
  <si>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</si>
  <si>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</si>
  <si>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</si>
  <si>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</si>
  <si>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</si>
  <si>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</si>
  <si>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</si>
  <si>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</si>
  <si>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</si>
  <si>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</si>
  <si>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</si>
  <si>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</si>
  <si>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</si>
  <si>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</si>
  <si>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</si>
  <si>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</si>
  <si>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</si>
  <si>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</si>
  <si>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</si>
  <si>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</si>
  <si>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</si>
  <si>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</si>
  <si>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</si>
  <si>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</si>
  <si>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</si>
  <si>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</si>
  <si>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</si>
  <si>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</si>
  <si>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</si>
  <si>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</si>
  <si>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</si>
  <si>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</si>
  <si>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</si>
  <si>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</si>
  <si>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</si>
  <si>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</si>
  <si>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</si>
  <si>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</si>
  <si>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</si>
  <si>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</si>
  <si>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</si>
  <si>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</si>
  <si>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</si>
  <si>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</si>
  <si>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</si>
  <si>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</si>
  <si>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</si>
  <si>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</si>
  <si>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</si>
  <si>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</si>
  <si>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</si>
  <si>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</si>
  <si>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</si>
  <si>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</si>
  <si>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</si>
  <si>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</si>
  <si>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</si>
  <si>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</si>
  <si>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</si>
  <si>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</si>
  <si>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</si>
  <si>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</si>
  <si>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</si>
  <si>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</si>
  <si>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</si>
  <si>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</si>
  <si>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</si>
  <si>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</si>
  <si>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</si>
  <si>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</si>
  <si>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</si>
  <si>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</si>
  <si>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</si>
  <si>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</si>
  <si>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</si>
  <si>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</si>
  <si>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</si>
  <si>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</si>
  <si>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</si>
  <si>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</si>
  <si>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</si>
  <si>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</si>
  <si>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</si>
  <si>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</si>
  <si>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</si>
  <si>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</si>
  <si>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</si>
  <si>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</si>
  <si>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</si>
  <si>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</si>
  <si>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</si>
  <si>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</si>
  <si>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</si>
  <si>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</si>
  <si>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</si>
  <si>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</si>
  <si>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</si>
  <si>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</si>
  <si>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</si>
  <si>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</si>
  <si>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</si>
  <si>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</si>
  <si>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</si>
  <si>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</si>
  <si>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</si>
  <si>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</si>
  <si>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</si>
  <si>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</si>
  <si>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</si>
  <si>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</si>
  <si>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이럴 수가! 새디마저 배쉬 선수의 손에 꺾이다니!\n이제 챔피언까지 한걸음 남았습니다!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</si>
  <si>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</si>
  <si>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</si>
  <si>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</si>
  <si>
    <t>이펙트 강도</t>
    <phoneticPr fontId="12" type="noConversion"/>
  </si>
  <si>
    <t>icon/item/Passive_Item/Item_20_new.png</t>
    <phoneticPr fontId="6" type="noConversion"/>
  </si>
  <si>
    <t>icon/item/Passive_Item/Item_22.png</t>
    <phoneticPr fontId="6" type="noConversion"/>
  </si>
  <si>
    <t>icon/item/Passive_Item/Item_14_new.png</t>
    <phoneticPr fontId="6" type="noConversion"/>
  </si>
  <si>
    <t>icon/item/Passive_Item/Item_19_new.png</t>
    <phoneticPr fontId="6" type="noConversion"/>
  </si>
  <si>
    <t>icon/item/Passive_Item/Item_21.png</t>
    <phoneticPr fontId="6" type="noConversion"/>
  </si>
  <si>
    <t>Congratulations, Bash,\nyou've completed all the tutorials!</t>
  </si>
  <si>
    <t>It's been a while, Challenger Bash!\nBaseball is always fun, isn't it?</t>
    <phoneticPr fontId="1" type="noConversion"/>
  </si>
  <si>
    <t>Challenger Bash, you're here! \nMay you be crowned champion!</t>
  </si>
  <si>
    <t>Welcome, Challenger Bash! Stop Jello's run!</t>
    <phoneticPr fontId="1" type="noConversion"/>
  </si>
  <si>
    <t>Challenger Bash! Saddy stopped by earlier!\nHe's been waiting for you!</t>
    <phoneticPr fontId="1" type="noConversion"/>
  </si>
  <si>
    <t>Welcome, Challenger Bash!\nChampion D.Knight is gunning for you!</t>
    <phoneticPr fontId="1" type="noConversion"/>
  </si>
  <si>
    <t>Challenger Bash, we're at the end of the tutorial!\nIn front of me are some powerful Active Items!</t>
    <phoneticPr fontId="1" type="noConversion"/>
  </si>
  <si>
    <t>I can't believe it! Even Saddy was defeated by Challenger Bash!\nNow you're one step away from being crowned champion!</t>
  </si>
  <si>
    <t>You took down that unruly Jello!\nYou're making great progress, Challenger Bash!</t>
  </si>
  <si>
    <t>Credit</t>
    <phoneticPr fontId="6" type="noConversion"/>
  </si>
  <si>
    <t>Design</t>
    <phoneticPr fontId="6" type="noConversion"/>
  </si>
  <si>
    <t>TeamLeader</t>
    <phoneticPr fontId="6" type="noConversion"/>
  </si>
  <si>
    <t>System</t>
    <phoneticPr fontId="6" type="noConversion"/>
  </si>
  <si>
    <t>Content</t>
    <phoneticPr fontId="6" type="noConversion"/>
  </si>
  <si>
    <t>Art</t>
    <phoneticPr fontId="6" type="noConversion"/>
  </si>
  <si>
    <t>AD</t>
    <phoneticPr fontId="6" type="noConversion"/>
  </si>
  <si>
    <t>Programming</t>
    <phoneticPr fontId="6" type="noConversion"/>
  </si>
  <si>
    <t>TD</t>
    <phoneticPr fontId="6" type="noConversion"/>
  </si>
  <si>
    <t>Programmer</t>
    <phoneticPr fontId="6" type="noConversion"/>
  </si>
  <si>
    <t>ViceAD</t>
    <phoneticPr fontId="6" type="noConversion"/>
  </si>
  <si>
    <t>LeadEnvArt</t>
    <phoneticPr fontId="6" type="noConversion"/>
  </si>
  <si>
    <t>CharArt</t>
    <phoneticPr fontId="6" type="noConversion"/>
  </si>
  <si>
    <t>CharAnim</t>
    <phoneticPr fontId="6" type="noConversion"/>
  </si>
  <si>
    <t>LeadFX</t>
    <phoneticPr fontId="6" type="noConversion"/>
  </si>
  <si>
    <t>FX</t>
    <phoneticPr fontId="6" type="noConversion"/>
  </si>
  <si>
    <t>Desinger</t>
    <phoneticPr fontId="6" type="noConversion"/>
  </si>
  <si>
    <t>Sound</t>
    <phoneticPr fontId="6" type="noConversion"/>
  </si>
  <si>
    <t>Support</t>
    <phoneticPr fontId="6" type="noConversion"/>
  </si>
  <si>
    <t>Guest</t>
    <phoneticPr fontId="6" type="noConversion"/>
  </si>
  <si>
    <t>기획</t>
    <phoneticPr fontId="6" type="noConversion"/>
  </si>
  <si>
    <t>PM/팀장</t>
    <phoneticPr fontId="6" type="noConversion"/>
  </si>
  <si>
    <t>PD/시스템 기획</t>
    <phoneticPr fontId="6" type="noConversion"/>
  </si>
  <si>
    <t>컨텐츠 기획</t>
    <phoneticPr fontId="6" type="noConversion"/>
  </si>
  <si>
    <t>프로그래밍</t>
    <phoneticPr fontId="6" type="noConversion"/>
  </si>
  <si>
    <t>프로그래머</t>
    <phoneticPr fontId="6" type="noConversion"/>
  </si>
  <si>
    <t>그래픽</t>
    <phoneticPr fontId="6" type="noConversion"/>
  </si>
  <si>
    <t>AD/애니</t>
    <phoneticPr fontId="6" type="noConversion"/>
  </si>
  <si>
    <t>부AD/애니</t>
    <phoneticPr fontId="6" type="noConversion"/>
  </si>
  <si>
    <t>배경 파트장</t>
    <phoneticPr fontId="6" type="noConversion"/>
  </si>
  <si>
    <t>배경 원화</t>
    <phoneticPr fontId="6" type="noConversion"/>
  </si>
  <si>
    <t>몬스터 원화</t>
    <phoneticPr fontId="6" type="noConversion"/>
  </si>
  <si>
    <t>몬스터 애니</t>
    <phoneticPr fontId="6" type="noConversion"/>
  </si>
  <si>
    <t>이펙트 파트장</t>
    <phoneticPr fontId="6" type="noConversion"/>
  </si>
  <si>
    <t>서포터</t>
    <phoneticPr fontId="6" type="noConversion"/>
  </si>
  <si>
    <t>사운드 디자인</t>
    <phoneticPr fontId="6" type="noConversion"/>
  </si>
  <si>
    <t>매우 특별한 도움</t>
    <phoneticPr fontId="6" type="noConversion"/>
  </si>
  <si>
    <t>스페셜 게스트</t>
    <phoneticPr fontId="6" type="noConversion"/>
  </si>
  <si>
    <t>이펙트</t>
    <phoneticPr fontId="6" type="noConversion"/>
  </si>
  <si>
    <t>Jello</t>
    <phoneticPr fontId="6" type="noConversion"/>
  </si>
  <si>
    <t>Saddy</t>
    <phoneticPr fontId="6" type="noConversion"/>
  </si>
  <si>
    <t>젤로</t>
    <phoneticPr fontId="6" type="noConversion"/>
  </si>
  <si>
    <t>새디</t>
    <phoneticPr fontId="6" type="noConversion"/>
  </si>
  <si>
    <t>Special Guest</t>
    <phoneticPr fontId="6" type="noConversion"/>
  </si>
  <si>
    <t>Very Special Support</t>
    <phoneticPr fontId="6" type="noConversion"/>
  </si>
  <si>
    <t>Sound Desinger</t>
    <phoneticPr fontId="6" type="noConversion"/>
  </si>
  <si>
    <t>Lead FX</t>
    <phoneticPr fontId="6" type="noConversion"/>
  </si>
  <si>
    <t>Character Animator</t>
    <phoneticPr fontId="6" type="noConversion"/>
  </si>
  <si>
    <t>Character Artist</t>
    <phoneticPr fontId="6" type="noConversion"/>
  </si>
  <si>
    <t>Env Artist</t>
    <phoneticPr fontId="6" type="noConversion"/>
  </si>
  <si>
    <t>Lead Env Artist</t>
    <phoneticPr fontId="6" type="noConversion"/>
  </si>
  <si>
    <t>Animator/Vice AD</t>
    <phoneticPr fontId="6" type="noConversion"/>
  </si>
  <si>
    <t>Animator/AD</t>
    <phoneticPr fontId="6" type="noConversion"/>
  </si>
  <si>
    <t>Content Design</t>
    <phoneticPr fontId="6" type="noConversion"/>
  </si>
  <si>
    <t>Team Leader/PM</t>
    <phoneticPr fontId="6" type="noConversion"/>
  </si>
  <si>
    <t>System Designer/PD</t>
    <phoneticPr fontId="6" type="noConversion"/>
  </si>
  <si>
    <t>Game Designer</t>
    <phoneticPr fontId="6" type="noConversion"/>
  </si>
  <si>
    <t>돌아가기</t>
    <phoneticPr fontId="6" type="noConversion"/>
  </si>
  <si>
    <t>Back</t>
    <phoneticPr fontId="6" type="noConversion"/>
  </si>
  <si>
    <t>EnvArt</t>
    <phoneticPr fontId="6" type="noConversion"/>
  </si>
  <si>
    <t>icon/item/Passive_Item/Item_12_new.png</t>
    <phoneticPr fontId="6" type="noConversion"/>
  </si>
  <si>
    <t>피격시 체력 피해 대신 10골드 감소</t>
    <phoneticPr fontId="6" type="noConversion"/>
  </si>
  <si>
    <t>Reduce 10 Golds instead of Damage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</si>
</sst>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4" dataDxfId="73">
  <autoFilter ref="B2:R33" xr:uid="{00000000-0009-0000-0100-000004000000}"/>
  <tableColumns count="17">
    <tableColumn id="1" xr3:uid="{00000000-0010-0000-1A00-000001000000}" name="#Index 참조용" dataDxfId="7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1">
      <calculatedColumnFormula>INDEX(LocaleTable[LocaleKR],MATCH(ItemTable[[#This Row],[Name]],LocaleTable[StringKey],0))</calculatedColumnFormula>
    </tableColumn>
    <tableColumn id="13" xr3:uid="{00000000-0010-0000-1A00-00000D000000}" name="#설명" dataDxfId="70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9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8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7">
      <calculatedColumnFormula>ItemTable[[#This Row],['#Index 참조용]]</calculatedColumnFormula>
    </tableColumn>
    <tableColumn id="2" xr3:uid="{00000000-0010-0000-1A00-000002000000}" name="Name" dataDxfId="66"/>
    <tableColumn id="3" xr3:uid="{00000000-0010-0000-1A00-000003000000}" name="Desc" dataDxfId="65"/>
    <tableColumn id="18" xr3:uid="{00000000-0010-0000-1A00-000012000000}" name="PlusDesc" dataDxfId="64"/>
    <tableColumn id="19" xr3:uid="{00000000-0010-0000-1A00-000013000000}" name="MinusDesc" dataDxfId="63"/>
    <tableColumn id="4" xr3:uid="{00000000-0010-0000-1A00-000004000000}" name="GradeType" dataDxfId="62"/>
    <tableColumn id="10" xr3:uid="{00000000-0010-0000-1A00-00000A000000}" name="MaxStack" dataDxfId="61"/>
    <tableColumn id="5" xr3:uid="{00000000-0010-0000-1A00-000005000000}" name="Value" dataDxfId="60"/>
    <tableColumn id="6" xr3:uid="{00000000-0010-0000-1A00-000006000000}" name="CostHp" dataDxfId="59"/>
    <tableColumn id="7" xr3:uid="{00000000-0010-0000-1A00-000007000000}" name="CostGold" dataDxfId="58"/>
    <tableColumn id="8" xr3:uid="{00000000-0010-0000-1A00-000008000000}" name="ItemEffectDataId" dataDxfId="57"/>
    <tableColumn id="9" xr3:uid="{00000000-0010-0000-1A00-000009000000}" name="ItemIconPath" dataDxfId="56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5">
  <autoFilter ref="B2:S41" xr:uid="{00000000-0009-0000-0100-000001000000}"/>
  <tableColumns count="18">
    <tableColumn id="2" xr3:uid="{00000000-0010-0000-1B00-000002000000}" name="#이름" dataDxfId="54">
      <calculatedColumnFormula>INDEX(ItemTable['#이름],MATCH(ItemEffectTable[[#This Row],[Index]],ItemTable[ItemEffectDataId],0))</calculatedColumnFormula>
    </tableColumn>
    <tableColumn id="3" xr3:uid="{00000000-0010-0000-1B00-000003000000}" name="#Grade" dataDxfId="53">
      <calculatedColumnFormula>INDEX(ItemTable[GradeType],MATCH(ItemEffectTable[[#This Row],[Index]],ItemTable[ItemEffectDataId],0))</calculatedColumnFormula>
    </tableColumn>
    <tableColumn id="4" xr3:uid="{00000000-0010-0000-1B00-000004000000}" name="Index" dataDxfId="52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1"/>
    <tableColumn id="12" xr3:uid="{00000000-0010-0000-1B00-00000C000000}" name="ConditionValue"/>
    <tableColumn id="1" xr3:uid="{00000000-0010-0000-1B00-000001000000}" name="#트리거1" dataDxfId="50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7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6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5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2">
  <autoFilter ref="B2:U35" xr:uid="{00000000-0009-0000-0100-000016000000}"/>
  <tableColumns count="20">
    <tableColumn id="3" xr3:uid="{00000000-0010-0000-1C00-000003000000}" name="#아이템 명칭" dataDxfId="4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9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6"/>
    <tableColumn id="8" xr3:uid="{00000000-0010-0000-1C00-000008000000}" name="#효력 가치 판단" dataDxfId="3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3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1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0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9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5">
  <autoFilter ref="B2:N25" xr:uid="{00000000-0009-0000-0100-000017000000}"/>
  <tableColumns count="13">
    <tableColumn id="4" xr3:uid="{00000000-0010-0000-1D00-000004000000}" name="Index" dataDxfId="24"/>
    <tableColumn id="7" xr3:uid="{00000000-0010-0000-1D00-000007000000}" name="#명칭" dataDxfId="2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2"/>
    <tableColumn id="13" xr3:uid="{00000000-0010-0000-1D00-00000D000000}" name="Param2"/>
    <tableColumn id="2" xr3:uid="{00000000-0010-0000-1D00-000002000000}" name="#Param2설명" dataDxfId="21"/>
    <tableColumn id="14" xr3:uid="{00000000-0010-0000-1D00-00000E000000}" name="Param3"/>
    <tableColumn id="3" xr3:uid="{00000000-0010-0000-1D00-000003000000}" name="#Param3설명" dataDxfId="20"/>
    <tableColumn id="8" xr3:uid="{00000000-0010-0000-1D00-000008000000}" name="Param4" dataDxfId="19"/>
    <tableColumn id="9" xr3:uid="{00000000-0010-0000-1D00-000009000000}" name="#Param3설명3" dataDxfId="18"/>
    <tableColumn id="10" xr3:uid="{00000000-0010-0000-1D00-00000A000000}" name="#가치판단" dataDxfId="1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5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4"/>
    <tableColumn id="3" xr3:uid="{00000000-0010-0000-1E00-000003000000}" name="#리소스 유형" dataDxfId="13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F000000}" name="표31" displayName="표31" ref="B2:F40" totalsRowShown="0">
  <autoFilter ref="B2:F40" xr:uid="{00000000-0009-0000-0100-00001F000000}"/>
  <tableColumns count="5">
    <tableColumn id="1" xr3:uid="{00000000-0010-0000-1F00-000001000000}" name="Index"/>
    <tableColumn id="2" xr3:uid="{00000000-0010-0000-1F00-000002000000}" name="LocaleId" dataDxfId="12"/>
    <tableColumn id="3" xr3:uid="{00000000-0010-0000-1F00-000003000000}" name="Duration"/>
    <tableColumn id="4" xr3:uid="{00000000-0010-0000-1F00-000004000000}" name="#한국어" dataDxfId="11">
      <calculatedColumnFormula>INDEX(LocaleTable[LocaleKR],MATCH(표31[[#This Row],[LocaleId]],LocaleTable[StringKey],0))</calculatedColumnFormula>
    </tableColumn>
    <tableColumn id="5" xr3:uid="{00000000-0010-0000-1F00-000005000000}" name="#영어" dataDxfId="1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20000000}" name="LocaleTable" displayName="LocaleTable" ref="B2:I237" totalsRowShown="0" headerRowDxfId="9" dataDxfId="8">
  <autoFilter ref="B2:I237" xr:uid="{00000000-0009-0000-0100-000003000000}"/>
  <tableColumns count="8">
    <tableColumn id="1" xr3:uid="{00000000-0010-0000-2000-000001000000}" name="StringKey" dataDxfId="7"/>
    <tableColumn id="2" xr3:uid="{00000000-0010-0000-2000-000002000000}" name="LocaleKR" dataDxfId="6"/>
    <tableColumn id="3" xr3:uid="{00000000-0010-0000-2000-000003000000}" name="LocaleUS" dataDxfId="5"/>
    <tableColumn id="6" xr3:uid="{00000000-0010-0000-2000-000006000000}" name="#컴포넌트1" dataDxfId="4"/>
    <tableColumn id="7" xr3:uid="{00000000-0010-0000-2000-000007000000}" name="#컴포넌트2" dataDxfId="3"/>
    <tableColumn id="8" xr3:uid="{00000000-0010-0000-2000-000008000000}" name="#컴포넌트3" dataDxfId="2"/>
    <tableColumn id="9" xr3:uid="{00000000-0010-0000-2000-000009000000}" name="#컴포넌트4" dataDxfId="1"/>
    <tableColumn id="5" xr3:uid="{00000000-0010-0000-20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6640625" defaultRowHeight="17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baseColWidth="10" defaultColWidth="8.6640625" defaultRowHeight="17"/>
  <cols>
    <col min="2" max="2" width="10.1640625" customWidth="1"/>
    <col min="3" max="3" width="12.1640625" customWidth="1"/>
    <col min="4" max="4" width="12.6640625" bestFit="1" customWidth="1"/>
    <col min="5" max="5" width="10.1640625" bestFit="1" customWidth="1"/>
    <col min="6" max="6" width="11.1640625" customWidth="1"/>
    <col min="7" max="7" width="15.1640625" customWidth="1"/>
    <col min="8" max="8" width="13.1640625" customWidth="1"/>
    <col min="9" max="9" width="11.6640625" customWidth="1"/>
    <col min="11" max="12" width="16" customWidth="1"/>
    <col min="13" max="13" width="17.1640625" customWidth="1"/>
    <col min="14" max="14" width="16.6640625" customWidth="1"/>
    <col min="15" max="15" width="16.1640625" customWidth="1"/>
    <col min="16" max="16" width="17" customWidth="1"/>
    <col min="17" max="17" width="14.6640625" customWidth="1"/>
    <col min="18" max="18" width="15.664062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12" zoomScale="113" zoomScaleNormal="85" zoomScaleSheetLayoutView="100" workbookViewId="0">
      <selection activeCell="E25" sqref="E25"/>
    </sheetView>
  </sheetViews>
  <sheetFormatPr baseColWidth="10" defaultColWidth="14.6640625" defaultRowHeight="17"/>
  <cols>
    <col min="1" max="1" width="2.5" customWidth="1"/>
    <col min="2" max="2" width="19.6640625" customWidth="1"/>
    <col min="3" max="3" width="20.5" customWidth="1"/>
    <col min="4" max="4" width="41.1640625" customWidth="1"/>
    <col min="5" max="5" width="17" customWidth="1"/>
    <col min="6" max="6" width="13.1640625" customWidth="1"/>
    <col min="7" max="7" width="3.5" customWidth="1"/>
    <col min="8" max="12" width="16.5" customWidth="1"/>
    <col min="13" max="13" width="2.5" customWidth="1"/>
    <col min="14" max="14" width="15.664062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 ht="18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 ht="18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 ht="18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 ht="18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716</v>
      </c>
      <c r="I15" t="s">
        <v>595</v>
      </c>
      <c r="J15" t="s">
        <v>596</v>
      </c>
      <c r="N15">
        <v>100</v>
      </c>
      <c r="O15">
        <v>0.2</v>
      </c>
    </row>
    <row r="16" spans="1:17" ht="18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 ht="18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 ht="18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 ht="18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 ht="18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 ht="18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 ht="18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 ht="18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 ht="18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30/(CharacterAtkTable[SwingCooldown]*-0.12)</f>
        <v>-500</v>
      </c>
      <c r="F24" s="61">
        <v>0</v>
      </c>
    </row>
    <row r="25" spans="1:15" ht="18">
      <c r="A25" s="9"/>
      <c r="B25" s="71" t="s">
        <v>812</v>
      </c>
      <c r="C25" s="9" t="s">
        <v>9</v>
      </c>
      <c r="D25" s="16" t="s">
        <v>816</v>
      </c>
      <c r="E25" s="19">
        <v>50</v>
      </c>
      <c r="F25" s="61">
        <v>0</v>
      </c>
    </row>
    <row r="26" spans="1:15" ht="18">
      <c r="A26" s="9"/>
      <c r="B26" s="71" t="s">
        <v>813</v>
      </c>
      <c r="C26" s="9" t="s">
        <v>9</v>
      </c>
      <c r="D26" s="16" t="s">
        <v>815</v>
      </c>
      <c r="E26" s="19">
        <v>30</v>
      </c>
      <c r="F26" s="61">
        <v>0</v>
      </c>
    </row>
    <row r="27" spans="1:15" ht="18">
      <c r="A27" s="9"/>
      <c r="B27" s="71" t="s">
        <v>809</v>
      </c>
      <c r="C27" s="9" t="s">
        <v>9</v>
      </c>
      <c r="D27" s="16" t="s">
        <v>814</v>
      </c>
      <c r="E27" s="59">
        <v>30</v>
      </c>
      <c r="F27" s="61">
        <v>0</v>
      </c>
      <c r="O27" s="11">
        <f>0.5*0.8</f>
        <v>0.4</v>
      </c>
    </row>
    <row r="28" spans="1:15" ht="18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 ht="18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 ht="18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 ht="18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 ht="18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 ht="18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 ht="18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 ht="3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 ht="3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 ht="18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 ht="18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 ht="18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 ht="18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 ht="18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baseColWidth="10" defaultColWidth="8.66406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baseColWidth="10" defaultColWidth="8.66406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6640625" bestFit="1" customWidth="1"/>
    <col min="6" max="6" width="17" bestFit="1" customWidth="1"/>
    <col min="7" max="7" width="23.6640625" bestFit="1" customWidth="1"/>
    <col min="8" max="8" width="22.6640625" bestFit="1" customWidth="1"/>
    <col min="9" max="9" width="19" bestFit="1" customWidth="1"/>
    <col min="10" max="10" width="23.1640625" bestFit="1" customWidth="1"/>
    <col min="11" max="12" width="23.1640625" customWidth="1"/>
    <col min="13" max="13" width="11.664062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baseColWidth="10" defaultColWidth="8.6640625" defaultRowHeight="17"/>
  <cols>
    <col min="2" max="2" width="8.6640625" bestFit="1" customWidth="1"/>
    <col min="3" max="3" width="16" bestFit="1" customWidth="1"/>
    <col min="4" max="4" width="17.1640625" bestFit="1" customWidth="1"/>
    <col min="5" max="5" width="12.1640625" bestFit="1" customWidth="1"/>
    <col min="6" max="6" width="20.1640625" bestFit="1" customWidth="1"/>
    <col min="7" max="7" width="13.6640625" bestFit="1" customWidth="1"/>
    <col min="8" max="8" width="22.1640625" customWidth="1"/>
    <col min="9" max="9" width="17.6640625" style="71" customWidth="1"/>
    <col min="10" max="10" width="18.1640625" bestFit="1" customWidth="1"/>
    <col min="11" max="11" width="19.1640625" bestFit="1" customWidth="1"/>
    <col min="12" max="12" width="22.6640625" bestFit="1" customWidth="1"/>
    <col min="13" max="13" width="18.6640625" bestFit="1" customWidth="1"/>
    <col min="14" max="15" width="19.5" bestFit="1" customWidth="1"/>
    <col min="16" max="17" width="23.1640625" bestFit="1" customWidth="1"/>
    <col min="18" max="18" width="13.1640625" bestFit="1" customWidth="1"/>
    <col min="19" max="19" width="14.1640625" bestFit="1" customWidth="1"/>
    <col min="20" max="20" width="25.1640625" bestFit="1" customWidth="1"/>
    <col min="21" max="23" width="22.1640625" bestFit="1" customWidth="1"/>
    <col min="24" max="24" width="21.1640625" customWidth="1"/>
    <col min="25" max="25" width="27.164062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811</v>
      </c>
      <c r="I2" s="33" t="s">
        <v>813</v>
      </c>
      <c r="J2" s="33" t="s">
        <v>809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6640625" defaultRowHeight="17"/>
  <cols>
    <col min="2" max="2" width="8.5" bestFit="1" customWidth="1"/>
    <col min="3" max="3" width="12.6640625" bestFit="1" customWidth="1"/>
    <col min="4" max="4" width="18.1640625" bestFit="1" customWidth="1"/>
    <col min="5" max="5" width="16.66406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16406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6640625" bestFit="1" customWidth="1"/>
    <col min="18" max="18" width="15.6640625" bestFit="1" customWidth="1"/>
    <col min="19" max="19" width="17.164062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baseColWidth="10" defaultColWidth="8.6640625" defaultRowHeight="17"/>
  <cols>
    <col min="3" max="3" width="19.1640625" customWidth="1"/>
    <col min="4" max="4" width="10.1640625" bestFit="1" customWidth="1"/>
    <col min="7" max="7" width="10.664062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zoomScaleNormal="75" zoomScaleSheetLayoutView="100" workbookViewId="0">
      <selection activeCell="H37" sqref="H37"/>
    </sheetView>
  </sheetViews>
  <sheetFormatPr baseColWidth="10" defaultColWidth="8.6640625" defaultRowHeight="17"/>
  <cols>
    <col min="2" max="2" width="8.6640625" bestFit="1" customWidth="1"/>
    <col min="3" max="4" width="30.1640625" customWidth="1"/>
    <col min="5" max="5" width="10.1640625" customWidth="1"/>
    <col min="6" max="6" width="14.5" customWidth="1"/>
    <col min="7" max="7" width="12.6640625" customWidth="1"/>
    <col min="8" max="8" width="14" customWidth="1"/>
    <col min="9" max="9" width="27.6640625" customWidth="1"/>
    <col min="10" max="10" width="17" customWidth="1"/>
    <col min="11" max="11" width="19.1640625" customWidth="1"/>
    <col min="12" max="12" width="17.5" customWidth="1"/>
    <col min="13" max="13" width="15.6640625" customWidth="1"/>
    <col min="14" max="14" width="17.1640625" customWidth="1"/>
    <col min="15" max="15" width="12.6640625" customWidth="1"/>
    <col min="16" max="16" width="17.6640625" customWidth="1"/>
    <col min="17" max="17" width="16" customWidth="1"/>
    <col min="18" max="18" width="16.1640625" bestFit="1" customWidth="1"/>
    <col min="19" max="19" width="18.1640625" bestFit="1" customWidth="1"/>
    <col min="20" max="20" width="47.1640625" customWidth="1"/>
    <col min="21" max="21" width="20.6640625" bestFit="1" customWidth="1"/>
    <col min="22" max="22" width="17.664062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1014</v>
      </c>
      <c r="D2" s="12" t="s">
        <v>1015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0</v>
      </c>
      <c r="L3">
        <v>0</v>
      </c>
      <c r="M3" t="s">
        <v>37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v>3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Row],[SpacingRad]]+2)</f>
        <v>7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Row],[SpacingRad]]+2)</f>
        <v>11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Row],[SpacingRad]]+2)</f>
        <v>6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Row],[SpacingRad]]+2)</f>
        <v>6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Row],[SpacingRad]]+2)</f>
        <v>6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v>3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v>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Row],[SpacingRad]]+2)</f>
        <v>7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Row],[SpacingRad]]+2)</f>
        <v>10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Row],[SpacingRad]]+2)</f>
        <v>6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1012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1013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1011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798</v>
      </c>
      <c r="D19" s="40"/>
      <c r="E19" s="39">
        <v>2000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799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838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840</v>
      </c>
      <c r="V21" s="20"/>
    </row>
    <row r="22" spans="2:22" s="39" customFormat="1">
      <c r="B22" s="39">
        <v>1103</v>
      </c>
      <c r="C22" s="45" t="s">
        <v>836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841</v>
      </c>
      <c r="V22" s="20"/>
    </row>
    <row r="23" spans="2:22" s="39" customFormat="1">
      <c r="B23" s="39">
        <v>1003</v>
      </c>
      <c r="C23" s="40" t="s">
        <v>797</v>
      </c>
      <c r="D23" s="40"/>
      <c r="E23" s="39">
        <v>2500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839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baseColWidth="10" defaultColWidth="8.6640625" defaultRowHeight="17"/>
  <cols>
    <col min="2" max="2" width="8.6640625" bestFit="1" customWidth="1"/>
    <col min="3" max="3" width="23.5" customWidth="1"/>
    <col min="4" max="4" width="15" bestFit="1" customWidth="1"/>
    <col min="5" max="5" width="14.6640625" customWidth="1"/>
    <col min="6" max="6" width="13.1640625" bestFit="1" customWidth="1"/>
    <col min="7" max="7" width="14.6640625" bestFit="1" customWidth="1"/>
    <col min="8" max="8" width="23.6640625" bestFit="1" customWidth="1"/>
    <col min="9" max="9" width="22.164062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801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805</v>
      </c>
      <c r="D60">
        <v>2002</v>
      </c>
      <c r="E60" s="16" t="s">
        <v>808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806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807</v>
      </c>
      <c r="D62">
        <v>2002</v>
      </c>
      <c r="E62" s="16" t="s">
        <v>808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817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817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817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817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817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817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817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817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817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834</v>
      </c>
      <c r="D72">
        <v>3104</v>
      </c>
      <c r="E72" s="16" t="s">
        <v>808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834</v>
      </c>
      <c r="D73">
        <v>3114</v>
      </c>
      <c r="E73" s="16" t="s">
        <v>808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834</v>
      </c>
      <c r="D74">
        <v>3109</v>
      </c>
      <c r="E74" s="16" t="s">
        <v>808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834</v>
      </c>
      <c r="D75">
        <v>3101</v>
      </c>
      <c r="E75" s="16" t="s">
        <v>808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834</v>
      </c>
      <c r="D76">
        <v>3102</v>
      </c>
      <c r="E76" s="16" t="s">
        <v>808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834</v>
      </c>
      <c r="D77">
        <v>3108</v>
      </c>
      <c r="E77" s="16" t="s">
        <v>808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834</v>
      </c>
      <c r="D78">
        <v>3111</v>
      </c>
      <c r="E78" s="16" t="s">
        <v>808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834</v>
      </c>
      <c r="D79">
        <v>3116</v>
      </c>
      <c r="E79" s="16" t="s">
        <v>808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834</v>
      </c>
      <c r="D80">
        <v>3115</v>
      </c>
      <c r="E80" s="16" t="s">
        <v>808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834</v>
      </c>
      <c r="D81">
        <v>3106</v>
      </c>
      <c r="E81" s="16" t="s">
        <v>808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834</v>
      </c>
      <c r="D82">
        <v>3103</v>
      </c>
      <c r="E82" s="16" t="s">
        <v>808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834</v>
      </c>
      <c r="D83">
        <v>3105</v>
      </c>
      <c r="E83" s="16" t="s">
        <v>808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834</v>
      </c>
      <c r="D84">
        <v>3113</v>
      </c>
      <c r="E84" s="16" t="s">
        <v>808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834</v>
      </c>
      <c r="D85">
        <v>3112</v>
      </c>
      <c r="E85" s="16" t="s">
        <v>808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834</v>
      </c>
      <c r="D86">
        <v>3110</v>
      </c>
      <c r="E86" s="16" t="s">
        <v>808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834</v>
      </c>
      <c r="D87">
        <v>3107</v>
      </c>
      <c r="E87" s="16" t="s">
        <v>808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834</v>
      </c>
      <c r="D88">
        <v>3110</v>
      </c>
      <c r="E88" s="16" t="s">
        <v>808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834</v>
      </c>
      <c r="D89">
        <v>3101</v>
      </c>
      <c r="E89" s="16" t="s">
        <v>808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834</v>
      </c>
      <c r="D90">
        <v>3116</v>
      </c>
      <c r="E90" s="16" t="s">
        <v>808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834</v>
      </c>
      <c r="D91">
        <v>3105</v>
      </c>
      <c r="E91" s="16" t="s">
        <v>808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834</v>
      </c>
      <c r="D92">
        <v>3115</v>
      </c>
      <c r="E92" s="16" t="s">
        <v>808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834</v>
      </c>
      <c r="D93">
        <v>3111</v>
      </c>
      <c r="E93" s="16" t="s">
        <v>808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834</v>
      </c>
      <c r="D94">
        <v>3112</v>
      </c>
      <c r="E94" s="16" t="s">
        <v>808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834</v>
      </c>
      <c r="D95">
        <v>3108</v>
      </c>
      <c r="E95" s="16" t="s">
        <v>808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834</v>
      </c>
      <c r="D96">
        <v>3107</v>
      </c>
      <c r="E96" s="16" t="s">
        <v>808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834</v>
      </c>
      <c r="D97">
        <v>3102</v>
      </c>
      <c r="E97" s="16" t="s">
        <v>808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834</v>
      </c>
      <c r="D98">
        <v>3106</v>
      </c>
      <c r="E98" s="16" t="s">
        <v>808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834</v>
      </c>
      <c r="D99">
        <v>3114</v>
      </c>
      <c r="E99" s="16" t="s">
        <v>808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834</v>
      </c>
      <c r="D100">
        <v>3103</v>
      </c>
      <c r="E100" s="16" t="s">
        <v>808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834</v>
      </c>
      <c r="D101">
        <v>3113</v>
      </c>
      <c r="E101" s="16" t="s">
        <v>808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834</v>
      </c>
      <c r="D102">
        <v>3104</v>
      </c>
      <c r="E102" s="16" t="s">
        <v>808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834</v>
      </c>
      <c r="D103">
        <v>3109</v>
      </c>
      <c r="E103" s="16" t="s">
        <v>808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834</v>
      </c>
      <c r="D104">
        <v>3110</v>
      </c>
      <c r="E104" s="16" t="s">
        <v>808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834</v>
      </c>
      <c r="D105">
        <v>3116</v>
      </c>
      <c r="E105" s="16" t="s">
        <v>808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834</v>
      </c>
      <c r="D106">
        <v>3108</v>
      </c>
      <c r="E106" s="16" t="s">
        <v>808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834</v>
      </c>
      <c r="D107">
        <v>3115</v>
      </c>
      <c r="E107" s="16" t="s">
        <v>808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834</v>
      </c>
      <c r="D108">
        <v>3103</v>
      </c>
      <c r="E108" s="16" t="s">
        <v>808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834</v>
      </c>
      <c r="D109">
        <v>3102</v>
      </c>
      <c r="E109" s="16" t="s">
        <v>808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834</v>
      </c>
      <c r="D110">
        <v>3114</v>
      </c>
      <c r="E110" s="16" t="s">
        <v>808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834</v>
      </c>
      <c r="D111">
        <v>3113</v>
      </c>
      <c r="E111" s="16" t="s">
        <v>808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834</v>
      </c>
      <c r="D112">
        <v>3111</v>
      </c>
      <c r="E112" s="16" t="s">
        <v>808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834</v>
      </c>
      <c r="D113">
        <v>3107</v>
      </c>
      <c r="E113" s="16" t="s">
        <v>808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834</v>
      </c>
      <c r="D114">
        <v>3106</v>
      </c>
      <c r="E114" s="16" t="s">
        <v>808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834</v>
      </c>
      <c r="D115">
        <v>3104</v>
      </c>
      <c r="E115" s="16" t="s">
        <v>808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834</v>
      </c>
      <c r="D116">
        <v>3112</v>
      </c>
      <c r="E116" s="16" t="s">
        <v>808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834</v>
      </c>
      <c r="D117">
        <v>3101</v>
      </c>
      <c r="E117" s="16" t="s">
        <v>808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834</v>
      </c>
      <c r="D118">
        <v>3105</v>
      </c>
      <c r="E118" s="16" t="s">
        <v>808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834</v>
      </c>
      <c r="D119">
        <v>3109</v>
      </c>
      <c r="E119" s="16" t="s">
        <v>808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834</v>
      </c>
      <c r="D120">
        <v>3101</v>
      </c>
      <c r="E120" s="16" t="s">
        <v>808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834</v>
      </c>
      <c r="D121">
        <v>3110</v>
      </c>
      <c r="E121" s="16" t="s">
        <v>808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834</v>
      </c>
      <c r="D122">
        <v>3103</v>
      </c>
      <c r="E122" s="16" t="s">
        <v>808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834</v>
      </c>
      <c r="D123">
        <v>3116</v>
      </c>
      <c r="E123" s="16" t="s">
        <v>808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834</v>
      </c>
      <c r="D124">
        <v>3109</v>
      </c>
      <c r="E124" s="16" t="s">
        <v>808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834</v>
      </c>
      <c r="D125">
        <v>3107</v>
      </c>
      <c r="E125" s="16" t="s">
        <v>808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834</v>
      </c>
      <c r="D126">
        <v>3113</v>
      </c>
      <c r="E126" s="16" t="s">
        <v>808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834</v>
      </c>
      <c r="D127">
        <v>3106</v>
      </c>
      <c r="E127" s="16" t="s">
        <v>808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834</v>
      </c>
      <c r="D128">
        <v>3102</v>
      </c>
      <c r="E128" s="16" t="s">
        <v>808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834</v>
      </c>
      <c r="D129">
        <v>3111</v>
      </c>
      <c r="E129" s="16" t="s">
        <v>808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834</v>
      </c>
      <c r="D130">
        <v>3115</v>
      </c>
      <c r="E130" s="16" t="s">
        <v>808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834</v>
      </c>
      <c r="D131">
        <v>3112</v>
      </c>
      <c r="E131" s="16" t="s">
        <v>808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834</v>
      </c>
      <c r="D132">
        <v>3114</v>
      </c>
      <c r="E132" s="16" t="s">
        <v>808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834</v>
      </c>
      <c r="D133">
        <v>3105</v>
      </c>
      <c r="E133" s="16" t="s">
        <v>808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834</v>
      </c>
      <c r="D134">
        <v>3104</v>
      </c>
      <c r="E134" s="16" t="s">
        <v>808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834</v>
      </c>
      <c r="D135">
        <v>3108</v>
      </c>
      <c r="E135" s="16" t="s">
        <v>808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868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868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868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baseColWidth="10" defaultColWidth="8.6640625" defaultRowHeight="17"/>
  <cols>
    <col min="2" max="2" width="8.6640625" bestFit="1" customWidth="1"/>
    <col min="3" max="3" width="22.5" customWidth="1"/>
    <col min="4" max="4" width="14.1640625" bestFit="1" customWidth="1"/>
    <col min="5" max="5" width="18.1640625" bestFit="1" customWidth="1"/>
    <col min="6" max="6" width="20.164062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832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832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832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832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832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832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885</v>
      </c>
      <c r="D94">
        <v>0</v>
      </c>
      <c r="E94">
        <v>206</v>
      </c>
      <c r="F94">
        <v>0</v>
      </c>
      <c r="G94">
        <v>16</v>
      </c>
      <c r="H94" s="11" t="s">
        <v>967</v>
      </c>
    </row>
    <row r="95" spans="2:8">
      <c r="B95">
        <v>806</v>
      </c>
      <c r="C95" s="11" t="s">
        <v>885</v>
      </c>
      <c r="D95">
        <v>15</v>
      </c>
      <c r="E95">
        <v>206</v>
      </c>
      <c r="F95">
        <v>0</v>
      </c>
      <c r="G95">
        <v>16</v>
      </c>
      <c r="H95" s="11" t="s">
        <v>967</v>
      </c>
    </row>
    <row r="96" spans="2:8">
      <c r="B96">
        <v>806</v>
      </c>
      <c r="C96" s="11" t="s">
        <v>885</v>
      </c>
      <c r="D96">
        <v>-15</v>
      </c>
      <c r="E96">
        <v>206</v>
      </c>
      <c r="F96">
        <v>0</v>
      </c>
      <c r="G96">
        <v>16</v>
      </c>
      <c r="H96" s="11" t="s">
        <v>967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801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802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802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802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818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818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818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819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819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819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820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820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820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821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821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821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822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822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822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829</v>
      </c>
      <c r="D205">
        <v>-90</v>
      </c>
      <c r="E205">
        <v>3001</v>
      </c>
      <c r="F205">
        <v>1</v>
      </c>
      <c r="G205">
        <v>5.5</v>
      </c>
      <c r="H205" s="11" t="s">
        <v>832</v>
      </c>
    </row>
    <row r="206" spans="2:8">
      <c r="B206">
        <v>3002</v>
      </c>
      <c r="C206" s="11" t="s">
        <v>828</v>
      </c>
      <c r="D206">
        <v>-90</v>
      </c>
      <c r="E206">
        <v>3002</v>
      </c>
      <c r="F206">
        <v>1</v>
      </c>
      <c r="G206">
        <v>5</v>
      </c>
      <c r="H206" s="11" t="s">
        <v>832</v>
      </c>
    </row>
    <row r="207" spans="2:8">
      <c r="B207">
        <v>3101</v>
      </c>
      <c r="C207" s="11" t="s">
        <v>834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834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834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834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834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834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834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834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834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834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834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834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834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834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834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834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833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833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833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833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833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833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833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833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833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833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833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833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833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833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833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833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875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zoomScaleNormal="75" zoomScaleSheetLayoutView="100" workbookViewId="0">
      <selection activeCell="F8" sqref="F8"/>
    </sheetView>
  </sheetViews>
  <sheetFormatPr baseColWidth="10" defaultColWidth="8.6640625" defaultRowHeight="17"/>
  <cols>
    <col min="2" max="2" width="8.6640625" bestFit="1" customWidth="1"/>
    <col min="3" max="3" width="16" customWidth="1"/>
    <col min="4" max="4" width="11.6640625" bestFit="1" customWidth="1"/>
    <col min="5" max="5" width="14" bestFit="1" customWidth="1"/>
    <col min="6" max="6" width="13.1640625" bestFit="1" customWidth="1"/>
    <col min="7" max="7" width="38.664062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779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885</v>
      </c>
      <c r="D7" t="b">
        <v>0</v>
      </c>
      <c r="E7">
        <v>2</v>
      </c>
      <c r="F7">
        <v>50</v>
      </c>
      <c r="G7" s="11" t="s">
        <v>779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804</v>
      </c>
      <c r="D16" t="b">
        <v>1</v>
      </c>
      <c r="E16">
        <v>2</v>
      </c>
      <c r="F16">
        <v>25</v>
      </c>
      <c r="G16" s="16" t="s">
        <v>800</v>
      </c>
    </row>
    <row r="17" spans="2:7">
      <c r="B17">
        <v>2001</v>
      </c>
      <c r="C17" s="18" t="s">
        <v>803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831</v>
      </c>
      <c r="D18" t="b">
        <v>1</v>
      </c>
      <c r="E18">
        <v>2</v>
      </c>
      <c r="F18">
        <v>25</v>
      </c>
      <c r="G18" s="16" t="s">
        <v>873</v>
      </c>
    </row>
    <row r="19" spans="2:7">
      <c r="B19">
        <v>3002</v>
      </c>
      <c r="C19" s="14" t="s">
        <v>830</v>
      </c>
      <c r="D19" t="b">
        <v>1</v>
      </c>
      <c r="E19">
        <v>2</v>
      </c>
      <c r="F19">
        <v>25</v>
      </c>
      <c r="G19" s="16" t="s">
        <v>874</v>
      </c>
    </row>
    <row r="20" spans="2:7">
      <c r="B20">
        <v>3003</v>
      </c>
      <c r="C20" s="14" t="s">
        <v>870</v>
      </c>
      <c r="D20" t="b">
        <v>1</v>
      </c>
      <c r="E20">
        <v>1</v>
      </c>
      <c r="F20">
        <v>25</v>
      </c>
      <c r="G20" s="16" t="s">
        <v>871</v>
      </c>
    </row>
    <row r="21" spans="2:7">
      <c r="B21">
        <v>3004</v>
      </c>
      <c r="C21" s="14" t="s">
        <v>869</v>
      </c>
      <c r="D21" t="b">
        <v>1</v>
      </c>
      <c r="E21">
        <v>1</v>
      </c>
      <c r="F21">
        <v>25</v>
      </c>
      <c r="G21" s="16" t="s">
        <v>872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R39" sqref="R39"/>
    </sheetView>
  </sheetViews>
  <sheetFormatPr baseColWidth="10" defaultColWidth="8.6640625" defaultRowHeight="17"/>
  <cols>
    <col min="1" max="1" width="8.6640625" style="72"/>
    <col min="2" max="2" width="11.5" style="42" customWidth="1"/>
    <col min="3" max="3" width="17.6640625" style="42" customWidth="1"/>
    <col min="4" max="4" width="62.1640625" style="42" customWidth="1"/>
    <col min="5" max="5" width="68.6640625" style="42" customWidth="1"/>
    <col min="6" max="6" width="31.6640625" style="42" customWidth="1"/>
    <col min="7" max="7" width="8.164062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640625" style="42" bestFit="1" customWidth="1"/>
    <col min="12" max="12" width="14.6640625" style="42" customWidth="1"/>
    <col min="13" max="13" width="12.1640625" style="42" customWidth="1"/>
    <col min="14" max="14" width="8.1640625" style="42" bestFit="1" customWidth="1"/>
    <col min="15" max="15" width="9.6640625" style="42" customWidth="1"/>
    <col min="16" max="16" width="11.1640625" style="42" bestFit="1" customWidth="1"/>
    <col min="17" max="17" width="18.6640625" style="42" bestFit="1" customWidth="1"/>
    <col min="18" max="18" width="36.1640625" style="42" customWidth="1"/>
    <col min="19" max="16384" width="8.664062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866</v>
      </c>
      <c r="C2" s="73" t="s">
        <v>785</v>
      </c>
      <c r="D2" s="73" t="s">
        <v>844</v>
      </c>
      <c r="E2" s="73" t="s">
        <v>845</v>
      </c>
      <c r="F2" s="73" t="s">
        <v>846</v>
      </c>
      <c r="G2" s="75" t="s">
        <v>867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876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1162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1025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1089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996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1026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1090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1027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1088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1091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10골드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1092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968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81" priority="5">
      <formula>$L1="Active"</formula>
    </cfRule>
    <cfRule type="expression" dxfId="80" priority="6">
      <formula>$L1="Cursed"</formula>
    </cfRule>
    <cfRule type="expression" dxfId="79" priority="7">
      <formula>$L1="Rare"</formula>
    </cfRule>
    <cfRule type="expression" dxfId="78" priority="8">
      <formula>$L1="Normal"</formula>
    </cfRule>
  </conditionalFormatting>
  <conditionalFormatting sqref="A1:XFD1048576">
    <cfRule type="expression" dxfId="77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6" priority="4">
      <formula>LEFT(B$2,1)="#"</formula>
    </cfRule>
  </conditionalFormatting>
  <conditionalFormatting sqref="B34:B1048576">
    <cfRule type="expression" dxfId="75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K50" sqref="K50"/>
    </sheetView>
  </sheetViews>
  <sheetFormatPr baseColWidth="10" defaultColWidth="8.6640625" defaultRowHeight="17"/>
  <cols>
    <col min="1" max="1" width="8.6640625" style="44"/>
    <col min="2" max="2" width="20" bestFit="1" customWidth="1"/>
    <col min="3" max="3" width="10.1640625" bestFit="1" customWidth="1"/>
    <col min="4" max="4" width="8.6640625" bestFit="1" customWidth="1"/>
    <col min="5" max="7" width="17.6640625" customWidth="1"/>
    <col min="8" max="8" width="28.1640625" customWidth="1"/>
    <col min="9" max="11" width="18" customWidth="1"/>
    <col min="12" max="17" width="18.164062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785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982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977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824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823</v>
      </c>
      <c r="J16" s="16" t="s">
        <v>973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823</v>
      </c>
      <c r="J17" s="11" t="s">
        <v>974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880</v>
      </c>
      <c r="I18" s="11" t="s">
        <v>823</v>
      </c>
      <c r="J18" s="11" t="s">
        <v>862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880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987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995</v>
      </c>
      <c r="I21" s="11" t="s">
        <v>823</v>
      </c>
      <c r="J21" s="16" t="s">
        <v>973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995</v>
      </c>
      <c r="I22" s="16" t="s">
        <v>823</v>
      </c>
      <c r="J22" s="11" t="s">
        <v>974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1006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0.4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969</v>
      </c>
      <c r="J33" s="11" t="s">
        <v>862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977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969</v>
      </c>
      <c r="J35" s="11" t="s">
        <v>862</v>
      </c>
      <c r="K35">
        <v>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7.4250000000000002E-3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F13" sqref="F13"/>
    </sheetView>
  </sheetViews>
  <sheetFormatPr baseColWidth="10" defaultColWidth="8.6640625" defaultRowHeight="17"/>
  <cols>
    <col min="2" max="2" width="17.6640625" bestFit="1" customWidth="1"/>
    <col min="3" max="3" width="29" bestFit="1" customWidth="1"/>
    <col min="4" max="4" width="8.6640625" bestFit="1" customWidth="1"/>
    <col min="5" max="5" width="21.1640625" bestFit="1" customWidth="1"/>
    <col min="6" max="6" width="20.5" bestFit="1" customWidth="1"/>
    <col min="7" max="7" width="21.6640625" bestFit="1" customWidth="1"/>
    <col min="8" max="8" width="11.5" bestFit="1" customWidth="1"/>
    <col min="9" max="9" width="18.6640625" bestFit="1" customWidth="1"/>
    <col min="10" max="10" width="12.5" bestFit="1" customWidth="1"/>
    <col min="11" max="11" width="12.1640625" style="8" customWidth="1"/>
    <col min="12" max="12" width="12.6640625" bestFit="1" customWidth="1"/>
    <col min="13" max="14" width="13.6640625" bestFit="1" customWidth="1"/>
    <col min="15" max="15" width="13.6640625" customWidth="1"/>
    <col min="16" max="16" width="13.6640625" bestFit="1" customWidth="1"/>
    <col min="17" max="19" width="13.664062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810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 ht="18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 ht="18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 ht="18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 ht="18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 ht="18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994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 ht="18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 ht="18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 ht="18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 ht="18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 ht="18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879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 ht="18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 ht="18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1004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 ht="18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1005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 ht="18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1003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 ht="18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0.4</v>
      </c>
      <c r="O19" s="19">
        <f>IF(ItemEffectTable23[[#This Row],['#발동율]]=-1,-1,(ItemEffectTable23[[#This Row],['#발동율]]+ItemEffectTable23[[#This Row],['#쿨타임]])/ItemEffectTable23[[#This Row],[Duration]])</f>
        <v>0.31874999999999998</v>
      </c>
      <c r="P19" s="19">
        <f>ItemEffectTable23[[#This Row],['#효력 가치 판단]]/IF(ItemEffectTable23[[#This Row],['#발동량]]=-1,1,ItemEffectTable23[[#This Row],['#발동량]])</f>
        <v>78.431372549019585</v>
      </c>
      <c r="Q19" s="19">
        <f>SUMIF(ItemEffectTable23['#아이템 명칭],ItemEffectTable23[[#This Row],['#아이템 명칭]],ItemEffectTable23['#총 가치판단])</f>
        <v>3.4313725490195708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6.8627450980391413E-2</v>
      </c>
    </row>
    <row r="20" spans="2:21" ht="18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3.4313725490195708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3.4313725490195708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6.8627450980391413E-2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 ht="18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 ht="18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48.800000000000011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0.9760000000000002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48.800000000000011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0.9760000000000002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48.800000000000011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0.9760000000000002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48.800000000000011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0.9760000000000002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48.800000000000011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0.9760000000000002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48.800000000000011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0.9760000000000002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810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J35" sqref="J35"/>
    </sheetView>
  </sheetViews>
  <sheetFormatPr baseColWidth="10" defaultColWidth="8.6640625" defaultRowHeight="17"/>
  <cols>
    <col min="1" max="1" width="8.6640625" style="43"/>
    <col min="2" max="2" width="8.6640625" bestFit="1" customWidth="1"/>
    <col min="3" max="3" width="14.6640625" customWidth="1"/>
    <col min="4" max="4" width="14.5" customWidth="1"/>
    <col min="5" max="5" width="11.1640625" customWidth="1"/>
    <col min="6" max="6" width="18.1640625" customWidth="1"/>
    <col min="7" max="7" width="11.6640625" customWidth="1"/>
    <col min="8" max="8" width="20.6640625" customWidth="1"/>
    <col min="9" max="9" width="17.5" customWidth="1"/>
    <col min="10" max="10" width="25.6640625" customWidth="1"/>
    <col min="11" max="11" width="11.6640625" bestFit="1" customWidth="1"/>
    <col min="12" max="12" width="22.1640625" customWidth="1"/>
    <col min="13" max="14" width="14.164062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972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787</v>
      </c>
      <c r="E10">
        <v>1</v>
      </c>
      <c r="F10" s="14" t="s">
        <v>865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I11">
        <v>0.2</v>
      </c>
      <c r="J11" s="14" t="s">
        <v>1087</v>
      </c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972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I23">
        <v>1</v>
      </c>
      <c r="J23" s="14" t="s">
        <v>1087</v>
      </c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baseColWidth="10" defaultColWidth="8.6640625" defaultRowHeight="17"/>
  <cols>
    <col min="3" max="3" width="15.1640625" bestFit="1" customWidth="1"/>
    <col min="4" max="4" width="28.1640625" customWidth="1"/>
    <col min="5" max="5" width="16.1640625" bestFit="1" customWidth="1"/>
    <col min="6" max="6" width="33.164062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theme="9" tint="0.79998168889431442"/>
  </sheetPr>
  <dimension ref="B1:F40"/>
  <sheetViews>
    <sheetView workbookViewId="0">
      <selection activeCell="E42" sqref="E42"/>
    </sheetView>
  </sheetViews>
  <sheetFormatPr baseColWidth="10" defaultColWidth="11.1640625" defaultRowHeight="17"/>
  <cols>
    <col min="3" max="3" width="28.6640625" customWidth="1"/>
    <col min="4" max="4" width="14.1640625" customWidth="1"/>
    <col min="5" max="5" width="100.1640625" customWidth="1"/>
    <col min="6" max="6" width="105.6640625" customWidth="1"/>
  </cols>
  <sheetData>
    <row r="1" spans="2:6">
      <c r="B1" s="16" t="s">
        <v>610</v>
      </c>
      <c r="C1" s="16" t="s">
        <v>1036</v>
      </c>
      <c r="D1" s="16" t="s">
        <v>312</v>
      </c>
      <c r="E1" s="16"/>
      <c r="F1" s="16"/>
    </row>
    <row r="2" spans="2:6">
      <c r="B2" s="16" t="s">
        <v>1034</v>
      </c>
      <c r="C2" s="16" t="s">
        <v>1035</v>
      </c>
      <c r="D2" s="16" t="s">
        <v>320</v>
      </c>
      <c r="E2" s="87" t="s">
        <v>1037</v>
      </c>
      <c r="F2" s="87" t="s">
        <v>1038</v>
      </c>
    </row>
    <row r="3" spans="2:6">
      <c r="B3">
        <v>1000</v>
      </c>
      <c r="C3" s="16" t="s">
        <v>1039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1040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1041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1042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Bash,\nyou've completed all the tutorials!</v>
      </c>
    </row>
    <row r="7" spans="2:6">
      <c r="B7">
        <v>1001</v>
      </c>
      <c r="C7" t="s">
        <v>1043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1044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1045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Challenger Bash!\nBaseball is always fun, isn't it?</v>
      </c>
    </row>
    <row r="10" spans="2:6">
      <c r="B10">
        <v>1004</v>
      </c>
      <c r="C10" t="s">
        <v>1046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Challenger Bash, you're here! \nMay you be crowned champion!</v>
      </c>
    </row>
    <row r="11" spans="2:6">
      <c r="B11">
        <v>1005</v>
      </c>
      <c r="C11" t="s">
        <v>1047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Challenger Bash! Stop Jello's run!</v>
      </c>
    </row>
    <row r="12" spans="2:6">
      <c r="B12">
        <v>1006</v>
      </c>
      <c r="C12" t="s">
        <v>1048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Challenger Bash! Saddy stopped by earlier!\nHe's been waiting for you!</v>
      </c>
    </row>
    <row r="13" spans="2:6">
      <c r="B13">
        <v>1007</v>
      </c>
      <c r="C13" t="s">
        <v>1049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Challenger Bash!\nChampion D.Knight is gunning for you!</v>
      </c>
    </row>
    <row r="14" spans="2:6">
      <c r="B14">
        <v>1008</v>
      </c>
      <c r="C14" t="s">
        <v>1050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1051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1052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1053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1054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1055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1056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1057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1058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1059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1060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1061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1062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1063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1064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1065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1066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Challenger Bash, we're at the end of the tutorial!\nIn front of me are some powerful Active Items!</v>
      </c>
    </row>
    <row r="31" spans="2:6">
      <c r="B31">
        <v>2301</v>
      </c>
      <c r="C31" t="s">
        <v>1067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1068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1069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1070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1071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1072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1073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Challenger Bash!</v>
      </c>
    </row>
    <row r="38" spans="2:6">
      <c r="B38">
        <v>3001</v>
      </c>
      <c r="C38" t="s">
        <v>1075</v>
      </c>
      <c r="D38">
        <v>1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1074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Challenger Bash!\nNow you're one step away from being crowned champion!</v>
      </c>
    </row>
    <row r="40" spans="2:6">
      <c r="B40">
        <v>3002</v>
      </c>
      <c r="C40" t="s">
        <v>1075</v>
      </c>
      <c r="D40">
        <v>1.5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0">
    <tabColor rgb="FFE2F0D9"/>
  </sheetPr>
  <dimension ref="B1:J237"/>
  <sheetViews>
    <sheetView tabSelected="1" topLeftCell="A185" zoomScale="85" zoomScaleNormal="85" zoomScaleSheetLayoutView="100" workbookViewId="0">
      <selection activeCell="D230" sqref="D230"/>
    </sheetView>
  </sheetViews>
  <sheetFormatPr baseColWidth="10" defaultColWidth="8.6640625" defaultRowHeight="17"/>
  <cols>
    <col min="2" max="2" width="31.83203125" customWidth="1"/>
    <col min="3" max="3" width="73.5" style="9" customWidth="1"/>
    <col min="4" max="4" width="114" bestFit="1" customWidth="1"/>
    <col min="5" max="5" width="13.6640625" style="79" customWidth="1"/>
    <col min="6" max="6" width="12.1640625" style="79" bestFit="1" customWidth="1"/>
    <col min="7" max="7" width="16.6640625" style="79" customWidth="1"/>
    <col min="8" max="8" width="12.1640625" style="79" bestFit="1" customWidth="1"/>
    <col min="9" max="9" width="34.1640625" customWidth="1"/>
  </cols>
  <sheetData>
    <row r="1" spans="2:10" ht="18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 ht="18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 ht="18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 ht="18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 ht="18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 ht="18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 ht="18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 ht="18">
      <c r="B8" t="str">
        <f>LocaleTable[[#This Row],['#인덱스제너레이터]]</f>
        <v>UI_Tutorial_Title_1</v>
      </c>
      <c r="C8" s="51" t="s">
        <v>723</v>
      </c>
      <c r="D8" s="51" t="s">
        <v>722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 ht="18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 ht="18">
      <c r="B10" t="str">
        <f>LocaleTable[[#This Row],['#인덱스제너레이터]]</f>
        <v>UI_Tutorial_Title_3</v>
      </c>
      <c r="C10" s="51" t="s">
        <v>633</v>
      </c>
      <c r="D10" s="51" t="s">
        <v>719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 ht="18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 ht="18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 ht="18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 ht="18">
      <c r="B14" t="str">
        <f>LocaleTable[[#This Row],['#인덱스제너레이터]]</f>
        <v>UI_Tutorial_Title_7</v>
      </c>
      <c r="C14" s="51" t="s">
        <v>637</v>
      </c>
      <c r="D14" s="51" t="s">
        <v>720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 ht="18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 ht="18">
      <c r="B16" t="str">
        <f>LocaleTable[[#This Row],['#인덱스제너레이터]]</f>
        <v>UI_Tutorial_Controls_Move</v>
      </c>
      <c r="C16" s="51" t="s">
        <v>742</v>
      </c>
      <c r="D16" s="51" t="s">
        <v>748</v>
      </c>
      <c r="E16" s="81" t="s">
        <v>755</v>
      </c>
      <c r="F16" s="82" t="s">
        <v>498</v>
      </c>
      <c r="G16" s="82" t="s">
        <v>721</v>
      </c>
      <c r="H16" s="81" t="s">
        <v>748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 ht="18">
      <c r="B17" t="str">
        <f>LocaleTable[[#This Row],['#인덱스제너레이터]]</f>
        <v>UI_Tutorial_Controls_Dodge</v>
      </c>
      <c r="C17" s="51" t="s">
        <v>743</v>
      </c>
      <c r="D17" s="51" t="s">
        <v>749</v>
      </c>
      <c r="E17" s="81" t="s">
        <v>755</v>
      </c>
      <c r="F17" s="82" t="s">
        <v>498</v>
      </c>
      <c r="G17" s="82" t="s">
        <v>721</v>
      </c>
      <c r="H17" s="81" t="s">
        <v>749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 ht="18">
      <c r="B18" t="str">
        <f>LocaleTable[[#This Row],['#인덱스제너레이터]]</f>
        <v>UI_Tutorial_Controls_Interaction</v>
      </c>
      <c r="C18" s="51" t="s">
        <v>744</v>
      </c>
      <c r="D18" s="51" t="s">
        <v>750</v>
      </c>
      <c r="E18" s="81" t="s">
        <v>755</v>
      </c>
      <c r="F18" s="82" t="s">
        <v>498</v>
      </c>
      <c r="G18" s="82" t="s">
        <v>721</v>
      </c>
      <c r="H18" s="81" t="s">
        <v>750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 ht="18">
      <c r="B19" t="str">
        <f>LocaleTable[[#This Row],['#인덱스제너레이터]]</f>
        <v>UI_Tutorial_Controls_Tab</v>
      </c>
      <c r="C19" s="51" t="s">
        <v>745</v>
      </c>
      <c r="D19" s="51" t="s">
        <v>653</v>
      </c>
      <c r="E19" s="81" t="s">
        <v>755</v>
      </c>
      <c r="F19" s="82" t="s">
        <v>498</v>
      </c>
      <c r="G19" s="82" t="s">
        <v>721</v>
      </c>
      <c r="H19" s="81" t="s">
        <v>756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 ht="18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755</v>
      </c>
      <c r="F20" s="82" t="s">
        <v>498</v>
      </c>
      <c r="G20" s="82" t="s">
        <v>721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 ht="18">
      <c r="B21" t="str">
        <f>LocaleTable[[#This Row],['#인덱스제너레이터]]</f>
        <v>UI_Tutorial_Controls_Attack</v>
      </c>
      <c r="C21" s="51" t="s">
        <v>746</v>
      </c>
      <c r="D21" s="51" t="s">
        <v>751</v>
      </c>
      <c r="E21" s="81" t="s">
        <v>755</v>
      </c>
      <c r="F21" s="82" t="s">
        <v>498</v>
      </c>
      <c r="G21" s="82" t="s">
        <v>721</v>
      </c>
      <c r="H21" s="81" t="s">
        <v>757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 ht="18">
      <c r="B22" t="str">
        <f>LocaleTable[[#This Row],['#인덱스제너레이터]]</f>
        <v>UI_Tutorial_Controls_Active</v>
      </c>
      <c r="C22" s="51" t="s">
        <v>747</v>
      </c>
      <c r="D22" s="51" t="s">
        <v>752</v>
      </c>
      <c r="E22" s="81" t="s">
        <v>755</v>
      </c>
      <c r="F22" s="82" t="s">
        <v>498</v>
      </c>
      <c r="G22" s="82" t="s">
        <v>721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 ht="18">
      <c r="B24" t="str">
        <f>LocaleTable[[#This Row],['#인덱스제너레이터]]</f>
        <v>UI_Tutorial_MainText_2</v>
      </c>
      <c r="C24" s="51" t="s">
        <v>639</v>
      </c>
      <c r="D24" s="51" t="s">
        <v>717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 ht="18">
      <c r="B25" t="str">
        <f>LocaleTable[[#This Row],['#인덱스제너레이터]]</f>
        <v>UI_Tutorial_MainText_3</v>
      </c>
      <c r="C25" s="51" t="s">
        <v>640</v>
      </c>
      <c r="D25" s="51" t="s">
        <v>718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 ht="18">
      <c r="B26" t="str">
        <f>LocaleTable[[#This Row],['#인덱스제너레이터]]</f>
        <v>UI_Tutorial_MainText_4</v>
      </c>
      <c r="C26" s="51" t="s">
        <v>753</v>
      </c>
      <c r="D26" s="51" t="s">
        <v>754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 ht="18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 ht="18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 ht="18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 ht="18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18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 ht="18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6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6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 ht="18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 ht="18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 ht="18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 ht="18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 ht="18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 ht="18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 ht="18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 ht="18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 ht="18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 ht="18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 ht="18">
      <c r="B46" t="str">
        <f>LocaleTable[[#This Row],['#인덱스제너레이터]]</f>
        <v>UI_Setting_Back</v>
      </c>
      <c r="C46" s="51" t="s">
        <v>1159</v>
      </c>
      <c r="D46" s="51" t="s">
        <v>1160</v>
      </c>
      <c r="E46" s="81" t="s">
        <v>473</v>
      </c>
      <c r="F46" s="81" t="s">
        <v>554</v>
      </c>
      <c r="G46" s="82" t="s">
        <v>1160</v>
      </c>
      <c r="H46" s="81"/>
      <c r="I4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UI_Setting_Back</v>
      </c>
    </row>
    <row r="47" spans="2:9" ht="18">
      <c r="B47" t="str">
        <f>LocaleTable[[#This Row],['#인덱스제너레이터]]</f>
        <v>UI_Tap_Subtitle_Items</v>
      </c>
      <c r="C47" s="51" t="s">
        <v>508</v>
      </c>
      <c r="D47" s="51" t="s">
        <v>581</v>
      </c>
      <c r="E47" s="81" t="s">
        <v>473</v>
      </c>
      <c r="F47" s="81" t="s">
        <v>505</v>
      </c>
      <c r="G47" s="81" t="s">
        <v>506</v>
      </c>
      <c r="H47" s="81" t="s">
        <v>581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8" spans="2:9" ht="18">
      <c r="B48" t="str">
        <f>LocaleTable[[#This Row],['#인덱스제너레이터]]</f>
        <v>UI_Tap_Subtitle_Map</v>
      </c>
      <c r="C48" s="51" t="s">
        <v>488</v>
      </c>
      <c r="D48" s="51" t="s">
        <v>474</v>
      </c>
      <c r="E48" s="81" t="s">
        <v>473</v>
      </c>
      <c r="F48" s="81" t="s">
        <v>505</v>
      </c>
      <c r="G48" s="81" t="s">
        <v>506</v>
      </c>
      <c r="H48" s="81" t="s">
        <v>475</v>
      </c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9" spans="2:9" ht="18">
      <c r="B49" t="str">
        <f>LocaleTable[[#This Row],['#인덱스제너레이터]]</f>
        <v>UI_Tap_MapInfo</v>
      </c>
      <c r="C49" s="51" t="s">
        <v>760</v>
      </c>
      <c r="D49" s="51" t="s">
        <v>772</v>
      </c>
      <c r="E49" s="81" t="s">
        <v>473</v>
      </c>
      <c r="F49" s="81" t="s">
        <v>505</v>
      </c>
      <c r="G49" s="81" t="s">
        <v>761</v>
      </c>
      <c r="H49" s="81"/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50" spans="2:9" ht="18">
      <c r="B50" t="str">
        <f>LocaleTable[[#This Row],['#인덱스제너레이터]]</f>
        <v>UI_Tap_MapInfo_Player</v>
      </c>
      <c r="C50" s="51" t="s">
        <v>765</v>
      </c>
      <c r="D50" s="51" t="s">
        <v>771</v>
      </c>
      <c r="E50" s="81" t="s">
        <v>473</v>
      </c>
      <c r="F50" s="81" t="s">
        <v>505</v>
      </c>
      <c r="G50" s="81" t="s">
        <v>761</v>
      </c>
      <c r="H50" s="81" t="s">
        <v>336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1" spans="2:9" ht="18">
      <c r="B51" t="str">
        <f>LocaleTable[[#This Row],['#인덱스제너레이터]]</f>
        <v>UI_Tap_MapInfo_Shop</v>
      </c>
      <c r="C51" s="51" t="s">
        <v>766</v>
      </c>
      <c r="D51" s="51" t="s">
        <v>762</v>
      </c>
      <c r="E51" s="81" t="s">
        <v>473</v>
      </c>
      <c r="F51" s="81" t="s">
        <v>505</v>
      </c>
      <c r="G51" s="81" t="s">
        <v>761</v>
      </c>
      <c r="H51" s="81" t="s">
        <v>762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2" spans="2:9" ht="18">
      <c r="B52" t="str">
        <f>LocaleTable[[#This Row],['#인덱스제너레이터]]</f>
        <v>UI_Tap_MapInfo_Reward</v>
      </c>
      <c r="C52" s="51" t="s">
        <v>767</v>
      </c>
      <c r="D52" s="51" t="s">
        <v>763</v>
      </c>
      <c r="E52" s="81" t="s">
        <v>473</v>
      </c>
      <c r="F52" s="81" t="s">
        <v>505</v>
      </c>
      <c r="G52" s="81" t="s">
        <v>761</v>
      </c>
      <c r="H52" s="81" t="s">
        <v>763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3" spans="2:9" ht="18">
      <c r="B53" t="str">
        <f>LocaleTable[[#This Row],['#인덱스제너레이터]]</f>
        <v>UI_Tap_MapInfo_Next</v>
      </c>
      <c r="C53" s="51" t="s">
        <v>768</v>
      </c>
      <c r="D53" s="51" t="s">
        <v>770</v>
      </c>
      <c r="E53" s="81" t="s">
        <v>473</v>
      </c>
      <c r="F53" s="81" t="s">
        <v>505</v>
      </c>
      <c r="G53" s="81" t="s">
        <v>761</v>
      </c>
      <c r="H53" s="81" t="s">
        <v>764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4" spans="2:9" ht="18">
      <c r="B54" t="str">
        <f>LocaleTable[[#This Row],['#인덱스제너레이터]]</f>
        <v>UI_Tap_MapInfo_Boss</v>
      </c>
      <c r="C54" s="51" t="s">
        <v>769</v>
      </c>
      <c r="D54" s="51" t="s">
        <v>571</v>
      </c>
      <c r="E54" s="81" t="s">
        <v>473</v>
      </c>
      <c r="F54" s="81" t="s">
        <v>505</v>
      </c>
      <c r="G54" s="81" t="s">
        <v>761</v>
      </c>
      <c r="H54" s="81" t="s">
        <v>571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5" spans="2:9" ht="18">
      <c r="B55" t="str">
        <f>LocaleTable[[#This Row],['#인덱스제너레이터]]</f>
        <v>UI_Tap_Stat_AtkDmg</v>
      </c>
      <c r="C55" s="51" t="s">
        <v>489</v>
      </c>
      <c r="D55" s="51" t="s">
        <v>477</v>
      </c>
      <c r="E55" s="83" t="s">
        <v>473</v>
      </c>
      <c r="F55" s="81" t="s">
        <v>505</v>
      </c>
      <c r="G55" s="83" t="s">
        <v>476</v>
      </c>
      <c r="H55" s="81" t="s">
        <v>478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6" spans="2:9" ht="18">
      <c r="B56" t="str">
        <f>LocaleTable[[#This Row],['#인덱스제너레이터]]</f>
        <v>UI_Tap_Stat_AtkSpd</v>
      </c>
      <c r="C56" s="51" t="s">
        <v>490</v>
      </c>
      <c r="D56" s="51" t="s">
        <v>484</v>
      </c>
      <c r="E56" s="83" t="s">
        <v>473</v>
      </c>
      <c r="F56" s="81" t="s">
        <v>505</v>
      </c>
      <c r="G56" s="83" t="s">
        <v>476</v>
      </c>
      <c r="H56" s="81" t="s">
        <v>485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7" spans="2:9" ht="18">
      <c r="B57" t="str">
        <f>LocaleTable[[#This Row],['#인덱스제너레이터]]</f>
        <v>UI_Tap_Stat_AtkLength</v>
      </c>
      <c r="C57" s="51" t="s">
        <v>491</v>
      </c>
      <c r="D57" s="51" t="s">
        <v>481</v>
      </c>
      <c r="E57" s="81" t="s">
        <v>473</v>
      </c>
      <c r="F57" s="81" t="s">
        <v>505</v>
      </c>
      <c r="G57" s="81" t="s">
        <v>476</v>
      </c>
      <c r="H57" s="81" t="s">
        <v>482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8" spans="2:9" ht="18">
      <c r="B58" t="str">
        <f>LocaleTable[[#This Row],['#인덱스제너레이터]]</f>
        <v>UI_Tap_Stat_ChargeSpd</v>
      </c>
      <c r="C58" s="51" t="s">
        <v>493</v>
      </c>
      <c r="D58" s="51" t="s">
        <v>479</v>
      </c>
      <c r="E58" s="81" t="s">
        <v>473</v>
      </c>
      <c r="F58" s="81" t="s">
        <v>505</v>
      </c>
      <c r="G58" s="81" t="s">
        <v>476</v>
      </c>
      <c r="H58" s="81" t="s">
        <v>480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9" spans="2:9" ht="18">
      <c r="B59" t="str">
        <f>LocaleTable[[#This Row],['#인덱스제너레이터]]</f>
        <v>UI_Tap_Stat_MoveSpd</v>
      </c>
      <c r="C59" s="51" t="s">
        <v>492</v>
      </c>
      <c r="D59" s="51" t="s">
        <v>486</v>
      </c>
      <c r="E59" s="81" t="s">
        <v>473</v>
      </c>
      <c r="F59" s="81" t="s">
        <v>505</v>
      </c>
      <c r="G59" s="81" t="s">
        <v>476</v>
      </c>
      <c r="H59" s="81" t="s">
        <v>487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60" spans="2:9" ht="18">
      <c r="B60" t="str">
        <f>LocaleTable[[#This Row],['#인덱스제너레이터]]</f>
        <v>UI_Tap_Stat_GoldGain</v>
      </c>
      <c r="C60" s="51" t="s">
        <v>494</v>
      </c>
      <c r="D60" s="51" t="s">
        <v>156</v>
      </c>
      <c r="E60" s="81" t="s">
        <v>473</v>
      </c>
      <c r="F60" s="81" t="s">
        <v>505</v>
      </c>
      <c r="G60" s="81" t="s">
        <v>476</v>
      </c>
      <c r="H60" s="81" t="s">
        <v>483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1" spans="2:9" ht="18">
      <c r="B61" t="str">
        <f>LocaleTable[[#This Row],['#인덱스제너레이터]]</f>
        <v>UI_GameOver_Title</v>
      </c>
      <c r="C61" s="51" t="s">
        <v>580</v>
      </c>
      <c r="D61" s="51" t="s">
        <v>507</v>
      </c>
      <c r="E61" s="81" t="s">
        <v>473</v>
      </c>
      <c r="F61" s="81" t="s">
        <v>577</v>
      </c>
      <c r="G61" s="81" t="s">
        <v>507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2" spans="2:9" ht="18">
      <c r="B62" t="str">
        <f>LocaleTable[[#This Row],['#인덱스제너레이터]]</f>
        <v>UI_GameOver_Restart</v>
      </c>
      <c r="C62" s="51" t="s">
        <v>579</v>
      </c>
      <c r="D62" s="51" t="s">
        <v>578</v>
      </c>
      <c r="E62" s="81" t="s">
        <v>473</v>
      </c>
      <c r="F62" s="81" t="s">
        <v>577</v>
      </c>
      <c r="G62" s="81" t="s">
        <v>578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3" spans="2:9" ht="18">
      <c r="B63" t="str">
        <f>LocaleTable[[#This Row],['#인덱스제너레이터]]</f>
        <v>UI_ItemHolder_Select</v>
      </c>
      <c r="C63" s="51" t="s">
        <v>784</v>
      </c>
      <c r="D63" s="51" t="s">
        <v>782</v>
      </c>
      <c r="E63" s="81" t="s">
        <v>473</v>
      </c>
      <c r="F63" s="81" t="s">
        <v>780</v>
      </c>
      <c r="G63" s="81" t="s">
        <v>782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4" spans="2:9" ht="18">
      <c r="B64" t="str">
        <f>LocaleTable[[#This Row],['#인덱스제너레이터]]</f>
        <v>UI_ItemHolder_Buy</v>
      </c>
      <c r="C64" s="51" t="s">
        <v>783</v>
      </c>
      <c r="D64" s="51" t="s">
        <v>781</v>
      </c>
      <c r="E64" s="81" t="s">
        <v>473</v>
      </c>
      <c r="F64" s="81" t="s">
        <v>780</v>
      </c>
      <c r="G64" s="81" t="s">
        <v>781</v>
      </c>
      <c r="H64" s="81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5" spans="2:9" ht="18">
      <c r="B65" t="str">
        <f>LocaleTable[[#This Row],['#인덱스제너레이터]]</f>
        <v>UI_Loading_Tip_1</v>
      </c>
      <c r="C65" s="51" t="s">
        <v>773</v>
      </c>
      <c r="D65" s="51" t="s">
        <v>774</v>
      </c>
      <c r="E65" s="81" t="s">
        <v>473</v>
      </c>
      <c r="F65" s="81" t="s">
        <v>622</v>
      </c>
      <c r="G65" s="81" t="s">
        <v>623</v>
      </c>
      <c r="H65" s="81">
        <v>1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6" spans="2:9" ht="18">
      <c r="B66" t="str">
        <f>LocaleTable[[#This Row],['#인덱스제너레이터]]</f>
        <v>UI_Loading_Tip_2</v>
      </c>
      <c r="C66" s="51" t="s">
        <v>624</v>
      </c>
      <c r="D66" s="51" t="s">
        <v>735</v>
      </c>
      <c r="E66" s="81" t="s">
        <v>473</v>
      </c>
      <c r="F66" s="81" t="s">
        <v>622</v>
      </c>
      <c r="G66" s="81" t="s">
        <v>623</v>
      </c>
      <c r="H66" s="81">
        <v>2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7" spans="2:9" ht="18">
      <c r="B67" t="str">
        <f>LocaleTable[[#This Row],['#인덱스제너레이터]]</f>
        <v>UI_Loading_Tip_3</v>
      </c>
      <c r="C67" s="51" t="s">
        <v>625</v>
      </c>
      <c r="D67" s="51" t="s">
        <v>734</v>
      </c>
      <c r="E67" s="81" t="s">
        <v>473</v>
      </c>
      <c r="F67" s="81" t="s">
        <v>622</v>
      </c>
      <c r="G67" s="81" t="s">
        <v>623</v>
      </c>
      <c r="H67" s="81">
        <v>3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8" spans="2:9" ht="18">
      <c r="B68" t="str">
        <f>LocaleTable[[#This Row],['#인덱스제너레이터]]</f>
        <v>UI_Loading_Tip_4</v>
      </c>
      <c r="C68" s="51" t="s">
        <v>626</v>
      </c>
      <c r="D68" s="51" t="s">
        <v>736</v>
      </c>
      <c r="E68" s="81" t="s">
        <v>473</v>
      </c>
      <c r="F68" s="81" t="s">
        <v>622</v>
      </c>
      <c r="G68" s="81" t="s">
        <v>623</v>
      </c>
      <c r="H68" s="81">
        <v>4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9" spans="2:9" ht="18">
      <c r="B69" t="str">
        <f>LocaleTable[[#This Row],['#인덱스제너레이터]]</f>
        <v>UI_Loading_Tip_5</v>
      </c>
      <c r="C69" s="51" t="s">
        <v>737</v>
      </c>
      <c r="D69" s="51" t="s">
        <v>738</v>
      </c>
      <c r="E69" s="81" t="s">
        <v>473</v>
      </c>
      <c r="F69" s="81" t="s">
        <v>622</v>
      </c>
      <c r="G69" s="81" t="s">
        <v>623</v>
      </c>
      <c r="H69" s="81">
        <v>5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70" spans="2:9" ht="18">
      <c r="B70" t="str">
        <f>LocaleTable[[#This Row],['#인덱스제너레이터]]</f>
        <v>UI_Loading_Tip_6</v>
      </c>
      <c r="C70" s="51" t="s">
        <v>627</v>
      </c>
      <c r="D70" s="51" t="s">
        <v>630</v>
      </c>
      <c r="E70" s="81" t="s">
        <v>473</v>
      </c>
      <c r="F70" s="81" t="s">
        <v>622</v>
      </c>
      <c r="G70" s="81" t="s">
        <v>623</v>
      </c>
      <c r="H70" s="81">
        <v>6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1" spans="2:9" ht="18">
      <c r="B71" t="str">
        <f>LocaleTable[[#This Row],['#인덱스제너레이터]]</f>
        <v>UI_Loading_Tip_7</v>
      </c>
      <c r="C71" s="51" t="s">
        <v>628</v>
      </c>
      <c r="D71" s="51" t="s">
        <v>739</v>
      </c>
      <c r="E71" s="81" t="s">
        <v>473</v>
      </c>
      <c r="F71" s="81" t="s">
        <v>622</v>
      </c>
      <c r="G71" s="81" t="s">
        <v>623</v>
      </c>
      <c r="H71" s="81">
        <v>7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2" spans="2:9" ht="18">
      <c r="B72" t="str">
        <f>LocaleTable[[#This Row],['#인덱스제너레이터]]</f>
        <v>UI_Loading_Tip_8</v>
      </c>
      <c r="C72" s="51" t="s">
        <v>629</v>
      </c>
      <c r="D72" s="51" t="s">
        <v>631</v>
      </c>
      <c r="E72" s="81" t="s">
        <v>473</v>
      </c>
      <c r="F72" s="81" t="s">
        <v>622</v>
      </c>
      <c r="G72" s="81" t="s">
        <v>623</v>
      </c>
      <c r="H72" s="81">
        <v>8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3" spans="2:9" ht="18">
      <c r="B73" t="str">
        <f>LocaleTable[[#This Row],['#인덱스제너레이터]]</f>
        <v>UI_Loading_Tip_9</v>
      </c>
      <c r="C73" s="51" t="s">
        <v>741</v>
      </c>
      <c r="D73" s="51" t="s">
        <v>740</v>
      </c>
      <c r="E73" s="81" t="s">
        <v>473</v>
      </c>
      <c r="F73" s="81" t="s">
        <v>622</v>
      </c>
      <c r="G73" s="81" t="s">
        <v>623</v>
      </c>
      <c r="H73" s="81">
        <v>9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4" spans="2:9" ht="18">
      <c r="B74" t="str">
        <f>LocaleTable[[#This Row],['#인덱스제너레이터]]</f>
        <v>UI_Loading_Tip_10</v>
      </c>
      <c r="C74" s="51" t="s">
        <v>777</v>
      </c>
      <c r="D74" s="51" t="s">
        <v>778</v>
      </c>
      <c r="E74" s="81" t="s">
        <v>473</v>
      </c>
      <c r="F74" s="81" t="s">
        <v>622</v>
      </c>
      <c r="G74" s="81" t="s">
        <v>623</v>
      </c>
      <c r="H74" s="81">
        <v>10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5" spans="2:9" ht="18">
      <c r="B75" t="str">
        <f>LocaleTable[[#This Row],['#인덱스제너레이터]]</f>
        <v>UI_Loading_Tip_11</v>
      </c>
      <c r="C75" s="51" t="s">
        <v>775</v>
      </c>
      <c r="D75" s="51" t="s">
        <v>776</v>
      </c>
      <c r="E75" s="81" t="s">
        <v>473</v>
      </c>
      <c r="F75" s="81" t="s">
        <v>622</v>
      </c>
      <c r="G75" s="81" t="s">
        <v>623</v>
      </c>
      <c r="H75" s="81">
        <v>11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6" spans="2:9" ht="18">
      <c r="B76" t="str">
        <f>LocaleTable[[#This Row],['#인덱스제너레이터]]</f>
        <v>UI_Loading_Tip_12</v>
      </c>
      <c r="C76" s="51" t="s">
        <v>758</v>
      </c>
      <c r="D76" s="51" t="s">
        <v>759</v>
      </c>
      <c r="E76" s="81" t="s">
        <v>473</v>
      </c>
      <c r="F76" s="81" t="s">
        <v>622</v>
      </c>
      <c r="G76" s="81" t="s">
        <v>623</v>
      </c>
      <c r="H76" s="81">
        <v>12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7" spans="2:9" ht="18">
      <c r="B77" t="str">
        <f>LocaleTable[[#This Row],['#인덱스제너레이터]]</f>
        <v>UI_Boss_Dulahan_Title</v>
      </c>
      <c r="C77" s="51" t="s">
        <v>573</v>
      </c>
      <c r="D77" s="51" t="s">
        <v>576</v>
      </c>
      <c r="E77" s="81" t="s">
        <v>473</v>
      </c>
      <c r="F77" s="81" t="s">
        <v>571</v>
      </c>
      <c r="G77" s="81" t="s">
        <v>572</v>
      </c>
      <c r="H77" s="81" t="s">
        <v>507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8" spans="2:9" ht="18">
      <c r="B78" t="str">
        <f>LocaleTable[[#This Row],['#인덱스제너레이터]]</f>
        <v>UI_Boss_Dulahan_Name</v>
      </c>
      <c r="C78" s="51" t="s">
        <v>574</v>
      </c>
      <c r="D78" s="51" t="s">
        <v>575</v>
      </c>
      <c r="E78" s="81" t="s">
        <v>473</v>
      </c>
      <c r="F78" s="81" t="s">
        <v>571</v>
      </c>
      <c r="G78" s="81" t="s">
        <v>572</v>
      </c>
      <c r="H78" s="81" t="s">
        <v>316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9" spans="2:9" ht="18">
      <c r="B79" t="str">
        <f>LocaleTable[[#This Row],['#인덱스제너레이터]]</f>
        <v>UI_Boss_Jello</v>
      </c>
      <c r="C79" s="51" t="s">
        <v>1143</v>
      </c>
      <c r="D79" s="51" t="s">
        <v>1141</v>
      </c>
      <c r="E79" s="81" t="s">
        <v>473</v>
      </c>
      <c r="F79" s="81" t="s">
        <v>571</v>
      </c>
      <c r="G79" s="81" t="s">
        <v>1141</v>
      </c>
      <c r="H79" s="81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UI_Boss_Jello</v>
      </c>
    </row>
    <row r="80" spans="2:9" ht="18">
      <c r="B80" t="str">
        <f>LocaleTable[[#This Row],['#인덱스제너레이터]]</f>
        <v>UI_Boss_Saddy</v>
      </c>
      <c r="C80" s="51" t="s">
        <v>1144</v>
      </c>
      <c r="D80" s="51" t="s">
        <v>1142</v>
      </c>
      <c r="E80" s="81" t="s">
        <v>473</v>
      </c>
      <c r="F80" s="81" t="s">
        <v>571</v>
      </c>
      <c r="G80" s="81" t="s">
        <v>1142</v>
      </c>
      <c r="H80" s="81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UI_Boss_Saddy</v>
      </c>
    </row>
    <row r="81" spans="2:9" ht="18">
      <c r="B81" t="str">
        <f>LocaleTable[[#This Row],['#인덱스제너레이터]]</f>
        <v>UI_Credit_Design</v>
      </c>
      <c r="C81" s="51" t="s">
        <v>1122</v>
      </c>
      <c r="D81" s="51" t="s">
        <v>1158</v>
      </c>
      <c r="E81" s="81" t="s">
        <v>473</v>
      </c>
      <c r="F81" s="81" t="s">
        <v>1102</v>
      </c>
      <c r="G81" s="81" t="s">
        <v>1103</v>
      </c>
      <c r="H81" s="81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</v>
      </c>
    </row>
    <row r="82" spans="2:9" ht="18">
      <c r="B82" t="str">
        <f>LocaleTable[[#This Row],['#인덱스제너레이터]]</f>
        <v>UI_Credit_Design_TeamLeader</v>
      </c>
      <c r="C82" s="51" t="s">
        <v>1123</v>
      </c>
      <c r="D82" s="51" t="s">
        <v>1156</v>
      </c>
      <c r="E82" s="81" t="s">
        <v>473</v>
      </c>
      <c r="F82" s="81" t="s">
        <v>1102</v>
      </c>
      <c r="G82" s="81" t="s">
        <v>1103</v>
      </c>
      <c r="H82" s="81" t="s">
        <v>1104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UI_Credit_Design_TeamLeader</v>
      </c>
    </row>
    <row r="83" spans="2:9" ht="18">
      <c r="B83" t="str">
        <f>LocaleTable[[#This Row],['#인덱스제너레이터]]</f>
        <v>UI_Credit_Design_System</v>
      </c>
      <c r="C83" s="51" t="s">
        <v>1124</v>
      </c>
      <c r="D83" s="51" t="s">
        <v>1157</v>
      </c>
      <c r="E83" s="81" t="s">
        <v>473</v>
      </c>
      <c r="F83" s="81" t="s">
        <v>1102</v>
      </c>
      <c r="G83" s="81" t="s">
        <v>1103</v>
      </c>
      <c r="H83" s="81" t="s">
        <v>1105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UI_Credit_Design_System</v>
      </c>
    </row>
    <row r="84" spans="2:9" ht="18">
      <c r="B84" t="str">
        <f>LocaleTable[[#This Row],['#인덱스제너레이터]]</f>
        <v>UI_Credit_Design_Content</v>
      </c>
      <c r="C84" s="51" t="s">
        <v>1125</v>
      </c>
      <c r="D84" s="51" t="s">
        <v>1155</v>
      </c>
      <c r="E84" s="81" t="s">
        <v>473</v>
      </c>
      <c r="F84" s="81" t="s">
        <v>1102</v>
      </c>
      <c r="G84" s="81" t="s">
        <v>1103</v>
      </c>
      <c r="H84" s="81" t="s">
        <v>1106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UI_Credit_Design_Content</v>
      </c>
    </row>
    <row r="85" spans="2:9" ht="18">
      <c r="B85" t="str">
        <f>LocaleTable[[#This Row],['#인덱스제너레이터]]</f>
        <v>UI_Credit_Programming</v>
      </c>
      <c r="C85" s="51" t="s">
        <v>1126</v>
      </c>
      <c r="D85" s="51" t="s">
        <v>1109</v>
      </c>
      <c r="E85" s="81" t="s">
        <v>473</v>
      </c>
      <c r="F85" s="81" t="s">
        <v>1102</v>
      </c>
      <c r="G85" s="81" t="s">
        <v>1109</v>
      </c>
      <c r="H85" s="81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</v>
      </c>
    </row>
    <row r="86" spans="2:9" ht="18">
      <c r="B86" t="str">
        <f>LocaleTable[[#This Row],['#인덱스제너레이터]]</f>
        <v>UI_Credit_Programming_TD</v>
      </c>
      <c r="C86" s="51" t="s">
        <v>1110</v>
      </c>
      <c r="D86" s="51" t="s">
        <v>1110</v>
      </c>
      <c r="E86" s="81" t="s">
        <v>473</v>
      </c>
      <c r="F86" s="81" t="s">
        <v>1102</v>
      </c>
      <c r="G86" s="81" t="s">
        <v>1109</v>
      </c>
      <c r="H86" s="81" t="s">
        <v>1110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UI_Credit_Programming_TD</v>
      </c>
    </row>
    <row r="87" spans="2:9" ht="18">
      <c r="B87" t="str">
        <f>LocaleTable[[#This Row],['#인덱스제너레이터]]</f>
        <v>UI_Credit_Programming_Programmer</v>
      </c>
      <c r="C87" s="51" t="s">
        <v>1127</v>
      </c>
      <c r="D87" s="51" t="s">
        <v>1111</v>
      </c>
      <c r="E87" s="81" t="s">
        <v>473</v>
      </c>
      <c r="F87" s="81" t="s">
        <v>1102</v>
      </c>
      <c r="G87" s="81" t="s">
        <v>1109</v>
      </c>
      <c r="H87" s="81" t="s">
        <v>1111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UI_Credit_Programming_Programmer</v>
      </c>
    </row>
    <row r="88" spans="2:9" ht="18">
      <c r="B88" t="str">
        <f>LocaleTable[[#This Row],['#인덱스제너레이터]]</f>
        <v>UI_Credit_Art</v>
      </c>
      <c r="C88" s="51" t="s">
        <v>1128</v>
      </c>
      <c r="D88" s="51" t="s">
        <v>1107</v>
      </c>
      <c r="E88" s="81" t="s">
        <v>473</v>
      </c>
      <c r="F88" s="81" t="s">
        <v>1102</v>
      </c>
      <c r="G88" s="81" t="s">
        <v>1107</v>
      </c>
      <c r="H88" s="81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</v>
      </c>
    </row>
    <row r="89" spans="2:9" ht="18">
      <c r="B89" t="str">
        <f>LocaleTable[[#This Row],['#인덱스제너레이터]]</f>
        <v>UI_Credit_Art_AD</v>
      </c>
      <c r="C89" s="51" t="s">
        <v>1129</v>
      </c>
      <c r="D89" s="51" t="s">
        <v>1154</v>
      </c>
      <c r="E89" s="81" t="s">
        <v>473</v>
      </c>
      <c r="F89" s="81" t="s">
        <v>1102</v>
      </c>
      <c r="G89" s="81" t="s">
        <v>1107</v>
      </c>
      <c r="H89" s="81" t="s">
        <v>1108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UI_Credit_Art_AD</v>
      </c>
    </row>
    <row r="90" spans="2:9" ht="18">
      <c r="B90" t="str">
        <f>LocaleTable[[#This Row],['#인덱스제너레이터]]</f>
        <v>UI_Credit_Art_ViceAD</v>
      </c>
      <c r="C90" s="51" t="s">
        <v>1130</v>
      </c>
      <c r="D90" s="51" t="s">
        <v>1153</v>
      </c>
      <c r="E90" s="81" t="s">
        <v>473</v>
      </c>
      <c r="F90" s="81" t="s">
        <v>1102</v>
      </c>
      <c r="G90" s="81" t="s">
        <v>1107</v>
      </c>
      <c r="H90" s="81" t="s">
        <v>1112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UI_Credit_Art_ViceAD</v>
      </c>
    </row>
    <row r="91" spans="2:9" ht="18">
      <c r="B91" t="str">
        <f>LocaleTable[[#This Row],['#인덱스제너레이터]]</f>
        <v>UI_Credit_Art_LeadEnvArt</v>
      </c>
      <c r="C91" s="51" t="s">
        <v>1131</v>
      </c>
      <c r="D91" s="51" t="s">
        <v>1152</v>
      </c>
      <c r="E91" s="81" t="s">
        <v>473</v>
      </c>
      <c r="F91" s="81" t="s">
        <v>1102</v>
      </c>
      <c r="G91" s="81" t="s">
        <v>1107</v>
      </c>
      <c r="H91" s="81" t="s">
        <v>1113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UI_Credit_Art_LeadEnvArt</v>
      </c>
    </row>
    <row r="92" spans="2:9" ht="18">
      <c r="B92" t="str">
        <f>LocaleTable[[#This Row],['#인덱스제너레이터]]</f>
        <v>UI_Credit_Art_EnvArt</v>
      </c>
      <c r="C92" s="51" t="s">
        <v>1132</v>
      </c>
      <c r="D92" s="51" t="s">
        <v>1151</v>
      </c>
      <c r="E92" s="81" t="s">
        <v>473</v>
      </c>
      <c r="F92" s="81" t="s">
        <v>1102</v>
      </c>
      <c r="G92" s="81" t="s">
        <v>1107</v>
      </c>
      <c r="H92" s="81" t="s">
        <v>1161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UI_Credit_Art_EnvArt</v>
      </c>
    </row>
    <row r="93" spans="2:9" ht="18">
      <c r="B93" t="str">
        <f>LocaleTable[[#This Row],['#인덱스제너레이터]]</f>
        <v>UI_Credit_Art_CharArt</v>
      </c>
      <c r="C93" s="51" t="s">
        <v>1133</v>
      </c>
      <c r="D93" s="51" t="s">
        <v>1150</v>
      </c>
      <c r="E93" s="81" t="s">
        <v>473</v>
      </c>
      <c r="F93" s="81" t="s">
        <v>1102</v>
      </c>
      <c r="G93" s="81" t="s">
        <v>1107</v>
      </c>
      <c r="H93" s="81" t="s">
        <v>1114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UI_Credit_Art_CharArt</v>
      </c>
    </row>
    <row r="94" spans="2:9" ht="18">
      <c r="B94" t="str">
        <f>LocaleTable[[#This Row],['#인덱스제너레이터]]</f>
        <v>UI_Credit_Art_CharAnim</v>
      </c>
      <c r="C94" s="51" t="s">
        <v>1134</v>
      </c>
      <c r="D94" s="51" t="s">
        <v>1149</v>
      </c>
      <c r="E94" s="81" t="s">
        <v>473</v>
      </c>
      <c r="F94" s="81" t="s">
        <v>1102</v>
      </c>
      <c r="G94" s="81" t="s">
        <v>1107</v>
      </c>
      <c r="H94" s="81" t="s">
        <v>1115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UI_Credit_Art_CharAnim</v>
      </c>
    </row>
    <row r="95" spans="2:9" ht="18">
      <c r="B95" t="str">
        <f>LocaleTable[[#This Row],['#인덱스제너레이터]]</f>
        <v>UI_Credit_Art_LeadFX</v>
      </c>
      <c r="C95" s="51" t="s">
        <v>1135</v>
      </c>
      <c r="D95" s="51" t="s">
        <v>1148</v>
      </c>
      <c r="E95" s="81" t="s">
        <v>473</v>
      </c>
      <c r="F95" s="81" t="s">
        <v>1102</v>
      </c>
      <c r="G95" s="81" t="s">
        <v>1107</v>
      </c>
      <c r="H95" s="81" t="s">
        <v>1116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UI_Credit_Art_LeadFX</v>
      </c>
    </row>
    <row r="96" spans="2:9" ht="18">
      <c r="B96" t="str">
        <f>LocaleTable[[#This Row],['#인덱스제너레이터]]</f>
        <v>UI_Credit_Art_FX</v>
      </c>
      <c r="C96" s="51" t="s">
        <v>1140</v>
      </c>
      <c r="D96" s="51" t="s">
        <v>1117</v>
      </c>
      <c r="E96" s="81" t="s">
        <v>473</v>
      </c>
      <c r="F96" s="81" t="s">
        <v>1102</v>
      </c>
      <c r="G96" s="81" t="s">
        <v>1107</v>
      </c>
      <c r="H96" s="81" t="s">
        <v>1117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UI_Credit_Art_FX</v>
      </c>
    </row>
    <row r="97" spans="2:9" ht="18">
      <c r="B97" t="str">
        <f>LocaleTable[[#This Row],['#인덱스제너레이터]]</f>
        <v>UI_Credit_Sound</v>
      </c>
      <c r="C97" s="51" t="s">
        <v>1136</v>
      </c>
      <c r="D97" s="51" t="s">
        <v>1119</v>
      </c>
      <c r="E97" s="81" t="s">
        <v>473</v>
      </c>
      <c r="F97" s="81" t="s">
        <v>1102</v>
      </c>
      <c r="G97" s="81" t="s">
        <v>1119</v>
      </c>
      <c r="H97" s="81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</v>
      </c>
    </row>
    <row r="98" spans="2:9" ht="18">
      <c r="B98" t="str">
        <f>LocaleTable[[#This Row],['#인덱스제너레이터]]</f>
        <v>UI_Credit_Sound_Desinger</v>
      </c>
      <c r="C98" s="51" t="s">
        <v>1137</v>
      </c>
      <c r="D98" s="51" t="s">
        <v>1147</v>
      </c>
      <c r="E98" s="81" t="s">
        <v>473</v>
      </c>
      <c r="F98" s="81" t="s">
        <v>1102</v>
      </c>
      <c r="G98" s="81" t="s">
        <v>1119</v>
      </c>
      <c r="H98" s="81" t="s">
        <v>1118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UI_Credit_Sound_Desinger</v>
      </c>
    </row>
    <row r="99" spans="2:9" ht="18">
      <c r="B99" t="str">
        <f>LocaleTable[[#This Row],['#인덱스제너레이터]]</f>
        <v>UI_Credit_Support</v>
      </c>
      <c r="C99" s="51" t="s">
        <v>1138</v>
      </c>
      <c r="D99" s="51" t="s">
        <v>1146</v>
      </c>
      <c r="E99" s="81" t="s">
        <v>473</v>
      </c>
      <c r="F99" s="81" t="s">
        <v>1102</v>
      </c>
      <c r="G99" s="81" t="s">
        <v>1120</v>
      </c>
      <c r="H99" s="81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UI_Credit_Support</v>
      </c>
    </row>
    <row r="100" spans="2:9" ht="18">
      <c r="B100" t="str">
        <f>LocaleTable[[#This Row],['#인덱스제너레이터]]</f>
        <v>UI_Credit_Guest</v>
      </c>
      <c r="C100" s="51" t="s">
        <v>1139</v>
      </c>
      <c r="D100" s="51" t="s">
        <v>1145</v>
      </c>
      <c r="E100" s="81" t="s">
        <v>473</v>
      </c>
      <c r="F100" s="81" t="s">
        <v>1102</v>
      </c>
      <c r="G100" s="81" t="s">
        <v>1121</v>
      </c>
      <c r="H100" s="81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UI_Credit_Guest</v>
      </c>
    </row>
    <row r="101" spans="2:9" ht="18">
      <c r="B101" t="str">
        <f>LocaleTable[[#This Row],['#인덱스제너레이터]]</f>
        <v>Caster_Lobby_Tutorial_1</v>
      </c>
      <c r="C101" s="51" t="s">
        <v>911</v>
      </c>
      <c r="D101" s="51" t="s">
        <v>912</v>
      </c>
      <c r="E101" s="81" t="s">
        <v>896</v>
      </c>
      <c r="F101" s="81" t="s">
        <v>897</v>
      </c>
      <c r="G101" s="81" t="s">
        <v>497</v>
      </c>
      <c r="H101" s="81">
        <v>1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102" spans="2:9" ht="36">
      <c r="B102" t="str">
        <f>LocaleTable[[#This Row],['#인덱스제너레이터]]</f>
        <v>Caster_Lobby_Tutorial_2</v>
      </c>
      <c r="C102" s="9" t="s">
        <v>913</v>
      </c>
      <c r="D102" s="51" t="s">
        <v>914</v>
      </c>
      <c r="E102" s="83" t="s">
        <v>896</v>
      </c>
      <c r="F102" s="83" t="s">
        <v>897</v>
      </c>
      <c r="G102" s="83" t="s">
        <v>497</v>
      </c>
      <c r="H102" s="83">
        <v>2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103" spans="2:9" ht="18">
      <c r="B103" t="str">
        <f>LocaleTable[[#This Row],['#인덱스제너레이터]]</f>
        <v>Caster_Lobby_Tutorial_3</v>
      </c>
      <c r="C103" s="9" t="s">
        <v>915</v>
      </c>
      <c r="D103" s="51" t="s">
        <v>916</v>
      </c>
      <c r="E103" s="83" t="s">
        <v>896</v>
      </c>
      <c r="F103" s="83" t="s">
        <v>897</v>
      </c>
      <c r="G103" s="83" t="s">
        <v>497</v>
      </c>
      <c r="H103" s="83">
        <v>3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104" spans="2:9" ht="18">
      <c r="B104" t="str">
        <f>LocaleTable[[#This Row],['#인덱스제너레이터]]</f>
        <v>Caster_Lobby_ClearTutorial_1</v>
      </c>
      <c r="C104" s="9" t="s">
        <v>917</v>
      </c>
      <c r="D104" s="51" t="s">
        <v>1093</v>
      </c>
      <c r="E104" s="83" t="s">
        <v>896</v>
      </c>
      <c r="F104" s="83" t="s">
        <v>897</v>
      </c>
      <c r="G104" s="83" t="s">
        <v>898</v>
      </c>
      <c r="H104" s="83">
        <v>1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105" spans="2:9" ht="18">
      <c r="B105" t="str">
        <f>LocaleTable[[#This Row],['#인덱스제너레이터]]</f>
        <v>Caster_Lobby_ClearTutorial_2</v>
      </c>
      <c r="C105" s="9" t="s">
        <v>918</v>
      </c>
      <c r="D105" s="51" t="s">
        <v>919</v>
      </c>
      <c r="E105" s="83" t="s">
        <v>896</v>
      </c>
      <c r="F105" s="83" t="s">
        <v>897</v>
      </c>
      <c r="G105" s="83" t="s">
        <v>898</v>
      </c>
      <c r="H105" s="83">
        <v>2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106" spans="2:9" ht="18">
      <c r="B106" t="str">
        <f>LocaleTable[[#This Row],['#인덱스제너레이터]]</f>
        <v>Caster_Lobby_Default_1</v>
      </c>
      <c r="C106" s="9" t="s">
        <v>920</v>
      </c>
      <c r="D106" s="51" t="s">
        <v>921</v>
      </c>
      <c r="E106" s="83" t="s">
        <v>896</v>
      </c>
      <c r="F106" s="83" t="s">
        <v>897</v>
      </c>
      <c r="G106" s="83" t="s">
        <v>899</v>
      </c>
      <c r="H106" s="83">
        <v>1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107" spans="2:9" ht="18">
      <c r="B107" t="str">
        <f>LocaleTable[[#This Row],['#인덱스제너레이터]]</f>
        <v>Caster_Lobby_Default_2</v>
      </c>
      <c r="C107" s="9" t="s">
        <v>922</v>
      </c>
      <c r="D107" t="s">
        <v>1094</v>
      </c>
      <c r="E107" s="83" t="s">
        <v>896</v>
      </c>
      <c r="F107" s="83" t="s">
        <v>897</v>
      </c>
      <c r="G107" s="83" t="s">
        <v>899</v>
      </c>
      <c r="H107" s="83">
        <v>2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108" spans="2:9" ht="18">
      <c r="B108" t="str">
        <f>LocaleTable[[#This Row],['#인덱스제너레이터]]</f>
        <v>Caster_Lobby_Default_3</v>
      </c>
      <c r="C108" s="9" t="s">
        <v>923</v>
      </c>
      <c r="D108" t="s">
        <v>1095</v>
      </c>
      <c r="E108" s="83" t="s">
        <v>896</v>
      </c>
      <c r="F108" s="83" t="s">
        <v>897</v>
      </c>
      <c r="G108" s="83" t="s">
        <v>899</v>
      </c>
      <c r="H108" s="83">
        <v>3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109" spans="2:9" ht="18">
      <c r="B109" t="str">
        <f>LocaleTable[[#This Row],['#인덱스제너레이터]]</f>
        <v>Caster_Lobby_Jello_1</v>
      </c>
      <c r="C109" s="9" t="s">
        <v>924</v>
      </c>
      <c r="D109" t="s">
        <v>1096</v>
      </c>
      <c r="E109" s="83" t="s">
        <v>896</v>
      </c>
      <c r="F109" s="83" t="s">
        <v>897</v>
      </c>
      <c r="G109" s="83" t="s">
        <v>900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110" spans="2:9" ht="18">
      <c r="B110" t="str">
        <f>LocaleTable[[#This Row],['#인덱스제너레이터]]</f>
        <v>Caster_Lobby_Saddy_1</v>
      </c>
      <c r="C110" s="9" t="s">
        <v>925</v>
      </c>
      <c r="D110" t="s">
        <v>1097</v>
      </c>
      <c r="E110" s="83" t="s">
        <v>896</v>
      </c>
      <c r="F110" s="83" t="s">
        <v>897</v>
      </c>
      <c r="G110" s="83" t="s">
        <v>901</v>
      </c>
      <c r="H110" s="83">
        <v>1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111" spans="2:9" ht="18">
      <c r="B111" t="str">
        <f>LocaleTable[[#This Row],['#인덱스제너레이터]]</f>
        <v>Caster_Lobby_Dullahan_1</v>
      </c>
      <c r="C111" s="9" t="s">
        <v>926</v>
      </c>
      <c r="D111" t="s">
        <v>1098</v>
      </c>
      <c r="E111" s="83" t="s">
        <v>896</v>
      </c>
      <c r="F111" s="83" t="s">
        <v>897</v>
      </c>
      <c r="G111" s="83" t="s">
        <v>902</v>
      </c>
      <c r="H111" s="83">
        <v>1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112" spans="2:9" ht="18">
      <c r="B112" t="str">
        <f>LocaleTable[[#This Row],['#인덱스제너레이터]]</f>
        <v>Caster_Lobby_GameClear_1</v>
      </c>
      <c r="C112" s="9" t="s">
        <v>927</v>
      </c>
      <c r="D112" s="51" t="s">
        <v>928</v>
      </c>
      <c r="E112" s="83" t="s">
        <v>896</v>
      </c>
      <c r="F112" s="83" t="s">
        <v>897</v>
      </c>
      <c r="G112" s="83" t="s">
        <v>903</v>
      </c>
      <c r="H112" s="83">
        <v>1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113" spans="2:9" ht="18">
      <c r="B113" t="str">
        <f>LocaleTable[[#This Row],['#인덱스제너레이터]]</f>
        <v>Caster_Lobby_GameClear_2</v>
      </c>
      <c r="C113" s="9" t="s">
        <v>929</v>
      </c>
      <c r="D113" s="51" t="s">
        <v>930</v>
      </c>
      <c r="E113" s="83" t="s">
        <v>896</v>
      </c>
      <c r="F113" s="83" t="s">
        <v>897</v>
      </c>
      <c r="G113" s="83" t="s">
        <v>903</v>
      </c>
      <c r="H113" s="83">
        <v>2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114" spans="2:9" ht="18">
      <c r="B114" t="str">
        <f>LocaleTable[[#This Row],['#인덱스제너레이터]]</f>
        <v>Caster_Lobby_GameClear_3</v>
      </c>
      <c r="C114" s="9" t="s">
        <v>931</v>
      </c>
      <c r="D114" s="51" t="s">
        <v>932</v>
      </c>
      <c r="E114" s="83" t="s">
        <v>896</v>
      </c>
      <c r="F114" s="83" t="s">
        <v>897</v>
      </c>
      <c r="G114" s="83" t="s">
        <v>903</v>
      </c>
      <c r="H114" s="83">
        <v>3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115" spans="2:9" ht="36">
      <c r="B115" t="str">
        <f>LocaleTable[[#This Row],['#인덱스제너레이터]]</f>
        <v>Caster_Tutorial_Start_1</v>
      </c>
      <c r="C115" s="9" t="s">
        <v>933</v>
      </c>
      <c r="D115" s="51" t="s">
        <v>934</v>
      </c>
      <c r="E115" s="83" t="s">
        <v>896</v>
      </c>
      <c r="F115" s="83" t="s">
        <v>497</v>
      </c>
      <c r="G115" s="83" t="s">
        <v>495</v>
      </c>
      <c r="H115" s="83">
        <v>1</v>
      </c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116" spans="2:9" ht="18">
      <c r="B116" t="str">
        <f>LocaleTable[[#This Row],['#인덱스제너레이터]]</f>
        <v>Caster_Tutorial_Attack_1</v>
      </c>
      <c r="C116" s="9" t="s">
        <v>935</v>
      </c>
      <c r="D116" s="51" t="s">
        <v>936</v>
      </c>
      <c r="E116" s="83" t="s">
        <v>896</v>
      </c>
      <c r="F116" s="83" t="s">
        <v>497</v>
      </c>
      <c r="G116" s="83" t="s">
        <v>904</v>
      </c>
      <c r="H116" s="83">
        <v>1</v>
      </c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117" spans="2:9" ht="18">
      <c r="B117" t="str">
        <f>LocaleTable[[#This Row],['#인덱스제너레이터]]</f>
        <v>Caster_Tutorial_Attack_2</v>
      </c>
      <c r="C117" s="9" t="s">
        <v>937</v>
      </c>
      <c r="D117" s="51" t="s">
        <v>1021</v>
      </c>
      <c r="E117" s="83" t="s">
        <v>896</v>
      </c>
      <c r="F117" s="83" t="s">
        <v>497</v>
      </c>
      <c r="G117" s="83" t="s">
        <v>904</v>
      </c>
      <c r="H117" s="83">
        <v>2</v>
      </c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118" spans="2:9" ht="18">
      <c r="B118" t="str">
        <f>LocaleTable[[#This Row],['#인덱스제너레이터]]</f>
        <v>Caster_Tutorial_Attack_3</v>
      </c>
      <c r="C118" s="9" t="s">
        <v>938</v>
      </c>
      <c r="D118" s="51" t="s">
        <v>939</v>
      </c>
      <c r="E118" s="83" t="s">
        <v>896</v>
      </c>
      <c r="F118" s="83" t="s">
        <v>497</v>
      </c>
      <c r="G118" s="83" t="s">
        <v>904</v>
      </c>
      <c r="H118" s="83">
        <v>3</v>
      </c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119" spans="2:9" ht="36">
      <c r="B119" t="str">
        <f>LocaleTable[[#This Row],['#인덱스제너레이터]]</f>
        <v>Caster_Tutorial_Attack_4</v>
      </c>
      <c r="C119" s="9" t="s">
        <v>940</v>
      </c>
      <c r="D119" s="51" t="s">
        <v>1022</v>
      </c>
      <c r="E119" s="83" t="s">
        <v>896</v>
      </c>
      <c r="F119" s="83" t="s">
        <v>497</v>
      </c>
      <c r="G119" s="83" t="s">
        <v>904</v>
      </c>
      <c r="H119" s="83">
        <v>4</v>
      </c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120" spans="2:9" ht="18">
      <c r="B120" t="str">
        <f>LocaleTable[[#This Row],['#인덱스제너레이터]]</f>
        <v>Caster_Tutorial_Attack_5</v>
      </c>
      <c r="C120" s="9" t="s">
        <v>941</v>
      </c>
      <c r="D120" s="51" t="s">
        <v>942</v>
      </c>
      <c r="E120" s="83" t="s">
        <v>896</v>
      </c>
      <c r="F120" s="83" t="s">
        <v>497</v>
      </c>
      <c r="G120" s="83" t="s">
        <v>904</v>
      </c>
      <c r="H120" s="83">
        <v>5</v>
      </c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121" spans="2:9" ht="36">
      <c r="B121" t="str">
        <f>LocaleTable[[#This Row],['#인덱스제너레이터]]</f>
        <v>Caster_Tutorial_Attack_6</v>
      </c>
      <c r="C121" s="9" t="s">
        <v>943</v>
      </c>
      <c r="D121" s="51" t="s">
        <v>944</v>
      </c>
      <c r="E121" s="83" t="s">
        <v>896</v>
      </c>
      <c r="F121" s="83" t="s">
        <v>497</v>
      </c>
      <c r="G121" s="83" t="s">
        <v>904</v>
      </c>
      <c r="H121" s="83">
        <v>6</v>
      </c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122" spans="2:9" ht="36">
      <c r="B122" t="str">
        <f>LocaleTable[[#This Row],['#인덱스제너레이터]]</f>
        <v>Caster_Tutorial_Attack_7</v>
      </c>
      <c r="C122" s="58" t="s">
        <v>1023</v>
      </c>
      <c r="D122" s="51" t="s">
        <v>1024</v>
      </c>
      <c r="E122" s="83" t="s">
        <v>896</v>
      </c>
      <c r="F122" s="83" t="s">
        <v>497</v>
      </c>
      <c r="G122" s="83" t="s">
        <v>904</v>
      </c>
      <c r="H122" s="83">
        <v>7</v>
      </c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23" spans="2:9" ht="18">
      <c r="B123" t="str">
        <f>LocaleTable[[#This Row],['#인덱스제너레이터]]</f>
        <v>Caster_Tutorial_Attack_8</v>
      </c>
      <c r="C123" s="9" t="s">
        <v>945</v>
      </c>
      <c r="D123" s="51" t="s">
        <v>946</v>
      </c>
      <c r="E123" s="83" t="s">
        <v>896</v>
      </c>
      <c r="F123" s="83" t="s">
        <v>497</v>
      </c>
      <c r="G123" s="83" t="s">
        <v>904</v>
      </c>
      <c r="H123" s="83">
        <v>8</v>
      </c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24" spans="2:9" ht="18">
      <c r="B124" t="str">
        <f>LocaleTable[[#This Row],['#인덱스제너레이터]]</f>
        <v>Caster_Tutorial_Attack_9</v>
      </c>
      <c r="C124" s="9" t="s">
        <v>947</v>
      </c>
      <c r="D124" s="51" t="s">
        <v>948</v>
      </c>
      <c r="E124" s="83" t="s">
        <v>896</v>
      </c>
      <c r="F124" s="83" t="s">
        <v>497</v>
      </c>
      <c r="G124" s="83" t="s">
        <v>904</v>
      </c>
      <c r="H124" s="83">
        <v>9</v>
      </c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25" spans="2:9" ht="18">
      <c r="B125" t="str">
        <f>LocaleTable[[#This Row],['#인덱스제너레이터]]</f>
        <v>Caster_Tutorial_Attack_10</v>
      </c>
      <c r="C125" s="71" t="s">
        <v>1084</v>
      </c>
      <c r="D125" s="51" t="s">
        <v>949</v>
      </c>
      <c r="E125" s="83" t="s">
        <v>896</v>
      </c>
      <c r="F125" s="83" t="s">
        <v>497</v>
      </c>
      <c r="G125" s="83" t="s">
        <v>904</v>
      </c>
      <c r="H125" s="83">
        <v>10</v>
      </c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26" spans="2:9" ht="18">
      <c r="B126" t="str">
        <f>LocaleTable[[#This Row],['#인덱스제너레이터]]</f>
        <v>Caster_Tutorial_Parry_1</v>
      </c>
      <c r="C126" s="9" t="s">
        <v>950</v>
      </c>
      <c r="D126" s="51" t="s">
        <v>951</v>
      </c>
      <c r="E126" s="83" t="s">
        <v>896</v>
      </c>
      <c r="F126" s="83" t="s">
        <v>497</v>
      </c>
      <c r="G126" s="83" t="s">
        <v>905</v>
      </c>
      <c r="H126" s="83">
        <v>1</v>
      </c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27" spans="2:9" ht="18">
      <c r="B127" t="str">
        <f>LocaleTable[[#This Row],['#인덱스제너레이터]]</f>
        <v>Caster_Tutorial_Parry_2</v>
      </c>
      <c r="C127" s="9" t="s">
        <v>952</v>
      </c>
      <c r="D127" s="51" t="s">
        <v>953</v>
      </c>
      <c r="E127" s="83" t="s">
        <v>896</v>
      </c>
      <c r="F127" s="83" t="s">
        <v>497</v>
      </c>
      <c r="G127" s="83" t="s">
        <v>905</v>
      </c>
      <c r="H127" s="83">
        <v>2</v>
      </c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28" spans="2:9" ht="36">
      <c r="B128" t="str">
        <f>LocaleTable[[#This Row],['#인덱스제너레이터]]</f>
        <v>Caster_Tutorial_Active_1</v>
      </c>
      <c r="C128" s="9" t="s">
        <v>954</v>
      </c>
      <c r="D128" t="s">
        <v>1099</v>
      </c>
      <c r="E128" s="83" t="s">
        <v>896</v>
      </c>
      <c r="F128" s="83" t="s">
        <v>497</v>
      </c>
      <c r="G128" s="83" t="s">
        <v>906</v>
      </c>
      <c r="H128" s="83">
        <v>1</v>
      </c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29" spans="2:9" ht="18">
      <c r="B129" t="str">
        <f>LocaleTable[[#This Row],['#인덱스제너레이터]]</f>
        <v>Caster_Tutorial_Active_2</v>
      </c>
      <c r="C129" s="9" t="s">
        <v>955</v>
      </c>
      <c r="D129" s="51" t="s">
        <v>956</v>
      </c>
      <c r="E129" s="83" t="s">
        <v>896</v>
      </c>
      <c r="F129" s="83" t="s">
        <v>497</v>
      </c>
      <c r="G129" s="83" t="s">
        <v>906</v>
      </c>
      <c r="H129" s="83">
        <v>2</v>
      </c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30" spans="2:9" ht="36">
      <c r="B130" t="str">
        <f>LocaleTable[[#This Row],['#인덱스제너레이터]]</f>
        <v>Caster_Tutorial_Active_3</v>
      </c>
      <c r="C130" s="9" t="s">
        <v>957</v>
      </c>
      <c r="D130" s="51" t="s">
        <v>958</v>
      </c>
      <c r="E130" s="83" t="s">
        <v>896</v>
      </c>
      <c r="F130" s="83" t="s">
        <v>497</v>
      </c>
      <c r="G130" s="83" t="s">
        <v>906</v>
      </c>
      <c r="H130" s="83">
        <v>3</v>
      </c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31" spans="2:9" ht="36">
      <c r="B131" t="str">
        <f>LocaleTable[[#This Row],['#인덱스제너레이터]]</f>
        <v>Caster_Tutorial_Active_4</v>
      </c>
      <c r="C131" s="9" t="s">
        <v>959</v>
      </c>
      <c r="D131" s="51" t="s">
        <v>960</v>
      </c>
      <c r="E131" s="83" t="s">
        <v>896</v>
      </c>
      <c r="F131" s="83" t="s">
        <v>497</v>
      </c>
      <c r="G131" s="83" t="s">
        <v>906</v>
      </c>
      <c r="H131" s="83">
        <v>4</v>
      </c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32" spans="2:9" ht="18">
      <c r="B132" t="str">
        <f>LocaleTable[[#This Row],['#인덱스제너레이터]]</f>
        <v>Caster_Tutorial_Battle_1</v>
      </c>
      <c r="C132" s="9" t="s">
        <v>961</v>
      </c>
      <c r="D132" s="51" t="s">
        <v>962</v>
      </c>
      <c r="E132" s="83" t="s">
        <v>896</v>
      </c>
      <c r="F132" s="83" t="s">
        <v>497</v>
      </c>
      <c r="G132" s="83" t="s">
        <v>907</v>
      </c>
      <c r="H132" s="83">
        <v>1</v>
      </c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33" spans="2:9" ht="36">
      <c r="B133" t="str">
        <f>LocaleTable[[#This Row],['#인덱스제너레이터]]</f>
        <v>Caster_Tutorial_Battle_2</v>
      </c>
      <c r="C133" s="9" t="s">
        <v>963</v>
      </c>
      <c r="D133" s="51" t="s">
        <v>964</v>
      </c>
      <c r="E133" s="83" t="s">
        <v>896</v>
      </c>
      <c r="F133" s="83" t="s">
        <v>497</v>
      </c>
      <c r="G133" s="83" t="s">
        <v>907</v>
      </c>
      <c r="H133" s="83">
        <v>2</v>
      </c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34" spans="2:9" ht="18">
      <c r="B134" t="str">
        <f>LocaleTable[[#This Row],['#인덱스제너레이터]]</f>
        <v>Caster_Tutorial_Battle_3</v>
      </c>
      <c r="C134" s="9" t="s">
        <v>965</v>
      </c>
      <c r="D134" s="51" t="s">
        <v>966</v>
      </c>
      <c r="E134" s="83" t="s">
        <v>896</v>
      </c>
      <c r="F134" s="83" t="s">
        <v>497</v>
      </c>
      <c r="G134" s="83" t="s">
        <v>907</v>
      </c>
      <c r="H134" s="83">
        <v>3</v>
      </c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35" spans="2:9" ht="18">
      <c r="B135" t="str">
        <f>LocaleTable[[#This Row],['#인덱스제너레이터]]</f>
        <v>Caster_Boss_Clear_Jello</v>
      </c>
      <c r="C135" s="71" t="s">
        <v>1082</v>
      </c>
      <c r="D135" s="11" t="s">
        <v>1101</v>
      </c>
      <c r="E135" s="83" t="s">
        <v>896</v>
      </c>
      <c r="F135" s="83" t="s">
        <v>908</v>
      </c>
      <c r="G135" s="83" t="s">
        <v>909</v>
      </c>
      <c r="H135" s="83" t="s">
        <v>900</v>
      </c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36" spans="2:9" ht="18">
      <c r="B136" t="str">
        <f>LocaleTable[[#This Row],['#인덱스제너레이터]]</f>
        <v>Caster_Boss_Clear_Saddy</v>
      </c>
      <c r="C136" s="71" t="s">
        <v>1083</v>
      </c>
      <c r="D136" s="11" t="s">
        <v>1100</v>
      </c>
      <c r="E136" s="83" t="s">
        <v>896</v>
      </c>
      <c r="F136" s="83" t="s">
        <v>908</v>
      </c>
      <c r="G136" s="83" t="s">
        <v>909</v>
      </c>
      <c r="H136" s="83" t="s">
        <v>901</v>
      </c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37" spans="2:9" ht="18">
      <c r="B137" t="str">
        <f>LocaleTable[[#This Row],['#인덱스제너레이터]]</f>
        <v>Caster_Boss_Clear_Teleport</v>
      </c>
      <c r="C137" s="71" t="s">
        <v>1085</v>
      </c>
      <c r="D137" s="51" t="s">
        <v>1086</v>
      </c>
      <c r="E137" s="83" t="s">
        <v>896</v>
      </c>
      <c r="F137" s="83" t="s">
        <v>908</v>
      </c>
      <c r="G137" s="83" t="s">
        <v>909</v>
      </c>
      <c r="H137" s="83" t="s">
        <v>910</v>
      </c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38" spans="2:9" ht="18">
      <c r="B138" t="str">
        <f>LocaleTable[[#This Row],['#인덱스제너레이터]]</f>
        <v>Item_Name_2000</v>
      </c>
      <c r="C138" s="51" t="s">
        <v>206</v>
      </c>
      <c r="D138" s="51" t="s">
        <v>459</v>
      </c>
      <c r="E138" s="81" t="s">
        <v>467</v>
      </c>
      <c r="F138" s="81" t="s">
        <v>316</v>
      </c>
      <c r="G138" s="83">
        <v>2000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39" spans="2:9" ht="18">
      <c r="B139" t="str">
        <f>LocaleTable[[#This Row],['#인덱스제너레이터]]</f>
        <v>Item_Name_2001</v>
      </c>
      <c r="C139" s="51" t="s">
        <v>842</v>
      </c>
      <c r="D139" s="51" t="s">
        <v>843</v>
      </c>
      <c r="E139" s="81" t="s">
        <v>467</v>
      </c>
      <c r="F139" s="81" t="s">
        <v>316</v>
      </c>
      <c r="G139" s="83">
        <v>2001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40" spans="2:9" ht="18">
      <c r="B140" t="str">
        <f>LocaleTable[[#This Row],['#인덱스제너레이터]]</f>
        <v>Item_Name_2002</v>
      </c>
      <c r="C140" s="51" t="s">
        <v>98</v>
      </c>
      <c r="D140" s="51" t="s">
        <v>460</v>
      </c>
      <c r="E140" s="81" t="s">
        <v>467</v>
      </c>
      <c r="F140" s="81" t="s">
        <v>316</v>
      </c>
      <c r="G140" s="83">
        <v>2002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41" spans="2:9" ht="18">
      <c r="B141" t="str">
        <f>LocaleTable[[#This Row],['#인덱스제너레이터]]</f>
        <v>Item_Name_2003</v>
      </c>
      <c r="C141" s="51" t="s">
        <v>97</v>
      </c>
      <c r="D141" s="51" t="s">
        <v>510</v>
      </c>
      <c r="E141" s="81" t="s">
        <v>467</v>
      </c>
      <c r="F141" s="81" t="s">
        <v>316</v>
      </c>
      <c r="G141" s="83">
        <v>2003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42" spans="2:9" ht="18">
      <c r="B142" t="str">
        <f>LocaleTable[[#This Row],['#인덱스제너레이터]]</f>
        <v>Item_Name_2004</v>
      </c>
      <c r="C142" s="51" t="s">
        <v>94</v>
      </c>
      <c r="D142" s="51" t="s">
        <v>465</v>
      </c>
      <c r="E142" s="81" t="s">
        <v>467</v>
      </c>
      <c r="F142" s="81" t="s">
        <v>316</v>
      </c>
      <c r="G142" s="83">
        <v>2004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43" spans="2:9" ht="18">
      <c r="B143" t="str">
        <f>LocaleTable[[#This Row],['#인덱스제너레이터]]</f>
        <v>Item_Name_2005</v>
      </c>
      <c r="C143" s="51" t="s">
        <v>99</v>
      </c>
      <c r="D143" s="51" t="s">
        <v>521</v>
      </c>
      <c r="E143" s="81" t="s">
        <v>467</v>
      </c>
      <c r="F143" s="81" t="s">
        <v>316</v>
      </c>
      <c r="G143" s="83">
        <v>2005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44" spans="2:9" ht="18">
      <c r="B144" t="str">
        <f>LocaleTable[[#This Row],['#인덱스제너레이터]]</f>
        <v>Item_Name_2006</v>
      </c>
      <c r="C144" s="51" t="s">
        <v>988</v>
      </c>
      <c r="D144" s="51" t="s">
        <v>989</v>
      </c>
      <c r="E144" s="81" t="s">
        <v>467</v>
      </c>
      <c r="F144" s="81" t="s">
        <v>316</v>
      </c>
      <c r="G144" s="83">
        <v>2006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45" spans="2:9" ht="18">
      <c r="B145" t="str">
        <f>LocaleTable[[#This Row],['#인덱스제너레이터]]</f>
        <v>Item_Name_3000</v>
      </c>
      <c r="C145" s="51" t="s">
        <v>33</v>
      </c>
      <c r="D145" s="51" t="s">
        <v>461</v>
      </c>
      <c r="E145" s="81" t="s">
        <v>467</v>
      </c>
      <c r="F145" s="81" t="s">
        <v>316</v>
      </c>
      <c r="G145" s="83">
        <v>3000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46" spans="2:9" ht="18">
      <c r="B146" t="str">
        <f>LocaleTable[[#This Row],['#인덱스제너레이터]]</f>
        <v>Item_Name_3001</v>
      </c>
      <c r="C146" s="51" t="s">
        <v>848</v>
      </c>
      <c r="D146" s="51" t="s">
        <v>849</v>
      </c>
      <c r="E146" s="81" t="s">
        <v>467</v>
      </c>
      <c r="F146" s="81" t="s">
        <v>316</v>
      </c>
      <c r="G146" s="83">
        <v>3001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47" spans="2:9" ht="18">
      <c r="B147" t="str">
        <f>LocaleTable[[#This Row],['#인덱스제너레이터]]</f>
        <v>Item_Name_3002</v>
      </c>
      <c r="C147" s="51" t="s">
        <v>35</v>
      </c>
      <c r="D147" s="51" t="s">
        <v>466</v>
      </c>
      <c r="E147" s="81" t="s">
        <v>467</v>
      </c>
      <c r="F147" s="81" t="s">
        <v>316</v>
      </c>
      <c r="G147" s="83">
        <v>3002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48" spans="2:9" ht="18">
      <c r="B148" t="str">
        <f>LocaleTable[[#This Row],['#인덱스제너레이터]]</f>
        <v>Item_Name_3003</v>
      </c>
      <c r="C148" s="51" t="s">
        <v>204</v>
      </c>
      <c r="D148" s="51" t="s">
        <v>511</v>
      </c>
      <c r="E148" s="81" t="s">
        <v>467</v>
      </c>
      <c r="F148" s="81" t="s">
        <v>316</v>
      </c>
      <c r="G148" s="83">
        <v>3003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49" spans="2:9" ht="18">
      <c r="B149" t="str">
        <f>LocaleTable[[#This Row],['#인덱스제너레이터]]</f>
        <v>Item_Name_3004</v>
      </c>
      <c r="C149" s="51" t="s">
        <v>213</v>
      </c>
      <c r="D149" s="51" t="s">
        <v>512</v>
      </c>
      <c r="E149" s="81" t="s">
        <v>467</v>
      </c>
      <c r="F149" s="81" t="s">
        <v>316</v>
      </c>
      <c r="G149" s="83">
        <v>3004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50" spans="2:9" ht="18">
      <c r="B150" t="str">
        <f>LocaleTable[[#This Row],['#인덱스제너레이터]]</f>
        <v>Item_Name_3005</v>
      </c>
      <c r="C150" s="51" t="s">
        <v>101</v>
      </c>
      <c r="D150" s="51" t="s">
        <v>513</v>
      </c>
      <c r="E150" s="81" t="s">
        <v>467</v>
      </c>
      <c r="F150" s="81" t="s">
        <v>316</v>
      </c>
      <c r="G150" s="83">
        <v>3005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51" spans="2:9" ht="18">
      <c r="B151" t="str">
        <f>LocaleTable[[#This Row],['#인덱스제너레이터]]</f>
        <v>Item_Name_3006</v>
      </c>
      <c r="C151" s="52" t="s">
        <v>351</v>
      </c>
      <c r="D151" s="51" t="s">
        <v>514</v>
      </c>
      <c r="E151" s="81" t="s">
        <v>467</v>
      </c>
      <c r="F151" s="81" t="s">
        <v>316</v>
      </c>
      <c r="G151" s="83">
        <v>3006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52" spans="2:9" ht="18">
      <c r="B152" t="str">
        <f>LocaleTable[[#This Row],['#인덱스제너레이터]]</f>
        <v>Item_Name_3007</v>
      </c>
      <c r="C152" s="52" t="s">
        <v>863</v>
      </c>
      <c r="D152" s="51" t="s">
        <v>864</v>
      </c>
      <c r="E152" s="81" t="s">
        <v>467</v>
      </c>
      <c r="F152" s="81" t="s">
        <v>316</v>
      </c>
      <c r="G152" s="83">
        <v>3007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53" spans="2:9" ht="18">
      <c r="B153" t="str">
        <f>LocaleTable[[#This Row],['#인덱스제너레이터]]</f>
        <v>Item_Name_3008</v>
      </c>
      <c r="C153" s="51" t="s">
        <v>96</v>
      </c>
      <c r="D153" s="51" t="s">
        <v>515</v>
      </c>
      <c r="E153" s="81" t="s">
        <v>467</v>
      </c>
      <c r="F153" s="81" t="s">
        <v>316</v>
      </c>
      <c r="G153" s="83">
        <v>3008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54" spans="2:9" ht="18">
      <c r="B154" t="str">
        <f>LocaleTable[[#This Row],['#인덱스제너레이터]]</f>
        <v>Item_Name_3009</v>
      </c>
      <c r="C154" s="51" t="s">
        <v>997</v>
      </c>
      <c r="D154" s="51" t="s">
        <v>998</v>
      </c>
      <c r="E154" s="81" t="s">
        <v>467</v>
      </c>
      <c r="F154" s="81" t="s">
        <v>316</v>
      </c>
      <c r="G154" s="83">
        <v>3009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55" spans="2:9" ht="18">
      <c r="B155" t="str">
        <f>LocaleTable[[#This Row],['#인덱스제너레이터]]</f>
        <v>Item_Name_3010</v>
      </c>
      <c r="C155" s="51" t="s">
        <v>1009</v>
      </c>
      <c r="D155" s="51" t="s">
        <v>1010</v>
      </c>
      <c r="E155" s="81" t="s">
        <v>467</v>
      </c>
      <c r="F155" s="81" t="s">
        <v>316</v>
      </c>
      <c r="G155" s="83">
        <v>3010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56" spans="2:9" ht="18">
      <c r="B156" t="str">
        <f>LocaleTable[[#This Row],['#인덱스제너레이터]]</f>
        <v>Item_Name_4001</v>
      </c>
      <c r="C156" s="51" t="s">
        <v>93</v>
      </c>
      <c r="D156" s="51" t="s">
        <v>462</v>
      </c>
      <c r="E156" s="81" t="s">
        <v>467</v>
      </c>
      <c r="F156" s="81" t="s">
        <v>316</v>
      </c>
      <c r="G156" s="83">
        <v>4001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57" spans="2:9" ht="18">
      <c r="B157" t="str">
        <f>LocaleTable[[#This Row],['#인덱스제너레이터]]</f>
        <v>Item_Name_4002</v>
      </c>
      <c r="C157" s="51" t="s">
        <v>853</v>
      </c>
      <c r="D157" s="51" t="s">
        <v>850</v>
      </c>
      <c r="E157" s="81" t="s">
        <v>467</v>
      </c>
      <c r="F157" s="81" t="s">
        <v>316</v>
      </c>
      <c r="G157" s="83">
        <v>4002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58" spans="2:9" ht="18">
      <c r="B158" t="str">
        <f>LocaleTable[[#This Row],['#인덱스제너레이터]]</f>
        <v>Item_Name_4003</v>
      </c>
      <c r="C158" s="51" t="s">
        <v>1028</v>
      </c>
      <c r="D158" s="51" t="s">
        <v>1029</v>
      </c>
      <c r="E158" s="81" t="s">
        <v>467</v>
      </c>
      <c r="F158" s="81" t="s">
        <v>316</v>
      </c>
      <c r="G158" s="83">
        <v>4003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59" spans="2:9" ht="18">
      <c r="B159" t="str">
        <f>LocaleTable[[#This Row],['#인덱스제너레이터]]</f>
        <v>Item_Name_4004</v>
      </c>
      <c r="C159" s="51" t="s">
        <v>356</v>
      </c>
      <c r="D159" s="51" t="s">
        <v>516</v>
      </c>
      <c r="E159" s="81" t="s">
        <v>467</v>
      </c>
      <c r="F159" s="81" t="s">
        <v>316</v>
      </c>
      <c r="G159" s="83">
        <v>4004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60" spans="2:9" ht="18">
      <c r="B160" t="str">
        <f>LocaleTable[[#This Row],['#인덱스제너레이터]]</f>
        <v>Item_Name_4005</v>
      </c>
      <c r="C160" s="51" t="s">
        <v>425</v>
      </c>
      <c r="D160" s="51" t="s">
        <v>517</v>
      </c>
      <c r="E160" s="81" t="s">
        <v>467</v>
      </c>
      <c r="F160" s="81" t="s">
        <v>316</v>
      </c>
      <c r="G160" s="83">
        <v>4005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61" spans="2:9" ht="18">
      <c r="B161" t="str">
        <f>LocaleTable[[#This Row],['#인덱스제너레이터]]</f>
        <v>Item_Name_4006</v>
      </c>
      <c r="C161" s="51" t="s">
        <v>427</v>
      </c>
      <c r="D161" s="51" t="s">
        <v>724</v>
      </c>
      <c r="E161" s="81" t="s">
        <v>467</v>
      </c>
      <c r="F161" s="81" t="s">
        <v>316</v>
      </c>
      <c r="G161" s="83">
        <v>4006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62" spans="2:9" ht="18">
      <c r="B162" t="str">
        <f>LocaleTable[[#This Row],['#인덱스제너레이터]]</f>
        <v>Item_Name_4007</v>
      </c>
      <c r="C162" s="52" t="s">
        <v>859</v>
      </c>
      <c r="D162" s="51" t="s">
        <v>858</v>
      </c>
      <c r="E162" s="81" t="s">
        <v>467</v>
      </c>
      <c r="F162" s="81" t="s">
        <v>316</v>
      </c>
      <c r="G162" s="83">
        <v>4007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63" spans="2:9" ht="18">
      <c r="B163" t="str">
        <f>LocaleTable[[#This Row],['#인덱스제너레이터]]</f>
        <v>Item_Name_10000</v>
      </c>
      <c r="C163" s="51" t="s">
        <v>348</v>
      </c>
      <c r="D163" s="51" t="s">
        <v>518</v>
      </c>
      <c r="E163" s="81" t="s">
        <v>467</v>
      </c>
      <c r="F163" s="81" t="s">
        <v>316</v>
      </c>
      <c r="G163" s="83">
        <v>10000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64" spans="2:9" ht="18">
      <c r="B164" t="str">
        <f>LocaleTable[[#This Row],['#인덱스제너레이터]]</f>
        <v>Item_Name_10001</v>
      </c>
      <c r="C164" s="52" t="s">
        <v>360</v>
      </c>
      <c r="D164" s="51" t="s">
        <v>519</v>
      </c>
      <c r="E164" s="81" t="s">
        <v>467</v>
      </c>
      <c r="F164" s="81" t="s">
        <v>316</v>
      </c>
      <c r="G164" s="83">
        <v>10001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65" spans="2:9" ht="18">
      <c r="B165" t="str">
        <f>LocaleTable[[#This Row],['#인덱스제너레이터]]</f>
        <v>Item_Name_10002</v>
      </c>
      <c r="C165" s="52" t="s">
        <v>458</v>
      </c>
      <c r="D165" s="51" t="s">
        <v>463</v>
      </c>
      <c r="E165" s="81" t="s">
        <v>467</v>
      </c>
      <c r="F165" s="81" t="s">
        <v>316</v>
      </c>
      <c r="G165" s="83">
        <v>10002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66" spans="2:9" ht="18">
      <c r="B166" t="str">
        <f>LocaleTable[[#This Row],['#인덱스제너레이터]]</f>
        <v>Item_Name_10003</v>
      </c>
      <c r="C166" s="52" t="s">
        <v>349</v>
      </c>
      <c r="D166" s="51" t="s">
        <v>520</v>
      </c>
      <c r="E166" s="81" t="s">
        <v>467</v>
      </c>
      <c r="F166" s="81" t="s">
        <v>316</v>
      </c>
      <c r="G166" s="83">
        <v>10003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67" spans="2:9" ht="18">
      <c r="B167" t="str">
        <f>LocaleTable[[#This Row],['#인덱스제너레이터]]</f>
        <v>Item_Name_10004</v>
      </c>
      <c r="C167" s="51" t="s">
        <v>429</v>
      </c>
      <c r="D167" s="51" t="s">
        <v>464</v>
      </c>
      <c r="E167" s="81" t="s">
        <v>467</v>
      </c>
      <c r="F167" s="81" t="s">
        <v>316</v>
      </c>
      <c r="G167" s="83">
        <v>10004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68" spans="2:9" ht="18">
      <c r="B168" t="str">
        <f>LocaleTable[[#This Row],['#인덱스제너레이터]]</f>
        <v>Item_Name_10005</v>
      </c>
      <c r="C168" s="51" t="s">
        <v>433</v>
      </c>
      <c r="D168" s="51" t="s">
        <v>725</v>
      </c>
      <c r="E168" s="81" t="s">
        <v>467</v>
      </c>
      <c r="F168" s="81" t="s">
        <v>316</v>
      </c>
      <c r="G168" s="83">
        <v>10005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69" spans="2:9" ht="18">
      <c r="B169" t="str">
        <f>LocaleTable[[#This Row],['#인덱스제너레이터]]</f>
        <v>Item_Desc_2000</v>
      </c>
      <c r="C169" s="51" t="s">
        <v>387</v>
      </c>
      <c r="D169" s="51" t="s">
        <v>523</v>
      </c>
      <c r="E169" s="81" t="s">
        <v>467</v>
      </c>
      <c r="F169" s="81" t="s">
        <v>472</v>
      </c>
      <c r="G169" s="83">
        <v>2000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70" spans="2:9" ht="36">
      <c r="B170" t="str">
        <f>LocaleTable[[#This Row],['#인덱스제너레이터]]</f>
        <v>Item_Desc_2001</v>
      </c>
      <c r="C170" s="52" t="s">
        <v>854</v>
      </c>
      <c r="D170" s="51" t="s">
        <v>855</v>
      </c>
      <c r="E170" s="81" t="s">
        <v>467</v>
      </c>
      <c r="F170" s="81" t="s">
        <v>472</v>
      </c>
      <c r="G170" s="83">
        <v>2001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71" spans="2:9" ht="18">
      <c r="B171" t="str">
        <f>LocaleTable[[#This Row],['#인덱스제너레이터]]</f>
        <v>Item_Desc_2002</v>
      </c>
      <c r="C171" s="52" t="s">
        <v>223</v>
      </c>
      <c r="D171" s="51" t="s">
        <v>524</v>
      </c>
      <c r="E171" s="81" t="s">
        <v>467</v>
      </c>
      <c r="F171" s="81" t="s">
        <v>472</v>
      </c>
      <c r="G171" s="83">
        <v>2002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72" spans="2:9" ht="18">
      <c r="B172" t="str">
        <f>LocaleTable[[#This Row],['#인덱스제너레이터]]</f>
        <v>Item_Desc_2003</v>
      </c>
      <c r="C172" s="51" t="s">
        <v>224</v>
      </c>
      <c r="D172" s="51" t="s">
        <v>669</v>
      </c>
      <c r="E172" s="81" t="s">
        <v>467</v>
      </c>
      <c r="F172" s="81" t="s">
        <v>472</v>
      </c>
      <c r="G172" s="83">
        <v>2003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73" spans="2:9" ht="18">
      <c r="B173" t="str">
        <f>LocaleTable[[#This Row],['#인덱스제너레이터]]</f>
        <v>Item_Desc_2004</v>
      </c>
      <c r="C173" s="77" t="s">
        <v>362</v>
      </c>
      <c r="D173" s="51" t="s">
        <v>525</v>
      </c>
      <c r="E173" s="81" t="s">
        <v>467</v>
      </c>
      <c r="F173" s="81" t="s">
        <v>472</v>
      </c>
      <c r="G173" s="83">
        <v>2004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74" spans="2:9" ht="18">
      <c r="B174" t="str">
        <f>LocaleTable[[#This Row],['#인덱스제너레이터]]</f>
        <v>Item_Desc_2005</v>
      </c>
      <c r="C174" s="51" t="s">
        <v>227</v>
      </c>
      <c r="D174" s="51" t="s">
        <v>670</v>
      </c>
      <c r="E174" s="81" t="s">
        <v>467</v>
      </c>
      <c r="F174" s="81" t="s">
        <v>472</v>
      </c>
      <c r="G174" s="83">
        <v>2005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75" spans="2:9" ht="18">
      <c r="B175" t="str">
        <f>LocaleTable[[#This Row],['#인덱스제너레이터]]</f>
        <v>Item_Desc_2006</v>
      </c>
      <c r="C175" s="51" t="s">
        <v>990</v>
      </c>
      <c r="D175" s="51" t="s">
        <v>991</v>
      </c>
      <c r="E175" s="81" t="s">
        <v>467</v>
      </c>
      <c r="F175" s="81" t="s">
        <v>472</v>
      </c>
      <c r="G175" s="83">
        <v>2006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76" spans="2:9" ht="18">
      <c r="B176" t="str">
        <f>LocaleTable[[#This Row],['#인덱스제너레이터]]</f>
        <v>Item_Desc_3000</v>
      </c>
      <c r="C176" s="77" t="s">
        <v>526</v>
      </c>
      <c r="D176" s="51" t="s">
        <v>671</v>
      </c>
      <c r="E176" s="81" t="s">
        <v>467</v>
      </c>
      <c r="F176" s="81" t="s">
        <v>472</v>
      </c>
      <c r="G176" s="83">
        <v>3000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77" spans="2:9" ht="18">
      <c r="B177" t="str">
        <f>LocaleTable[[#This Row],['#인덱스제너레이터]]</f>
        <v>Item_Desc_3001</v>
      </c>
      <c r="C177" s="78" t="s">
        <v>856</v>
      </c>
      <c r="D177" s="77" t="s">
        <v>857</v>
      </c>
      <c r="E177" s="81" t="s">
        <v>467</v>
      </c>
      <c r="F177" s="81" t="s">
        <v>472</v>
      </c>
      <c r="G177" s="83">
        <v>3001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78" spans="2:9" ht="18">
      <c r="B178" t="str">
        <f>LocaleTable[[#This Row],['#인덱스제너레이터]]</f>
        <v>Item_Desc_3002</v>
      </c>
      <c r="C178" s="52" t="s">
        <v>363</v>
      </c>
      <c r="D178" s="51" t="s">
        <v>788</v>
      </c>
      <c r="E178" s="81" t="s">
        <v>467</v>
      </c>
      <c r="F178" s="81" t="s">
        <v>472</v>
      </c>
      <c r="G178" s="83">
        <v>3002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79" spans="2:9" ht="36">
      <c r="B179" t="str">
        <f>LocaleTable[[#This Row],['#인덱스제너레이터]]</f>
        <v>Item_Desc_3003</v>
      </c>
      <c r="C179" s="52" t="s">
        <v>789</v>
      </c>
      <c r="D179" s="51" t="s">
        <v>672</v>
      </c>
      <c r="E179" s="81" t="s">
        <v>467</v>
      </c>
      <c r="F179" s="81" t="s">
        <v>472</v>
      </c>
      <c r="G179" s="83">
        <v>3003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80" spans="2:9" ht="18">
      <c r="B180" t="str">
        <f>LocaleTable[[#This Row],['#인덱스제너레이터]]</f>
        <v>Item_Desc_3004</v>
      </c>
      <c r="C180" s="52" t="s">
        <v>225</v>
      </c>
      <c r="D180" s="51" t="s">
        <v>676</v>
      </c>
      <c r="E180" s="81" t="s">
        <v>467</v>
      </c>
      <c r="F180" s="81" t="s">
        <v>472</v>
      </c>
      <c r="G180" s="83">
        <v>3004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81" spans="2:9" ht="36">
      <c r="B181" t="str">
        <f>LocaleTable[[#This Row],['#인덱스제너레이터]]</f>
        <v>Item_Desc_3005</v>
      </c>
      <c r="C181" s="52" t="s">
        <v>522</v>
      </c>
      <c r="D181" s="51" t="s">
        <v>790</v>
      </c>
      <c r="E181" s="81" t="s">
        <v>467</v>
      </c>
      <c r="F181" s="81" t="s">
        <v>472</v>
      </c>
      <c r="G181" s="83">
        <v>3005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82" spans="2:9" ht="18">
      <c r="B182" t="str">
        <f>LocaleTable[[#This Row],['#인덱스제너레이터]]</f>
        <v>Item_Desc_3006</v>
      </c>
      <c r="C182" s="52" t="s">
        <v>352</v>
      </c>
      <c r="D182" s="51" t="s">
        <v>791</v>
      </c>
      <c r="E182" s="81" t="s">
        <v>467</v>
      </c>
      <c r="F182" s="81" t="s">
        <v>472</v>
      </c>
      <c r="G182" s="83">
        <v>3006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83" spans="2:9" ht="36">
      <c r="B183" t="str">
        <f>LocaleTable[[#This Row],['#인덱스제너레이터]]</f>
        <v>Item_Desc_3007</v>
      </c>
      <c r="C183" s="52" t="s">
        <v>877</v>
      </c>
      <c r="D183" s="51" t="s">
        <v>878</v>
      </c>
      <c r="E183" s="81" t="s">
        <v>467</v>
      </c>
      <c r="F183" s="81" t="s">
        <v>472</v>
      </c>
      <c r="G183" s="83">
        <v>3007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84" spans="2:9" ht="18">
      <c r="B184" t="str">
        <f>LocaleTable[[#This Row],['#인덱스제너레이터]]</f>
        <v>Item_Desc_3008</v>
      </c>
      <c r="C184" s="51" t="s">
        <v>226</v>
      </c>
      <c r="D184" s="51" t="s">
        <v>792</v>
      </c>
      <c r="E184" s="81" t="s">
        <v>467</v>
      </c>
      <c r="F184" s="81" t="s">
        <v>472</v>
      </c>
      <c r="G184" s="83">
        <v>3008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85" spans="2:9" ht="18">
      <c r="B185" t="str">
        <f>LocaleTable[[#This Row],['#인덱스제너레이터]]</f>
        <v>Item_Desc_3009</v>
      </c>
      <c r="C185" s="51" t="s">
        <v>999</v>
      </c>
      <c r="D185" s="51" t="s">
        <v>1000</v>
      </c>
      <c r="E185" s="81" t="s">
        <v>467</v>
      </c>
      <c r="F185" s="81" t="s">
        <v>472</v>
      </c>
      <c r="G185" s="83">
        <v>3009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86" spans="2:9" ht="18">
      <c r="B186" t="str">
        <f>LocaleTable[[#This Row],['#인덱스제너레이터]]</f>
        <v>Item_Desc_3010</v>
      </c>
      <c r="C186" s="51" t="s">
        <v>1007</v>
      </c>
      <c r="D186" s="51" t="s">
        <v>1008</v>
      </c>
      <c r="E186" s="81" t="s">
        <v>467</v>
      </c>
      <c r="F186" s="81" t="s">
        <v>472</v>
      </c>
      <c r="G186" s="83">
        <v>3010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87" spans="2:9" ht="18">
      <c r="B187" t="str">
        <f>LocaleTable[[#This Row],['#인덱스제너레이터]]</f>
        <v>Item_Desc_4001</v>
      </c>
      <c r="C187" s="51" t="s">
        <v>366</v>
      </c>
      <c r="D187" s="51" t="s">
        <v>793</v>
      </c>
      <c r="E187" s="81" t="s">
        <v>467</v>
      </c>
      <c r="F187" s="81" t="s">
        <v>472</v>
      </c>
      <c r="G187" s="83">
        <v>4001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88" spans="2:9" ht="36">
      <c r="B188" t="str">
        <f>LocaleTable[[#This Row],['#인덱스제너레이터]]</f>
        <v>Item_Desc_4002</v>
      </c>
      <c r="C188" s="52" t="s">
        <v>851</v>
      </c>
      <c r="D188" s="51" t="s">
        <v>852</v>
      </c>
      <c r="E188" s="81" t="s">
        <v>467</v>
      </c>
      <c r="F188" s="81" t="s">
        <v>472</v>
      </c>
      <c r="G188" s="83">
        <v>4002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89" spans="2:9" ht="18">
      <c r="B189" t="str">
        <f>LocaleTable[[#This Row],['#인덱스제너레이터]]</f>
        <v>Item_Desc_4003</v>
      </c>
      <c r="C189" s="51" t="s">
        <v>1031</v>
      </c>
      <c r="D189" s="51" t="s">
        <v>1030</v>
      </c>
      <c r="E189" s="81" t="s">
        <v>467</v>
      </c>
      <c r="F189" s="81" t="s">
        <v>472</v>
      </c>
      <c r="G189" s="83">
        <v>4003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90" spans="2:9" ht="18">
      <c r="B190" t="str">
        <f>LocaleTable[[#This Row],['#인덱스제너레이터]]</f>
        <v>Item_Desc_4004</v>
      </c>
      <c r="C190" s="51" t="s">
        <v>228</v>
      </c>
      <c r="D190" s="51" t="s">
        <v>528</v>
      </c>
      <c r="E190" s="81" t="s">
        <v>467</v>
      </c>
      <c r="F190" s="81" t="s">
        <v>472</v>
      </c>
      <c r="G190" s="83">
        <v>4004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91" spans="2:9" ht="18">
      <c r="B191" t="str">
        <f>LocaleTable[[#This Row],['#인덱스제너레이터]]</f>
        <v>Item_Desc_4005</v>
      </c>
      <c r="C191" s="51" t="s">
        <v>732</v>
      </c>
      <c r="D191" s="51" t="s">
        <v>673</v>
      </c>
      <c r="E191" s="81" t="s">
        <v>467</v>
      </c>
      <c r="F191" s="81" t="s">
        <v>472</v>
      </c>
      <c r="G191" s="83">
        <v>4005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92" spans="2:9" ht="18">
      <c r="B192" t="str">
        <f>LocaleTable[[#This Row],['#인덱스제너레이터]]</f>
        <v>Item_Desc_4006</v>
      </c>
      <c r="C192" s="51" t="s">
        <v>794</v>
      </c>
      <c r="D192" s="51" t="s">
        <v>529</v>
      </c>
      <c r="E192" s="81" t="s">
        <v>467</v>
      </c>
      <c r="F192" s="81" t="s">
        <v>472</v>
      </c>
      <c r="G192" s="83">
        <v>4006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93" spans="2:9" ht="18">
      <c r="B193" t="str">
        <f>LocaleTable[[#This Row],['#인덱스제너레이터]]</f>
        <v>Item_Desc_4007</v>
      </c>
      <c r="C193" s="78" t="s">
        <v>881</v>
      </c>
      <c r="D193" s="77" t="s">
        <v>882</v>
      </c>
      <c r="E193" s="81" t="s">
        <v>467</v>
      </c>
      <c r="F193" s="81" t="s">
        <v>472</v>
      </c>
      <c r="G193" s="83">
        <v>4007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94" spans="2:9" ht="18">
      <c r="B194" t="str">
        <f>LocaleTable[[#This Row],['#인덱스제너레이터]]</f>
        <v>Item_Desc_10000</v>
      </c>
      <c r="C194" s="51" t="s">
        <v>796</v>
      </c>
      <c r="D194" s="51" t="s">
        <v>674</v>
      </c>
      <c r="E194" s="81" t="s">
        <v>467</v>
      </c>
      <c r="F194" s="81" t="s">
        <v>472</v>
      </c>
      <c r="G194" s="83">
        <v>10000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95" spans="2:9" ht="18">
      <c r="B195" t="str">
        <f>LocaleTable[[#This Row],['#인덱스제너레이터]]</f>
        <v>Item_Desc_10001</v>
      </c>
      <c r="C195" s="52" t="s">
        <v>364</v>
      </c>
      <c r="D195" s="51" t="s">
        <v>530</v>
      </c>
      <c r="E195" s="81" t="s">
        <v>467</v>
      </c>
      <c r="F195" s="81" t="s">
        <v>472</v>
      </c>
      <c r="G195" s="83">
        <v>10001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96" spans="2:9" ht="18">
      <c r="B196" t="str">
        <f>LocaleTable[[#This Row],['#인덱스제너레이터]]</f>
        <v>Item_Desc_10002</v>
      </c>
      <c r="C196" s="52" t="s">
        <v>795</v>
      </c>
      <c r="D196" s="77" t="s">
        <v>675</v>
      </c>
      <c r="E196" s="81" t="s">
        <v>467</v>
      </c>
      <c r="F196" s="81" t="s">
        <v>472</v>
      </c>
      <c r="G196" s="83">
        <v>10002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97" spans="2:9" ht="18">
      <c r="B197" t="str">
        <f>LocaleTable[[#This Row],['#인덱스제너레이터]]</f>
        <v>Item_Desc_10003</v>
      </c>
      <c r="C197" s="52" t="s">
        <v>361</v>
      </c>
      <c r="D197" s="51" t="s">
        <v>730</v>
      </c>
      <c r="E197" s="81" t="s">
        <v>467</v>
      </c>
      <c r="F197" s="81" t="s">
        <v>472</v>
      </c>
      <c r="G197" s="83">
        <v>10003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98" spans="2:9" ht="18">
      <c r="B198" t="str">
        <f>LocaleTable[[#This Row],['#인덱스제너레이터]]</f>
        <v>Item_Desc_10004</v>
      </c>
      <c r="C198" s="51" t="s">
        <v>430</v>
      </c>
      <c r="D198" s="51" t="s">
        <v>536</v>
      </c>
      <c r="E198" s="81" t="s">
        <v>467</v>
      </c>
      <c r="F198" s="81" t="s">
        <v>472</v>
      </c>
      <c r="G198" s="83">
        <v>10004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99" spans="2:9" ht="18">
      <c r="B199" t="str">
        <f>LocaleTable[[#This Row],['#인덱스제너레이터]]</f>
        <v>Item_Desc_10005</v>
      </c>
      <c r="C199" s="51" t="s">
        <v>434</v>
      </c>
      <c r="D199" s="51" t="s">
        <v>537</v>
      </c>
      <c r="E199" s="81" t="s">
        <v>467</v>
      </c>
      <c r="F199" s="81" t="s">
        <v>472</v>
      </c>
      <c r="G199" s="83">
        <v>10005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200" spans="2:9" ht="18">
      <c r="B200" t="str">
        <f>LocaleTable[[#This Row],['#인덱스제너레이터]]</f>
        <v>Item_PlusDesc_2000</v>
      </c>
      <c r="C200" s="52" t="s">
        <v>391</v>
      </c>
      <c r="D200" s="51" t="s">
        <v>538</v>
      </c>
      <c r="E200" s="81" t="s">
        <v>467</v>
      </c>
      <c r="F200" s="81" t="s">
        <v>343</v>
      </c>
      <c r="G200" s="83">
        <v>2000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201" spans="2:9" ht="18">
      <c r="B201" t="str">
        <f>LocaleTable[[#This Row],['#인덱스제너레이터]]</f>
        <v>Item_PlusDesc_2001</v>
      </c>
      <c r="C201" s="51" t="s">
        <v>710</v>
      </c>
      <c r="D201" s="51" t="s">
        <v>715</v>
      </c>
      <c r="E201" s="81" t="s">
        <v>467</v>
      </c>
      <c r="F201" s="81" t="s">
        <v>343</v>
      </c>
      <c r="G201" s="83">
        <v>2001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202" spans="2:9" ht="18">
      <c r="B202" t="str">
        <f>LocaleTable[[#This Row],['#인덱스제너레이터]]</f>
        <v>Item_PlusDesc_2002</v>
      </c>
      <c r="C202" s="51" t="s">
        <v>711</v>
      </c>
      <c r="D202" s="51" t="s">
        <v>714</v>
      </c>
      <c r="E202" s="81" t="s">
        <v>467</v>
      </c>
      <c r="F202" s="81" t="s">
        <v>343</v>
      </c>
      <c r="G202" s="83">
        <v>2002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203" spans="2:9" ht="18">
      <c r="B203" t="str">
        <f>LocaleTable[[#This Row],['#인덱스제너레이터]]</f>
        <v>Item_PlusDesc_2003</v>
      </c>
      <c r="C203" s="51" t="s">
        <v>1076</v>
      </c>
      <c r="D203" s="51" t="s">
        <v>1078</v>
      </c>
      <c r="E203" s="81" t="s">
        <v>467</v>
      </c>
      <c r="F203" s="81" t="s">
        <v>343</v>
      </c>
      <c r="G203" s="83">
        <v>2003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204" spans="2:9" ht="18">
      <c r="B204" t="str">
        <f>LocaleTable[[#This Row],['#인덱스제너레이터]]</f>
        <v>Item_PlusDesc_2004</v>
      </c>
      <c r="C204" s="51" t="s">
        <v>1077</v>
      </c>
      <c r="D204" s="51" t="s">
        <v>1079</v>
      </c>
      <c r="E204" s="81" t="s">
        <v>467</v>
      </c>
      <c r="F204" s="81" t="s">
        <v>343</v>
      </c>
      <c r="G204" s="83">
        <v>2004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205" spans="2:9" ht="18">
      <c r="B205" t="str">
        <f>LocaleTable[[#This Row],['#인덱스제너레이터]]</f>
        <v>Item_PlusDesc_2005</v>
      </c>
      <c r="C205" s="71" t="s">
        <v>726</v>
      </c>
      <c r="D205" s="51" t="s">
        <v>860</v>
      </c>
      <c r="E205" s="81" t="s">
        <v>467</v>
      </c>
      <c r="F205" s="81" t="s">
        <v>343</v>
      </c>
      <c r="G205" s="83">
        <v>2005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206" spans="2:9" ht="18">
      <c r="B206" t="str">
        <f>LocaleTable[[#This Row],['#인덱스제너레이터]]</f>
        <v>Item_PlusDesc_2006</v>
      </c>
      <c r="C206" s="52" t="s">
        <v>992</v>
      </c>
      <c r="D206" s="51" t="s">
        <v>993</v>
      </c>
      <c r="E206" s="81" t="s">
        <v>467</v>
      </c>
      <c r="F206" s="81" t="s">
        <v>343</v>
      </c>
      <c r="G206" s="83">
        <v>2006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207" spans="2:9" ht="18">
      <c r="B207" t="str">
        <f>LocaleTable[[#This Row],['#인덱스제너레이터]]</f>
        <v>Item_PlusDesc_3000</v>
      </c>
      <c r="C207" s="77" t="s">
        <v>983</v>
      </c>
      <c r="D207" s="51" t="s">
        <v>984</v>
      </c>
      <c r="E207" s="81" t="s">
        <v>467</v>
      </c>
      <c r="F207" s="81" t="s">
        <v>343</v>
      </c>
      <c r="G207" s="83">
        <v>3000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208" spans="2:9" ht="18">
      <c r="B208" t="str">
        <f>LocaleTable[[#This Row],['#인덱스제너레이터]]</f>
        <v>Item_PlusDesc_3001</v>
      </c>
      <c r="C208" s="51" t="s">
        <v>1018</v>
      </c>
      <c r="D208" s="51" t="s">
        <v>614</v>
      </c>
      <c r="E208" s="81" t="s">
        <v>467</v>
      </c>
      <c r="F208" s="81" t="s">
        <v>343</v>
      </c>
      <c r="G208" s="83">
        <v>3001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209" spans="2:9" ht="18">
      <c r="B209" t="str">
        <f>LocaleTable[[#This Row],['#인덱스제너레이터]]</f>
        <v>Item_PlusDesc_3002</v>
      </c>
      <c r="C209" s="51" t="s">
        <v>712</v>
      </c>
      <c r="D209" s="51" t="s">
        <v>729</v>
      </c>
      <c r="E209" s="81" t="s">
        <v>467</v>
      </c>
      <c r="F209" s="81" t="s">
        <v>343</v>
      </c>
      <c r="G209" s="83">
        <v>3002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210" spans="2:9" ht="18">
      <c r="B210" t="str">
        <f>LocaleTable[[#This Row],['#인덱스제너레이터]]</f>
        <v>Item_PlusDesc_3003</v>
      </c>
      <c r="C210" s="51" t="s">
        <v>883</v>
      </c>
      <c r="D210" s="51" t="s">
        <v>884</v>
      </c>
      <c r="E210" s="81" t="s">
        <v>467</v>
      </c>
      <c r="F210" s="81" t="s">
        <v>343</v>
      </c>
      <c r="G210" s="83">
        <v>3003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211" spans="2:9" ht="18">
      <c r="B211" t="str">
        <f>LocaleTable[[#This Row],['#인덱스제너레이터]]</f>
        <v>Item_PlusDesc_3004</v>
      </c>
      <c r="C211" s="51" t="s">
        <v>368</v>
      </c>
      <c r="D211" s="51" t="s">
        <v>728</v>
      </c>
      <c r="E211" s="81" t="s">
        <v>467</v>
      </c>
      <c r="F211" s="81" t="s">
        <v>343</v>
      </c>
      <c r="G211" s="83">
        <v>3004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212" spans="2:9" ht="18">
      <c r="B212" t="str">
        <f>LocaleTable[[#This Row],['#인덱스제너레이터]]</f>
        <v>Item_PlusDesc_3005</v>
      </c>
      <c r="C212" s="58" t="s">
        <v>1080</v>
      </c>
      <c r="D212" s="51" t="s">
        <v>1081</v>
      </c>
      <c r="E212" s="81" t="s">
        <v>467</v>
      </c>
      <c r="F212" s="81" t="s">
        <v>343</v>
      </c>
      <c r="G212" s="83">
        <v>3005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213" spans="2:9" ht="18">
      <c r="B213" t="str">
        <f>LocaleTable[[#This Row],['#인덱스제너레이터]]</f>
        <v>Item_PlusDesc_3006</v>
      </c>
      <c r="C213" s="52" t="s">
        <v>970</v>
      </c>
      <c r="D213" s="51" t="s">
        <v>971</v>
      </c>
      <c r="E213" s="81" t="s">
        <v>467</v>
      </c>
      <c r="F213" s="81" t="s">
        <v>343</v>
      </c>
      <c r="G213" s="83">
        <v>3006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214" spans="2:9" ht="18">
      <c r="B214" t="str">
        <f>LocaleTable[[#This Row],['#인덱스제너레이터]]</f>
        <v>Item_PlusDesc_3007</v>
      </c>
      <c r="C214" s="52" t="s">
        <v>1016</v>
      </c>
      <c r="D214" s="51" t="s">
        <v>1017</v>
      </c>
      <c r="E214" s="81" t="s">
        <v>467</v>
      </c>
      <c r="F214" s="81" t="s">
        <v>343</v>
      </c>
      <c r="G214" s="83">
        <v>3007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215" spans="2:9" ht="18">
      <c r="B215" t="str">
        <f>LocaleTable[[#This Row],['#인덱스제너레이터]]</f>
        <v>Item_PlusDesc_3008</v>
      </c>
      <c r="C215" s="51" t="s">
        <v>985</v>
      </c>
      <c r="D215" s="51" t="s">
        <v>986</v>
      </c>
      <c r="E215" s="81" t="s">
        <v>467</v>
      </c>
      <c r="F215" s="81" t="s">
        <v>343</v>
      </c>
      <c r="G215" s="83">
        <v>3008</v>
      </c>
      <c r="H215" s="83"/>
      <c r="I2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216" spans="2:9" ht="18">
      <c r="B216" t="str">
        <f>LocaleTable[[#This Row],['#인덱스제너레이터]]</f>
        <v>Item_PlusDesc_3009</v>
      </c>
      <c r="C216" s="51" t="s">
        <v>1001</v>
      </c>
      <c r="D216" s="51" t="s">
        <v>1002</v>
      </c>
      <c r="E216" s="81" t="s">
        <v>467</v>
      </c>
      <c r="F216" s="81" t="s">
        <v>343</v>
      </c>
      <c r="G216" s="83">
        <v>3009</v>
      </c>
      <c r="H216" s="83"/>
      <c r="I2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217" spans="2:9" ht="18">
      <c r="B217" t="str">
        <f>LocaleTable[[#This Row],['#인덱스제너레이터]]</f>
        <v>Item_PlusDesc_3010</v>
      </c>
      <c r="C217" s="51" t="s">
        <v>1019</v>
      </c>
      <c r="D217" s="51" t="s">
        <v>1020</v>
      </c>
      <c r="E217" s="81" t="s">
        <v>467</v>
      </c>
      <c r="F217" s="81" t="s">
        <v>343</v>
      </c>
      <c r="G217" s="83">
        <v>3010</v>
      </c>
      <c r="H217" s="83"/>
      <c r="I2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218" spans="2:9" ht="18">
      <c r="B218" t="str">
        <f>LocaleTable[[#This Row],['#인덱스제너레이터]]</f>
        <v>Item_PlusDesc_4001</v>
      </c>
      <c r="C218" s="51" t="s">
        <v>713</v>
      </c>
      <c r="D218" s="51" t="s">
        <v>731</v>
      </c>
      <c r="E218" s="81" t="s">
        <v>467</v>
      </c>
      <c r="F218" s="81" t="s">
        <v>343</v>
      </c>
      <c r="G218" s="83">
        <v>4001</v>
      </c>
      <c r="H218" s="83"/>
      <c r="I2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219" spans="2:9" ht="18">
      <c r="B219" t="str">
        <f>LocaleTable[[#This Row],['#인덱스제너레이터]]</f>
        <v>Item_PlusDesc_4002</v>
      </c>
      <c r="C219" s="51" t="s">
        <v>290</v>
      </c>
      <c r="D219" s="51" t="s">
        <v>539</v>
      </c>
      <c r="E219" s="81" t="s">
        <v>467</v>
      </c>
      <c r="F219" s="81" t="s">
        <v>343</v>
      </c>
      <c r="G219" s="83">
        <v>4002</v>
      </c>
      <c r="H219" s="83"/>
      <c r="I2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220" spans="2:9" ht="18">
      <c r="B220" t="str">
        <f>LocaleTable[[#This Row],['#인덱스제너레이터]]</f>
        <v>Item_PlusDesc_4003</v>
      </c>
      <c r="C220" s="51" t="s">
        <v>371</v>
      </c>
      <c r="D220" s="51" t="s">
        <v>540</v>
      </c>
      <c r="E220" s="81" t="s">
        <v>467</v>
      </c>
      <c r="F220" s="81" t="s">
        <v>343</v>
      </c>
      <c r="G220" s="83">
        <v>4003</v>
      </c>
      <c r="H220" s="83"/>
      <c r="I2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221" spans="2:9" ht="18">
      <c r="B221" t="str">
        <f>LocaleTable[[#This Row],['#인덱스제너레이터]]</f>
        <v>Item_PlusDesc_4004</v>
      </c>
      <c r="C221" s="51" t="s">
        <v>980</v>
      </c>
      <c r="D221" s="51" t="s">
        <v>981</v>
      </c>
      <c r="E221" s="81" t="s">
        <v>467</v>
      </c>
      <c r="F221" s="81" t="s">
        <v>343</v>
      </c>
      <c r="G221" s="83">
        <v>4004</v>
      </c>
      <c r="H221" s="83"/>
      <c r="I2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222" spans="2:9" ht="18">
      <c r="B222" t="str">
        <f>LocaleTable[[#This Row],['#인덱스제너레이터]]</f>
        <v>Item_PlusDesc_4005</v>
      </c>
      <c r="C222" s="51" t="s">
        <v>389</v>
      </c>
      <c r="D222" s="51" t="s">
        <v>733</v>
      </c>
      <c r="E222" s="81" t="s">
        <v>467</v>
      </c>
      <c r="F222" s="81" t="s">
        <v>343</v>
      </c>
      <c r="G222" s="83">
        <v>4005</v>
      </c>
      <c r="H222" s="83"/>
      <c r="I2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23" spans="2:9" ht="18">
      <c r="B223" t="str">
        <f>LocaleTable[[#This Row],['#인덱스제너레이터]]</f>
        <v>Item_PlusDesc_4006</v>
      </c>
      <c r="C223" s="51" t="s">
        <v>978</v>
      </c>
      <c r="D223" s="51" t="s">
        <v>979</v>
      </c>
      <c r="E223" s="81" t="s">
        <v>467</v>
      </c>
      <c r="F223" s="81" t="s">
        <v>343</v>
      </c>
      <c r="G223" s="83">
        <v>4006</v>
      </c>
      <c r="H223" s="83"/>
      <c r="I2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24" spans="2:9" ht="18">
      <c r="B224" t="str">
        <f>LocaleTable[[#This Row],['#인덱스제너레이터]]</f>
        <v>Item_PlusDesc_4007</v>
      </c>
      <c r="C224" s="51" t="s">
        <v>1163</v>
      </c>
      <c r="D224" s="51" t="s">
        <v>1164</v>
      </c>
      <c r="E224" s="81" t="s">
        <v>467</v>
      </c>
      <c r="F224" s="81" t="s">
        <v>343</v>
      </c>
      <c r="G224" s="83">
        <v>4007</v>
      </c>
      <c r="H224" s="83"/>
      <c r="I2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25" spans="2:9" ht="18">
      <c r="B225" t="str">
        <f>LocaleTable[[#This Row],['#인덱스제너레이터]]</f>
        <v>Item_PlusDesc_10000</v>
      </c>
      <c r="C225" s="52" t="s">
        <v>894</v>
      </c>
      <c r="D225" s="51" t="s">
        <v>893</v>
      </c>
      <c r="E225" s="81" t="s">
        <v>467</v>
      </c>
      <c r="F225" s="81" t="s">
        <v>343</v>
      </c>
      <c r="G225" s="83">
        <v>10000</v>
      </c>
      <c r="H225" s="83"/>
      <c r="I2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26" spans="2:9" ht="18">
      <c r="B226" t="str">
        <f>LocaleTable[[#This Row],['#인덱스제너레이터]]</f>
        <v>Item_PlusDesc_10001</v>
      </c>
      <c r="C226" s="52" t="s">
        <v>890</v>
      </c>
      <c r="D226" s="51" t="s">
        <v>886</v>
      </c>
      <c r="E226" s="81" t="s">
        <v>467</v>
      </c>
      <c r="F226" s="81" t="s">
        <v>343</v>
      </c>
      <c r="G226" s="83">
        <v>10001</v>
      </c>
      <c r="H226" s="83"/>
      <c r="I2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27" spans="2:9" ht="18">
      <c r="B227" t="str">
        <f>LocaleTable[[#This Row],['#인덱스제너레이터]]</f>
        <v>Item_PlusDesc_10002</v>
      </c>
      <c r="C227" s="52" t="s">
        <v>891</v>
      </c>
      <c r="D227" s="51" t="s">
        <v>887</v>
      </c>
      <c r="E227" s="81" t="s">
        <v>467</v>
      </c>
      <c r="F227" s="81" t="s">
        <v>343</v>
      </c>
      <c r="G227" s="83">
        <v>10002</v>
      </c>
      <c r="H227" s="83"/>
      <c r="I2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28" spans="2:9" ht="18">
      <c r="B228" t="str">
        <f>LocaleTable[[#This Row],['#인덱스제너레이터]]</f>
        <v>Item_PlusDesc_10003</v>
      </c>
      <c r="C228" s="52" t="s">
        <v>456</v>
      </c>
      <c r="D228" s="51" t="s">
        <v>888</v>
      </c>
      <c r="E228" s="81" t="s">
        <v>467</v>
      </c>
      <c r="F228" s="81" t="s">
        <v>343</v>
      </c>
      <c r="G228" s="83">
        <v>10003</v>
      </c>
      <c r="H228" s="83"/>
      <c r="I2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29" spans="2:9" ht="18">
      <c r="B229" t="str">
        <f>LocaleTable[[#This Row],['#인덱스제너레이터]]</f>
        <v>Item_PlusDesc_10004</v>
      </c>
      <c r="C229" s="51" t="s">
        <v>895</v>
      </c>
      <c r="D229" s="51" t="s">
        <v>892</v>
      </c>
      <c r="E229" s="81" t="s">
        <v>467</v>
      </c>
      <c r="F229" s="81" t="s">
        <v>343</v>
      </c>
      <c r="G229" s="83">
        <v>10004</v>
      </c>
      <c r="H229" s="83"/>
      <c r="I2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30" spans="2:9" ht="18">
      <c r="B230" t="str">
        <f>LocaleTable[[#This Row],['#인덱스제너레이터]]</f>
        <v>Item_PlusDesc_10005</v>
      </c>
      <c r="C230" s="51" t="s">
        <v>457</v>
      </c>
      <c r="D230" s="51" t="s">
        <v>889</v>
      </c>
      <c r="E230" s="81" t="s">
        <v>467</v>
      </c>
      <c r="F230" s="81" t="s">
        <v>343</v>
      </c>
      <c r="G230" s="83">
        <v>10005</v>
      </c>
      <c r="H230" s="83"/>
      <c r="I2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31" spans="2:9" ht="18">
      <c r="B231" t="str">
        <f>LocaleTable[[#This Row],['#인덱스제너레이터]]</f>
        <v>Item_MinusDesc_4001</v>
      </c>
      <c r="C231" s="51" t="s">
        <v>365</v>
      </c>
      <c r="D231" s="58" t="s">
        <v>541</v>
      </c>
      <c r="E231" s="81" t="s">
        <v>467</v>
      </c>
      <c r="F231" s="81" t="s">
        <v>344</v>
      </c>
      <c r="G231" s="83">
        <v>4001</v>
      </c>
      <c r="H231" s="83"/>
      <c r="I2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32" spans="2:9" ht="18">
      <c r="B232" t="str">
        <f>LocaleTable[[#This Row],['#인덱스제너레이터]]</f>
        <v>Item_MinusDesc_4002</v>
      </c>
      <c r="C232" s="51" t="s">
        <v>146</v>
      </c>
      <c r="D232" s="51" t="s">
        <v>542</v>
      </c>
      <c r="E232" s="81" t="s">
        <v>467</v>
      </c>
      <c r="F232" s="81" t="s">
        <v>344</v>
      </c>
      <c r="G232" s="83">
        <v>4002</v>
      </c>
      <c r="H232" s="83"/>
      <c r="I2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33" spans="2:9" ht="18">
      <c r="B233" t="str">
        <f>LocaleTable[[#This Row],['#인덱스제너레이터]]</f>
        <v>Item_MinusDesc_4003</v>
      </c>
      <c r="C233" s="51" t="s">
        <v>727</v>
      </c>
      <c r="D233" s="51" t="s">
        <v>861</v>
      </c>
      <c r="E233" s="81" t="s">
        <v>467</v>
      </c>
      <c r="F233" s="81" t="s">
        <v>344</v>
      </c>
      <c r="G233" s="83">
        <v>4003</v>
      </c>
      <c r="H233" s="83"/>
      <c r="I2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34" spans="2:9" ht="18">
      <c r="B234" t="str">
        <f>LocaleTable[[#This Row],['#인덱스제너레이터]]</f>
        <v>Item_MinusDesc_4004</v>
      </c>
      <c r="C234" s="51" t="s">
        <v>825</v>
      </c>
      <c r="D234" s="51" t="s">
        <v>826</v>
      </c>
      <c r="E234" s="81" t="s">
        <v>467</v>
      </c>
      <c r="F234" s="81" t="s">
        <v>344</v>
      </c>
      <c r="G234" s="83">
        <v>4004</v>
      </c>
      <c r="H234" s="83"/>
      <c r="I2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35" spans="2:9" ht="18">
      <c r="B235" t="str">
        <f>LocaleTable[[#This Row],['#인덱스제너레이터]]</f>
        <v>Item_MinusDesc_4005</v>
      </c>
      <c r="C235" s="51" t="s">
        <v>1032</v>
      </c>
      <c r="D235" s="51" t="s">
        <v>1033</v>
      </c>
      <c r="E235" s="81" t="s">
        <v>467</v>
      </c>
      <c r="F235" s="81" t="s">
        <v>344</v>
      </c>
      <c r="G235" s="83">
        <v>4005</v>
      </c>
      <c r="H235" s="83"/>
      <c r="I2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36" spans="2:9" ht="18">
      <c r="B236" t="str">
        <f>LocaleTable[[#This Row],['#인덱스제너레이터]]</f>
        <v>Item_MinusDesc_4006</v>
      </c>
      <c r="C236" s="51" t="s">
        <v>975</v>
      </c>
      <c r="D236" s="51" t="s">
        <v>976</v>
      </c>
      <c r="E236" s="81" t="s">
        <v>467</v>
      </c>
      <c r="F236" s="81" t="s">
        <v>344</v>
      </c>
      <c r="G236" s="83">
        <v>4006</v>
      </c>
      <c r="H236" s="83"/>
      <c r="I2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37" spans="2:9">
      <c r="B237" t="str">
        <f>LocaleTable[[#This Row],['#인덱스제너레이터]]</f>
        <v>Item_MinusDesc_4007</v>
      </c>
      <c r="C237" s="51"/>
      <c r="D237" s="51"/>
      <c r="E237" s="81" t="s">
        <v>467</v>
      </c>
      <c r="F237" s="81" t="s">
        <v>344</v>
      </c>
      <c r="G237" s="83">
        <v>4007</v>
      </c>
      <c r="H237" s="83"/>
      <c r="I2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2023-11-19T02:13:36Z</dcterms:modified>
  <cp:version>1200.0100.01</cp:version>
</cp:coreProperties>
</file>