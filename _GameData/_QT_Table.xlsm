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31C11181-5ECD-F94A-9B63-F13716652D9D}" xr6:coauthVersionLast="47" xr6:coauthVersionMax="47" xr10:uidLastSave="{00000000-0000-0000-0000-000000000000}"/>
  <bookViews>
    <workbookView xWindow="3200" yWindow="1040" windowWidth="35560" windowHeight="17440" firstSheet="8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<sst xmlns="http://schemas.openxmlformats.org/spreadsheetml/2006/main" count="1209" uniqueCount="657">
  <si>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</si>
  <si>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</si>
  <si>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</si>
  <si>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</si>
  <si>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</si>
  <si>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</si>
  <si>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</si>
  <si>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</si>
  <si>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</si>
  <si>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</si>
  <si>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</si>
  <si>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</si>
  <si>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</si>
  <si>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</si>
  <si>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</si>
  <si>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</si>
  <si>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</si>
  <si>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</si>
  <si>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</si>
  <si>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</si>
  <si>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</si>
  <si>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</si>
  <si>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</si>
  <si>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</si>
  <si>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</si>
  <si>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</si>
  <si>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</si>
  <si>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</si>
  <si>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</si>
  <si>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</si>
  <si>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</si>
  <si>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</si>
  <si>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</si>
  <si>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</si>
  <si>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</si>
  <si>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</si>
  <si>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</si>
  <si>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</si>
  <si>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</si>
  <si>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</si>
  <si>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</si>
  <si>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</si>
  <si>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</si>
  <si>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</si>
  <si>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</si>
  <si>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</si>
  <si>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</si>
  <si>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</si>
  <si>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</si>
  <si>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</si>
  <si>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</si>
  <si>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</si>
  <si>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</si>
  <si>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</si>
  <si>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</si>
  <si>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</si>
  <si>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</si>
  <si>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</si>
  <si>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</si>
  <si>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</si>
  <si>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</si>
  <si>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</si>
  <si>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</si>
  <si>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</si>
  <si>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</si>
  <si>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</si>
  <si>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</si>
  <si>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</si>
  <si>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</si>
  <si>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</si>
  <si>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</si>
  <si>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</si>
  <si>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</si>
  <si>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</si>
  <si>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</si>
  <si>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</si>
  <si>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</si>
  <si>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</si>
  <si>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</si>
  <si>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</si>
  <si>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</si>
  <si>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</si>
  <si>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</si>
  <si>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</si>
  <si>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</si>
  <si>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</si>
  <si>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</si>
  <si>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</si>
  <si>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</si>
  <si>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</si>
  <si>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</si>
  <si>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</si>
  <si>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</si>
  <si>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</si>
  <si>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</si>
  <si>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</si>
  <si>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</si>
  <si>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</si>
  <si>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</si>
  <si>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</si>
  <si>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</si>
  <si>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</si>
  <si>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</si>
  <si>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</si>
  <si>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</si>
  <si>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</si>
  <si>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</si>
  <si>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</si>
  <si>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</si>
  <si>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</si>
  <si>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</si>
  <si>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</si>
  <si>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</si>
  <si>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</si>
  <si>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</si>
  <si>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</si>
  <si>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</si>
  <si>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</si>
  <si>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</si>
  <si>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</si>
  <si>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</si>
  <si>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</si>
  <si>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</si>
  <si>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</si>
  <si>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</si>
  <si>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</si>
  <si>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</si>
  <si>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</si>
  <si>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</si>
  <si>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</si>
  <si>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</si>
  <si>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</si>
  <si>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</si>
  <si>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</si>
  <si>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</si>
  <si>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</si>
  <si>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</si>
  <si>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</si>
  <si>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</si>
  <si>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</si>
  <si>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</si>
  <si>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</si>
  <si>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</si>
  <si>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</si>
  <si>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</si>
  <si>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</si>
  <si>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</si>
  <si>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</si>
  <si>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</si>
  <si>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</si>
  <si>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</si>
  <si>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</si>
  <si>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</si>
  <si>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</si>
  <si>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</si>
  <si>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</si>
  <si>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</si>
  <si>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</si>
  <si>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</si>
  <si>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</si>
  <si>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</si>
  <si>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</si>
  <si>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</si>
  <si>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</si>
  <si>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</si>
  <si>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</si>
  <si>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</si>
  <si>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</si>
  <si>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</si>
  <si>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</si>
  <si>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</si>
  <si>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</si>
  <si>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</si>
  <si>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</si>
  <si>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</si>
  <si>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</si>
  <si>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</si>
  <si>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</si>
  <si>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</si>
  <si>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</si>
  <si>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</si>
  <si>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</si>
  <si>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</si>
  <si>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</si>
  <si>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</si>
  <si>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</si>
  <si>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</si>
  <si>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</si>
  <si>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</si>
  <si>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</si>
  <si>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</si>
  <si>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</si>
  <si>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</si>
  <si>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</si>
  <si>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</si>
  <si>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</si>
  <si>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</si>
  <si>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</si>
  <si>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</si>
  <si>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</si>
  <si>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</si>
  <si>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</si>
  <si>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</si>
  <si>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</si>
  <si>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</si>
  <si>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</si>
  <si>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</si>
  <si>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</si>
  <si>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</si>
  <si>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</si>
  <si>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</si>
  <si>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</si>
  <si>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</si>
  <si>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</si>
  <si>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</si>
  <si>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</si>
  <si>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</si>
  <si>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</si>
  <si>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</si>
  <si>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</si>
  <si>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</si>
  <si>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</si>
  <si>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</si>
  <si>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</si>
  <si>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</si>
  <si>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</si>
  <si>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</si>
  <si>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</si>
  <si>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</si>
  <si>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</si>
  <si>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</si>
  <si>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</si>
  <si>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</si>
  <si>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</si>
  <si>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</si>
  <si>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</si>
  <si>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</si>
  <si>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</si>
  <si>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</si>
  <si>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</si>
  <si>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</si>
  <si>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</si>
  <si>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</si>
  <si>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</si>
  <si>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</si>
  <si>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</si>
  <si>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</si>
  <si>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</si>
  <si>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</si>
  <si>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</si>
  <si>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</si>
  <si>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</si>
  <si>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</si>
  <si>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</si>
  <si>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</si>
  <si>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</si>
  <si>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</si>
  <si>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</si>
  <si>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</si>
  <si>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</si>
  <si>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</si>
  <si>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</si>
  <si>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</si>
  <si>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</si>
  <si>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</si>
  <si>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</si>
  <si>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</si>
  <si>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</si>
  <si>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</si>
  <si>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</si>
  <si>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</si>
  <si>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</si>
  <si>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</si>
  <si>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</si>
  <si>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</si>
  <si>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</si>
  <si>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</si>
  <si>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</si>
  <si>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</si>
  <si>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</si>
  <si>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</si>
  <si>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</si>
  <si>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</si>
  <si>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</si>
  <si>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</si>
  <si>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</si>
  <si>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</si>
  <si>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</si>
  <si>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</si>
  <si>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</si>
  <si>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</si>
  <si>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</si>
  <si>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</si>
  <si>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</si>
  <si>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</si>
  <si>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</si>
  <si>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</si>
  <si>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</si>
  <si>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</si>
  <si>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</si>
  <si>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</si>
  <si>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</si>
  <si>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</si>
  <si>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</si>
  <si>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</si>
  <si>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</si>
  <si>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</si>
  <si>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</si>
  <si>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</si>
  <si>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</si>
  <si>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</si>
  <si>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</si>
  <si>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</si>
  <si>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</si>
  <si>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</si>
  <si>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</si>
  <si>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</si>
  <si>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</si>
  <si>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</si>
  <si>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</si>
  <si>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</si>
  <si>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</si>
  <si>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</si>
  <si>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</si>
  <si>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</si>
  <si>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</si>
  <si>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</si>
  <si>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</si>
  <si>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</si>
  <si>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</si>
  <si>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</si>
  <si>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</si>
  <si>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</si>
  <si>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</si>
  <si>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</si>
  <si>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</si>
  <si>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</si>
  <si>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</si>
  <si>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</si>
  <si>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</si>
  <si>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</si>
  <si>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</si>
  <si>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</si>
  <si>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</si>
  <si>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</si>
  <si>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</si>
  <si>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</si>
  <si>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</si>
  <si>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</si>
  <si>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</si>
  <si>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</si>
  <si>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</si>
  <si>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</si>
  <si>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</si>
  <si>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</si>
  <si>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</si>
  <si>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</si>
  <si>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</si>
  <si>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</si>
  <si>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</si>
  <si>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</si>
  <si>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</si>
  <si>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</si>
  <si>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</si>
  <si>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</si>
  <si>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</si>
  <si>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</si>
  <si>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</si>
  <si>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</si>
  <si>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</si>
  <si>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</si>
  <si>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</si>
  <si>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</si>
  <si>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</si>
  <si>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</si>
  <si>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</si>
  <si>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</si>
  <si>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</si>
  <si>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</si>
  <si>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</si>
  <si>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</si>
  <si>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</si>
  <si>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</si>
  <si>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</si>
  <si>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</si>
  <si>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</si>
  <si>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</si>
  <si>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</si>
  <si>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</si>
  <si>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</si>
  <si>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</si>
  <si>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</si>
  <si>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</si>
  <si>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</si>
  <si>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</si>
  <si>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</si>
  <si>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</si>
  <si>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</si>
  <si>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</si>
  <si>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</si>
  <si>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</si>
  <si>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</si>
  <si>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</si>
  <si>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</si>
  <si>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</si>
  <si>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</si>
  <si>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</si>
  <si>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</si>
  <si>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</si>
  <si>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</si>
  <si>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</si>
  <si>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</si>
  <si>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</si>
  <si>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</si>
  <si>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</si>
  <si>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</si>
  <si>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</si>
  <si>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</si>
  <si>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</si>
  <si>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</si>
  <si>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</si>
  <si>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</si>
  <si>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</si>
  <si>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</si>
  <si>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</si>
  <si>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</si>
  <si>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</si>
  <si>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</si>
  <si>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</si>
  <si>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</si>
  <si>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</si>
  <si>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</si>
  <si>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</si>
  <si>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</si>
  <si>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</si>
  <si>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</si>
  <si>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</si>
  <si>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</si>
  <si>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</si>
  <si>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</si>
  <si>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</si>
  <si>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</si>
  <si>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</si>
  <si>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</si>
  <si>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</si>
  <si>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</si>
  <si>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</si>
  <si>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</si>
  <si>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</si>
  <si>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</si>
  <si>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</si>
  <si>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</si>
  <si>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</si>
  <si>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</si>
  <si>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</si>
  <si>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</si>
  <si>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</si>
  <si>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</si>
  <si>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</si>
  <si>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</si>
  <si>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</si>
  <si>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</si>
  <si>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</si>
  <si>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</si>
  <si>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</si>
  <si>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</si>
  <si>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</si>
  <si>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</si>
  <si>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</si>
  <si>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</si>
  <si>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</si>
  <si>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</si>
  <si>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</si>
  <si>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</si>
  <si>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</si>
  <si>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</si>
  <si>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</si>
  <si>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</si>
  <si>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</si>
  <si>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</si>
  <si>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</si>
  <si>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</si>
  <si>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</si>
  <si>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</si>
  <si>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</si>
  <si>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</si>
  <si>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</si>
  <si>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</si>
  <si>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</si>
  <si>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</si>
  <si>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</si>
  <si>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</si>
  <si>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</si>
  <si>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</si>
  <si>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</si>
  <si>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</si>
  <si>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</si>
  <si>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</si>
  <si>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</si>
  <si>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</si>
  <si>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</si>
  <si>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</si>
  <si>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</si>
  <si>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</si>
  <si>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</si>
  <si>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</si>
  <si>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</si>
  <si>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</si>
  <si>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</si>
  <si>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</si>
  <si>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</si>
  <si>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</si>
  <si>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</si>
  <si>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</si>
  <si>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</si>
  <si>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</si>
  <si>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</si>
  <si>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</si>
  <si>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</si>
  <si>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</si>
  <si>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</si>
  <si>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</si>
  <si>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</si>
  <si>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</si>
  <si>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</si>
  <si>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</si>
  <si>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</si>
  <si>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</si>
  <si>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</si>
  <si>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</si>
  <si>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</si>
  <si>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</si>
  <si>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</si>
  <si>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</si>
  <si>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</si>
  <si>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</si>
  <si>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</si>
  <si>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</si>
  <si>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</si>
  <si>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</si>
  <si>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</si>
  <si>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</si>
  <si>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</si>
  <si>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</si>
  <si>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</si>
  <si>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</si>
  <si>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</si>
  <si>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</si>
  <si>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</si>
  <si>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</si>
  <si>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</si>
  <si>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</si>
  <si>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</si>
  <si>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</si>
  <si>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</si>
  <si>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</si>
  <si>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</si>
  <si>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</si>
  <si>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</si>
  <si>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</si>
  <si>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</si>
  <si>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</si>
  <si>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</si>
  <si>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</si>
  <si>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</si>
  <si>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</si>
  <si>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</si>
  <si>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</si>
  <si>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</si>
  <si>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</si>
  <si>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</si>
  <si>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</si>
  <si>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</si>
  <si>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</si>
  <si>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</si>
  <si>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</si>
  <si>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</si>
  <si>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</si>
  <si>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</si>
  <si>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</si>
  <si>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</si>
  <si>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</si>
  <si>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</si>
  <si>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</si>
  <si>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</si>
  <si>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</si>
  <si>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</si>
  <si>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</si>
  <si>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</si>
  <si>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</si>
  <si>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</si>
  <si>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</si>
  <si>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</si>
  <si>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</si>
  <si>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</si>
  <si>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</si>
  <si>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</si>
  <si>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</si>
  <si>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</si>
  <si>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</si>
  <si>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</si>
  <si>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</si>
  <si>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</si>
  <si>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</si>
  <si>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</si>
  <si>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</si>
  <si>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</si>
  <si>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</si>
  <si>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</si>
  <si>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</si>
  <si>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</si>
  <si>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</si>
  <si>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</si>
  <si>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</si>
  <si>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</si>
  <si>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</si>
  <si>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</si>
  <si>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</si>
  <si>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</si>
  <si>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</si>
  <si>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</si>
  <si>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</si>
  <si>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</si>
  <si>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</si>
  <si>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</si>
  <si>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</si>
  <si>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</si>
  <si>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</si>
  <si>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</si>
  <si>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</si>
  <si>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</si>
  <si>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</si>
  <si>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</si>
  <si>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</si>
  <si>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</si>
  <si>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</si>
  <si>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</si>
  <si>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</si>
  <si>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</si>
  <si>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</si>
  <si>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</si>
  <si>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</si>
  <si>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</si>
  <si>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</si>
  <si>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</si>
  <si>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</si>
  <si>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</si>
  <si>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</si>
  <si>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</si>
  <si>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</si>
  <si>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</si>
  <si>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</si>
  <si>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</si>
  <si>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</si>
  <si>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</si>
  <si>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</si>
  <si>
    <t>Equip, OnHeal, OnDamage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</si>
</sst>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5">
  <autoFilter ref="B12:G42" xr:uid="{00000000-0009-0000-0100-00000B000000}"/>
  <tableColumns count="6">
    <tableColumn id="11" xr3:uid="{00000000-0010-0000-0100-00000B000000}" name="층" dataDxfId="9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3"/>
    <tableColumn id="6" xr3:uid="{00000000-0010-0000-0100-000006000000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1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0" totalsRowDxfId="89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400-000001000000}" name="스텟" dataDxfId="84"/>
    <tableColumn id="2" xr3:uid="{00000000-0010-0000-0400-000002000000}" name="참조 테이블" dataDxfId="83"/>
    <tableColumn id="3" xr3:uid="{00000000-0010-0000-0400-000003000000}" name="설명" dataDxfId="82"/>
    <tableColumn id="4" xr3:uid="{00000000-0010-0000-04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0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79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8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7"/>
    <tableColumn id="4" xr3:uid="{00000000-0010-0000-0700-000004000000}" name="획득 무기"/>
    <tableColumn id="5" xr3:uid="{00000000-0010-0000-0700-000005000000}" name="획득 골드" dataDxfId="76">
      <calculatedColumnFormula array="1">밸런스시트[[#This Row],[방 개수]]*표10[방 평균 골드]</calculatedColumnFormula>
    </tableColumn>
    <tableColumn id="6" xr3:uid="{00000000-0010-0000-0700-000006000000}" name="적 체력" dataDxfId="75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4">
      <calculatedColumnFormula array="1">CharacterAtkTable['#던진공 차징1 튕겨내기 DPS]</calculatedColumnFormula>
    </tableColumn>
    <tableColumn id="10" xr3:uid="{00000000-0010-0000-07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2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0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69"/>
    <tableColumn id="3" xr3:uid="{00000000-0010-0000-0900-000003000000}" name="value"/>
    <tableColumn id="4" xr3:uid="{00000000-0010-0000-09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7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6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5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4"/>
    <tableColumn id="7" xr3:uid="{00000000-0010-0000-0B00-000007000000}" name="SwingCooldown" dataDxfId="63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2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1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0"/>
    <tableColumn id="14" xr3:uid="{00000000-0010-0000-0C00-00000E000000}" name="#드랍테이블2" dataDxfId="59"/>
    <tableColumn id="15" xr3:uid="{00000000-0010-0000-0C00-00000F000000}" name="#드랍테이블3" dataDxfId="58"/>
    <tableColumn id="16" xr3:uid="{00000000-0010-0000-0C00-000010000000}" name="#드랍테이블4" dataDxfId="57"/>
    <tableColumn id="17" xr3:uid="{00000000-0010-0000-0C00-000011000000}" name="#드랍테이블5" dataDxfId="56"/>
    <tableColumn id="18" xr3:uid="{00000000-0010-0000-0C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4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3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2"/>
    <tableColumn id="19" xr3:uid="{00000000-0010-0000-0E00-000013000000}" name="#" dataDxfId="51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0"/>
    <tableColumn id="17" xr3:uid="{00000000-0010-0000-0E00-000011000000}" name="#기준 적 체력 비율"/>
    <tableColumn id="18" xr3:uid="{00000000-0010-0000-0E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8"/>
    <tableColumn id="3" xr3:uid="{00000000-0010-0000-0F00-000003000000}" name="ShootDataId" dataDxfId="4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3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1">
  <autoFilter ref="B2:S29" xr:uid="{00000000-0009-0000-0100-000004000000}"/>
  <tableColumns count="18">
    <tableColumn id="1" xr3:uid="{00000000-0010-0000-1200-000001000000}" name="Index" dataDxfId="40"/>
    <tableColumn id="2" xr3:uid="{00000000-0010-0000-1200-000002000000}" name="Name" dataDxfId="39"/>
    <tableColumn id="3" xr3:uid="{00000000-0010-0000-1200-000003000000}" name="Desc" dataDxfId="38"/>
    <tableColumn id="18" xr3:uid="{00000000-0010-0000-1200-000012000000}" name="PlusDesc" dataDxfId="37"/>
    <tableColumn id="19" xr3:uid="{00000000-0010-0000-1200-000013000000}" name="MinusDesc" dataDxfId="36"/>
    <tableColumn id="4" xr3:uid="{00000000-0010-0000-1200-000004000000}" name="GradeType" dataDxfId="35"/>
    <tableColumn id="5" xr3:uid="{00000000-0010-0000-1200-000005000000}" name="Value" dataDxfId="34"/>
    <tableColumn id="6" xr3:uid="{00000000-0010-0000-1200-000006000000}" name="CostHp" dataDxfId="33"/>
    <tableColumn id="7" xr3:uid="{00000000-0010-0000-1200-000007000000}" name="CostGold" dataDxfId="32"/>
    <tableColumn id="8" xr3:uid="{00000000-0010-0000-1200-000008000000}" name="ItemEffectDataId" dataDxfId="31"/>
    <tableColumn id="9" xr3:uid="{00000000-0010-0000-1200-000009000000}" name="ItemIconPath" dataDxfId="30"/>
    <tableColumn id="10" xr3:uid="{00000000-0010-0000-1200-00000A000000}" name="#자료 위치 변환기" dataDxfId="29"/>
    <tableColumn id="11" xr3:uid="{00000000-0010-0000-1200-00000B000000}" name="#" dataDxfId="28"/>
    <tableColumn id="12" xr3:uid="{00000000-0010-0000-1200-00000C000000}" name="#2" dataDxfId="27"/>
    <tableColumn id="13" xr3:uid="{00000000-0010-0000-1200-00000D000000}" name="#3" dataDxfId="26"/>
    <tableColumn id="14" xr3:uid="{00000000-0010-0000-1200-00000E000000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4"/>
    <tableColumn id="15" xr3:uid="{00000000-0010-0000-1200-00000F000000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2">
  <autoFilter ref="B2:K26" xr:uid="{00000000-0009-0000-0100-000001000000}"/>
  <tableColumns count="10">
    <tableColumn id="2" xr3:uid="{00000000-0010-0000-1300-000002000000}" name="#이름값" dataDxfId="21">
      <calculatedColumnFormula>INDEX(ItemTable[Name],MATCH(ItemEffectTable[[#This Row],[Index]],ItemTable[ItemEffectDataId],0))</calculatedColumnFormula>
    </tableColumn>
    <tableColumn id="3" xr3:uid="{00000000-0010-0000-13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300-000004000000}" name="Index" dataDxfId="1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8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H29" totalsRowShown="0" headerRowDxfId="17">
  <autoFilter ref="B2:H29" xr:uid="{00000000-0009-0000-0100-000016000000}"/>
  <tableColumns count="7"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1" totalsRowShown="0" headerRowDxfId="13">
  <autoFilter ref="B2:L11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584</v>
      </c>
    </row>
    <row r="12" spans="2:13">
      <c r="B12" s="12" t="s">
        <v>583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592</v>
      </c>
      <c r="H12" s="12"/>
      <c r="J12" s="12" t="s">
        <v>583</v>
      </c>
      <c r="K12" s="12" t="s">
        <v>591</v>
      </c>
      <c r="L12" s="12" t="s">
        <v>593</v>
      </c>
      <c r="M12" s="12" t="s">
        <v>594</v>
      </c>
    </row>
    <row r="13" spans="2:13">
      <c r="B13" s="12" t="s">
        <v>586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595</v>
      </c>
      <c r="M18" s="12">
        <f>표24[[#Totals],[층 완료 획득]]/30</f>
        <v>16.933333333333334</v>
      </c>
    </row>
    <row r="19" spans="2:13">
      <c r="B19" s="12" t="s">
        <v>585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596</v>
      </c>
      <c r="M19" s="12">
        <f>표24[[#Totals],[층 완료 획득]]/50</f>
        <v>10.16</v>
      </c>
    </row>
    <row r="20" spans="2:13">
      <c r="B20" s="12" t="s">
        <v>585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590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590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589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589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589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589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589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589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589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589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ht="18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ht="18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546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510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632</v>
      </c>
      <c r="J2" s="49" t="s">
        <v>616</v>
      </c>
      <c r="K2" s="6" t="s">
        <v>29</v>
      </c>
      <c r="L2" s="7" t="s">
        <v>216</v>
      </c>
      <c r="M2" s="7" t="s">
        <v>224</v>
      </c>
      <c r="N2" s="50" t="s">
        <v>630</v>
      </c>
      <c r="O2" s="31" t="s">
        <v>631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590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0.5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644</v>
      </c>
      <c r="D4" s="14" t="s">
        <v>392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645</v>
      </c>
      <c r="D5" s="14" t="s">
        <v>395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635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646</v>
      </c>
      <c r="D6" s="14" t="s">
        <v>414</v>
      </c>
      <c r="E6">
        <f>표14[적 기준 체력]*EnemyGameData[[#This Row],['#기준 적 체력 비율]]</f>
        <v>80</v>
      </c>
      <c r="F6">
        <v>12</v>
      </c>
      <c r="G6" t="s">
        <v>301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636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637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12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638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12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647</v>
      </c>
      <c r="D9" s="14" t="s">
        <v>417</v>
      </c>
      <c r="E9">
        <f>표14[적 기준 체력]*EnemyGameData[[#This Row],['#기준 적 체력 비율]]</f>
        <v>100</v>
      </c>
      <c r="F9">
        <v>12</v>
      </c>
      <c r="G9" t="s">
        <v>301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639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648</v>
      </c>
      <c r="D11" s="14" t="s">
        <v>420</v>
      </c>
      <c r="E11">
        <f>표14[적 기준 체력]*EnemyGameData[[#This Row],['#기준 적 체력 비율]]</f>
        <v>80</v>
      </c>
      <c r="F11">
        <v>12</v>
      </c>
      <c r="G11" t="s">
        <v>301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642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649</v>
      </c>
      <c r="D12" s="14" t="s">
        <v>391</v>
      </c>
      <c r="E12">
        <f>표14[적 기준 체력]*EnemyGameData[[#This Row],['#기준 적 체력 비율]]</f>
        <v>140</v>
      </c>
      <c r="F12">
        <v>12</v>
      </c>
      <c r="G12" s="17" t="s">
        <v>629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643</v>
      </c>
      <c r="U12">
        <v>1.4</v>
      </c>
      <c r="V12">
        <v>7</v>
      </c>
    </row>
    <row r="13" spans="2:22">
      <c r="B13" s="51">
        <v>551</v>
      </c>
      <c r="C13" s="52" t="s">
        <v>650</v>
      </c>
      <c r="D13" s="52" t="s">
        <v>396</v>
      </c>
      <c r="E13" s="51">
        <f>표14[적 기준 체력]*EnemyGameData[[#This Row],['#기준 적 체력 비율]]</f>
        <v>160</v>
      </c>
      <c r="F13" s="51">
        <v>12</v>
      </c>
      <c r="G13" s="51" t="s">
        <v>120</v>
      </c>
      <c r="H13" s="51">
        <v>4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635</v>
      </c>
      <c r="U13" s="51">
        <v>1.6</v>
      </c>
      <c r="V13" s="51">
        <v>7</v>
      </c>
    </row>
    <row r="14" spans="2:22">
      <c r="B14">
        <v>552</v>
      </c>
      <c r="C14" s="14" t="s">
        <v>651</v>
      </c>
      <c r="D14" s="14" t="s">
        <v>415</v>
      </c>
      <c r="E14">
        <f>표14[적 기준 체력]*EnemyGameData[[#This Row],['#기준 적 체력 비율]]</f>
        <v>140</v>
      </c>
      <c r="F14">
        <v>12</v>
      </c>
      <c r="G14" t="s">
        <v>301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641</v>
      </c>
      <c r="U14">
        <v>1.4</v>
      </c>
      <c r="V14">
        <v>7</v>
      </c>
    </row>
    <row r="15" spans="2:22">
      <c r="B15">
        <v>553</v>
      </c>
      <c r="C15" s="15" t="s">
        <v>652</v>
      </c>
      <c r="D15" s="14" t="s">
        <v>416</v>
      </c>
      <c r="E15">
        <f>표14[적 기준 체력]*EnemyGameData[[#This Row],['#기준 적 체력 비율]]</f>
        <v>160</v>
      </c>
      <c r="F15">
        <v>12</v>
      </c>
      <c r="G15" t="s">
        <v>301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640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633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542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542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542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600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600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600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600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topLeftCell="A4"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543</v>
      </c>
      <c r="D4" t="b">
        <v>1</v>
      </c>
      <c r="E4">
        <v>0.8</v>
      </c>
      <c r="F4">
        <v>15</v>
      </c>
      <c r="G4" s="12" t="s">
        <v>602</v>
      </c>
    </row>
    <row r="5" spans="2:7">
      <c r="B5">
        <v>203</v>
      </c>
      <c r="C5" s="12" t="s">
        <v>601</v>
      </c>
      <c r="D5" t="b">
        <v>1</v>
      </c>
      <c r="E5">
        <v>1.2</v>
      </c>
      <c r="F5">
        <v>30</v>
      </c>
      <c r="G5" s="12" t="s">
        <v>619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A4" zoomScale="136" zoomScaleNormal="136" zoomScaleSheetLayoutView="100" workbookViewId="0">
      <selection activeCell="B12" sqref="B12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607</v>
      </c>
      <c r="E8" s="17" t="s">
        <v>615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610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560</v>
      </c>
      <c r="E12" s="12" t="s">
        <v>517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575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574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599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561</v>
      </c>
      <c r="E16" s="12" t="s">
        <v>627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552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567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569</v>
      </c>
      <c r="E19" s="25" t="s">
        <v>580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538</v>
      </c>
      <c r="D20" s="17" t="s">
        <v>539</v>
      </c>
      <c r="E20" s="17" t="s">
        <v>618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554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628</v>
      </c>
      <c r="F21" s="25" t="s">
        <v>626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564</v>
      </c>
      <c r="E22" s="25" t="s">
        <v>605</v>
      </c>
      <c r="F22" s="25" t="s">
        <v>563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579</v>
      </c>
      <c r="F24" s="48" t="s">
        <v>578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545</v>
      </c>
      <c r="D25" s="25" t="s">
        <v>386</v>
      </c>
      <c r="E25" s="25" t="s">
        <v>612</v>
      </c>
      <c r="F25" s="25" t="s">
        <v>621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534</v>
      </c>
      <c r="D26" s="15" t="s">
        <v>581</v>
      </c>
      <c r="E26" s="19" t="s">
        <v>535</v>
      </c>
      <c r="F26" s="19"/>
      <c r="G26" s="17" t="s">
        <v>514</v>
      </c>
      <c r="H26">
        <v>1</v>
      </c>
      <c r="I26">
        <v>50</v>
      </c>
      <c r="J26">
        <v>100</v>
      </c>
      <c r="K26">
        <v>10000</v>
      </c>
      <c r="L26" s="12" t="s">
        <v>550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555</v>
      </c>
      <c r="D27" s="36" t="s">
        <v>562</v>
      </c>
      <c r="E27" s="36" t="s">
        <v>553</v>
      </c>
      <c r="F27" s="36"/>
      <c r="G27" s="17" t="s">
        <v>514</v>
      </c>
      <c r="H27">
        <v>1</v>
      </c>
      <c r="I27">
        <v>50</v>
      </c>
      <c r="J27">
        <v>100</v>
      </c>
      <c r="K27">
        <v>10001</v>
      </c>
      <c r="L27" s="12" t="s">
        <v>551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556</v>
      </c>
      <c r="D28" s="36" t="s">
        <v>558</v>
      </c>
      <c r="E28" s="36" t="s">
        <v>559</v>
      </c>
      <c r="F28" s="36"/>
      <c r="G28" s="17" t="s">
        <v>514</v>
      </c>
      <c r="H28">
        <v>1</v>
      </c>
      <c r="I28">
        <v>50</v>
      </c>
      <c r="J28">
        <v>100</v>
      </c>
      <c r="K28">
        <v>10002</v>
      </c>
      <c r="L28" s="12" t="s">
        <v>582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536</v>
      </c>
      <c r="D29" s="36" t="s">
        <v>557</v>
      </c>
      <c r="E29" s="36" t="s">
        <v>544</v>
      </c>
      <c r="F29" s="36"/>
      <c r="G29" s="17" t="s">
        <v>514</v>
      </c>
      <c r="H29">
        <v>1</v>
      </c>
      <c r="I29">
        <v>50</v>
      </c>
      <c r="J29">
        <v>100</v>
      </c>
      <c r="K29">
        <v>10003</v>
      </c>
      <c r="L29" s="12" t="s">
        <v>549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tabSelected="1" zoomScale="129" zoomScaleNormal="129" zoomScaleSheetLayoutView="100" workbookViewId="0">
      <selection activeCell="J21" sqref="J21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566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537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656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572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611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508</v>
      </c>
      <c r="J24" s="17" t="s">
        <v>507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K29"/>
  <sheetViews>
    <sheetView zoomScale="115" zoomScaleNormal="115" zoomScaleSheetLayoutView="100" workbookViewId="0">
      <selection activeCell="D27" sqref="D2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518</v>
      </c>
      <c r="H2" s="33" t="s">
        <v>527</v>
      </c>
    </row>
    <row r="3" spans="2:11">
      <c r="B3">
        <v>7000</v>
      </c>
      <c r="C3" s="17" t="s">
        <v>184</v>
      </c>
      <c r="D3" s="17">
        <v>1</v>
      </c>
      <c r="E3" s="12" t="s">
        <v>613</v>
      </c>
      <c r="F3" s="17">
        <v>-1</v>
      </c>
      <c r="G3" s="19" t="s">
        <v>614</v>
      </c>
      <c r="H3" s="19"/>
    </row>
    <row r="4" spans="2:11" ht="18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525</v>
      </c>
      <c r="H4" s="15"/>
    </row>
    <row r="5" spans="2:11">
      <c r="B5" s="17">
        <v>7002</v>
      </c>
      <c r="C5" s="17" t="s">
        <v>504</v>
      </c>
      <c r="D5" s="9">
        <v>0.5</v>
      </c>
      <c r="E5" t="s">
        <v>337</v>
      </c>
      <c r="F5">
        <v>-1</v>
      </c>
      <c r="G5" s="15" t="s">
        <v>624</v>
      </c>
      <c r="H5" s="15"/>
    </row>
    <row r="6" spans="2:11" ht="18">
      <c r="B6" s="25">
        <v>7003</v>
      </c>
      <c r="C6" s="44" t="s">
        <v>565</v>
      </c>
      <c r="D6" s="25">
        <v>0.2</v>
      </c>
      <c r="E6" t="s">
        <v>497</v>
      </c>
      <c r="F6" s="25">
        <v>5</v>
      </c>
      <c r="G6" s="18" t="s">
        <v>608</v>
      </c>
      <c r="H6" s="15"/>
    </row>
    <row r="7" spans="2:11" ht="18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524</v>
      </c>
      <c r="H7" s="15"/>
    </row>
    <row r="8" spans="2:11" ht="18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526</v>
      </c>
      <c r="H8" s="15"/>
    </row>
    <row r="9" spans="2:11" ht="18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597</v>
      </c>
      <c r="H9" s="42"/>
    </row>
    <row r="10" spans="2:11" ht="18">
      <c r="B10" s="17">
        <v>8001</v>
      </c>
      <c r="C10" s="9" t="s">
        <v>310</v>
      </c>
      <c r="D10" s="12" t="s">
        <v>598</v>
      </c>
      <c r="E10" t="s">
        <v>497</v>
      </c>
      <c r="F10">
        <v>-1</v>
      </c>
      <c r="G10" s="15" t="s">
        <v>528</v>
      </c>
      <c r="H10" s="20"/>
      <c r="K10" s="12"/>
    </row>
    <row r="11" spans="2:11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531</v>
      </c>
      <c r="H11" s="20"/>
    </row>
    <row r="12" spans="2:11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529</v>
      </c>
      <c r="H12" s="20"/>
    </row>
    <row r="13" spans="2:11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530</v>
      </c>
      <c r="H13" s="20"/>
    </row>
    <row r="14" spans="2:11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532</v>
      </c>
      <c r="H14" s="20"/>
    </row>
    <row r="15" spans="2:11" ht="18">
      <c r="B15" s="17">
        <v>8004</v>
      </c>
      <c r="C15" s="47" t="s">
        <v>606</v>
      </c>
      <c r="D15">
        <v>3</v>
      </c>
      <c r="E15" t="s">
        <v>497</v>
      </c>
      <c r="F15">
        <v>-1</v>
      </c>
      <c r="G15" s="15" t="s">
        <v>568</v>
      </c>
      <c r="H15" s="20"/>
    </row>
    <row r="16" spans="2:11" ht="18">
      <c r="B16" s="17">
        <v>8005</v>
      </c>
      <c r="C16" s="47" t="s">
        <v>622</v>
      </c>
      <c r="D16">
        <v>50</v>
      </c>
      <c r="E16" t="s">
        <v>497</v>
      </c>
      <c r="F16">
        <v>-1</v>
      </c>
      <c r="G16" s="15" t="s">
        <v>623</v>
      </c>
      <c r="H16" s="20"/>
    </row>
    <row r="17" spans="2:8" ht="18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625</v>
      </c>
      <c r="H17" s="20"/>
    </row>
    <row r="18" spans="2:8" ht="18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570</v>
      </c>
      <c r="H18" s="20"/>
    </row>
    <row r="19" spans="2:8" ht="18">
      <c r="B19" s="25">
        <v>9001</v>
      </c>
      <c r="C19" s="44" t="s">
        <v>573</v>
      </c>
      <c r="D19" s="25">
        <v>0.85</v>
      </c>
      <c r="E19" s="25" t="s">
        <v>337</v>
      </c>
      <c r="F19" s="25">
        <v>4</v>
      </c>
      <c r="G19" s="18" t="s">
        <v>604</v>
      </c>
      <c r="H19" s="20"/>
    </row>
    <row r="20" spans="2:8" ht="18">
      <c r="B20" s="25">
        <v>9101</v>
      </c>
      <c r="C20" s="44" t="s">
        <v>573</v>
      </c>
      <c r="D20" s="25">
        <v>1.3</v>
      </c>
      <c r="E20" s="25" t="s">
        <v>337</v>
      </c>
      <c r="F20" s="25">
        <v>-1</v>
      </c>
      <c r="G20" s="18" t="s">
        <v>571</v>
      </c>
      <c r="H20" s="20"/>
    </row>
    <row r="21" spans="2:8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533</v>
      </c>
      <c r="H21" s="20"/>
    </row>
    <row r="22" spans="2:8" ht="18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576</v>
      </c>
      <c r="H22" s="20"/>
    </row>
    <row r="23" spans="2:8" ht="18">
      <c r="B23" s="17">
        <v>9003</v>
      </c>
      <c r="C23" s="47" t="s">
        <v>565</v>
      </c>
      <c r="D23">
        <v>0.6</v>
      </c>
      <c r="E23" t="s">
        <v>497</v>
      </c>
      <c r="F23">
        <v>-1</v>
      </c>
      <c r="G23" s="15" t="s">
        <v>577</v>
      </c>
      <c r="H23" s="20"/>
    </row>
    <row r="24" spans="2:8">
      <c r="B24" s="17">
        <v>9104</v>
      </c>
      <c r="C24" s="12" t="s">
        <v>617</v>
      </c>
      <c r="D24">
        <v>2</v>
      </c>
      <c r="E24" s="12" t="s">
        <v>603</v>
      </c>
      <c r="F24">
        <v>-1</v>
      </c>
      <c r="G24" s="15" t="s">
        <v>620</v>
      </c>
      <c r="H24" s="20"/>
    </row>
    <row r="25" spans="2:8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0.8</v>
      </c>
      <c r="E26" t="s">
        <v>337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0.8</v>
      </c>
      <c r="E28" t="s">
        <v>337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1"/>
  <sheetViews>
    <sheetView zoomScale="200" zoomScaleNormal="200" zoomScaleSheetLayoutView="100" workbookViewId="0">
      <selection activeCell="H21" sqref="H21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540</v>
      </c>
      <c r="D2" s="17" t="s">
        <v>505</v>
      </c>
      <c r="E2" s="17" t="s">
        <v>481</v>
      </c>
      <c r="F2" s="17" t="s">
        <v>519</v>
      </c>
      <c r="G2" s="33" t="s">
        <v>482</v>
      </c>
      <c r="H2" s="17" t="s">
        <v>520</v>
      </c>
      <c r="I2" s="33" t="s">
        <v>483</v>
      </c>
      <c r="J2" s="33" t="s">
        <v>521</v>
      </c>
      <c r="K2" s="33" t="s">
        <v>548</v>
      </c>
      <c r="L2" s="33" t="s">
        <v>547</v>
      </c>
    </row>
    <row r="3" spans="2:12">
      <c r="B3" s="17">
        <v>7005</v>
      </c>
      <c r="C3" s="19" t="s">
        <v>653</v>
      </c>
      <c r="D3" s="17" t="s">
        <v>655</v>
      </c>
      <c r="E3">
        <v>1</v>
      </c>
      <c r="F3" s="15"/>
      <c r="H3" s="20"/>
      <c r="J3" s="20"/>
      <c r="L3" s="20"/>
    </row>
    <row r="4" spans="2:12">
      <c r="B4" s="17">
        <v>8005</v>
      </c>
      <c r="C4" s="19" t="s">
        <v>654</v>
      </c>
      <c r="D4" s="17" t="s">
        <v>655</v>
      </c>
      <c r="E4">
        <v>2</v>
      </c>
      <c r="F4" s="15"/>
      <c r="H4" s="20"/>
      <c r="J4" s="20"/>
      <c r="L4" s="20"/>
    </row>
    <row r="5" spans="2:12">
      <c r="B5" s="17">
        <v>8006</v>
      </c>
      <c r="C5" s="19" t="s">
        <v>541</v>
      </c>
      <c r="D5" s="17" t="s">
        <v>513</v>
      </c>
      <c r="E5">
        <v>800</v>
      </c>
      <c r="F5" s="15"/>
      <c r="G5">
        <v>1</v>
      </c>
      <c r="H5" s="20"/>
      <c r="J5" s="20"/>
      <c r="L5" s="20"/>
    </row>
    <row r="6" spans="2:12">
      <c r="B6" s="17">
        <v>9004</v>
      </c>
      <c r="C6" s="19" t="s">
        <v>609</v>
      </c>
      <c r="D6" s="17" t="s">
        <v>513</v>
      </c>
      <c r="E6">
        <v>802</v>
      </c>
      <c r="F6" s="15"/>
      <c r="G6">
        <v>0</v>
      </c>
      <c r="H6" s="20"/>
      <c r="J6" s="20"/>
      <c r="L6" s="20"/>
    </row>
    <row r="7" spans="2:12">
      <c r="B7" s="17">
        <v>9002</v>
      </c>
      <c r="C7" s="19"/>
      <c r="D7" s="17" t="s">
        <v>500</v>
      </c>
      <c r="E7" s="9"/>
      <c r="F7" s="41"/>
      <c r="H7" s="41"/>
      <c r="J7" s="20"/>
      <c r="L7" s="20"/>
    </row>
    <row r="8" spans="2:12">
      <c r="B8" s="17">
        <v>10000</v>
      </c>
      <c r="C8" s="19"/>
      <c r="D8" s="17" t="s">
        <v>485</v>
      </c>
      <c r="E8" s="9">
        <v>8</v>
      </c>
      <c r="F8" s="41"/>
      <c r="H8" s="41"/>
      <c r="J8" s="20"/>
      <c r="L8" s="20"/>
    </row>
    <row r="9" spans="2:12">
      <c r="B9">
        <v>10001</v>
      </c>
      <c r="C9" s="20"/>
      <c r="D9" s="17" t="s">
        <v>506</v>
      </c>
      <c r="E9">
        <v>6</v>
      </c>
      <c r="F9" s="20"/>
      <c r="G9">
        <v>30</v>
      </c>
      <c r="H9" s="20"/>
      <c r="I9">
        <v>3</v>
      </c>
      <c r="J9" s="20"/>
      <c r="K9">
        <v>4</v>
      </c>
      <c r="L9" s="20"/>
    </row>
    <row r="10" spans="2:12">
      <c r="B10">
        <v>10002</v>
      </c>
      <c r="C10" s="20"/>
      <c r="D10" s="17" t="s">
        <v>501</v>
      </c>
      <c r="E10">
        <v>0.5</v>
      </c>
      <c r="F10" s="15" t="s">
        <v>522</v>
      </c>
      <c r="G10">
        <v>5</v>
      </c>
      <c r="H10" s="15" t="s">
        <v>523</v>
      </c>
      <c r="J10" s="20"/>
      <c r="L10" s="20"/>
    </row>
    <row r="11" spans="2:12">
      <c r="B11">
        <v>10003</v>
      </c>
      <c r="C11" s="20"/>
      <c r="D11" s="17" t="s">
        <v>511</v>
      </c>
      <c r="E11">
        <v>10</v>
      </c>
      <c r="F11" s="20"/>
      <c r="G11">
        <v>90</v>
      </c>
      <c r="H11" s="20"/>
      <c r="I11">
        <v>1.2</v>
      </c>
      <c r="J11" s="20"/>
      <c r="L1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2023-09-23T15:00:36Z</dcterms:modified>
  <cp:version>1200.0100.01</cp:version>
</cp:coreProperties>
</file>