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6E6343D0-2EBD-3D42-B9CC-C3FAB2728224}" xr6:coauthVersionLast="47" xr6:coauthVersionMax="47" xr10:uidLastSave="{00000000-0000-0000-0000-000000000000}"/>
  <bookViews>
    <workbookView xWindow="0" yWindow="880" windowWidth="36000" windowHeight="22500" firstSheet="11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4" l="1"/>
  <c r="C25" i="14"/>
  <c r="Q33" i="13"/>
  <c r="S33" i="13" s="1"/>
  <c r="M32" i="13"/>
  <c r="Q32" i="13"/>
  <c r="S32" i="13" s="1"/>
  <c r="M27" i="13"/>
  <c r="K27" i="13" a="1"/>
  <c r="K27" i="13" s="1"/>
  <c r="I27" i="13" a="1"/>
  <c r="I27" i="13" s="1"/>
  <c r="Q27" i="13"/>
  <c r="S27" i="13" s="1"/>
  <c r="M26" i="13"/>
  <c r="K26" i="13" a="1"/>
  <c r="K26" i="13" s="1"/>
  <c r="I26" i="13" a="1"/>
  <c r="I26" i="13" s="1"/>
  <c r="Q26" i="13"/>
  <c r="S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1" i="13"/>
  <c r="S31" i="13" s="1"/>
  <c r="Q30" i="13"/>
  <c r="S30" i="13" s="1"/>
  <c r="Q29" i="13"/>
  <c r="S29" i="13" s="1"/>
  <c r="S28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C4" i="14" l="1"/>
  <c r="M18" i="2"/>
  <c r="B5" i="14"/>
  <c r="B5" i="19" s="1"/>
  <c r="B6" i="14"/>
  <c r="B6" i="19" s="1"/>
  <c r="B7" i="14"/>
  <c r="B7" i="19" s="1"/>
  <c r="C5" i="14"/>
  <c r="B3" i="14"/>
  <c r="B3" i="19" s="1"/>
  <c r="B4" i="14"/>
  <c r="B4" i="19" s="1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C32" i="14" s="1"/>
  <c r="B9" i="14"/>
  <c r="B9" i="19" s="1"/>
  <c r="C10" i="14"/>
  <c r="C12" i="14"/>
  <c r="C8" i="14"/>
  <c r="B11" i="14"/>
  <c r="C4" i="20" s="1"/>
  <c r="C9" i="14"/>
  <c r="C13" i="14"/>
  <c r="B12" i="14"/>
  <c r="B11" i="19" s="1"/>
  <c r="B13" i="14"/>
  <c r="B12" i="19" s="1"/>
  <c r="B10" i="14"/>
  <c r="B10" i="19" s="1"/>
  <c r="C11" i="14"/>
  <c r="B8" i="14"/>
  <c r="B32" i="14" l="1"/>
  <c r="C21" i="14"/>
  <c r="B31" i="14"/>
  <c r="C31" i="14"/>
  <c r="B8" i="19"/>
  <c r="C3" i="20"/>
  <c r="C26" i="14"/>
  <c r="B26" i="14"/>
  <c r="C11" i="20" s="1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B31" i="19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<sst xmlns="http://schemas.openxmlformats.org/spreadsheetml/2006/main" count="1266" uniqueCount="690">
  <si>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</si>
  <si>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</si>
  <si>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</si>
  <si>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</si>
  <si>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</si>
  <si>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</si>
  <si>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</si>
  <si>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</si>
  <si>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</si>
  <si>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</si>
  <si>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</si>
  <si>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</si>
  <si>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</si>
  <si>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</si>
  <si>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</si>
  <si>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</si>
  <si>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</si>
  <si>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</si>
  <si>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</si>
  <si>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</si>
  <si>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</si>
  <si>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</si>
  <si>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</si>
  <si>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</si>
  <si>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</si>
  <si>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</si>
  <si>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</si>
  <si>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</si>
  <si>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</si>
  <si>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</si>
  <si>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</si>
  <si>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</si>
  <si>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</si>
  <si>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</si>
  <si>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</si>
  <si>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</si>
  <si>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</si>
  <si>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</si>
  <si>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</si>
  <si>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</si>
  <si>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</si>
  <si>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</si>
  <si>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</si>
  <si>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</si>
  <si>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</si>
  <si>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</si>
  <si>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</si>
  <si>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</si>
  <si>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</si>
  <si>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</si>
  <si>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</si>
  <si>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</si>
  <si>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</si>
  <si>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</si>
  <si>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</si>
  <si>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</si>
  <si>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</si>
  <si>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</si>
  <si>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</si>
  <si>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</si>
  <si>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</si>
  <si>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</si>
  <si>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</si>
  <si>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</si>
  <si>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</si>
  <si>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</si>
  <si>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</si>
  <si>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</si>
  <si>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</si>
  <si>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</si>
  <si>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</si>
  <si>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</si>
  <si>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</si>
  <si>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</si>
  <si>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</si>
  <si>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</si>
  <si>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</si>
  <si>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</si>
  <si>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</si>
  <si>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</si>
  <si>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</si>
  <si>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</si>
  <si>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</si>
  <si>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</si>
  <si>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</si>
  <si>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</si>
  <si>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</si>
  <si>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</si>
  <si>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</si>
  <si>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</si>
  <si>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</si>
  <si>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</si>
  <si>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</si>
  <si>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</si>
  <si>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</si>
  <si>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</si>
  <si>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</si>
  <si>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</si>
  <si>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</si>
  <si>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</si>
  <si>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</si>
  <si>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</si>
  <si>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</si>
  <si>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</si>
  <si>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</si>
  <si>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</si>
  <si>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</si>
  <si>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</si>
  <si>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</si>
  <si>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</si>
  <si>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</si>
  <si>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</si>
  <si>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</si>
  <si>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</si>
  <si>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</si>
  <si>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</si>
  <si>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</si>
  <si>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</si>
  <si>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</si>
  <si>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</si>
  <si>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</si>
  <si>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</si>
  <si>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</si>
  <si>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</si>
  <si>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</si>
  <si>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</si>
  <si>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</si>
  <si>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</si>
  <si>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</si>
  <si>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</si>
  <si>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</si>
  <si>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</si>
  <si>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</si>
  <si>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</si>
  <si>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</si>
  <si>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</si>
  <si>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</si>
  <si>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</si>
  <si>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</si>
  <si>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</si>
  <si>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</si>
  <si>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</si>
  <si>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</si>
  <si>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</si>
  <si>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</si>
  <si>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</si>
  <si>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</si>
  <si>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</si>
  <si>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</si>
  <si>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</si>
  <si>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</si>
  <si>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</si>
  <si>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</si>
  <si>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</si>
  <si>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</si>
  <si>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</si>
  <si>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</si>
  <si>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</si>
  <si>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</si>
  <si>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</si>
  <si>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</si>
  <si>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</si>
  <si>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</si>
  <si>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</si>
  <si>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</si>
  <si>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</si>
  <si>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</si>
  <si>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</si>
  <si>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</si>
  <si>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</si>
  <si>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</si>
  <si>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</si>
  <si>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</si>
  <si>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</si>
  <si>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</si>
  <si>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</si>
  <si>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</si>
  <si>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</si>
  <si>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</si>
  <si>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</si>
  <si>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</si>
  <si>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</si>
  <si>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</si>
  <si>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</si>
  <si>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</si>
  <si>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</si>
  <si>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</si>
  <si>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</si>
  <si>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</si>
  <si>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</si>
  <si>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</si>
  <si>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</si>
  <si>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</si>
  <si>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</si>
  <si>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</si>
  <si>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</si>
  <si>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</si>
  <si>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</si>
  <si>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</si>
  <si>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</si>
  <si>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</si>
  <si>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</si>
  <si>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</si>
  <si>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</si>
  <si>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</si>
  <si>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</si>
  <si>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</si>
  <si>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</si>
  <si>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</si>
  <si>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</si>
  <si>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</si>
  <si>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</si>
  <si>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</si>
  <si>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</si>
  <si>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</si>
  <si>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</si>
  <si>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</si>
  <si>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</si>
  <si>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</si>
  <si>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</si>
  <si>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</si>
  <si>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</si>
  <si>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</si>
  <si>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</si>
  <si>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</si>
  <si>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</si>
  <si>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</si>
  <si>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</si>
  <si>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</si>
  <si>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</si>
  <si>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</si>
  <si>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</si>
  <si>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</si>
  <si>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</si>
  <si>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</si>
  <si>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</si>
  <si>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</si>
  <si>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</si>
  <si>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</si>
  <si>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</si>
  <si>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</si>
  <si>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</si>
  <si>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</si>
  <si>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냥냥냥. 모든 탄환이 적을 관통합니다.</t>
  </si>
  <si>
    <t>차징에 따른 충돌 횟수 변경 - 미차징</t>
  </si>
  <si>
    <t>[배트]로 쳐낸 공이 적을 관통합니다.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</si>
  <si>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</si>
  <si>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</si>
  <si>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</si>
  <si>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</si>
  <si>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</si>
  <si>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</si>
  <si>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</si>
  <si>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</si>
  <si>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</si>
  <si>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</si>
  <si>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</si>
  <si>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</si>
  <si>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</si>
  <si>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</si>
  <si>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</si>
  <si>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</si>
  <si>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</si>
  <si>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</si>
  <si>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</si>
  <si>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</si>
  <si>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</si>
  <si>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</si>
  <si>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</si>
  <si>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</si>
  <si>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</si>
  <si>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</si>
  <si>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</si>
  <si>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</si>
  <si>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</si>
  <si>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</si>
  <si>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</si>
  <si>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</si>
  <si>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</si>
  <si>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</si>
  <si>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</si>
  <si>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</si>
  <si>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</si>
  <si>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</si>
  <si>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</si>
  <si>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</si>
  <si>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</si>
  <si>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</si>
  <si>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</si>
  <si>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</si>
  <si>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</si>
  <si>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</si>
  <si>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</si>
  <si>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</si>
  <si>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</si>
  <si>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</si>
  <si>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</si>
  <si>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</si>
  <si>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</si>
  <si>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</si>
  <si>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</si>
  <si>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</si>
  <si>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</si>
  <si>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</si>
  <si>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</si>
  <si>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</si>
  <si>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</si>
  <si>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</si>
  <si>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</si>
  <si>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</si>
  <si>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</si>
  <si>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</si>
  <si>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</si>
  <si>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</si>
  <si>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</si>
  <si>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</si>
  <si>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</si>
  <si>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</si>
  <si>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</si>
  <si>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</si>
  <si>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</si>
  <si>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</si>
  <si>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</si>
  <si>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</si>
  <si>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</si>
  <si>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</si>
  <si>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</si>
  <si>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</si>
  <si>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</si>
  <si>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</si>
  <si>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</si>
  <si>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</si>
  <si>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</si>
  <si>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</si>
  <si>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</si>
  <si>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</si>
  <si>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</si>
  <si>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</si>
  <si>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</si>
  <si>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</si>
  <si>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</si>
  <si>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</si>
  <si>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</si>
  <si>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</si>
  <si>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</si>
  <si>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</si>
  <si>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</si>
  <si>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</si>
  <si>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</si>
  <si>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</si>
  <si>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</si>
  <si>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</si>
  <si>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</si>
  <si>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</si>
  <si>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</si>
  <si>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</si>
  <si>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</si>
  <si>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</si>
  <si>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</si>
  <si>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</si>
  <si>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</si>
  <si>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</si>
  <si>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</si>
  <si>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</si>
  <si>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</si>
  <si>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</si>
  <si>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</si>
  <si>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</si>
  <si>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</si>
  <si>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</si>
  <si>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</si>
  <si>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</si>
  <si>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</si>
  <si>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</si>
  <si>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</si>
  <si>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</si>
  <si>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</si>
  <si>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</si>
  <si>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</si>
  <si>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</si>
  <si>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</si>
  <si>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</si>
  <si>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</si>
  <si>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</si>
  <si>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</si>
  <si>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</si>
  <si>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</si>
  <si>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</si>
  <si>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</si>
  <si>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</si>
  <si>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</si>
  <si>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</si>
  <si>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</si>
  <si>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</si>
  <si>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</si>
  <si>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</si>
  <si>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</si>
  <si>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</si>
  <si>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</si>
  <si>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</si>
  <si>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</si>
  <si>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</si>
  <si>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</si>
  <si>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</si>
  <si>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</si>
  <si>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</si>
  <si>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</si>
  <si>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</si>
  <si>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</si>
  <si>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</si>
  <si>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</si>
  <si>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</si>
  <si>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</si>
  <si>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</si>
  <si>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</si>
  <si>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</si>
  <si>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</si>
  <si>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</si>
  <si>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</si>
  <si>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</si>
  <si>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</si>
  <si>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</si>
  <si>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</si>
  <si>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</si>
  <si>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</si>
  <si>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</si>
  <si>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</si>
  <si>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</si>
  <si>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</si>
  <si>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</si>
  <si>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</si>
  <si>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</si>
  <si>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</si>
  <si>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</si>
  <si>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</si>
  <si>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</si>
  <si>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</si>
  <si>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</si>
  <si>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</si>
  <si>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</si>
  <si>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</si>
  <si>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</si>
  <si>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</si>
  <si>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</si>
  <si>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</si>
  <si>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</si>
  <si>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</si>
  <si>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</si>
  <si>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</si>
  <si>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</si>
  <si>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</si>
  <si>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</si>
  <si>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</si>
  <si>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</si>
  <si>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</si>
  <si>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</si>
  <si>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</si>
  <si>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</si>
  <si>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</si>
  <si>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</si>
  <si>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</si>
  <si>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</si>
  <si>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</si>
  <si>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</si>
  <si>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</si>
  <si>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</si>
  <si>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</si>
  <si>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</si>
  <si>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</si>
  <si>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</si>
  <si>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</si>
  <si>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</si>
  <si>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</si>
  <si>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</si>
  <si>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</si>
  <si>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</si>
  <si>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</si>
  <si>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</si>
  <si>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</si>
  <si>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</si>
  <si>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</si>
  <si>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</si>
  <si>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</si>
  <si>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</si>
  <si>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</si>
  <si>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</si>
  <si>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</si>
  <si>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</si>
  <si>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</si>
  <si>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</si>
  <si>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</si>
  <si>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</si>
  <si>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</si>
  <si>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</si>
  <si>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</si>
  <si>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</si>
  <si>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</si>
  <si>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</si>
  <si>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</si>
  <si>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</si>
  <si>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</si>
  <si>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</si>
  <si>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</si>
  <si>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</si>
  <si>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</si>
  <si>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</si>
  <si>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</si>
  <si>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</si>
  <si>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</si>
  <si>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</si>
  <si>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</si>
  <si>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</si>
  <si>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</si>
  <si>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</si>
  <si>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</si>
  <si>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</si>
  <si>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</si>
  <si>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</si>
  <si>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</si>
  <si>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</si>
  <si>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</si>
  <si>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</si>
  <si>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</si>
  <si>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</si>
  <si>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</si>
  <si>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</si>
  <si>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</si>
  <si>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</si>
  <si>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</si>
  <si>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</si>
  <si>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</si>
  <si>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</si>
  <si>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</si>
  <si>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</si>
  <si>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</si>
  <si>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</si>
  <si>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</si>
  <si>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</si>
  <si>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</si>
  <si>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</si>
  <si>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</si>
  <si>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</si>
  <si>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</si>
  <si>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</si>
  <si>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</si>
  <si>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</si>
  <si>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</si>
  <si>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</si>
  <si>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</si>
  <si>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</si>
  <si>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</si>
  <si>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</si>
  <si>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</si>
  <si>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</si>
  <si>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</si>
  <si>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</si>
  <si>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</si>
  <si>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</si>
  <si>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</si>
  <si>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</si>
  <si>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</si>
  <si>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</si>
  <si>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</si>
  <si>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</si>
  <si>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</si>
  <si>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</si>
  <si>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</si>
  <si>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</si>
  <si>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</si>
  <si>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</si>
  <si>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</si>
  <si>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</si>
  <si>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</si>
  <si>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</si>
  <si>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</si>
  <si>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</si>
  <si>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</si>
  <si>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</si>
  <si>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</si>
  <si>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</si>
  <si>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</si>
  <si>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</si>
  <si>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</si>
  <si>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</si>
  <si>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</si>
  <si>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Prefabs/ItemProjectile2.prefab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</si>
  <si>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</si>
  <si>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</si>
  <si>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</si>
  <si>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</si>
  <si>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</si>
  <si>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</si>
  <si>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</si>
  <si>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</si>
  <si>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</si>
  <si>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</si>
  <si>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</si>
  <si>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</si>
  <si>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</si>
  <si>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</si>
  <si>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</si>
  <si>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</si>
  <si>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</si>
  <si>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</si>
  <si>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</si>
  <si>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</si>
  <si>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</si>
  <si>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</si>
  <si>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</si>
  <si>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</si>
  <si>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</si>
  <si>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</si>
  <si>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</si>
  <si>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</si>
  <si>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</si>
  <si>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</si>
  <si>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</si>
  <si>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</si>
  <si>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</si>
  <si>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</si>
  <si>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</si>
  <si>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</si>
  <si>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7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</si>
  <si>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</si>
  <si>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</si>
  <si>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</si>
  <si>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</si>
  <si>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</si>
  <si>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</si>
  <si>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</si>
  <si>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7" type="noConversion"/>
  </si>
  <si>
    <t>이동속도 30% 감소</t>
    <phoneticPr fontId="17" type="noConversion"/>
  </si>
  <si>
    <t>이동속도 -30%</t>
    <phoneticPr fontId="7" type="noConversion"/>
  </si>
  <si>
    <t>회피쿨타임 +50%</t>
    <phoneticPr fontId="7" type="noConversion"/>
  </si>
  <si>
    <t>회피 재사용대기 50%증가</t>
    <phoneticPr fontId="1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</si>
  <si>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</si>
  <si>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</si>
  <si>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t>공격 시 골드 -1</t>
    <phoneticPr fontId="7" type="noConversion"/>
  </si>
  <si>
    <t>공격범위 +40%, 공격속도+50%</t>
    <phoneticPr fontId="7" type="noConversion"/>
  </si>
  <si>
    <t>6초간 신경이 가속합니다.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</si>
  <si>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7" type="noConversion"/>
  </si>
  <si>
    <t>2023-09-24 변경사항이 존재하는 것들은 빨간색으로 표기함.</t>
    <phoneticPr fontId="7" type="noConversion"/>
  </si>
  <si>
    <t>공격범위 50%증가</t>
    <phoneticPr fontId="17" type="noConversion"/>
  </si>
  <si>
    <t>공격속도 40%증가</t>
    <phoneticPr fontId="1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</si>
  <si>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</si>
  <si>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</si>
  <si>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</si>
  <si>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레이저 쏠 때 1.5초간 멈춤</t>
    <phoneticPr fontId="17" type="noConversion"/>
  </si>
  <si>
    <t>SplashRectangle</t>
    <phoneticPr fontId="17" type="noConversion"/>
  </si>
  <si>
    <t>피해량</t>
    <phoneticPr fontId="17" type="noConversion"/>
  </si>
  <si>
    <t>폭</t>
    <phoneticPr fontId="17" type="noConversion"/>
  </si>
  <si>
    <t>길이</t>
    <phoneticPr fontId="17" type="noConversion"/>
  </si>
  <si>
    <t>#10004</t>
    <phoneticPr fontId="7" type="noConversion"/>
  </si>
  <si>
    <t>OnDamage</t>
    <phoneticPr fontId="7" type="noConversion"/>
  </si>
  <si>
    <t>#10004</t>
    <phoneticPr fontId="17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</si>
  <si>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</si>
  <si>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</si>
  <si>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7" type="noConversion"/>
  </si>
  <si>
    <t>공격 길이 300%상승</t>
    <phoneticPr fontId="17" type="noConversion"/>
  </si>
  <si>
    <t>SwingCentralAngle</t>
    <phoneticPr fontId="7" type="noConversion"/>
  </si>
  <si>
    <t>SwingCentralAngle</t>
    <phoneticPr fontId="17" type="noConversion"/>
  </si>
  <si>
    <t xml:space="preserve">공격 각 </t>
    <phoneticPr fontId="17" type="noConversion"/>
  </si>
  <si>
    <t>6초간 공격 길이가 300% 늘어납니다</t>
    <phoneticPr fontId="7" type="noConversion"/>
  </si>
  <si>
    <t>Equip, OnGoldChanged</t>
    <phoneticPr fontId="7" type="noConversion"/>
  </si>
  <si>
    <t>GreaterThan</t>
    <phoneticPr fontId="7" type="noConversion"/>
  </si>
  <si>
    <t>Gold</t>
    <phoneticPr fontId="7" type="noConversion"/>
  </si>
  <si>
    <t>AddGold</t>
    <phoneticPr fontId="17" type="noConversion"/>
  </si>
  <si>
    <t>골드 추가량</t>
    <phoneticPr fontId="17" type="noConversion"/>
  </si>
  <si>
    <t>icon/item//Passive_Item/item_02.png</t>
    <phoneticPr fontId="7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</si>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</sst>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4" fillId="0" borderId="0" xfId="0" quotePrefix="1" applyFont="1">
      <alignment vertical="center"/>
    </xf>
    <xf numFmtId="0" fontId="12" fillId="9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7" fillId="0" borderId="0" xfId="0" applyFont="1" applyAlignment="1">
      <alignment horizontal="right" vertical="center"/>
    </xf>
    <xf numFmtId="0" fontId="28" fillId="0" borderId="0" xfId="0" applyFont="1">
      <alignment vertical="center"/>
    </xf>
    <xf numFmtId="0" fontId="28" fillId="7" borderId="0" xfId="0" applyFont="1" applyFill="1">
      <alignment vertical="center"/>
    </xf>
    <xf numFmtId="0" fontId="27" fillId="0" borderId="0" xfId="0" applyFont="1">
      <alignment vertical="center"/>
    </xf>
    <xf numFmtId="0" fontId="25" fillId="0" borderId="0" xfId="0" applyFont="1" applyAlignment="1">
      <alignment vertical="center" wrapText="1"/>
    </xf>
    <xf numFmtId="0" fontId="25" fillId="7" borderId="0" xfId="0" applyFont="1" applyFill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44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42">
  <autoFilter ref="B2:S33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23">
  <autoFilter ref="B2:K32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31" totalsRowShown="0" headerRowDxfId="18">
  <autoFilter ref="B2:I31" xr:uid="{00000000-0009-0000-0100-000016000000}"/>
  <tableColumns count="8">
    <tableColumn id="3" xr3:uid="{E74DAA42-5E4A-4F89-AD3E-565200EEF3AE}" name="#열1" dataDxfId="17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13">
  <autoFilter ref="B2:L16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64" t="s">
        <v>288</v>
      </c>
      <c r="C1" s="65"/>
      <c r="D1" s="65"/>
      <c r="E1" s="65"/>
    </row>
    <row r="2" spans="2:5" s="1" customFormat="1">
      <c r="B2" s="65"/>
      <c r="C2" s="65"/>
      <c r="D2" s="65"/>
      <c r="E2" s="65"/>
    </row>
    <row r="3" spans="2:5" s="1" customFormat="1">
      <c r="B3" s="65"/>
      <c r="C3" s="65"/>
      <c r="D3" s="65"/>
      <c r="E3" s="6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64" t="s">
        <v>198</v>
      </c>
      <c r="C1" s="65"/>
      <c r="D1" s="65"/>
      <c r="E1" s="65"/>
    </row>
    <row r="2" spans="2:13" s="1" customFormat="1">
      <c r="B2" s="65"/>
      <c r="C2" s="65"/>
      <c r="D2" s="65"/>
      <c r="E2" s="65"/>
    </row>
    <row r="3" spans="2:13" s="1" customFormat="1">
      <c r="B3" s="65"/>
      <c r="C3" s="65"/>
      <c r="D3" s="65"/>
      <c r="E3" s="65"/>
    </row>
    <row r="5" spans="2:13">
      <c r="B5" s="2" t="s">
        <v>87</v>
      </c>
      <c r="J5" s="2" t="s">
        <v>431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432</v>
      </c>
      <c r="K6" s="12" t="s">
        <v>429</v>
      </c>
      <c r="L6" s="12" t="s">
        <v>426</v>
      </c>
      <c r="M6" s="12" t="s">
        <v>427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433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434</v>
      </c>
      <c r="K8">
        <v>0</v>
      </c>
      <c r="L8">
        <v>6</v>
      </c>
      <c r="M8">
        <v>12</v>
      </c>
    </row>
    <row r="9" spans="2:13">
      <c r="J9" t="s">
        <v>435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430</v>
      </c>
      <c r="C11" s="2"/>
      <c r="D11" s="2"/>
      <c r="J11" s="2" t="s">
        <v>552</v>
      </c>
    </row>
    <row r="12" spans="2:13">
      <c r="B12" s="12" t="s">
        <v>551</v>
      </c>
      <c r="C12" s="12" t="s">
        <v>428</v>
      </c>
      <c r="D12" s="12" t="s">
        <v>429</v>
      </c>
      <c r="E12" s="12" t="s">
        <v>426</v>
      </c>
      <c r="F12" s="12" t="s">
        <v>427</v>
      </c>
      <c r="G12" s="12" t="s">
        <v>560</v>
      </c>
      <c r="H12" s="12"/>
      <c r="J12" s="12" t="s">
        <v>551</v>
      </c>
      <c r="K12" s="12" t="s">
        <v>559</v>
      </c>
      <c r="L12" s="12" t="s">
        <v>561</v>
      </c>
      <c r="M12" s="12" t="s">
        <v>562</v>
      </c>
    </row>
    <row r="13" spans="2:13">
      <c r="B13" s="12" t="s">
        <v>554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554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554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556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553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558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553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435</v>
      </c>
      <c r="M16">
        <f>SUBTOTAL(109,표24[층 완료 획득])</f>
        <v>508</v>
      </c>
    </row>
    <row r="17" spans="2:13">
      <c r="B17" s="12" t="s">
        <v>553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553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563</v>
      </c>
      <c r="M18" s="12">
        <f>표24[[#Totals],[층 완료 획득]]/30</f>
        <v>16.933333333333334</v>
      </c>
    </row>
    <row r="19" spans="2:13">
      <c r="B19" s="12" t="s">
        <v>553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564</v>
      </c>
      <c r="M19" s="12">
        <f>표24[[#Totals],[층 완료 획득]]/50</f>
        <v>10.16</v>
      </c>
    </row>
    <row r="20" spans="2:13">
      <c r="B20" s="12" t="s">
        <v>553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553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553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556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556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555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555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555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555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555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555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555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555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558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558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557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557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557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557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557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557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557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557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64" t="s">
        <v>266</v>
      </c>
      <c r="C1" s="65"/>
      <c r="D1" s="65"/>
      <c r="E1" s="65"/>
      <c r="F1" s="65"/>
    </row>
    <row r="2" spans="1:21" s="1" customFormat="1">
      <c r="B2" s="65"/>
      <c r="C2" s="65"/>
      <c r="D2" s="65"/>
      <c r="E2" s="65"/>
      <c r="F2" s="65"/>
    </row>
    <row r="3" spans="1:21" s="1" customFormat="1">
      <c r="B3" s="65"/>
      <c r="C3" s="65"/>
      <c r="D3" s="65"/>
      <c r="E3" s="65"/>
      <c r="F3" s="6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306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270</v>
      </c>
      <c r="O6" t="s">
        <v>304</v>
      </c>
      <c r="P6" t="s">
        <v>268</v>
      </c>
      <c r="R6" t="s">
        <v>102</v>
      </c>
      <c r="S6" s="12" t="s">
        <v>436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247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301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255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292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264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293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312</v>
      </c>
      <c r="C18" s="9" t="s">
        <v>20</v>
      </c>
      <c r="D18" t="s">
        <v>303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244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299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300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317</v>
      </c>
      <c r="E25">
        <v>2</v>
      </c>
    </row>
    <row r="26" spans="1:5" ht="18">
      <c r="A26" s="9"/>
      <c r="B26" s="9" t="s">
        <v>250</v>
      </c>
      <c r="C26" s="9" t="s">
        <v>20</v>
      </c>
      <c r="D26" t="s">
        <v>318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256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344</v>
      </c>
      <c r="E30">
        <v>50</v>
      </c>
    </row>
    <row r="31" spans="1:5" ht="18">
      <c r="A31" s="9"/>
      <c r="B31" s="9" t="s">
        <v>254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251</v>
      </c>
      <c r="C5">
        <v>20</v>
      </c>
      <c r="D5" s="4" t="s">
        <v>8</v>
      </c>
    </row>
    <row r="6" spans="1:4">
      <c r="A6">
        <v>4</v>
      </c>
      <c r="B6" s="4" t="s">
        <v>253</v>
      </c>
      <c r="C6">
        <v>0.5</v>
      </c>
      <c r="D6" s="4" t="s">
        <v>194</v>
      </c>
    </row>
    <row r="7" spans="1:4">
      <c r="A7">
        <v>5</v>
      </c>
      <c r="B7" s="4" t="s">
        <v>295</v>
      </c>
      <c r="C7">
        <v>50</v>
      </c>
      <c r="D7" s="4" t="s">
        <v>343</v>
      </c>
    </row>
    <row r="8" spans="1:4">
      <c r="A8">
        <v>6</v>
      </c>
      <c r="B8" s="4" t="s">
        <v>298</v>
      </c>
      <c r="C8">
        <v>1</v>
      </c>
      <c r="D8" s="4" t="s">
        <v>167</v>
      </c>
    </row>
    <row r="9" spans="1:4">
      <c r="A9">
        <v>7</v>
      </c>
      <c r="B9" s="4" t="s">
        <v>342</v>
      </c>
      <c r="C9">
        <v>10</v>
      </c>
      <c r="D9" s="4" t="s">
        <v>340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262</v>
      </c>
      <c r="F2" t="s">
        <v>2</v>
      </c>
      <c r="G2" s="12" t="s">
        <v>524</v>
      </c>
      <c r="H2" t="s">
        <v>14</v>
      </c>
      <c r="I2" s="17" t="s">
        <v>492</v>
      </c>
      <c r="J2" t="s">
        <v>12</v>
      </c>
      <c r="K2" t="s">
        <v>26</v>
      </c>
      <c r="L2" t="s">
        <v>222</v>
      </c>
      <c r="M2" t="s">
        <v>255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H19" sqref="H1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5" t="s">
        <v>493</v>
      </c>
      <c r="E2" s="6" t="s">
        <v>292</v>
      </c>
      <c r="F2" s="44" t="s">
        <v>659</v>
      </c>
      <c r="G2" s="6" t="s">
        <v>312</v>
      </c>
      <c r="H2" s="6" t="s">
        <v>184</v>
      </c>
      <c r="I2" s="35" t="s">
        <v>595</v>
      </c>
      <c r="J2" s="44" t="s">
        <v>583</v>
      </c>
      <c r="K2" s="6" t="s">
        <v>29</v>
      </c>
      <c r="L2" s="7" t="s">
        <v>216</v>
      </c>
      <c r="M2" s="7" t="s">
        <v>224</v>
      </c>
      <c r="N2" s="45" t="s">
        <v>593</v>
      </c>
      <c r="O2" s="30" t="s">
        <v>594</v>
      </c>
      <c r="P2" s="1" t="s">
        <v>293</v>
      </c>
      <c r="Q2" s="5" t="s">
        <v>307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269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263</v>
      </c>
      <c r="G2" t="s">
        <v>15</v>
      </c>
      <c r="H2" t="s">
        <v>281</v>
      </c>
      <c r="I2" t="s">
        <v>207</v>
      </c>
      <c r="J2" t="s">
        <v>205</v>
      </c>
      <c r="K2" t="s">
        <v>267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554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556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558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497</v>
      </c>
      <c r="H2" t="s">
        <v>46</v>
      </c>
      <c r="I2" t="s">
        <v>91</v>
      </c>
    </row>
    <row r="3" spans="1:11">
      <c r="B3" s="25">
        <v>9001</v>
      </c>
      <c r="C3" s="27" t="s">
        <v>453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6" t="s">
        <v>452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6" t="s">
        <v>449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372</v>
      </c>
      <c r="B6">
        <v>9100</v>
      </c>
      <c r="C6" s="14" t="s">
        <v>450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8">
        <v>9101</v>
      </c>
      <c r="C7" s="29" t="s">
        <v>451</v>
      </c>
      <c r="D7" s="28">
        <v>4000</v>
      </c>
      <c r="E7" s="28">
        <v>2000</v>
      </c>
      <c r="F7" s="28">
        <v>2000</v>
      </c>
      <c r="G7" s="28">
        <v>0</v>
      </c>
      <c r="H7" s="28">
        <v>2000</v>
      </c>
      <c r="I7" s="28">
        <v>0</v>
      </c>
      <c r="K7">
        <f>SUM(DropTable[[#This Row],[Normal]:[Active]])</f>
        <v>8000</v>
      </c>
    </row>
    <row r="8" spans="1:11">
      <c r="A8" t="s">
        <v>47</v>
      </c>
      <c r="B8" s="28">
        <v>9102</v>
      </c>
      <c r="C8" s="29" t="s">
        <v>273</v>
      </c>
      <c r="D8" s="28">
        <v>4000</v>
      </c>
      <c r="E8" s="28">
        <v>2000</v>
      </c>
      <c r="F8" s="28">
        <v>2000</v>
      </c>
      <c r="G8" s="28">
        <v>0</v>
      </c>
      <c r="H8" s="28">
        <v>0</v>
      </c>
      <c r="I8" s="28">
        <v>2000</v>
      </c>
      <c r="K8">
        <f>SUM(DropTable[[#This Row],[Normal]:[Active]])</f>
        <v>8000</v>
      </c>
    </row>
    <row r="9" spans="1:11">
      <c r="A9" t="s">
        <v>47</v>
      </c>
      <c r="B9" s="28">
        <v>9103</v>
      </c>
      <c r="C9" s="29" t="s">
        <v>119</v>
      </c>
      <c r="D9" s="28">
        <v>4000</v>
      </c>
      <c r="E9" s="28">
        <v>2000</v>
      </c>
      <c r="F9" s="28">
        <v>2000</v>
      </c>
      <c r="G9" s="28">
        <v>0</v>
      </c>
      <c r="H9" s="28">
        <v>2000</v>
      </c>
      <c r="I9" s="28">
        <v>0</v>
      </c>
      <c r="K9">
        <f>SUM(DropTable[[#This Row],[Normal]:[Active]])</f>
        <v>8000</v>
      </c>
    </row>
    <row r="10" spans="1:11">
      <c r="A10" t="s">
        <v>47</v>
      </c>
      <c r="B10" s="28">
        <v>9104</v>
      </c>
      <c r="C10" s="29" t="s">
        <v>118</v>
      </c>
      <c r="D10" s="28">
        <v>0</v>
      </c>
      <c r="E10" s="28">
        <v>7000</v>
      </c>
      <c r="F10" s="28">
        <v>3000</v>
      </c>
      <c r="G10" s="28">
        <v>0</v>
      </c>
      <c r="H10" s="28">
        <v>0</v>
      </c>
      <c r="I10" s="28">
        <v>0</v>
      </c>
      <c r="K10">
        <f>SUM(DropTable[[#This Row],[Normal]:[Active]])</f>
        <v>10000</v>
      </c>
    </row>
    <row r="11" spans="1:11">
      <c r="A11" t="s">
        <v>47</v>
      </c>
      <c r="B11" s="28">
        <v>9105</v>
      </c>
      <c r="C11" s="29" t="s">
        <v>282</v>
      </c>
      <c r="D11" s="28">
        <v>0</v>
      </c>
      <c r="E11" s="28">
        <v>0</v>
      </c>
      <c r="F11" s="28">
        <v>0</v>
      </c>
      <c r="G11" s="28">
        <v>10000</v>
      </c>
      <c r="H11" s="28">
        <v>0</v>
      </c>
      <c r="I11" s="28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472</v>
      </c>
      <c r="D1" s="12" t="s">
        <v>372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456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3" t="s">
        <v>471</v>
      </c>
      <c r="D2" s="13" t="s">
        <v>372</v>
      </c>
      <c r="E2" t="s">
        <v>126</v>
      </c>
      <c r="F2" s="17" t="s">
        <v>448</v>
      </c>
      <c r="G2" t="s">
        <v>275</v>
      </c>
      <c r="H2" t="s">
        <v>277</v>
      </c>
      <c r="I2" s="17" t="s">
        <v>476</v>
      </c>
      <c r="J2" t="s">
        <v>2</v>
      </c>
      <c r="K2" s="17" t="s">
        <v>457</v>
      </c>
      <c r="L2" t="s">
        <v>197</v>
      </c>
      <c r="M2" t="s">
        <v>193</v>
      </c>
      <c r="N2" t="s">
        <v>195</v>
      </c>
      <c r="O2" t="s">
        <v>274</v>
      </c>
      <c r="P2" t="s">
        <v>203</v>
      </c>
      <c r="Q2" t="s">
        <v>280</v>
      </c>
      <c r="R2" t="s">
        <v>278</v>
      </c>
      <c r="S2" t="s">
        <v>11</v>
      </c>
      <c r="T2" t="s">
        <v>283</v>
      </c>
      <c r="U2" s="5" t="s">
        <v>285</v>
      </c>
      <c r="V2" s="5" t="s">
        <v>302</v>
      </c>
    </row>
    <row r="3" spans="2:22">
      <c r="B3">
        <v>500</v>
      </c>
      <c r="C3" s="4" t="s">
        <v>38</v>
      </c>
      <c r="D3" s="14" t="s">
        <v>373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469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607</v>
      </c>
      <c r="D4" s="14" t="s">
        <v>375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486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597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8" t="s">
        <v>608</v>
      </c>
      <c r="D5" s="14" t="s">
        <v>378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598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8" t="s">
        <v>609</v>
      </c>
      <c r="D6" s="14" t="s">
        <v>397</v>
      </c>
      <c r="E6">
        <f>표14[적 기준 체력]*EnemyGameData[[#This Row],['#기준 적 체력 비율]]</f>
        <v>80</v>
      </c>
      <c r="F6">
        <v>16</v>
      </c>
      <c r="G6" t="s">
        <v>284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599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600</v>
      </c>
      <c r="C7" s="22" t="s">
        <v>229</v>
      </c>
      <c r="D7" s="22" t="s">
        <v>401</v>
      </c>
      <c r="E7" s="21">
        <f>표14[적 기준 체력]*EnemyGameData[[#This Row],['#기준 적 체력 비율]]</f>
        <v>80</v>
      </c>
      <c r="F7">
        <v>16</v>
      </c>
      <c r="G7" s="21" t="s">
        <v>284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470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601</v>
      </c>
      <c r="C8" s="22" t="s">
        <v>230</v>
      </c>
      <c r="D8" s="22" t="s">
        <v>401</v>
      </c>
      <c r="E8" s="21">
        <f>표14[적 기준 체력]*EnemyGameData[[#This Row],['#기준 적 체력 비율]]</f>
        <v>100</v>
      </c>
      <c r="F8">
        <v>16</v>
      </c>
      <c r="G8" s="21" t="s">
        <v>284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470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8" t="s">
        <v>610</v>
      </c>
      <c r="D9" s="14" t="s">
        <v>400</v>
      </c>
      <c r="E9">
        <f>표14[적 기준 체력]*EnemyGameData[[#This Row],['#기준 적 체력 비율]]</f>
        <v>100</v>
      </c>
      <c r="F9">
        <v>16</v>
      </c>
      <c r="G9" t="s">
        <v>284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602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333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611</v>
      </c>
      <c r="D11" s="14" t="s">
        <v>403</v>
      </c>
      <c r="E11">
        <f>표14[적 기준 체력]*EnemyGameData[[#This Row],['#기준 적 체력 비율]]</f>
        <v>80</v>
      </c>
      <c r="F11">
        <v>16</v>
      </c>
      <c r="G11" t="s">
        <v>284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605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612</v>
      </c>
      <c r="D12" s="14" t="s">
        <v>374</v>
      </c>
      <c r="E12">
        <f>표14[적 기준 체력]*EnemyGameData[[#This Row],['#기준 적 체력 비율]]</f>
        <v>140</v>
      </c>
      <c r="F12">
        <v>16</v>
      </c>
      <c r="G12" s="17" t="s">
        <v>592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606</v>
      </c>
      <c r="U12">
        <v>1.4</v>
      </c>
      <c r="V12">
        <v>7</v>
      </c>
    </row>
    <row r="13" spans="2:22">
      <c r="B13" s="46">
        <v>551</v>
      </c>
      <c r="C13" s="47" t="s">
        <v>613</v>
      </c>
      <c r="D13" s="47" t="s">
        <v>379</v>
      </c>
      <c r="E13" s="46">
        <f>표14[적 기준 체력]*EnemyGameData[[#This Row],['#기준 적 체력 비율]]</f>
        <v>160</v>
      </c>
      <c r="F13">
        <v>16</v>
      </c>
      <c r="G13" s="46" t="s">
        <v>120</v>
      </c>
      <c r="H13" s="46">
        <v>5</v>
      </c>
      <c r="I13" s="46">
        <v>1.2</v>
      </c>
      <c r="J13" s="46">
        <v>3</v>
      </c>
      <c r="K13" s="46">
        <v>0</v>
      </c>
      <c r="L13" s="46">
        <v>1.5</v>
      </c>
      <c r="M13" s="46" t="s">
        <v>121</v>
      </c>
      <c r="N13" s="46">
        <v>5</v>
      </c>
      <c r="O13" s="46">
        <v>651</v>
      </c>
      <c r="P13" s="46">
        <v>0</v>
      </c>
      <c r="Q13" s="46">
        <v>3</v>
      </c>
      <c r="R13" s="46">
        <v>5</v>
      </c>
      <c r="S13" s="46">
        <v>501</v>
      </c>
      <c r="T13" s="46" t="s">
        <v>598</v>
      </c>
      <c r="U13" s="46">
        <v>1.6</v>
      </c>
      <c r="V13" s="46">
        <v>7</v>
      </c>
    </row>
    <row r="14" spans="2:22">
      <c r="B14">
        <v>552</v>
      </c>
      <c r="C14" s="14" t="s">
        <v>614</v>
      </c>
      <c r="D14" s="14" t="s">
        <v>398</v>
      </c>
      <c r="E14">
        <f>표14[적 기준 체력]*EnemyGameData[[#This Row],['#기준 적 체력 비율]]</f>
        <v>140</v>
      </c>
      <c r="F14">
        <v>16</v>
      </c>
      <c r="G14" t="s">
        <v>284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604</v>
      </c>
      <c r="U14">
        <v>1.4</v>
      </c>
      <c r="V14">
        <v>7</v>
      </c>
    </row>
    <row r="15" spans="2:22">
      <c r="B15">
        <v>553</v>
      </c>
      <c r="C15" s="15" t="s">
        <v>615</v>
      </c>
      <c r="D15" s="14" t="s">
        <v>399</v>
      </c>
      <c r="E15">
        <f>표14[적 기준 체력]*EnemyGameData[[#This Row],['#기준 적 체력 비율]]</f>
        <v>160</v>
      </c>
      <c r="F15">
        <v>16</v>
      </c>
      <c r="G15" t="s">
        <v>284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603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596</v>
      </c>
      <c r="C16" s="23" t="s">
        <v>402</v>
      </c>
      <c r="D16" s="22" t="s">
        <v>401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469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1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372</v>
      </c>
      <c r="I1" s="12" t="s">
        <v>372</v>
      </c>
    </row>
    <row r="2" spans="2:9">
      <c r="B2" t="s">
        <v>73</v>
      </c>
      <c r="C2" s="5" t="s">
        <v>41</v>
      </c>
      <c r="D2" t="s">
        <v>290</v>
      </c>
      <c r="E2" t="s">
        <v>124</v>
      </c>
      <c r="F2" t="s">
        <v>289</v>
      </c>
      <c r="G2" t="s">
        <v>286</v>
      </c>
      <c r="H2" s="12" t="s">
        <v>372</v>
      </c>
      <c r="I2" s="12" t="s">
        <v>425</v>
      </c>
    </row>
    <row r="3" spans="2:9">
      <c r="B3">
        <v>600</v>
      </c>
      <c r="C3" s="16" t="s">
        <v>417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380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380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380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380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380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380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380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380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380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413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421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421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421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412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314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314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314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411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418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419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420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442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442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442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442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442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442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442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442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442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442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442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442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442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442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442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442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422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423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424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1" t="s">
        <v>406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406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406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406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406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406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406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406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406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406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406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406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407</v>
      </c>
      <c r="D57">
        <v>725</v>
      </c>
      <c r="E57" s="17" t="s">
        <v>404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407</v>
      </c>
      <c r="D58">
        <v>725</v>
      </c>
      <c r="E58" s="17" t="s">
        <v>404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408</v>
      </c>
      <c r="D59">
        <v>999</v>
      </c>
      <c r="E59" s="17" t="s">
        <v>405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291</v>
      </c>
      <c r="E2" t="s">
        <v>11</v>
      </c>
      <c r="F2" t="s">
        <v>212</v>
      </c>
      <c r="G2" t="s">
        <v>294</v>
      </c>
    </row>
    <row r="3" spans="2:7">
      <c r="B3">
        <v>700</v>
      </c>
      <c r="C3" s="4" t="s">
        <v>308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308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308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308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383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384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385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386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387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388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389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390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391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392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393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381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394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382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395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396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414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315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315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315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315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315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315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315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315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377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377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376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376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376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376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376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376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309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455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455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454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454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454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454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454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454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455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455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454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454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454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454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454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454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520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520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520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568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568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568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568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568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568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568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568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626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626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626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626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409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305</v>
      </c>
      <c r="E2" t="s">
        <v>166</v>
      </c>
      <c r="F2" t="s">
        <v>276</v>
      </c>
      <c r="G2" t="s">
        <v>283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339</v>
      </c>
    </row>
    <row r="4" spans="2:7">
      <c r="B4">
        <v>201</v>
      </c>
      <c r="C4" s="12" t="s">
        <v>521</v>
      </c>
      <c r="D4" t="b">
        <v>1</v>
      </c>
      <c r="E4">
        <v>0.8</v>
      </c>
      <c r="F4">
        <v>15</v>
      </c>
      <c r="G4" s="12" t="s">
        <v>570</v>
      </c>
    </row>
    <row r="5" spans="2:7">
      <c r="B5">
        <v>204</v>
      </c>
      <c r="C5" s="12" t="s">
        <v>569</v>
      </c>
      <c r="D5" t="b">
        <v>1</v>
      </c>
      <c r="E5">
        <v>1.5</v>
      </c>
      <c r="F5">
        <v>30</v>
      </c>
      <c r="G5" s="12" t="s">
        <v>585</v>
      </c>
    </row>
    <row r="6" spans="2:7">
      <c r="B6">
        <v>205</v>
      </c>
      <c r="C6" s="12" t="s">
        <v>627</v>
      </c>
      <c r="D6" t="b">
        <v>1</v>
      </c>
      <c r="E6">
        <v>1.2</v>
      </c>
      <c r="F6">
        <v>30</v>
      </c>
      <c r="G6" s="12" t="s">
        <v>585</v>
      </c>
    </row>
    <row r="7" spans="2:7">
      <c r="B7">
        <v>500</v>
      </c>
      <c r="C7" s="4" t="s">
        <v>38</v>
      </c>
      <c r="D7" s="3" t="b">
        <v>0</v>
      </c>
      <c r="E7">
        <v>1</v>
      </c>
      <c r="F7">
        <v>60</v>
      </c>
      <c r="G7" t="s">
        <v>338</v>
      </c>
    </row>
    <row r="8" spans="2:7">
      <c r="B8">
        <v>501</v>
      </c>
      <c r="C8" s="4" t="s">
        <v>149</v>
      </c>
      <c r="D8" s="3" t="b">
        <v>0</v>
      </c>
      <c r="E8">
        <v>1</v>
      </c>
      <c r="F8">
        <v>60</v>
      </c>
      <c r="G8" t="s">
        <v>338</v>
      </c>
    </row>
    <row r="9" spans="2:7">
      <c r="B9">
        <v>400</v>
      </c>
      <c r="C9" s="4" t="s">
        <v>130</v>
      </c>
      <c r="D9" s="3" t="b">
        <v>0</v>
      </c>
      <c r="E9">
        <v>0.25</v>
      </c>
      <c r="F9">
        <v>25</v>
      </c>
      <c r="G9" t="s">
        <v>338</v>
      </c>
    </row>
    <row r="10" spans="2:7">
      <c r="B10">
        <v>401</v>
      </c>
      <c r="C10" s="4" t="s">
        <v>316</v>
      </c>
      <c r="D10" s="3" t="b">
        <v>1</v>
      </c>
      <c r="E10">
        <v>0.25</v>
      </c>
      <c r="F10">
        <v>25</v>
      </c>
      <c r="G10" t="s">
        <v>338</v>
      </c>
    </row>
    <row r="11" spans="2:7">
      <c r="B11">
        <v>402</v>
      </c>
      <c r="C11" s="4" t="s">
        <v>127</v>
      </c>
      <c r="D11" s="3" t="b">
        <v>0</v>
      </c>
      <c r="E11">
        <v>0.4</v>
      </c>
      <c r="F11">
        <v>25</v>
      </c>
      <c r="G11" t="s">
        <v>338</v>
      </c>
    </row>
    <row r="12" spans="2:7">
      <c r="B12">
        <v>403</v>
      </c>
      <c r="C12" s="14" t="s">
        <v>415</v>
      </c>
      <c r="D12" s="3" t="b">
        <v>0</v>
      </c>
      <c r="E12">
        <v>0.8</v>
      </c>
      <c r="F12">
        <v>25</v>
      </c>
      <c r="G12" t="s">
        <v>338</v>
      </c>
    </row>
    <row r="13" spans="2:7">
      <c r="B13">
        <v>404</v>
      </c>
      <c r="C13" s="14" t="s">
        <v>416</v>
      </c>
      <c r="D13" s="3" t="b">
        <v>1</v>
      </c>
      <c r="E13">
        <v>0.8</v>
      </c>
      <c r="F13">
        <v>25</v>
      </c>
      <c r="G13" t="s">
        <v>338</v>
      </c>
    </row>
    <row r="14" spans="2:7">
      <c r="B14">
        <v>999</v>
      </c>
      <c r="C14" s="19" t="s">
        <v>410</v>
      </c>
      <c r="D14" t="b">
        <v>1</v>
      </c>
      <c r="E14">
        <v>1</v>
      </c>
      <c r="F14">
        <v>25</v>
      </c>
      <c r="G14" s="17" t="s">
        <v>447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abSelected="1" topLeftCell="D1" zoomScaleNormal="100" zoomScaleSheetLayoutView="100" workbookViewId="0">
      <selection activeCell="E22" sqref="E22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customWidth="1"/>
    <col min="6" max="6" width="26.5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s="25" t="s">
        <v>641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498</v>
      </c>
      <c r="F2" s="17" t="s">
        <v>499</v>
      </c>
      <c r="G2" t="s">
        <v>257</v>
      </c>
      <c r="H2" t="s">
        <v>86</v>
      </c>
      <c r="I2" t="s">
        <v>90</v>
      </c>
      <c r="J2" t="s">
        <v>258</v>
      </c>
      <c r="K2" t="s">
        <v>16</v>
      </c>
      <c r="L2" t="s">
        <v>191</v>
      </c>
      <c r="M2" s="5" t="s">
        <v>328</v>
      </c>
      <c r="N2" s="1" t="s">
        <v>47</v>
      </c>
      <c r="O2" s="1" t="s">
        <v>365</v>
      </c>
      <c r="P2" s="1" t="s">
        <v>366</v>
      </c>
      <c r="Q2" s="1" t="s">
        <v>367</v>
      </c>
      <c r="R2" s="24" t="s">
        <v>443</v>
      </c>
      <c r="S2" s="24" t="s">
        <v>438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6"/>
      <c r="O3" s="36"/>
      <c r="P3" s="36"/>
      <c r="Q3" s="36"/>
      <c r="R3" s="36"/>
      <c r="S3" s="36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6"/>
      <c r="O4" s="36"/>
      <c r="P4" s="36"/>
      <c r="Q4" s="36"/>
      <c r="R4" s="36"/>
      <c r="S4" s="36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6"/>
      <c r="O5" s="36"/>
      <c r="P5" s="36"/>
      <c r="Q5" s="36"/>
      <c r="R5" s="36"/>
      <c r="S5" s="36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6"/>
      <c r="O6" s="36"/>
      <c r="P6" s="36"/>
      <c r="Q6" s="36"/>
      <c r="R6" s="36"/>
      <c r="S6" s="36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6"/>
      <c r="O7" s="36"/>
      <c r="P7" s="36"/>
      <c r="Q7" s="36"/>
      <c r="R7" s="36"/>
      <c r="S7" s="36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313</v>
      </c>
      <c r="D8" s="12" t="s">
        <v>575</v>
      </c>
      <c r="E8" s="17" t="s">
        <v>582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s="17" t="s">
        <v>668</v>
      </c>
      <c r="M8" s="20" t="str">
        <f>MID(ItemTable[[#This Row],[ItemIconPath]],FIND("icon",ItemTable[[#This Row],[ItemIconPath]]),999)</f>
        <v>icon/item//Passive_Item/item_02.png</v>
      </c>
      <c r="N8" s="37" t="s">
        <v>352</v>
      </c>
      <c r="O8" s="36" t="s">
        <v>329</v>
      </c>
      <c r="P8" s="36"/>
      <c r="Q8" s="36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6"/>
      <c r="S8" s="36" t="str">
        <f>IF(ItemTable[[#This Row],['#4]]=ItemTable[[#This Row],[Desc]],"T","F")</f>
        <v>F</v>
      </c>
    </row>
    <row r="9" spans="2:19">
      <c r="B9" s="4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9" t="s">
        <v>156</v>
      </c>
      <c r="D9" s="50" t="s">
        <v>368</v>
      </c>
      <c r="E9" s="49" t="s">
        <v>336</v>
      </c>
      <c r="F9" s="49"/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s="17" t="s">
        <v>669</v>
      </c>
      <c r="M9" s="20" t="str">
        <f>MID(ItemTable[[#This Row],[ItemIconPath]],FIND("icon",ItemTable[[#This Row],[ItemIconPath]]),999)</f>
        <v>icon/item/Passive_Item/item_04.png</v>
      </c>
      <c r="N9" s="37" t="s">
        <v>368</v>
      </c>
      <c r="O9" s="36" t="s">
        <v>336</v>
      </c>
      <c r="P9" s="36"/>
      <c r="Q9" s="36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6"/>
      <c r="S9" s="36" t="str">
        <f>IF(ItemTable[[#This Row],['#4]]=ItemTable[[#This Row],[Desc]],"T","F")</f>
        <v>F</v>
      </c>
    </row>
    <row r="10" spans="2:19">
      <c r="B10" s="49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9" t="s">
        <v>159</v>
      </c>
      <c r="D10" s="50" t="s">
        <v>350</v>
      </c>
      <c r="E10" s="49" t="s">
        <v>325</v>
      </c>
      <c r="F10" s="49"/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s="17" t="s">
        <v>670</v>
      </c>
      <c r="M10" s="20" t="str">
        <f>MID(ItemTable[[#This Row],[ItemIconPath]],FIND("icon",ItemTable[[#This Row],[ItemIconPath]]),999)</f>
        <v>icon/item/Passive_Item/item_05.png</v>
      </c>
      <c r="N10" s="37" t="s">
        <v>350</v>
      </c>
      <c r="O10" s="36" t="s">
        <v>325</v>
      </c>
      <c r="P10" s="36"/>
      <c r="Q10" s="36" t="str">
        <f t="shared" si="0"/>
        <v>얼.죽.아 클럽의 새로운 유행입니다.\n\n&lt;size=20&gt;&lt;color=#97C456&gt;차징속도 +20%&lt;/color&gt;&lt;/size&gt;</v>
      </c>
      <c r="R10" s="36"/>
      <c r="S10" s="36" t="str">
        <f>IF(ItemTable[[#This Row],['#4]]=ItemTable[[#This Row],[Desc]],"T","F")</f>
        <v>F</v>
      </c>
    </row>
    <row r="11" spans="2:19">
      <c r="B11" s="49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9" t="s">
        <v>158</v>
      </c>
      <c r="D11" s="49" t="s">
        <v>351</v>
      </c>
      <c r="E11" s="49" t="s">
        <v>577</v>
      </c>
      <c r="F11" s="49"/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s="17" t="s">
        <v>671</v>
      </c>
      <c r="M11" s="20" t="str">
        <f>MID(ItemTable[[#This Row],[ItemIconPath]],FIND("icon",ItemTable[[#This Row],[ItemIconPath]]),999)</f>
        <v>icon/item/Passive_Item/item_07.png</v>
      </c>
      <c r="N11" s="37" t="s">
        <v>351</v>
      </c>
      <c r="O11" s="36" t="s">
        <v>324</v>
      </c>
      <c r="P11" s="36"/>
      <c r="Q11" s="36" t="str">
        <f t="shared" si="0"/>
        <v>배트 이외의 물건에 사용하지 마시오\nQT추출물 0.0006% 함유\nQT향 0.1%함유\n\n&lt;size=20&gt;&lt;color=#97C456&gt;공 충돌횟수 +1&lt;/color&gt;&lt;/size&gt;</v>
      </c>
      <c r="R11" s="36"/>
      <c r="S11" s="36" t="str">
        <f>IF(ItemTable[[#This Row],['#4]]=ItemTable[[#This Row],[Desc]],"T","F")</f>
        <v>F</v>
      </c>
    </row>
    <row r="12" spans="2:19">
      <c r="B12" s="49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9" t="s">
        <v>154</v>
      </c>
      <c r="D12" s="51" t="s">
        <v>533</v>
      </c>
      <c r="E12" s="49" t="s">
        <v>500</v>
      </c>
      <c r="F12" s="51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s="17" t="s">
        <v>672</v>
      </c>
      <c r="M12" s="20" t="str">
        <f>MID(ItemTable[[#This Row],[ItemIconPath]],FIND("icon",ItemTable[[#This Row],[ItemIconPath]]),999)</f>
        <v>icon/item/Passive_Item/item_11.png</v>
      </c>
      <c r="N12" s="37" t="s">
        <v>445</v>
      </c>
      <c r="O12" s="37" t="s">
        <v>439</v>
      </c>
      <c r="P12" s="36"/>
      <c r="Q12" s="36" t="str">
        <f t="shared" si="0"/>
        <v>시크한 표정이 매력적입니다.\n세 나라 이야기의 붉은 목마 입니다.\n\n&lt;size=20&gt;&lt;color=#97C456&gt;이동속도 +6&lt;/color&gt;&lt;/size&gt;</v>
      </c>
      <c r="R12" s="36"/>
      <c r="S12" s="36" t="str">
        <f>IF(ItemTable[[#This Row],['#4]]=ItemTable[[#This Row],[Desc]],"T","F")</f>
        <v>F</v>
      </c>
    </row>
    <row r="13" spans="2:19" s="25" customFormat="1">
      <c r="B13" s="25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25" t="s">
        <v>160</v>
      </c>
      <c r="D13" s="25" t="s">
        <v>364</v>
      </c>
      <c r="E13" s="25" t="s">
        <v>619</v>
      </c>
      <c r="G13" s="25" t="s">
        <v>78</v>
      </c>
      <c r="H13" s="25">
        <v>1</v>
      </c>
      <c r="I13" s="25">
        <f t="array" ref="I13">_xlfn.IFS(ItemTable[[#This Row],[GradeType]]="Normal",25,ItemTable[[#This Row],[GradeType]]="Cursed",50,ItemTable[[#This Row],[GradeType]]="Rare",50)</f>
        <v>25</v>
      </c>
      <c r="J13" s="25">
        <v>30</v>
      </c>
      <c r="K13" s="25">
        <f t="array" ref="K13">_xlfn.IFS(OR(ItemTable[[#This Row],[GradeType]]="Hp",ItemTable[[#This Row],[GradeType]]="Gold"),0,TRUE,5000+ItemTable[[#This Row],[Index]])</f>
        <v>7005</v>
      </c>
      <c r="L13" s="25" t="s">
        <v>673</v>
      </c>
      <c r="M13" s="18" t="str">
        <f>MID(ItemTable[[#This Row],[ItemIconPath]],FIND("icon",ItemTable[[#This Row],[ItemIconPath]]),999)</f>
        <v>icon/item/Passive_Item/item_15.png</v>
      </c>
      <c r="N13" s="52" t="s">
        <v>364</v>
      </c>
      <c r="O13" s="52" t="s">
        <v>322</v>
      </c>
      <c r="P13" s="52"/>
      <c r="Q13" s="52" t="str">
        <f t="shared" si="0"/>
        <v>대나무 향을 머금은 흰 밥이\n까만 김을 만나 완성된 환상적인 조합.\n\n&lt;size=20&gt;&lt;color=#97C456&gt;최대 체력 +1하트&lt;/color&gt;&lt;/size&gt;</v>
      </c>
      <c r="R13" s="52"/>
      <c r="S13" s="52" t="str">
        <f>IF(ItemTable[[#This Row],['#4]]=ItemTable[[#This Row],[Desc]],"T","F")</f>
        <v>F</v>
      </c>
    </row>
    <row r="14" spans="2:19">
      <c r="B14" s="49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9" t="s">
        <v>57</v>
      </c>
      <c r="D14" s="51" t="s">
        <v>371</v>
      </c>
      <c r="E14" s="51" t="s">
        <v>623</v>
      </c>
      <c r="F14" s="51"/>
      <c r="G14" s="12" t="s">
        <v>617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s="17" t="s">
        <v>674</v>
      </c>
      <c r="M14" s="20" t="str">
        <f>MID(ItemTable[[#This Row],[ItemIconPath]],FIND("icon",ItemTable[[#This Row],[ItemIconPath]]),999)</f>
        <v>icon/item/Passive_Item/item_17.png</v>
      </c>
      <c r="N14" s="37" t="s">
        <v>371</v>
      </c>
      <c r="O14" s="37" t="s">
        <v>440</v>
      </c>
      <c r="P14" s="36"/>
      <c r="Q14" s="36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7" t="s">
        <v>446</v>
      </c>
      <c r="S14" s="36" t="str">
        <f>IF(ItemTable[[#This Row],['#4]]=ItemTable[[#This Row],[Desc]],"T","F")</f>
        <v>F</v>
      </c>
    </row>
    <row r="15" spans="2:19">
      <c r="B15" s="49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9" t="s">
        <v>353</v>
      </c>
      <c r="D15" s="50" t="s">
        <v>370</v>
      </c>
      <c r="E15" s="49" t="s">
        <v>567</v>
      </c>
      <c r="F15" s="49"/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s="17" t="s">
        <v>675</v>
      </c>
      <c r="M15" s="20" t="str">
        <f>MID(ItemTable[[#This Row],[ItemIconPath]],FIND("icon",ItemTable[[#This Row],[ItemIconPath]]),999)</f>
        <v>icon/item/Passive_Item/item_12.png</v>
      </c>
      <c r="N15" s="37" t="s">
        <v>370</v>
      </c>
      <c r="O15" s="36" t="s">
        <v>34</v>
      </c>
      <c r="P15" s="36"/>
      <c r="Q15" s="36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6"/>
      <c r="S15" s="36" t="str">
        <f>IF(ItemTable[[#This Row],['#4]]=ItemTable[[#This Row],[Desc]],"T","F")</f>
        <v>F</v>
      </c>
    </row>
    <row r="16" spans="2:19">
      <c r="B16" s="49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9" t="s">
        <v>59</v>
      </c>
      <c r="D16" s="50" t="s">
        <v>534</v>
      </c>
      <c r="E16" s="49" t="s">
        <v>625</v>
      </c>
      <c r="F16" s="49"/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s="17" t="s">
        <v>676</v>
      </c>
      <c r="M16" s="20" t="str">
        <f>MID(ItemTable[[#This Row],[ItemIconPath]],FIND("icon",ItemTable[[#This Row],[ItemIconPath]]),999)</f>
        <v>icon/item/Passive_Item/item_09.png</v>
      </c>
      <c r="N16" s="37" t="s">
        <v>363</v>
      </c>
      <c r="O16" s="37" t="s">
        <v>441</v>
      </c>
      <c r="P16" s="36"/>
      <c r="Q16" s="36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6"/>
      <c r="S16" s="36" t="str">
        <f>IF(ItemTable[[#This Row],['#4]]=ItemTable[[#This Row],[Desc]],"T","F")</f>
        <v>F</v>
      </c>
    </row>
    <row r="17" spans="2:19">
      <c r="B17" s="49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9" t="s">
        <v>310</v>
      </c>
      <c r="D17" s="50" t="s">
        <v>354</v>
      </c>
      <c r="E17" s="49" t="s">
        <v>527</v>
      </c>
      <c r="F17" s="49"/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s="17" t="s">
        <v>677</v>
      </c>
      <c r="M17" s="20" t="str">
        <f>MID(ItemTable[[#This Row],[ItemIconPath]],FIND("icon",ItemTable[[#This Row],[ItemIconPath]]),999)</f>
        <v>icon/item/Passive_Item/item_10.png</v>
      </c>
      <c r="N17" s="37" t="s">
        <v>354</v>
      </c>
      <c r="O17" s="36" t="s">
        <v>321</v>
      </c>
      <c r="P17" s="36"/>
      <c r="Q17" s="36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6"/>
      <c r="S17" s="36" t="str">
        <f>IF(ItemTable[[#This Row],['#4]]=ItemTable[[#This Row],[Desc]],"T","F")</f>
        <v>F</v>
      </c>
    </row>
    <row r="18" spans="2:19">
      <c r="B18" s="49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9" t="s">
        <v>327</v>
      </c>
      <c r="D18" s="50" t="s">
        <v>358</v>
      </c>
      <c r="E18" s="49" t="s">
        <v>540</v>
      </c>
      <c r="F18" s="49"/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s="17" t="s">
        <v>678</v>
      </c>
      <c r="M18" s="20" t="str">
        <f>MID(ItemTable[[#This Row],[ItemIconPath]],FIND("icon",ItemTable[[#This Row],[ItemIconPath]]),999)</f>
        <v>icon/item/Passive_Item/item_16.png</v>
      </c>
      <c r="N18" s="37" t="s">
        <v>358</v>
      </c>
      <c r="O18" s="36" t="s">
        <v>323</v>
      </c>
      <c r="P18" s="36"/>
      <c r="Q18" s="36" t="str">
        <f t="shared" si="0"/>
        <v>종교적인 용도로 보이는 컵입니다.\n잠깐, 방금 조금 움직인 것 같은데요?\n\n&lt;size=20&gt;&lt;color=#97C456&gt;공 충돌횟수 +2&lt;/color&gt;&lt;/size&gt;</v>
      </c>
      <c r="R18" s="36"/>
      <c r="S18" s="36" t="str">
        <f>IF(ItemTable[[#This Row],['#4]]=ItemTable[[#This Row],[Desc]],"T","F")</f>
        <v>F</v>
      </c>
    </row>
    <row r="19" spans="2:19" s="25" customFormat="1">
      <c r="B19" s="25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53" t="s">
        <v>542</v>
      </c>
      <c r="E19" s="25" t="s">
        <v>620</v>
      </c>
      <c r="G19" s="25" t="s">
        <v>79</v>
      </c>
      <c r="H19" s="25">
        <v>1</v>
      </c>
      <c r="I19" s="25">
        <f t="array" ref="I19">_xlfn.IFS(ItemTable[[#This Row],[GradeType]]="Normal",25,ItemTable[[#This Row],[GradeType]]="Cursed",50,ItemTable[[#This Row],[GradeType]]="Rare",50)</f>
        <v>50</v>
      </c>
      <c r="J19" s="25">
        <v>50</v>
      </c>
      <c r="K19" s="25">
        <f t="array" ref="K19">_xlfn.IFS(OR(ItemTable[[#This Row],[GradeType]]="Hp",ItemTable[[#This Row],[GradeType]]="Gold"),0,TRUE,5000+ItemTable[[#This Row],[Index]])</f>
        <v>8005</v>
      </c>
      <c r="L19" s="25" t="s">
        <v>679</v>
      </c>
      <c r="M19" s="18" t="str">
        <f>MID(ItemTable[[#This Row],[ItemIconPath]],FIND("icon",ItemTable[[#This Row],[ItemIconPath]]),999)</f>
        <v>icon/item/Passive_Item/item_03.png</v>
      </c>
      <c r="N19" s="52" t="s">
        <v>542</v>
      </c>
      <c r="O19" s="52" t="s">
        <v>359</v>
      </c>
      <c r="P19" s="52"/>
      <c r="Q19" s="5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52"/>
      <c r="S19" s="52" t="str">
        <f>IF(ItemTable[[#This Row],['#4]]=ItemTable[[#This Row],[Desc]],"T","F")</f>
        <v>F</v>
      </c>
    </row>
    <row r="20" spans="2:19">
      <c r="B20" s="49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50" t="s">
        <v>517</v>
      </c>
      <c r="D20" s="50" t="s">
        <v>518</v>
      </c>
      <c r="E20" s="50" t="s">
        <v>624</v>
      </c>
      <c r="F20" s="50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680</v>
      </c>
      <c r="M20" s="20" t="str">
        <f>MID(ItemTable[[#This Row],[ItemIconPath]],FIND("icon",ItemTable[[#This Row],[ItemIconPath]]),999)</f>
        <v>icon/item/Passive_Item/item_18.png</v>
      </c>
      <c r="N20" s="37" t="s">
        <v>355</v>
      </c>
      <c r="O20" s="37" t="s">
        <v>359</v>
      </c>
      <c r="P20" s="36"/>
      <c r="Q20" s="36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6"/>
      <c r="S20" s="36" t="str">
        <f>IF(ItemTable[[#This Row],['#4]]=ItemTable[[#This Row],[Desc]],"T","F")</f>
        <v>F</v>
      </c>
    </row>
    <row r="21" spans="2:19">
      <c r="B21" s="49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9" t="s">
        <v>157</v>
      </c>
      <c r="D21" s="49" t="s">
        <v>362</v>
      </c>
      <c r="E21" s="49" t="s">
        <v>591</v>
      </c>
      <c r="F21" s="49" t="s">
        <v>590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s="17" t="s">
        <v>681</v>
      </c>
      <c r="M21" s="20" t="str">
        <f>MID(ItemTable[[#This Row],[ItemIconPath]],FIND("icon",ItemTable[[#This Row],[ItemIconPath]]),999)</f>
        <v>icon/item/Passive_Item/item_06.png</v>
      </c>
      <c r="N21" s="37" t="s">
        <v>362</v>
      </c>
      <c r="O21" s="36" t="s">
        <v>335</v>
      </c>
      <c r="P21" s="36" t="s">
        <v>331</v>
      </c>
      <c r="Q21" s="36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6"/>
      <c r="S21" s="36" t="str">
        <f>IF(ItemTable[[#This Row],['#4]]=ItemTable[[#This Row],[Desc]],"T","F")</f>
        <v>F</v>
      </c>
    </row>
    <row r="22" spans="2:19">
      <c r="B22" s="49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9" t="s">
        <v>153</v>
      </c>
      <c r="D22" s="49" t="s">
        <v>537</v>
      </c>
      <c r="E22" s="49" t="s">
        <v>573</v>
      </c>
      <c r="F22" s="49" t="s">
        <v>536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s="17" t="s">
        <v>682</v>
      </c>
      <c r="M22" s="20" t="str">
        <f>MID(ItemTable[[#This Row],[ItemIconPath]],FIND("icon",ItemTable[[#This Row],[ItemIconPath]]),999)</f>
        <v>icon/item/Passive_Item/item_08.png</v>
      </c>
      <c r="N22" s="37" t="s">
        <v>356</v>
      </c>
      <c r="O22" s="36" t="s">
        <v>330</v>
      </c>
      <c r="P22" s="36" t="s">
        <v>332</v>
      </c>
      <c r="Q22" s="36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6"/>
      <c r="S22" s="36" t="str">
        <f>IF(ItemTable[[#This Row],['#4]]=ItemTable[[#This Row],[Desc]],"T","F")</f>
        <v>F</v>
      </c>
    </row>
    <row r="23" spans="2:19">
      <c r="B23" s="49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9" t="s">
        <v>319</v>
      </c>
      <c r="D23" s="50" t="s">
        <v>361</v>
      </c>
      <c r="E23" s="49" t="s">
        <v>437</v>
      </c>
      <c r="F23" s="49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s="17" t="s">
        <v>683</v>
      </c>
      <c r="M23" s="20" t="str">
        <f>MID(ItemTable[[#This Row],[ItemIconPath]],FIND("icon",ItemTable[[#This Row],[ItemIconPath]]),999)</f>
        <v>icon/item/Passive_Item/item_14.png</v>
      </c>
      <c r="N23" s="37" t="s">
        <v>361</v>
      </c>
      <c r="O23" s="37" t="s">
        <v>437</v>
      </c>
      <c r="P23" s="36" t="s">
        <v>235</v>
      </c>
      <c r="Q23" s="36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7" t="s">
        <v>444</v>
      </c>
      <c r="S23" s="36" t="str">
        <f>IF(ItemTable[[#This Row],['#4]]=ItemTable[[#This Row],[Desc]],"T","F")</f>
        <v>F</v>
      </c>
    </row>
    <row r="24" spans="2:19">
      <c r="B24" s="49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9" t="s">
        <v>311</v>
      </c>
      <c r="D24" s="49" t="s">
        <v>357</v>
      </c>
      <c r="E24" s="49" t="s">
        <v>549</v>
      </c>
      <c r="F24" s="49" t="s">
        <v>548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s="17" t="s">
        <v>684</v>
      </c>
      <c r="M24" s="20" t="str">
        <f>MID(ItemTable[[#This Row],[ItemIconPath]],FIND("icon",ItemTable[[#This Row],[ItemIconPath]]),999)</f>
        <v>icon/item/Passive_Item/item_01.png</v>
      </c>
      <c r="N24" s="37" t="s">
        <v>357</v>
      </c>
      <c r="O24" s="36" t="s">
        <v>326</v>
      </c>
      <c r="P24" s="36" t="s">
        <v>334</v>
      </c>
      <c r="Q24" s="36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6"/>
      <c r="S24" s="36" t="str">
        <f>IF(ItemTable[[#This Row],['#4]]=ItemTable[[#This Row],[Desc]],"T","F")</f>
        <v>F</v>
      </c>
    </row>
    <row r="25" spans="2:19" s="25" customFormat="1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523</v>
      </c>
      <c r="D25" s="25" t="s">
        <v>369</v>
      </c>
      <c r="E25" s="25" t="s">
        <v>629</v>
      </c>
      <c r="F25" s="25" t="s">
        <v>632</v>
      </c>
      <c r="G25" s="25" t="s">
        <v>88</v>
      </c>
      <c r="H25" s="25">
        <v>1</v>
      </c>
      <c r="I25" s="25">
        <f t="array" ref="I25">_xlfn.IFS(ItemTable[[#This Row],[GradeType]]="Normal",25,ItemTable[[#This Row],[GradeType]]="Cursed",50,ItemTable[[#This Row],[GradeType]]="Rare",50)</f>
        <v>50</v>
      </c>
      <c r="J25" s="25">
        <v>60</v>
      </c>
      <c r="K25" s="25">
        <f t="array" ref="K25">_xlfn.IFS(OR(ItemTable[[#This Row],[GradeType]]="Hp",ItemTable[[#This Row],[GradeType]]="Gold"),0,TRUE,5000+ItemTable[[#This Row],[Index]])</f>
        <v>9004</v>
      </c>
      <c r="L25" s="25" t="s">
        <v>685</v>
      </c>
      <c r="M25" s="18" t="str">
        <f>MID(ItemTable[[#This Row],[ItemIconPath]],FIND("icon",ItemTable[[#This Row],[ItemIconPath]]),999)</f>
        <v>icon/item/Passive_Item/item_13.png</v>
      </c>
      <c r="N25" s="52" t="s">
        <v>369</v>
      </c>
      <c r="O25" s="52" t="s">
        <v>360</v>
      </c>
      <c r="P25" s="52" t="s">
        <v>337</v>
      </c>
      <c r="Q25" s="5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52"/>
      <c r="S25" s="52" t="str">
        <f>IF(ItemTable[[#This Row],['#4]]=ItemTable[[#This Row],[Desc]],"T","F")</f>
        <v>F</v>
      </c>
    </row>
    <row r="26" spans="2:19" s="25" customFormat="1">
      <c r="B26" s="25">
        <v>4005</v>
      </c>
      <c r="C26" s="25" t="s">
        <v>627</v>
      </c>
      <c r="D26" s="25" t="s">
        <v>628</v>
      </c>
      <c r="E26" s="25" t="s">
        <v>579</v>
      </c>
      <c r="F26" s="25" t="s">
        <v>633</v>
      </c>
      <c r="G26" s="25" t="s">
        <v>88</v>
      </c>
      <c r="H26" s="25">
        <v>1</v>
      </c>
      <c r="I26" s="25">
        <f t="array" ref="I26">_xlfn.IFS(ItemTable[[#This Row],[GradeType]]="Normal",25,ItemTable[[#This Row],[GradeType]]="Cursed",50,ItemTable[[#This Row],[GradeType]]="Rare",50)</f>
        <v>50</v>
      </c>
      <c r="J26" s="25">
        <v>60</v>
      </c>
      <c r="K26" s="25">
        <f t="array" ref="K26">_xlfn.IFS(OR(ItemTable[[#This Row],[GradeType]]="Hp",ItemTable[[#This Row],[GradeType]]="Gold"),0,TRUE,5000+ItemTable[[#This Row],[Index]])</f>
        <v>9005</v>
      </c>
      <c r="L26" s="25" t="s">
        <v>685</v>
      </c>
      <c r="M26" s="18" t="str">
        <f>MID(ItemTable[[#This Row],[ItemIconPath]],FIND("icon",ItemTable[[#This Row],[ItemIconPath]]),999)</f>
        <v>icon/item/Passive_Item/item_13.png</v>
      </c>
      <c r="N26" s="52"/>
      <c r="O26" s="52"/>
      <c r="P26" s="52"/>
      <c r="Q26" s="52" t="str">
        <f>_xlfn.CONCAT(
_xlfn.CONCAT("&lt;size=16&gt;",N26,"&lt;/size&gt;\n\n",
"&lt;size=20&gt;&lt;color=#97C456&gt;",O26,"&lt;/color&gt;&lt;/size&gt;"),
IF(ISBLANK(P26),"",_xlfn.CONCAT("\n","&lt;size=24&gt;&lt;color=#FF6A6A&gt;",P26,"&lt;/color&gt;&lt;/size&gt;"))
)</f>
        <v>&lt;size=16&gt;&lt;/size&gt;\n\n&lt;size=20&gt;&lt;color=#97C456&gt;&lt;/color&gt;&lt;/size&gt;</v>
      </c>
      <c r="R26" s="52"/>
      <c r="S26" s="52" t="str">
        <f>IF(ItemTable[[#This Row],['#4]]=ItemTable[[#This Row],[Desc]],"T","F")</f>
        <v>F</v>
      </c>
    </row>
    <row r="27" spans="2:19" s="25" customFormat="1">
      <c r="B27" s="25">
        <v>4006</v>
      </c>
      <c r="C27" s="25" t="s">
        <v>635</v>
      </c>
      <c r="D27" s="25" t="s">
        <v>636</v>
      </c>
      <c r="E27" s="25" t="s">
        <v>638</v>
      </c>
      <c r="F27" s="25" t="s">
        <v>637</v>
      </c>
      <c r="G27" s="25" t="s">
        <v>88</v>
      </c>
      <c r="H27" s="25">
        <v>1</v>
      </c>
      <c r="I27" s="25">
        <f t="array" ref="I27">_xlfn.IFS(ItemTable[[#This Row],[GradeType]]="Normal",25,ItemTable[[#This Row],[GradeType]]="Cursed",50,ItemTable[[#This Row],[GradeType]]="Rare",50)</f>
        <v>50</v>
      </c>
      <c r="J27" s="25">
        <v>60</v>
      </c>
      <c r="K27" s="25">
        <f t="array" ref="K27">_xlfn.IFS(OR(ItemTable[[#This Row],[GradeType]]="Hp",ItemTable[[#This Row],[GradeType]]="Gold"),0,TRUE,5000+ItemTable[[#This Row],[Index]])</f>
        <v>9006</v>
      </c>
      <c r="L27" s="25" t="s">
        <v>685</v>
      </c>
      <c r="M27" s="18" t="str">
        <f>MID(ItemTable[[#This Row],[ItemIconPath]],FIND("icon",ItemTable[[#This Row],[ItemIconPath]]),999)</f>
        <v>icon/item/Passive_Item/item_13.png</v>
      </c>
      <c r="N27" s="52"/>
      <c r="O27" s="52"/>
      <c r="P27" s="52"/>
      <c r="Q27" s="5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52"/>
      <c r="S27" s="52" t="str">
        <f>IF(ItemTable[[#This Row],['#4]]=ItemTable[[#This Row],[Desc]],"T","F")</f>
        <v>F</v>
      </c>
    </row>
    <row r="28" spans="2:19">
      <c r="B28">
        <v>10000</v>
      </c>
      <c r="C28" s="12" t="s">
        <v>513</v>
      </c>
      <c r="D28" s="12" t="s">
        <v>550</v>
      </c>
      <c r="E28" s="17" t="s">
        <v>514</v>
      </c>
      <c r="F28" s="17"/>
      <c r="G28" s="17" t="s">
        <v>497</v>
      </c>
      <c r="H28">
        <v>1</v>
      </c>
      <c r="I28">
        <v>50</v>
      </c>
      <c r="J28">
        <v>100</v>
      </c>
      <c r="K28">
        <v>10000</v>
      </c>
      <c r="L28" s="12" t="s">
        <v>686</v>
      </c>
      <c r="M28" s="20" t="str">
        <f>MID(ItemTable[[#This Row],[ItemIconPath]],FIND("icon",ItemTable[[#This Row],[ItemIconPath]]),999)</f>
        <v>icon/item/Active_item/A_item_02.png</v>
      </c>
      <c r="N28" s="36"/>
      <c r="O28" s="36"/>
      <c r="P28" s="36"/>
      <c r="Q28" s="36"/>
      <c r="R28" s="36"/>
      <c r="S28" s="36" t="str">
        <f>IF(ItemTable[[#This Row],['#4]]=ItemTable[[#This Row],[Desc]],"T","F")</f>
        <v>F</v>
      </c>
    </row>
    <row r="29" spans="2:19">
      <c r="B29">
        <v>10001</v>
      </c>
      <c r="C29" s="17" t="s">
        <v>529</v>
      </c>
      <c r="D29" s="17" t="s">
        <v>535</v>
      </c>
      <c r="E29" s="17" t="s">
        <v>528</v>
      </c>
      <c r="F29" s="17"/>
      <c r="G29" s="17" t="s">
        <v>497</v>
      </c>
      <c r="H29">
        <v>1</v>
      </c>
      <c r="I29">
        <v>50</v>
      </c>
      <c r="J29">
        <v>100</v>
      </c>
      <c r="K29">
        <v>10001</v>
      </c>
      <c r="L29" s="12" t="s">
        <v>687</v>
      </c>
      <c r="M29" s="20" t="str">
        <f>MID(ItemTable[[#This Row],[ItemIconPath]],FIND("icon",ItemTable[[#This Row],[ItemIconPath]]),999)</f>
        <v>icon/item/Active_item/A_item_03.png</v>
      </c>
      <c r="N29" s="36"/>
      <c r="O29" s="36"/>
      <c r="P29" s="36"/>
      <c r="Q29" s="36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6"/>
      <c r="S29" s="36" t="str">
        <f>IF(ItemTable[[#This Row],['#4]]=ItemTable[[#This Row],[Desc]],"T","F")</f>
        <v>F</v>
      </c>
    </row>
    <row r="30" spans="2:19">
      <c r="B30">
        <v>10002</v>
      </c>
      <c r="C30" s="17" t="s">
        <v>530</v>
      </c>
      <c r="D30" s="17" t="s">
        <v>532</v>
      </c>
      <c r="E30" s="17" t="s">
        <v>639</v>
      </c>
      <c r="F30" s="17"/>
      <c r="G30" s="17" t="s">
        <v>497</v>
      </c>
      <c r="H30">
        <v>1</v>
      </c>
      <c r="I30">
        <v>50</v>
      </c>
      <c r="J30">
        <v>100</v>
      </c>
      <c r="K30">
        <v>10002</v>
      </c>
      <c r="L30" s="12" t="s">
        <v>688</v>
      </c>
      <c r="M30" s="20" t="str">
        <f>MID(ItemTable[[#This Row],[ItemIconPath]],FIND("icon",ItemTable[[#This Row],[ItemIconPath]]),999)</f>
        <v>icon/item/Active_item/A_item_06.png</v>
      </c>
      <c r="N30" s="36"/>
      <c r="O30" s="36"/>
      <c r="P30" s="36"/>
      <c r="Q30" s="36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36"/>
      <c r="S30" s="36" t="str">
        <f>IF(ItemTable[[#This Row],['#4]]=ItemTable[[#This Row],[Desc]],"T","F")</f>
        <v>F</v>
      </c>
    </row>
    <row r="31" spans="2:19">
      <c r="B31">
        <v>10003</v>
      </c>
      <c r="C31" s="17" t="s">
        <v>515</v>
      </c>
      <c r="D31" s="17" t="s">
        <v>531</v>
      </c>
      <c r="E31" s="17" t="s">
        <v>522</v>
      </c>
      <c r="F31" s="17"/>
      <c r="G31" s="17" t="s">
        <v>497</v>
      </c>
      <c r="H31">
        <v>1</v>
      </c>
      <c r="I31">
        <v>50</v>
      </c>
      <c r="J31">
        <v>100</v>
      </c>
      <c r="K31">
        <v>10003</v>
      </c>
      <c r="L31" s="12" t="s">
        <v>689</v>
      </c>
      <c r="M31" s="20" t="str">
        <f>MID(ItemTable[[#This Row],[ItemIconPath]],FIND("icon",ItemTable[[#This Row],[ItemIconPath]]),999)</f>
        <v>icon/item/Active_item/A_item_01.png</v>
      </c>
      <c r="N31" s="36"/>
      <c r="O31" s="36"/>
      <c r="P31" s="36"/>
      <c r="Q31" s="36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36"/>
      <c r="S31" s="36" t="str">
        <f>IF(ItemTable[[#This Row],['#4]]=ItemTable[[#This Row],[Desc]],"T","F")</f>
        <v>F</v>
      </c>
    </row>
    <row r="32" spans="2:19">
      <c r="B32" s="25" t="s">
        <v>652</v>
      </c>
      <c r="C32" s="25" t="s">
        <v>644</v>
      </c>
      <c r="D32" s="25" t="s">
        <v>645</v>
      </c>
      <c r="E32" s="25" t="s">
        <v>646</v>
      </c>
      <c r="F32" s="25"/>
      <c r="G32" s="25" t="s">
        <v>497</v>
      </c>
      <c r="H32" s="25">
        <v>1</v>
      </c>
      <c r="I32" s="25">
        <v>50</v>
      </c>
      <c r="J32" s="25">
        <v>100</v>
      </c>
      <c r="K32" s="25">
        <v>10004</v>
      </c>
      <c r="L32" s="12" t="s">
        <v>689</v>
      </c>
      <c r="M32" s="18" t="str">
        <f>MID(ItemTable[[#This Row],[ItemIconPath]],FIND("icon",ItemTable[[#This Row],[ItemIconPath]]),999)</f>
        <v>icon/item/Active_item/A_item_01.png</v>
      </c>
      <c r="N32" s="36"/>
      <c r="O32" s="36"/>
      <c r="P32" s="36"/>
      <c r="Q32" s="36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36"/>
      <c r="S32" s="36" t="str">
        <f>IF(ItemTable[[#This Row],['#4]]=ItemTable[[#This Row],[Desc]],"T","F")</f>
        <v>F</v>
      </c>
    </row>
    <row r="33" spans="2:19">
      <c r="B33" s="12">
        <v>10005</v>
      </c>
      <c r="C33" s="12" t="s">
        <v>655</v>
      </c>
      <c r="D33" s="12" t="s">
        <v>656</v>
      </c>
      <c r="E33" s="12" t="s">
        <v>662</v>
      </c>
      <c r="F33" s="12"/>
      <c r="G33" s="25" t="s">
        <v>497</v>
      </c>
      <c r="H33" s="25">
        <v>1</v>
      </c>
      <c r="I33" s="25">
        <v>50</v>
      </c>
      <c r="J33" s="25">
        <v>100</v>
      </c>
      <c r="K33" s="25">
        <v>10005</v>
      </c>
      <c r="L33" s="12" t="s">
        <v>689</v>
      </c>
      <c r="M33" s="20"/>
      <c r="N33" s="36"/>
      <c r="O33" s="36"/>
      <c r="P33" s="36"/>
      <c r="Q33" s="36" t="str">
        <f>_xlfn.CONCAT(
_xlfn.CONCAT("&lt;size=16&gt;",N33,"&lt;/size&gt;\n\n",
"&lt;size=20&gt;&lt;color=#97C456&gt;",O33,"&lt;/color&gt;&lt;/size&gt;"),
IF(ISBLANK(P33),"",_xlfn.CONCAT("\n","&lt;size=24&gt;&lt;color=#FF6A6A&gt;",P33,"&lt;/color&gt;&lt;/size&gt;"))
)</f>
        <v>&lt;size=16&gt;&lt;/size&gt;\n\n&lt;size=20&gt;&lt;color=#97C456&gt;&lt;/color&gt;&lt;/size&gt;</v>
      </c>
      <c r="R33" s="36"/>
      <c r="S33" s="36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I22" sqref="I22"/>
    </sheetView>
  </sheetViews>
  <sheetFormatPr baseColWidth="10" defaultColWidth="8.83203125" defaultRowHeight="17"/>
  <cols>
    <col min="1" max="1" width="8.83203125" style="55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456</v>
      </c>
      <c r="F1" s="17" t="s">
        <v>456</v>
      </c>
      <c r="G1" s="17" t="s">
        <v>458</v>
      </c>
      <c r="H1" t="s">
        <v>122</v>
      </c>
      <c r="I1" s="17" t="s">
        <v>472</v>
      </c>
      <c r="J1" t="s">
        <v>122</v>
      </c>
      <c r="K1" s="17" t="s">
        <v>458</v>
      </c>
    </row>
    <row r="2" spans="2:11">
      <c r="B2" s="5" t="s">
        <v>123</v>
      </c>
      <c r="C2" s="5" t="s">
        <v>125</v>
      </c>
      <c r="D2" t="s">
        <v>73</v>
      </c>
      <c r="E2" s="17" t="s">
        <v>481</v>
      </c>
      <c r="F2" s="17" t="s">
        <v>482</v>
      </c>
      <c r="G2" s="17" t="s">
        <v>459</v>
      </c>
      <c r="H2" s="17" t="s">
        <v>460</v>
      </c>
      <c r="I2" s="32" t="s">
        <v>462</v>
      </c>
      <c r="J2" s="17" t="s">
        <v>461</v>
      </c>
      <c r="K2" s="32" t="s">
        <v>477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479</v>
      </c>
      <c r="I3" s="17"/>
      <c r="J3" s="17" t="s">
        <v>478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479</v>
      </c>
      <c r="J4" s="17" t="s">
        <v>478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479</v>
      </c>
      <c r="I5" s="17"/>
      <c r="J5" s="17" t="s">
        <v>478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539</v>
      </c>
      <c r="J6" s="17" t="s">
        <v>478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479</v>
      </c>
      <c r="J7" s="17" t="s">
        <v>478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479</v>
      </c>
      <c r="J8" s="17" t="s">
        <v>478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516</v>
      </c>
      <c r="J9" s="17" t="s">
        <v>478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618</v>
      </c>
      <c r="J10" s="17" t="s">
        <v>478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516</v>
      </c>
      <c r="J11" s="17" t="s">
        <v>621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479</v>
      </c>
      <c r="J12" s="17" t="s">
        <v>478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479</v>
      </c>
      <c r="J13" s="17" t="s">
        <v>478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479</v>
      </c>
      <c r="J14" s="17" t="s">
        <v>478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495</v>
      </c>
      <c r="J15" s="17" t="s">
        <v>621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479</v>
      </c>
      <c r="J16" s="17" t="s">
        <v>478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545</v>
      </c>
      <c r="J17" s="17" t="s">
        <v>478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479</v>
      </c>
      <c r="J18" s="17" t="s">
        <v>478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479</v>
      </c>
      <c r="J19" s="17" t="s">
        <v>478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479</v>
      </c>
      <c r="J20" s="17" t="s">
        <v>478</v>
      </c>
    </row>
    <row r="21" spans="2:11">
      <c r="B21" s="20" t="str">
        <f>INDEX(ItemTable[Name],MATCH(ItemEffectTable[[#This Row],[Index]],ItemTable[ItemEffectDataId],0))</f>
        <v>행성 만세</v>
      </c>
      <c r="C21" s="3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653</v>
      </c>
      <c r="J21" s="17" t="s">
        <v>478</v>
      </c>
    </row>
    <row r="22" spans="2:11">
      <c r="B22" s="20" t="str">
        <f>INDEX(ItemTable[Name],MATCH(ItemEffectTable[[#This Row],[Index]],ItemTable[ItemEffectDataId],0))</f>
        <v>행성 만세</v>
      </c>
      <c r="C22" s="34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479</v>
      </c>
      <c r="J22" s="17" t="s">
        <v>478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578</v>
      </c>
      <c r="J23" s="17" t="s">
        <v>478</v>
      </c>
    </row>
    <row r="24" spans="2:11">
      <c r="B24" s="20" t="str">
        <f>INDEX(ItemTable[Name],MATCH(ItemEffectTable[[#This Row],[Index]],ItemTable[ItemEffectDataId],0))</f>
        <v>회피 캣</v>
      </c>
      <c r="C24" s="34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479</v>
      </c>
      <c r="J24" s="17" t="s">
        <v>478</v>
      </c>
    </row>
    <row r="25" spans="2:11">
      <c r="B25" s="20" t="str">
        <f>INDEX(ItemTable[Name],MATCH(ItemEffectTable[[#This Row],[Index]],ItemTable[ItemEffectDataId],0))</f>
        <v>어른의 카드</v>
      </c>
      <c r="C25" s="34" t="str">
        <f>INDEX(ItemTable[GradeType],MATCH(ItemEffectTable[[#This Row],[Index]],ItemTable[ItemEffectDataId],0))</f>
        <v>Cursed</v>
      </c>
      <c r="D25" s="46">
        <v>9006</v>
      </c>
      <c r="E25" s="46">
        <v>9106</v>
      </c>
      <c r="F25" s="17"/>
      <c r="G25">
        <v>0</v>
      </c>
      <c r="H25" s="46" t="s">
        <v>663</v>
      </c>
      <c r="I25" s="46" t="s">
        <v>665</v>
      </c>
      <c r="J25" s="46" t="s">
        <v>664</v>
      </c>
      <c r="K25" s="46">
        <v>0</v>
      </c>
    </row>
    <row r="26" spans="2:11">
      <c r="B26" s="56" t="str">
        <f>INDEX(ItemTable[Name],MATCH(ItemEffectTable[[#This Row],[Index]],ItemTable[ItemEffectDataId],0))</f>
        <v>어른의 카드</v>
      </c>
      <c r="C26" s="57" t="str">
        <f>INDEX(ItemTable[GradeType],MATCH(ItemEffectTable[[#This Row],[Index]],ItemTable[ItemEffectDataId],0))</f>
        <v>Cursed</v>
      </c>
      <c r="D26" s="46">
        <v>9006</v>
      </c>
      <c r="E26" s="46"/>
      <c r="F26" s="46">
        <v>9006</v>
      </c>
      <c r="G26" s="46">
        <v>0</v>
      </c>
      <c r="H26" s="46" t="s">
        <v>495</v>
      </c>
      <c r="I26" s="46"/>
      <c r="J26" s="46"/>
      <c r="K26" s="46"/>
    </row>
    <row r="27" spans="2:11">
      <c r="B27" s="20" t="str">
        <f>INDEX(ItemTable[Name],MATCH(ItemEffectTable[[#This Row],[Index]],ItemTable[ItemEffectDataId],0))</f>
        <v>인피니티 도넛</v>
      </c>
      <c r="C27" s="34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485</v>
      </c>
      <c r="I27" s="17"/>
      <c r="J27" s="17" t="s">
        <v>478</v>
      </c>
    </row>
    <row r="28" spans="2:11">
      <c r="B28" s="20" t="str">
        <f>INDEX(ItemTable[Name],MATCH(ItemEffectTable[[#This Row],[Index]],ItemTable[ItemEffectDataId],0))</f>
        <v>초소형 블랙홀</v>
      </c>
      <c r="C28" s="34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485</v>
      </c>
      <c r="I28" s="17" t="s">
        <v>491</v>
      </c>
      <c r="J28" s="17" t="s">
        <v>490</v>
      </c>
      <c r="K28" s="12">
        <v>6</v>
      </c>
    </row>
    <row r="29" spans="2:11">
      <c r="B29" s="20" t="str">
        <f>INDEX(ItemTable[Name],MATCH(ItemEffectTable[[#This Row],[Index]],ItemTable[ItemEffectDataId],0))</f>
        <v>신경 부스터</v>
      </c>
      <c r="C29" s="34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16</v>
      </c>
      <c r="H29" s="17" t="s">
        <v>485</v>
      </c>
      <c r="J29" s="17" t="s">
        <v>478</v>
      </c>
    </row>
    <row r="30" spans="2:11">
      <c r="B30" s="20" t="str">
        <f>INDEX(ItemTable[Name],MATCH(ItemEffectTable[[#This Row],[Index]],ItemTable[ItemEffectDataId],0))</f>
        <v>미사일 백팩</v>
      </c>
      <c r="C30" s="34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6</v>
      </c>
      <c r="H30" s="17" t="s">
        <v>485</v>
      </c>
      <c r="J30" s="17" t="s">
        <v>478</v>
      </c>
    </row>
    <row r="31" spans="2:11">
      <c r="B31" s="20" t="str">
        <f>INDEX(ItemTable[Name],MATCH(ItemEffectTable[[#This Row],[Index]],ItemTable[ItemEffectDataId],0))</f>
        <v>엑스칼리배트</v>
      </c>
      <c r="C31" s="34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485</v>
      </c>
      <c r="J31" s="17" t="s">
        <v>478</v>
      </c>
    </row>
    <row r="32" spans="2:11">
      <c r="B32" s="20" t="str">
        <f>INDEX(ItemTable[Name],MATCH(ItemEffectTable[[#This Row],[Index]],ItemTable[ItemEffectDataId],0))</f>
        <v>여의배트</v>
      </c>
      <c r="C32" s="34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12</v>
      </c>
      <c r="H32" s="17" t="s">
        <v>485</v>
      </c>
      <c r="J32" s="17" t="s">
        <v>478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1"/>
  <sheetViews>
    <sheetView zoomScaleNormal="100" zoomScaleSheetLayoutView="100" workbookViewId="0">
      <selection activeCell="E39" sqref="E39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8.33203125" customWidth="1"/>
    <col min="8" max="8" width="36.5" customWidth="1"/>
    <col min="9" max="9" width="18.33203125" customWidth="1"/>
  </cols>
  <sheetData>
    <row r="1" spans="2:12">
      <c r="B1" t="s">
        <v>44</v>
      </c>
      <c r="C1" t="s">
        <v>44</v>
      </c>
      <c r="D1" t="s">
        <v>122</v>
      </c>
      <c r="E1" s="17" t="s">
        <v>472</v>
      </c>
      <c r="F1" s="17" t="s">
        <v>474</v>
      </c>
      <c r="G1" s="17" t="s">
        <v>467</v>
      </c>
      <c r="H1" s="17"/>
      <c r="I1" s="17"/>
    </row>
    <row r="2" spans="2:12">
      <c r="B2" s="41" t="s">
        <v>622</v>
      </c>
      <c r="C2" t="s">
        <v>73</v>
      </c>
      <c r="D2" s="17" t="s">
        <v>463</v>
      </c>
      <c r="E2" s="17" t="s">
        <v>473</v>
      </c>
      <c r="F2" s="1" t="s">
        <v>13</v>
      </c>
      <c r="G2" s="32" t="s">
        <v>475</v>
      </c>
      <c r="H2" s="38" t="s">
        <v>501</v>
      </c>
      <c r="I2" s="32" t="s">
        <v>509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184</v>
      </c>
      <c r="E3" s="17">
        <v>1</v>
      </c>
      <c r="F3" s="12" t="s">
        <v>580</v>
      </c>
      <c r="G3" s="17">
        <v>-1</v>
      </c>
      <c r="H3" s="19" t="s">
        <v>581</v>
      </c>
      <c r="I3" s="19"/>
    </row>
    <row r="4" spans="2:12" ht="18">
      <c r="B4" s="19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7">
        <v>7001</v>
      </c>
      <c r="D4" s="9" t="s">
        <v>292</v>
      </c>
      <c r="E4" s="9">
        <v>1.2</v>
      </c>
      <c r="F4" t="s">
        <v>320</v>
      </c>
      <c r="G4">
        <v>-1</v>
      </c>
      <c r="H4" s="15" t="s">
        <v>507</v>
      </c>
      <c r="I4" s="15"/>
    </row>
    <row r="5" spans="2:12">
      <c r="B5" s="19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7">
        <v>7002</v>
      </c>
      <c r="D5" s="17" t="s">
        <v>487</v>
      </c>
      <c r="E5" s="9">
        <v>0.5</v>
      </c>
      <c r="F5" t="s">
        <v>320</v>
      </c>
      <c r="G5">
        <v>-1</v>
      </c>
      <c r="H5" s="15" t="s">
        <v>588</v>
      </c>
      <c r="I5" s="15"/>
    </row>
    <row r="6" spans="2:12" ht="18">
      <c r="B6" s="18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25">
        <v>7003</v>
      </c>
      <c r="D6" s="42" t="s">
        <v>538</v>
      </c>
      <c r="E6" s="25">
        <v>0.2</v>
      </c>
      <c r="F6" t="s">
        <v>480</v>
      </c>
      <c r="G6" s="25">
        <v>5</v>
      </c>
      <c r="H6" s="18" t="s">
        <v>576</v>
      </c>
      <c r="I6" s="15"/>
    </row>
    <row r="7" spans="2:12" ht="18">
      <c r="B7" s="19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7">
        <v>7004</v>
      </c>
      <c r="D7" s="9" t="s">
        <v>213</v>
      </c>
      <c r="E7">
        <v>0.7</v>
      </c>
      <c r="F7" t="s">
        <v>320</v>
      </c>
      <c r="G7">
        <v>-1</v>
      </c>
      <c r="H7" s="15" t="s">
        <v>506</v>
      </c>
      <c r="I7" s="15"/>
    </row>
    <row r="8" spans="2:12" ht="18">
      <c r="B8" s="19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7">
        <v>7005</v>
      </c>
      <c r="D8" s="9" t="s">
        <v>53</v>
      </c>
      <c r="E8">
        <v>25</v>
      </c>
      <c r="F8" t="s">
        <v>480</v>
      </c>
      <c r="G8">
        <v>-1</v>
      </c>
      <c r="H8" s="15" t="s">
        <v>508</v>
      </c>
      <c r="I8" s="15"/>
    </row>
    <row r="9" spans="2:12" ht="18">
      <c r="B9" s="18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25">
        <v>8000</v>
      </c>
      <c r="D9" s="42" t="s">
        <v>293</v>
      </c>
      <c r="E9" s="25">
        <v>0.4</v>
      </c>
      <c r="F9" s="25" t="s">
        <v>480</v>
      </c>
      <c r="G9" s="25">
        <v>4</v>
      </c>
      <c r="H9" s="18" t="s">
        <v>565</v>
      </c>
      <c r="I9" s="40"/>
    </row>
    <row r="10" spans="2:12" ht="18">
      <c r="B10" s="19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7">
        <v>8001</v>
      </c>
      <c r="D10" s="9" t="s">
        <v>293</v>
      </c>
      <c r="E10" s="12" t="s">
        <v>566</v>
      </c>
      <c r="F10" t="s">
        <v>480</v>
      </c>
      <c r="G10">
        <v>-1</v>
      </c>
      <c r="H10" s="15" t="s">
        <v>510</v>
      </c>
      <c r="I10" s="20"/>
      <c r="L10" s="12"/>
    </row>
    <row r="11" spans="2:12">
      <c r="B11" s="19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7">
        <v>8003</v>
      </c>
      <c r="D11" t="s">
        <v>255</v>
      </c>
      <c r="E11">
        <v>0.5</v>
      </c>
      <c r="F11" t="s">
        <v>480</v>
      </c>
      <c r="G11">
        <v>-1</v>
      </c>
      <c r="H11" s="15" t="s">
        <v>511</v>
      </c>
      <c r="I11" s="20"/>
    </row>
    <row r="12" spans="2:12" ht="18">
      <c r="B12" s="19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7">
        <v>8004</v>
      </c>
      <c r="D12" s="43" t="s">
        <v>574</v>
      </c>
      <c r="E12">
        <v>3</v>
      </c>
      <c r="F12" t="s">
        <v>480</v>
      </c>
      <c r="G12">
        <v>-1</v>
      </c>
      <c r="H12" s="15" t="s">
        <v>541</v>
      </c>
      <c r="I12" s="20"/>
    </row>
    <row r="13" spans="2:12" ht="18">
      <c r="B13" s="19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7">
        <v>8005</v>
      </c>
      <c r="D13" s="43" t="s">
        <v>586</v>
      </c>
      <c r="E13">
        <v>50</v>
      </c>
      <c r="F13" t="s">
        <v>480</v>
      </c>
      <c r="G13">
        <v>-1</v>
      </c>
      <c r="H13" s="15" t="s">
        <v>587</v>
      </c>
      <c r="I13" s="20"/>
    </row>
    <row r="14" spans="2:12" ht="18">
      <c r="B14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25">
        <v>9000</v>
      </c>
      <c r="D14" s="42" t="s">
        <v>213</v>
      </c>
      <c r="E14" s="25">
        <v>1.2</v>
      </c>
      <c r="F14" s="25" t="s">
        <v>320</v>
      </c>
      <c r="G14" s="25">
        <v>-1</v>
      </c>
      <c r="H14" s="18" t="s">
        <v>589</v>
      </c>
      <c r="I14" s="20"/>
    </row>
    <row r="15" spans="2:12" ht="18">
      <c r="B15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25">
        <v>9000</v>
      </c>
      <c r="D15" s="42" t="s">
        <v>312</v>
      </c>
      <c r="E15" s="25">
        <v>0</v>
      </c>
      <c r="F15" s="25" t="s">
        <v>320</v>
      </c>
      <c r="G15" s="25">
        <v>-1</v>
      </c>
      <c r="H15" s="18" t="s">
        <v>543</v>
      </c>
      <c r="I15" s="20"/>
    </row>
    <row r="16" spans="2:12" ht="18">
      <c r="B16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25">
        <v>9001</v>
      </c>
      <c r="D16" s="42" t="s">
        <v>546</v>
      </c>
      <c r="E16" s="25">
        <v>0.85</v>
      </c>
      <c r="F16" s="25" t="s">
        <v>320</v>
      </c>
      <c r="G16" s="25">
        <v>4</v>
      </c>
      <c r="H16" s="18" t="s">
        <v>572</v>
      </c>
      <c r="I16" s="20"/>
    </row>
    <row r="17" spans="2:9" ht="18">
      <c r="B17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25">
        <v>9101</v>
      </c>
      <c r="D17" s="42" t="s">
        <v>546</v>
      </c>
      <c r="E17" s="25">
        <v>1.3</v>
      </c>
      <c r="F17" s="25" t="s">
        <v>320</v>
      </c>
      <c r="G17" s="25">
        <v>-1</v>
      </c>
      <c r="H17" s="18" t="s">
        <v>544</v>
      </c>
      <c r="I17" s="20"/>
    </row>
    <row r="18" spans="2:9">
      <c r="B18" s="19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7">
        <v>9002</v>
      </c>
      <c r="D18" t="s">
        <v>293</v>
      </c>
      <c r="E18">
        <v>1</v>
      </c>
      <c r="F18" t="s">
        <v>480</v>
      </c>
      <c r="G18">
        <v>-1</v>
      </c>
      <c r="H18" s="15" t="s">
        <v>512</v>
      </c>
      <c r="I18" s="20"/>
    </row>
    <row r="19" spans="2:9" ht="18">
      <c r="B19" s="19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7">
        <v>9003</v>
      </c>
      <c r="D19" s="43" t="s">
        <v>538</v>
      </c>
      <c r="E19">
        <v>0.6</v>
      </c>
      <c r="F19" t="s">
        <v>480</v>
      </c>
      <c r="G19">
        <v>-1</v>
      </c>
      <c r="H19" s="15" t="s">
        <v>547</v>
      </c>
      <c r="I19" s="20"/>
    </row>
    <row r="20" spans="2:9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630</v>
      </c>
      <c r="E20">
        <v>0.7</v>
      </c>
      <c r="F20" s="12" t="s">
        <v>571</v>
      </c>
      <c r="G20">
        <v>-1</v>
      </c>
      <c r="H20" s="15" t="s">
        <v>631</v>
      </c>
      <c r="I20" s="20"/>
    </row>
    <row r="21" spans="2:9">
      <c r="B21" s="48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584</v>
      </c>
      <c r="E21">
        <v>1.5</v>
      </c>
      <c r="F21" s="12" t="s">
        <v>571</v>
      </c>
      <c r="G21">
        <v>-1</v>
      </c>
      <c r="H21" s="15" t="s">
        <v>634</v>
      </c>
      <c r="I21" s="20"/>
    </row>
    <row r="22" spans="2:9" ht="18">
      <c r="B22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292</v>
      </c>
      <c r="E22">
        <v>1.5</v>
      </c>
      <c r="F22" t="s">
        <v>320</v>
      </c>
      <c r="G22">
        <v>-1</v>
      </c>
      <c r="H22" s="15" t="s">
        <v>642</v>
      </c>
      <c r="I22" s="20"/>
    </row>
    <row r="23" spans="2:9" ht="18">
      <c r="B23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213</v>
      </c>
      <c r="E23">
        <v>0.6</v>
      </c>
      <c r="F23" t="s">
        <v>320</v>
      </c>
      <c r="G23">
        <v>-1</v>
      </c>
      <c r="H23" s="15" t="s">
        <v>643</v>
      </c>
      <c r="I23" s="20"/>
    </row>
    <row r="24" spans="2:9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4">
        <v>10002</v>
      </c>
      <c r="D24" t="s">
        <v>2</v>
      </c>
      <c r="E24">
        <v>2.5</v>
      </c>
      <c r="F24" t="s">
        <v>320</v>
      </c>
      <c r="G24">
        <v>5</v>
      </c>
      <c r="H24" s="20"/>
      <c r="I24" s="20"/>
    </row>
    <row r="25" spans="2:9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5">
        <v>10002</v>
      </c>
      <c r="D25" t="s">
        <v>26</v>
      </c>
      <c r="E25">
        <v>0.8</v>
      </c>
      <c r="F25" t="s">
        <v>320</v>
      </c>
      <c r="G25">
        <v>5</v>
      </c>
      <c r="H25" s="20"/>
      <c r="I25" s="20"/>
    </row>
    <row r="26" spans="2:9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6">
        <v>10002</v>
      </c>
      <c r="D26" t="s">
        <v>222</v>
      </c>
      <c r="E26">
        <v>3</v>
      </c>
      <c r="F26" t="s">
        <v>320</v>
      </c>
      <c r="G26">
        <v>5</v>
      </c>
      <c r="H26" s="20"/>
      <c r="I26" s="20"/>
    </row>
    <row r="27" spans="2:9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7">
        <v>10002</v>
      </c>
      <c r="D27" t="s">
        <v>213</v>
      </c>
      <c r="E27">
        <v>0.8</v>
      </c>
      <c r="F27" t="s">
        <v>320</v>
      </c>
      <c r="G27">
        <v>5</v>
      </c>
      <c r="H27" s="20"/>
      <c r="I27" s="20"/>
    </row>
    <row r="28" spans="2:9">
      <c r="B28" s="34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8">
        <v>10002</v>
      </c>
      <c r="D28" t="s">
        <v>27</v>
      </c>
      <c r="E28">
        <v>2.5</v>
      </c>
      <c r="F28" t="s">
        <v>320</v>
      </c>
      <c r="G28">
        <v>5</v>
      </c>
      <c r="H28" s="20"/>
      <c r="I28" s="20"/>
    </row>
    <row r="29" spans="2:9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2</v>
      </c>
      <c r="E29">
        <v>0</v>
      </c>
      <c r="F29" t="s">
        <v>320</v>
      </c>
      <c r="G29">
        <v>1.5</v>
      </c>
      <c r="H29" s="15" t="s">
        <v>647</v>
      </c>
      <c r="I29" s="20"/>
    </row>
    <row r="30" spans="2:9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657</v>
      </c>
      <c r="E30">
        <v>3</v>
      </c>
      <c r="F30" t="s">
        <v>320</v>
      </c>
      <c r="G30">
        <v>6</v>
      </c>
      <c r="H30" s="15" t="s">
        <v>658</v>
      </c>
      <c r="I30" s="20"/>
    </row>
    <row r="31" spans="2:9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>
        <v>10005</v>
      </c>
      <c r="D31" s="12" t="s">
        <v>660</v>
      </c>
      <c r="E31">
        <v>0</v>
      </c>
      <c r="F31" t="s">
        <v>480</v>
      </c>
      <c r="G31">
        <v>6</v>
      </c>
      <c r="H31" s="15" t="s">
        <v>661</v>
      </c>
      <c r="I3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D27" sqref="D27"/>
    </sheetView>
  </sheetViews>
  <sheetFormatPr baseColWidth="10" defaultColWidth="8.83203125" defaultRowHeight="17"/>
  <cols>
    <col min="1" max="1" width="8.83203125" style="54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44</v>
      </c>
      <c r="D1" t="s">
        <v>122</v>
      </c>
      <c r="E1" s="17" t="s">
        <v>458</v>
      </c>
      <c r="F1" s="17"/>
      <c r="G1" s="17" t="s">
        <v>467</v>
      </c>
      <c r="H1" s="17"/>
      <c r="I1" s="17" t="s">
        <v>467</v>
      </c>
      <c r="J1" s="17"/>
      <c r="K1" s="17" t="s">
        <v>467</v>
      </c>
    </row>
    <row r="2" spans="1:12">
      <c r="B2" t="s">
        <v>73</v>
      </c>
      <c r="C2" s="41" t="s">
        <v>519</v>
      </c>
      <c r="D2" s="17" t="s">
        <v>488</v>
      </c>
      <c r="E2" s="17" t="s">
        <v>464</v>
      </c>
      <c r="F2" s="38" t="s">
        <v>502</v>
      </c>
      <c r="G2" s="32" t="s">
        <v>465</v>
      </c>
      <c r="H2" s="38" t="s">
        <v>503</v>
      </c>
      <c r="I2" s="32" t="s">
        <v>466</v>
      </c>
      <c r="J2" s="38" t="s">
        <v>504</v>
      </c>
      <c r="K2" s="32" t="s">
        <v>526</v>
      </c>
      <c r="L2" s="38" t="s">
        <v>525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616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616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616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496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496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496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483</v>
      </c>
      <c r="E9" s="9"/>
      <c r="F9" s="39"/>
      <c r="H9" s="39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616</v>
      </c>
      <c r="E10" s="9">
        <v>-50</v>
      </c>
      <c r="F10" s="39"/>
      <c r="H10" s="39"/>
      <c r="J10" s="20"/>
      <c r="L10" s="20"/>
    </row>
    <row r="11" spans="1:12" s="59" customFormat="1" ht="18">
      <c r="A11" s="58"/>
      <c r="B11" s="59">
        <v>9006</v>
      </c>
      <c r="C11" s="60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61" t="s">
        <v>666</v>
      </c>
      <c r="E11" s="62">
        <v>-1</v>
      </c>
      <c r="F11" s="63" t="s">
        <v>667</v>
      </c>
      <c r="H11" s="63"/>
      <c r="J11" s="60"/>
      <c r="L11" s="6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468</v>
      </c>
      <c r="E12" s="9">
        <v>8</v>
      </c>
      <c r="F12" s="39"/>
      <c r="H12" s="39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489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신경 부스터</v>
      </c>
      <c r="D14" s="17" t="s">
        <v>484</v>
      </c>
      <c r="E14">
        <v>0.5</v>
      </c>
      <c r="F14" s="15" t="s">
        <v>505</v>
      </c>
      <c r="G14">
        <v>3</v>
      </c>
      <c r="H14" s="15" t="s">
        <v>640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494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55"/>
      <c r="B16" s="21" t="s">
        <v>654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648</v>
      </c>
      <c r="E16" s="21">
        <v>70</v>
      </c>
      <c r="F16" s="23" t="s">
        <v>649</v>
      </c>
      <c r="G16" s="21">
        <v>5</v>
      </c>
      <c r="H16" s="23" t="s">
        <v>650</v>
      </c>
      <c r="I16" s="21">
        <v>18</v>
      </c>
      <c r="J16" s="23" t="s">
        <v>651</v>
      </c>
      <c r="K16" s="21"/>
      <c r="L16" s="23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15" sqref="D14:D15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296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272</v>
      </c>
      <c r="F4" t="s">
        <v>346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296</v>
      </c>
      <c r="E5" t="s">
        <v>54</v>
      </c>
      <c r="F5" t="s">
        <v>345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271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297</v>
      </c>
      <c r="E7" t="s">
        <v>279</v>
      </c>
      <c r="F7" t="s">
        <v>348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296</v>
      </c>
      <c r="E8" t="s">
        <v>54</v>
      </c>
      <c r="F8" t="s">
        <v>347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297</v>
      </c>
      <c r="E9" t="s">
        <v>279</v>
      </c>
      <c r="F9" t="s">
        <v>249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261</v>
      </c>
      <c r="C2" t="s">
        <v>259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287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260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265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341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349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246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245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252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248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2023-09-25T15:19:32Z</dcterms:modified>
  <cp:version>1200.0100.01</cp:version>
</cp:coreProperties>
</file>