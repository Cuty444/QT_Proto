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07CCC2D-16A7-0246-A489-3E0F02CA4057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6" l="1"/>
  <c r="B17" i="16"/>
  <c r="B18" i="16"/>
  <c r="B19" i="16"/>
  <c r="B20" i="16"/>
  <c r="B21" i="16"/>
  <c r="B22" i="16"/>
  <c r="I22" i="16"/>
  <c r="I21" i="16"/>
  <c r="I17" i="16"/>
  <c r="I18" i="16"/>
  <c r="I16" i="16"/>
  <c r="I19" i="16"/>
  <c r="I20" i="16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67" i="16"/>
  <c r="B67" i="16" s="1"/>
  <c r="I66" i="16"/>
  <c r="B66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56" i="16"/>
  <c r="B56" i="16" s="1"/>
  <c r="I57" i="16"/>
  <c r="B57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55" i="16"/>
  <c r="B55" i="16" s="1"/>
  <c r="I54" i="16"/>
  <c r="B54" i="16" s="1"/>
  <c r="I68" i="16"/>
  <c r="B68" i="16" s="1"/>
  <c r="I69" i="16"/>
  <c r="B69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3" i="16"/>
  <c r="B53" i="16" s="1"/>
  <c r="I52" i="16"/>
  <c r="B52" i="16" s="1"/>
  <c r="I51" i="16"/>
  <c r="B51" i="16" s="1"/>
  <c r="I50" i="16"/>
  <c r="B50" i="16" s="1"/>
  <c r="I49" i="16"/>
  <c r="B49" i="16" s="1"/>
  <c r="I48" i="16"/>
  <c r="B48" i="16" s="1"/>
  <c r="I47" i="16"/>
  <c r="B47" i="16" s="1"/>
  <c r="I46" i="16"/>
  <c r="B46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<sst xmlns="http://schemas.openxmlformats.org/spreadsheetml/2006/main" count="1843" uniqueCount="887">
  <si>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</si>
  <si>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</si>
  <si>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</si>
  <si>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</si>
  <si>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</si>
  <si>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</si>
  <si>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</si>
  <si>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</si>
  <si>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</si>
  <si>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</si>
  <si>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</si>
  <si>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</si>
  <si>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</si>
  <si>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</si>
  <si>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</si>
  <si>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</si>
  <si>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</si>
  <si>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</si>
  <si>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</si>
  <si>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</si>
  <si>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</si>
  <si>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</si>
  <si>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</si>
  <si>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</si>
  <si>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</si>
  <si>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</si>
  <si>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</si>
  <si>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</si>
  <si>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</si>
  <si>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</si>
  <si>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</si>
  <si>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</si>
  <si>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</si>
  <si>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</si>
  <si>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</si>
  <si>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</si>
  <si>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</si>
  <si>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</si>
  <si>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</si>
  <si>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</si>
  <si>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</si>
  <si>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</si>
  <si>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</si>
  <si>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</si>
  <si>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</si>
  <si>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</si>
  <si>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</si>
  <si>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</si>
  <si>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</si>
  <si>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</si>
  <si>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</si>
  <si>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</si>
  <si>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</si>
  <si>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</si>
  <si>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</si>
  <si>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</si>
  <si>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</si>
  <si>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</si>
  <si>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</si>
  <si>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</si>
  <si>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</si>
  <si>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</si>
  <si>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</si>
  <si>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</si>
  <si>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</si>
  <si>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</si>
  <si>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</si>
  <si>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</si>
  <si>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</si>
  <si>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</si>
  <si>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</si>
  <si>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</si>
  <si>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</si>
  <si>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</si>
  <si>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</si>
  <si>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</si>
  <si>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</si>
  <si>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</si>
  <si>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</si>
  <si>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</si>
  <si>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</si>
  <si>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</si>
  <si>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</si>
  <si>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</si>
  <si>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</si>
  <si>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</si>
  <si>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</si>
  <si>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</si>
  <si>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</si>
  <si>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</si>
  <si>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</si>
  <si>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</si>
  <si>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</si>
  <si>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</si>
  <si>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</si>
  <si>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</si>
  <si>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</si>
  <si>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</si>
  <si>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</si>
  <si>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</si>
  <si>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</si>
  <si>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</si>
  <si>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</si>
  <si>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</si>
  <si>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</si>
  <si>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</si>
  <si>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</si>
  <si>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</si>
  <si>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</si>
  <si>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</si>
  <si>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</si>
  <si>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</si>
  <si>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</si>
  <si>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</si>
  <si>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</si>
  <si>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</si>
  <si>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</si>
  <si>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</si>
  <si>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</si>
  <si>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</si>
  <si>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</si>
  <si>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</si>
  <si>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</si>
  <si>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</si>
  <si>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</si>
  <si>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</si>
  <si>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</si>
  <si>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</si>
  <si>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</si>
  <si>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</si>
  <si>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</si>
  <si>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</si>
  <si>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</si>
  <si>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</si>
  <si>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</si>
  <si>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</si>
  <si>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</si>
  <si>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</si>
  <si>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</si>
  <si>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</si>
  <si>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</si>
  <si>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</si>
  <si>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</si>
  <si>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</si>
  <si>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</si>
  <si>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</si>
  <si>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</si>
  <si>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</si>
  <si>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</si>
  <si>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</si>
  <si>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</si>
  <si>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</si>
  <si>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</si>
  <si>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</si>
  <si>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</si>
  <si>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</si>
  <si>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</si>
  <si>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</si>
  <si>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</si>
  <si>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</si>
  <si>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</si>
  <si>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</si>
  <si>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</si>
  <si>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</si>
  <si>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</si>
  <si>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</si>
  <si>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</si>
  <si>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</si>
  <si>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</si>
  <si>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</si>
  <si>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</si>
  <si>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</si>
  <si>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</si>
  <si>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</si>
  <si>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</si>
  <si>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</si>
  <si>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</si>
  <si>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</si>
  <si>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</si>
  <si>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</si>
  <si>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</si>
  <si>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</si>
  <si>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</si>
  <si>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</si>
  <si>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</si>
  <si>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</si>
  <si>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</si>
  <si>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</si>
  <si>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</si>
  <si>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</si>
  <si>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</si>
  <si>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</si>
  <si>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</si>
  <si>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</si>
  <si>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</si>
  <si>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</si>
  <si>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</si>
  <si>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</si>
  <si>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</si>
  <si>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</si>
  <si>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</si>
  <si>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</si>
  <si>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</si>
  <si>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</si>
  <si>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</si>
  <si>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</si>
  <si>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</si>
  <si>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</si>
  <si>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</si>
  <si>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</si>
  <si>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</si>
  <si>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</si>
  <si>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</si>
  <si>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</si>
  <si>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</si>
  <si>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</si>
  <si>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</si>
  <si>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</si>
  <si>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</si>
  <si>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</si>
  <si>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</si>
  <si>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</si>
  <si>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</si>
  <si>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</si>
  <si>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</si>
  <si>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</si>
  <si>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</si>
  <si>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</si>
  <si>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</si>
  <si>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</si>
  <si>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</si>
  <si>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</si>
  <si>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</si>
  <si>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</si>
  <si>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</si>
  <si>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</si>
  <si>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</si>
  <si>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</si>
  <si>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</si>
  <si>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</si>
  <si>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</si>
  <si>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</si>
  <si>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</si>
  <si>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</si>
  <si>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</si>
  <si>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</si>
  <si>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</si>
  <si>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</si>
  <si>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</si>
  <si>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</si>
  <si>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</si>
  <si>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</si>
  <si>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</si>
  <si>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</si>
  <si>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</si>
  <si>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</si>
  <si>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</si>
  <si>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</si>
  <si>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</si>
  <si>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</si>
  <si>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</si>
  <si>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</si>
  <si>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</si>
  <si>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</si>
  <si>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</si>
  <si>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</si>
  <si>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</si>
  <si>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</si>
  <si>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</si>
  <si>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</si>
  <si>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</si>
  <si>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</si>
  <si>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</si>
  <si>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</si>
  <si>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</si>
  <si>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</si>
  <si>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</si>
  <si>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</si>
  <si>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</si>
  <si>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</si>
  <si>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</si>
  <si>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</si>
  <si>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</si>
  <si>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</si>
  <si>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</si>
  <si>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</si>
  <si>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</si>
  <si>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</si>
  <si>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</si>
  <si>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</si>
  <si>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</si>
  <si>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</si>
  <si>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</si>
  <si>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</si>
  <si>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</si>
  <si>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</si>
  <si>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</si>
  <si>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</si>
  <si>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</si>
  <si>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</si>
  <si>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</si>
  <si>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</si>
  <si>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</si>
  <si>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</si>
  <si>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</si>
  <si>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</si>
  <si>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</si>
  <si>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</si>
  <si>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</si>
  <si>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</si>
  <si>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</si>
  <si>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</si>
  <si>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</si>
  <si>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</si>
  <si>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</si>
  <si>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</si>
  <si>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</si>
  <si>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</si>
  <si>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</si>
  <si>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</si>
  <si>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</si>
  <si>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</si>
  <si>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</si>
  <si>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</si>
  <si>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</si>
  <si>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</si>
  <si>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</si>
  <si>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</si>
  <si>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</si>
  <si>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</si>
  <si>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</si>
  <si>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</si>
  <si>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</si>
  <si>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</si>
  <si>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</si>
  <si>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</si>
  <si>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</si>
  <si>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</si>
  <si>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</si>
  <si>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</si>
  <si>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</si>
  <si>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</si>
  <si>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</si>
  <si>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</si>
  <si>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</si>
  <si>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</si>
  <si>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</si>
  <si>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</si>
  <si>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</si>
  <si>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</si>
  <si>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</si>
  <si>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</si>
  <si>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</si>
  <si>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</si>
  <si>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</si>
  <si>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</si>
  <si>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</si>
  <si>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</si>
  <si>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</si>
  <si>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</si>
  <si>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</si>
  <si>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</si>
  <si>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</si>
  <si>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</si>
  <si>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</si>
  <si>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</si>
  <si>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</si>
  <si>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</si>
  <si>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</si>
  <si>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</si>
  <si>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</si>
  <si>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</si>
  <si>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</si>
  <si>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</si>
  <si>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</si>
  <si>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</si>
  <si>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</si>
  <si>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</si>
  <si>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</si>
  <si>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</si>
  <si>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</si>
  <si>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</si>
  <si>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</si>
  <si>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</si>
  <si>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</si>
  <si>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</si>
  <si>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</si>
  <si>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</si>
  <si>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</si>
  <si>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</si>
  <si>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</si>
  <si>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</si>
  <si>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</si>
  <si>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</si>
  <si>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</si>
  <si>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</si>
  <si>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</si>
  <si>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</si>
  <si>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</si>
  <si>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</si>
  <si>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</si>
  <si>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</si>
  <si>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</si>
  <si>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</si>
  <si>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</si>
  <si>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</si>
  <si>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</si>
  <si>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</si>
  <si>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</si>
  <si>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</si>
  <si>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</si>
  <si>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</si>
  <si>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</si>
  <si>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</si>
  <si>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</si>
  <si>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</si>
  <si>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</si>
  <si>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</si>
  <si>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</si>
  <si>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</si>
  <si>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</si>
  <si>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</si>
  <si>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</si>
  <si>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</si>
  <si>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</si>
  <si>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</si>
  <si>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</si>
  <si>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</si>
  <si>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</si>
  <si>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</si>
  <si>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</si>
  <si>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</si>
  <si>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</si>
  <si>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</si>
  <si>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</si>
  <si>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</si>
  <si>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</si>
  <si>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</si>
  <si>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</si>
  <si>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</si>
  <si>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</si>
  <si>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</si>
  <si>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</si>
  <si>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</si>
  <si>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</si>
  <si>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</si>
  <si>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</si>
  <si>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</si>
  <si>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</si>
  <si>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</si>
  <si>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</si>
  <si>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</si>
  <si>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</si>
  <si>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</si>
  <si>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</si>
  <si>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</si>
  <si>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</si>
  <si>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</si>
  <si>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</si>
  <si>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</si>
  <si>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</si>
  <si>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</si>
  <si>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</si>
  <si>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</si>
  <si>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</si>
  <si>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</si>
  <si>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</si>
  <si>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</si>
  <si>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</si>
  <si>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</si>
  <si>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</si>
  <si>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</si>
  <si>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</si>
  <si>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</si>
  <si>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</si>
  <si>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</si>
  <si>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</si>
  <si>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</si>
  <si>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</si>
  <si>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</si>
  <si>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</si>
  <si>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</si>
  <si>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</si>
  <si>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</si>
  <si>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</si>
  <si>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</si>
  <si>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</si>
  <si>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</si>
  <si>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</si>
  <si>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</si>
  <si>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</si>
  <si>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</si>
  <si>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</si>
  <si>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</si>
  <si>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</si>
  <si>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</si>
  <si>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</si>
  <si>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</si>
  <si>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</si>
  <si>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</si>
  <si>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</si>
  <si>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</si>
  <si>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</si>
  <si>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</si>
  <si>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</si>
  <si>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</si>
  <si>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</si>
  <si>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</si>
  <si>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</si>
  <si>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</si>
  <si>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</si>
  <si>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</si>
  <si>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</si>
  <si>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</si>
  <si>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</si>
  <si>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</si>
  <si>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</si>
  <si>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</si>
  <si>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</si>
  <si>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</si>
  <si>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</si>
  <si>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</si>
  <si>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</si>
  <si>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</si>
  <si>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</si>
  <si>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</si>
  <si>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</si>
  <si>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</si>
  <si>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</si>
  <si>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</si>
  <si>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</si>
  <si>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</si>
  <si>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</si>
  <si>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</si>
  <si>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</si>
  <si>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</si>
  <si>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</si>
  <si>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</si>
  <si>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</si>
  <si>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</si>
  <si>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</si>
  <si>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</si>
  <si>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</si>
  <si>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</si>
  <si>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</si>
  <si>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</si>
  <si>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</si>
  <si>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</si>
  <si>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</si>
  <si>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</si>
  <si>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</si>
  <si>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</si>
  <si>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</si>
  <si>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</si>
  <si>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</si>
  <si>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</si>
  <si>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</si>
  <si>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</si>
  <si>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</si>
  <si>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</si>
  <si>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</si>
  <si>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</si>
  <si>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</si>
  <si>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</si>
  <si>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</si>
  <si>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</si>
  <si>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</si>
  <si>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</si>
  <si>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</si>
  <si>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</si>
  <si>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</si>
  <si>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</si>
  <si>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</si>
  <si>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</si>
  <si>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</si>
  <si>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</si>
  <si>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</si>
  <si>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</si>
  <si>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</si>
  <si>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</si>
  <si>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</si>
  <si>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</si>
  <si>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</si>
  <si>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</si>
  <si>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</si>
  <si>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</si>
  <si>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</si>
  <si>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</si>
  <si>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</si>
  <si>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</si>
  <si>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</si>
  <si>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</si>
  <si>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</si>
  <si>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</si>
  <si>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</si>
  <si>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</si>
  <si>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</si>
  <si>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</si>
  <si>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</si>
  <si>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</si>
  <si>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</si>
  <si>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</si>
  <si>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</si>
  <si>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</si>
  <si>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</si>
  <si>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</si>
  <si>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</si>
  <si>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</si>
  <si>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</si>
  <si>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</si>
  <si>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</si>
  <si>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</si>
  <si>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</si>
  <si>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</si>
  <si>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</si>
  <si>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</si>
  <si>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</si>
  <si>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</si>
  <si>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</si>
  <si>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</si>
  <si>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</si>
  <si>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</si>
  <si>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</si>
  <si>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</si>
  <si>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</si>
  <si>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</si>
  <si>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</si>
  <si>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</si>
  <si>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</si>
  <si>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</si>
  <si>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</si>
  <si>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</si>
  <si>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</si>
  <si>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</si>
  <si>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</si>
  <si>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</si>
  <si>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</si>
  <si>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</si>
  <si>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</si>
  <si>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</si>
  <si>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</si>
  <si>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</si>
  <si>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</si>
  <si>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</si>
  <si>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</si>
  <si>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</si>
  <si>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</si>
  <si>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</si>
  <si>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</si>
  <si>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</si>
  <si>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</si>
  <si>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</si>
  <si>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</si>
  <si>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</si>
  <si>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</si>
  <si>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</si>
  <si>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</si>
  <si>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</si>
  <si>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</si>
  <si>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</si>
  <si>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</si>
  <si>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</si>
  <si>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</si>
  <si>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</si>
  <si>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</si>
  <si>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</si>
  <si>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</si>
  <si>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</si>
  <si>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</si>
  <si>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</si>
  <si>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</si>
  <si>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</si>
  <si>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</si>
  <si>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</si>
  <si>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</si>
  <si>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</si>
  <si>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</si>
  <si>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</si>
  <si>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</si>
  <si>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</si>
  <si>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</si>
  <si>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</si>
  <si>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</si>
  <si>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</si>
  <si>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</si>
  <si>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</si>
  <si>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</si>
  <si>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</si>
  <si>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</si>
  <si>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</si>
  <si>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</si>
  <si>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</si>
  <si>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</si>
  <si>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</si>
  <si>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</si>
  <si>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</si>
  <si>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</si>
  <si>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</si>
  <si>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</si>
  <si>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</si>
  <si>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</si>
  <si>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</si>
  <si>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</si>
  <si>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</si>
  <si>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</si>
  <si>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</si>
  <si>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</si>
  <si>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</si>
  <si>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</si>
  <si>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</si>
  <si>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</si>
  <si>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</si>
  <si>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</si>
  <si>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</si>
  <si>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</si>
  <si>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</si>
  <si>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</si>
  <si>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</si>
  <si>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</si>
  <si>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</si>
  <si>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</si>
  <si>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</si>
  <si>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</si>
  <si>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</si>
  <si>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</si>
  <si>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</si>
  <si>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</si>
  <si>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</si>
  <si>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</si>
  <si>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</si>
  <si>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</si>
  <si>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The icons on the minimap indicate the type of room you are in.</t>
  </si>
  <si>
    <t>As you progress, more enemies will appear.</t>
  </si>
  <si>
    <t>Once you go down to the next floor, you can't go back.</t>
  </si>
  <si>
    <t>Blast enemies with a charging attack to hit other enemies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</si>
  <si>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</si>
  <si>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</si>
  <si>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</si>
  <si>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</si>
  <si>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</si>
  <si>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</si>
  <si>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</si>
  <si>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</si>
  <si>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</si>
  <si>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</si>
  <si>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</si>
  <si>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</si>
  <si>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</si>
  <si>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</si>
  <si>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</si>
  <si>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</si>
  <si>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</si>
  <si>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</si>
  <si>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</si>
  <si>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</si>
  <si>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</si>
  <si>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</si>
  <si>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</si>
  <si>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</si>
  <si>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</si>
  <si>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</si>
  <si>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</si>
  <si>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</si>
  <si>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</si>
  <si>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</si>
  <si>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</si>
  <si>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</si>
  <si>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</si>
  <si>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</si>
  <si>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</si>
  <si>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</si>
  <si>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</si>
  <si>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</si>
  <si>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</si>
  <si>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</si>
  <si>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</si>
  <si>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</si>
  <si>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</si>
  <si>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</si>
  <si>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</si>
  <si>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</si>
  <si>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</si>
  <si>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</si>
  <si>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</si>
  <si>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</si>
  <si>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</si>
  <si>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</si>
  <si>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</si>
  <si>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</si>
  <si>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</si>
  <si>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</si>
  <si>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</si>
  <si>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</si>
  <si>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</si>
  <si>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</si>
  <si>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</si>
  <si>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</si>
  <si>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</si>
  <si>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</si>
  <si>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</si>
  <si>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</si>
  <si>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</si>
  <si>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</si>
  <si>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</si>
  <si>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</si>
  <si>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</si>
  <si>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</si>
  <si>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</si>
  <si>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</si>
  <si>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</si>
  <si>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</si>
  <si>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</si>
  <si>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</si>
  <si>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</si>
  <si>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</si>
  <si>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</si>
  <si>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</si>
  <si>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</si>
  <si>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</si>
  <si>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</si>
  <si>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</si>
  <si>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</si>
  <si>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</si>
  <si>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</si>
  <si>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</si>
  <si>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</si>
  <si>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</si>
  <si>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</si>
  <si>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</si>
  <si>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</si>
  <si>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</si>
  <si>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</si>
  <si>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</si>
  <si>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</si>
  <si>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</si>
  <si>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</si>
  <si>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</si>
  <si>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</si>
  <si>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</si>
  <si>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</si>
  <si>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</si>
  <si>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</si>
  <si>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</si>
  <si>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</si>
  <si>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</si>
  <si>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</si>
  <si>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</si>
  <si>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</si>
  <si>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</si>
  <si>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</si>
  <si>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</si>
  <si>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</si>
  <si>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</si>
  <si>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</si>
  <si>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</si>
  <si>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</si>
  <si>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</si>
  <si>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</si>
  <si>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</si>
  <si>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</si>
  <si>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</si>
  <si>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</si>
  <si>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There will be a shop on each of the floors.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</si>
  <si>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</si>
  <si>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</si>
  <si>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</si>
  <si>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</si>
  <si>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</si>
  <si>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</si>
  <si>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체력을 회복하려면 모든 층에서 영업중인 닥터 렌을 찾아주세요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</si>
  <si>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</si>
  <si>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</si>
  <si>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</si>
  <si>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</si>
  <si>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To restore your health, visit Dr. Ren, who is open on all floors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</si>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</sst>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54" totalsRowShown="0" headerRowDxfId="9" dataDxfId="8">
  <autoFilter ref="B2:I154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795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829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784</v>
      </c>
    </row>
    <row r="43" spans="1:6">
      <c r="B43" s="11" t="s">
        <v>794</v>
      </c>
      <c r="C43" s="11" t="s">
        <v>796</v>
      </c>
      <c r="D43" s="11" t="s">
        <v>797</v>
      </c>
      <c r="E43" s="11" t="s">
        <v>784</v>
      </c>
      <c r="F43" s="11" t="s">
        <v>702</v>
      </c>
    </row>
    <row r="44" spans="1:6" ht="18">
      <c r="B44" s="9" t="s">
        <v>785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786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787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788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789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790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791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792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793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784</v>
      </c>
    </row>
    <row r="55" spans="2:6">
      <c r="B55" s="11" t="s">
        <v>811</v>
      </c>
      <c r="C55" t="s">
        <v>813</v>
      </c>
      <c r="D55" s="11" t="s">
        <v>814</v>
      </c>
      <c r="E55" s="11" t="s">
        <v>812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E24" sqref="E24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798</v>
      </c>
      <c r="P2" s="71" t="s">
        <v>799</v>
      </c>
      <c r="Q2" s="71" t="s">
        <v>800</v>
      </c>
      <c r="R2" s="71" t="s">
        <v>801</v>
      </c>
      <c r="S2" s="71" t="s">
        <v>802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E13" sqref="E13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808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803</v>
      </c>
      <c r="O2" s="69" t="s">
        <v>804</v>
      </c>
      <c r="P2" s="69" t="s">
        <v>689</v>
      </c>
      <c r="Q2" s="69" t="s">
        <v>807</v>
      </c>
      <c r="R2" s="69" t="s">
        <v>810</v>
      </c>
      <c r="S2" s="75" t="s">
        <v>815</v>
      </c>
      <c r="T2" s="69" t="s">
        <v>806</v>
      </c>
      <c r="U2" s="69" t="s">
        <v>805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5" sqref="E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809</v>
      </c>
      <c r="N2" s="74" t="s">
        <v>816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54"/>
  <sheetViews>
    <sheetView tabSelected="1" topLeftCell="A2" zoomScaleNormal="100" zoomScaleSheetLayoutView="100" workbookViewId="0">
      <selection activeCell="D19" sqref="D19"/>
    </sheetView>
  </sheetViews>
  <sheetFormatPr baseColWidth="10" defaultColWidth="8.83203125" defaultRowHeight="17"/>
  <cols>
    <col min="2" max="2" width="32.6640625" customWidth="1"/>
    <col min="3" max="3" width="65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752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836</v>
      </c>
      <c r="D8" s="53" t="s">
        <v>835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735</v>
      </c>
      <c r="D9" s="53" t="s">
        <v>753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736</v>
      </c>
      <c r="D10" s="53" t="s">
        <v>832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737</v>
      </c>
      <c r="D11" s="53" t="s">
        <v>754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738</v>
      </c>
      <c r="D12" s="53" t="s">
        <v>755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739</v>
      </c>
      <c r="D13" s="53" t="s">
        <v>756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740</v>
      </c>
      <c r="D14" s="53" t="s">
        <v>833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870</v>
      </c>
      <c r="D16" s="83" t="s">
        <v>877</v>
      </c>
      <c r="E16" s="14" t="s">
        <v>884</v>
      </c>
      <c r="F16" s="56" t="s">
        <v>574</v>
      </c>
      <c r="G16" s="56" t="s">
        <v>834</v>
      </c>
      <c r="H16" s="14" t="s">
        <v>877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871</v>
      </c>
      <c r="D17" s="83" t="s">
        <v>878</v>
      </c>
      <c r="E17" s="14" t="s">
        <v>884</v>
      </c>
      <c r="F17" s="56" t="s">
        <v>574</v>
      </c>
      <c r="G17" s="56" t="s">
        <v>834</v>
      </c>
      <c r="H17" s="14" t="s">
        <v>878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872</v>
      </c>
      <c r="D18" s="83" t="s">
        <v>879</v>
      </c>
      <c r="E18" s="14" t="s">
        <v>884</v>
      </c>
      <c r="F18" s="56" t="s">
        <v>574</v>
      </c>
      <c r="G18" s="56" t="s">
        <v>834</v>
      </c>
      <c r="H18" s="14" t="s">
        <v>879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873</v>
      </c>
      <c r="D19" s="83" t="s">
        <v>756</v>
      </c>
      <c r="E19" s="14" t="s">
        <v>884</v>
      </c>
      <c r="F19" s="56" t="s">
        <v>574</v>
      </c>
      <c r="G19" s="56" t="s">
        <v>834</v>
      </c>
      <c r="H19" s="14" t="s">
        <v>885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884</v>
      </c>
      <c r="F20" s="56" t="s">
        <v>574</v>
      </c>
      <c r="G20" s="56" t="s">
        <v>834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875</v>
      </c>
      <c r="D21" s="83" t="s">
        <v>880</v>
      </c>
      <c r="E21" s="14" t="s">
        <v>884</v>
      </c>
      <c r="F21" s="56" t="s">
        <v>574</v>
      </c>
      <c r="G21" s="56" t="s">
        <v>834</v>
      </c>
      <c r="H21" s="14" t="s">
        <v>886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876</v>
      </c>
      <c r="D22" s="83" t="s">
        <v>881</v>
      </c>
      <c r="E22" s="14" t="s">
        <v>884</v>
      </c>
      <c r="F22" s="56" t="s">
        <v>574</v>
      </c>
      <c r="G22" s="56" t="s">
        <v>834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741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742</v>
      </c>
      <c r="D24" s="53" t="s">
        <v>830</v>
      </c>
      <c r="E24" s="14" t="s">
        <v>549</v>
      </c>
      <c r="F24" s="56" t="s">
        <v>574</v>
      </c>
      <c r="G24" s="56" t="s">
        <v>741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743</v>
      </c>
      <c r="D25" s="53" t="s">
        <v>831</v>
      </c>
      <c r="E25" s="14" t="s">
        <v>549</v>
      </c>
      <c r="F25" s="56" t="s">
        <v>574</v>
      </c>
      <c r="G25" s="56" t="s">
        <v>741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882</v>
      </c>
      <c r="D26" s="53" t="s">
        <v>883</v>
      </c>
      <c r="E26" s="14" t="s">
        <v>549</v>
      </c>
      <c r="F26" s="56" t="s">
        <v>574</v>
      </c>
      <c r="G26" s="56" t="s">
        <v>741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744</v>
      </c>
      <c r="D27" s="53" t="s">
        <v>757</v>
      </c>
      <c r="E27" s="14" t="s">
        <v>549</v>
      </c>
      <c r="F27" s="56" t="s">
        <v>574</v>
      </c>
      <c r="G27" s="56" t="s">
        <v>741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745</v>
      </c>
      <c r="D28" s="53" t="s">
        <v>758</v>
      </c>
      <c r="E28" s="14" t="s">
        <v>549</v>
      </c>
      <c r="F28" s="56" t="s">
        <v>574</v>
      </c>
      <c r="G28" s="56" t="s">
        <v>741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746</v>
      </c>
      <c r="D29" s="53" t="s">
        <v>759</v>
      </c>
      <c r="E29" s="14" t="s">
        <v>549</v>
      </c>
      <c r="F29" s="56" t="s">
        <v>574</v>
      </c>
      <c r="G29" s="56" t="s">
        <v>741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747</v>
      </c>
      <c r="D30" s="53" t="s">
        <v>760</v>
      </c>
      <c r="E30" s="14" t="s">
        <v>549</v>
      </c>
      <c r="F30" s="56" t="s">
        <v>574</v>
      </c>
      <c r="G30" s="56" t="s">
        <v>741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748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766</v>
      </c>
      <c r="D32" s="53" t="s">
        <v>767</v>
      </c>
      <c r="E32" s="14" t="s">
        <v>549</v>
      </c>
      <c r="F32" s="56" t="s">
        <v>574</v>
      </c>
      <c r="G32" s="56" t="s">
        <v>748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749</v>
      </c>
      <c r="D33" s="53" t="s">
        <v>761</v>
      </c>
      <c r="E33" s="14" t="s">
        <v>549</v>
      </c>
      <c r="F33" s="56" t="s">
        <v>574</v>
      </c>
      <c r="G33" s="56" t="s">
        <v>748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770</v>
      </c>
      <c r="D34" s="53" t="s">
        <v>769</v>
      </c>
      <c r="E34" s="14" t="s">
        <v>549</v>
      </c>
      <c r="F34" s="56" t="s">
        <v>574</v>
      </c>
      <c r="G34" s="56" t="s">
        <v>748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771</v>
      </c>
      <c r="D35" s="53" t="s">
        <v>768</v>
      </c>
      <c r="E35" s="14" t="s">
        <v>549</v>
      </c>
      <c r="F35" s="56" t="s">
        <v>574</v>
      </c>
      <c r="G35" s="56" t="s">
        <v>748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750</v>
      </c>
      <c r="D36" s="53" t="s">
        <v>762</v>
      </c>
      <c r="E36" s="14" t="s">
        <v>549</v>
      </c>
      <c r="F36" s="56" t="s">
        <v>574</v>
      </c>
      <c r="G36" s="56" t="s">
        <v>748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764</v>
      </c>
      <c r="D37" s="53" t="s">
        <v>765</v>
      </c>
      <c r="E37" s="14" t="s">
        <v>549</v>
      </c>
      <c r="F37" s="56" t="s">
        <v>574</v>
      </c>
      <c r="G37" s="56" t="s">
        <v>748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751</v>
      </c>
      <c r="D38" s="53" t="s">
        <v>763</v>
      </c>
      <c r="E38" s="14" t="s">
        <v>549</v>
      </c>
      <c r="F38" s="56" t="s">
        <v>574</v>
      </c>
      <c r="G38" s="56" t="s">
        <v>748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UI_Tap_Stat_AtkDmg</v>
      </c>
      <c r="C48" s="53" t="s">
        <v>565</v>
      </c>
      <c r="D48" s="53" t="s">
        <v>553</v>
      </c>
      <c r="E48" s="19" t="s">
        <v>549</v>
      </c>
      <c r="F48" s="14" t="s">
        <v>581</v>
      </c>
      <c r="G48" s="19" t="s">
        <v>552</v>
      </c>
      <c r="H48" s="14" t="s">
        <v>554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9" spans="2:9" ht="18">
      <c r="B49" t="str">
        <f>LocaleTable[[#This Row],['#인덱스제너레이터]]</f>
        <v>UI_Tap_Stat_AtkSpd</v>
      </c>
      <c r="C49" s="53" t="s">
        <v>566</v>
      </c>
      <c r="D49" s="53" t="s">
        <v>560</v>
      </c>
      <c r="E49" s="19" t="s">
        <v>549</v>
      </c>
      <c r="F49" s="14" t="s">
        <v>581</v>
      </c>
      <c r="G49" s="19" t="s">
        <v>552</v>
      </c>
      <c r="H49" s="14" t="s">
        <v>561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0" spans="2:9" ht="18">
      <c r="B50" t="str">
        <f>LocaleTable[[#This Row],['#인덱스제너레이터]]</f>
        <v>UI_Tap_Stat_AtkLength</v>
      </c>
      <c r="C50" s="53" t="s">
        <v>567</v>
      </c>
      <c r="D50" s="53" t="s">
        <v>557</v>
      </c>
      <c r="E50" s="14" t="s">
        <v>549</v>
      </c>
      <c r="F50" s="14" t="s">
        <v>581</v>
      </c>
      <c r="G50" s="14" t="s">
        <v>552</v>
      </c>
      <c r="H50" s="14" t="s">
        <v>558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1" spans="2:9" ht="18">
      <c r="B51" t="str">
        <f>LocaleTable[[#This Row],['#인덱스제너레이터]]</f>
        <v>UI_Tap_Stat_ChargeSpd</v>
      </c>
      <c r="C51" s="53" t="s">
        <v>569</v>
      </c>
      <c r="D51" s="53" t="s">
        <v>555</v>
      </c>
      <c r="E51" s="14" t="s">
        <v>549</v>
      </c>
      <c r="F51" s="14" t="s">
        <v>581</v>
      </c>
      <c r="G51" s="14" t="s">
        <v>552</v>
      </c>
      <c r="H51" s="14" t="s">
        <v>556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2" spans="2:9" ht="18">
      <c r="B52" t="str">
        <f>LocaleTable[[#This Row],['#인덱스제너레이터]]</f>
        <v>UI_Tap_Stat_MoveSpd</v>
      </c>
      <c r="C52" s="53" t="s">
        <v>568</v>
      </c>
      <c r="D52" s="53" t="s">
        <v>562</v>
      </c>
      <c r="E52" s="14" t="s">
        <v>549</v>
      </c>
      <c r="F52" s="14" t="s">
        <v>581</v>
      </c>
      <c r="G52" s="14" t="s">
        <v>552</v>
      </c>
      <c r="H52" s="14" t="s">
        <v>563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3" spans="2:9" ht="18">
      <c r="B53" t="str">
        <f>LocaleTable[[#This Row],['#인덱스제너레이터]]</f>
        <v>UI_Tap_Stat_GoldGain</v>
      </c>
      <c r="C53" s="53" t="s">
        <v>570</v>
      </c>
      <c r="D53" s="53" t="s">
        <v>167</v>
      </c>
      <c r="E53" s="14" t="s">
        <v>549</v>
      </c>
      <c r="F53" s="14" t="s">
        <v>581</v>
      </c>
      <c r="G53" s="14" t="s">
        <v>552</v>
      </c>
      <c r="H53" s="14" t="s">
        <v>559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54" spans="2:9" ht="18">
      <c r="B54" t="str">
        <f>LocaleTable[[#This Row],['#인덱스제너레이터]]</f>
        <v>UI_GameOver_Title</v>
      </c>
      <c r="C54" s="53" t="s">
        <v>677</v>
      </c>
      <c r="D54" s="53" t="s">
        <v>583</v>
      </c>
      <c r="E54" s="14" t="s">
        <v>549</v>
      </c>
      <c r="F54" s="14" t="s">
        <v>674</v>
      </c>
      <c r="G54" s="14" t="s">
        <v>583</v>
      </c>
      <c r="H54" s="14"/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55" spans="2:9" ht="18">
      <c r="B55" t="str">
        <f>LocaleTable[[#This Row],['#인덱스제너레이터]]</f>
        <v>UI_GameOver_Restart</v>
      </c>
      <c r="C55" s="53" t="s">
        <v>676</v>
      </c>
      <c r="D55" s="53" t="s">
        <v>675</v>
      </c>
      <c r="E55" s="14" t="s">
        <v>549</v>
      </c>
      <c r="F55" s="14" t="s">
        <v>674</v>
      </c>
      <c r="G55" s="14" t="s">
        <v>675</v>
      </c>
      <c r="H55" s="14"/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56" spans="2:9" ht="18">
      <c r="B56" t="str">
        <f>LocaleTable[[#This Row],['#인덱스제너레이터]]</f>
        <v>UI_Loading_Tip_1</v>
      </c>
      <c r="C56" s="53" t="s">
        <v>722</v>
      </c>
      <c r="D56" s="53" t="s">
        <v>862</v>
      </c>
      <c r="E56" s="14" t="s">
        <v>549</v>
      </c>
      <c r="F56" s="14" t="s">
        <v>720</v>
      </c>
      <c r="G56" s="14" t="s">
        <v>721</v>
      </c>
      <c r="H56" s="14">
        <v>1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7" spans="2:9" ht="18">
      <c r="B57" t="str">
        <f>LocaleTable[[#This Row],['#인덱스제너레이터]]</f>
        <v>UI_Loading_Tip_2</v>
      </c>
      <c r="C57" s="53" t="s">
        <v>723</v>
      </c>
      <c r="D57" s="53" t="s">
        <v>861</v>
      </c>
      <c r="E57" s="14" t="s">
        <v>549</v>
      </c>
      <c r="F57" s="14" t="s">
        <v>720</v>
      </c>
      <c r="G57" s="14" t="s">
        <v>721</v>
      </c>
      <c r="H57" s="14">
        <v>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8" spans="2:9" ht="18">
      <c r="B58" t="str">
        <f>LocaleTable[[#This Row],['#인덱스제너레이터]]</f>
        <v>UI_Loading_Tip_3</v>
      </c>
      <c r="C58" s="53" t="s">
        <v>724</v>
      </c>
      <c r="D58" s="53" t="s">
        <v>860</v>
      </c>
      <c r="E58" s="14" t="s">
        <v>549</v>
      </c>
      <c r="F58" s="14" t="s">
        <v>720</v>
      </c>
      <c r="G58" s="14" t="s">
        <v>721</v>
      </c>
      <c r="H58" s="14">
        <v>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9" spans="2:9" ht="18">
      <c r="B59" t="str">
        <f>LocaleTable[[#This Row],['#인덱스제너레이터]]</f>
        <v>UI_Loading_Tip_4</v>
      </c>
      <c r="C59" s="53" t="s">
        <v>725</v>
      </c>
      <c r="D59" s="53" t="s">
        <v>863</v>
      </c>
      <c r="E59" s="14" t="s">
        <v>549</v>
      </c>
      <c r="F59" s="14" t="s">
        <v>720</v>
      </c>
      <c r="G59" s="14" t="s">
        <v>721</v>
      </c>
      <c r="H59" s="14">
        <v>4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0" spans="2:9" ht="18">
      <c r="B60" t="str">
        <f>LocaleTable[[#This Row],['#인덱스제너레이터]]</f>
        <v>UI_Loading_Tip_5</v>
      </c>
      <c r="C60" s="53" t="s">
        <v>864</v>
      </c>
      <c r="D60" s="53" t="s">
        <v>865</v>
      </c>
      <c r="E60" s="14" t="s">
        <v>549</v>
      </c>
      <c r="F60" s="14" t="s">
        <v>720</v>
      </c>
      <c r="G60" s="14" t="s">
        <v>721</v>
      </c>
      <c r="H60" s="14">
        <v>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1" spans="2:9" ht="18">
      <c r="B61" t="str">
        <f>LocaleTable[[#This Row],['#인덱스제너레이터]]</f>
        <v>UI_Loading_Tip_6</v>
      </c>
      <c r="C61" s="53" t="s">
        <v>726</v>
      </c>
      <c r="D61" s="53" t="s">
        <v>731</v>
      </c>
      <c r="E61" s="14" t="s">
        <v>549</v>
      </c>
      <c r="F61" s="14" t="s">
        <v>720</v>
      </c>
      <c r="G61" s="14" t="s">
        <v>721</v>
      </c>
      <c r="H61" s="14">
        <v>6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2" spans="2:9" ht="18">
      <c r="B62" t="str">
        <f>LocaleTable[[#This Row],['#인덱스제너레이터]]</f>
        <v>UI_Loading_Tip_7</v>
      </c>
      <c r="C62" s="53" t="s">
        <v>727</v>
      </c>
      <c r="D62" s="53" t="s">
        <v>866</v>
      </c>
      <c r="E62" s="14" t="s">
        <v>549</v>
      </c>
      <c r="F62" s="14" t="s">
        <v>720</v>
      </c>
      <c r="G62" s="14" t="s">
        <v>721</v>
      </c>
      <c r="H62" s="14">
        <v>7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3" spans="2:9" ht="18">
      <c r="B63" t="str">
        <f>LocaleTable[[#This Row],['#인덱스제너레이터]]</f>
        <v>UI_Loading_Tip_8</v>
      </c>
      <c r="C63" s="53" t="s">
        <v>728</v>
      </c>
      <c r="D63" s="53" t="s">
        <v>732</v>
      </c>
      <c r="E63" s="14" t="s">
        <v>549</v>
      </c>
      <c r="F63" s="14" t="s">
        <v>720</v>
      </c>
      <c r="G63" s="14" t="s">
        <v>721</v>
      </c>
      <c r="H63" s="14">
        <v>8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64" spans="2:9" ht="18">
      <c r="B64" t="str">
        <f>LocaleTable[[#This Row],['#인덱스제너레이터]]</f>
        <v>UI_Loading_Tip_9</v>
      </c>
      <c r="C64" s="53" t="s">
        <v>868</v>
      </c>
      <c r="D64" s="53" t="s">
        <v>867</v>
      </c>
      <c r="E64" s="14" t="s">
        <v>549</v>
      </c>
      <c r="F64" s="14" t="s">
        <v>720</v>
      </c>
      <c r="G64" s="14" t="s">
        <v>721</v>
      </c>
      <c r="H64" s="14">
        <v>9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65" spans="2:9" ht="18">
      <c r="B65" t="str">
        <f>LocaleTable[[#This Row],['#인덱스제너레이터]]</f>
        <v>UI_Loading_Tip_10</v>
      </c>
      <c r="C65" s="53" t="s">
        <v>869</v>
      </c>
      <c r="D65" s="53" t="s">
        <v>874</v>
      </c>
      <c r="E65" s="14" t="s">
        <v>549</v>
      </c>
      <c r="F65" s="14" t="s">
        <v>720</v>
      </c>
      <c r="G65" s="14" t="s">
        <v>721</v>
      </c>
      <c r="H65" s="14">
        <v>10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66" spans="2:9" ht="18">
      <c r="B66" t="str">
        <f>LocaleTable[[#This Row],['#인덱스제너레이터]]</f>
        <v>UI_Loading_Tip_11</v>
      </c>
      <c r="C66" s="53" t="s">
        <v>729</v>
      </c>
      <c r="D66" s="53" t="s">
        <v>733</v>
      </c>
      <c r="E66" s="14" t="s">
        <v>549</v>
      </c>
      <c r="F66" s="14" t="s">
        <v>720</v>
      </c>
      <c r="G66" s="14" t="s">
        <v>721</v>
      </c>
      <c r="H66" s="14">
        <v>11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7" spans="2:9" ht="18">
      <c r="B67" t="str">
        <f>LocaleTable[[#This Row],['#인덱스제너레이터]]</f>
        <v>UI_Loading_Tip_12</v>
      </c>
      <c r="C67" s="53" t="s">
        <v>730</v>
      </c>
      <c r="D67" s="53" t="s">
        <v>734</v>
      </c>
      <c r="E67" s="14" t="s">
        <v>549</v>
      </c>
      <c r="F67" s="14" t="s">
        <v>720</v>
      </c>
      <c r="G67" s="14" t="s">
        <v>721</v>
      </c>
      <c r="H67" s="14">
        <v>12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8" spans="2:9" ht="18">
      <c r="B68" t="str">
        <f>LocaleTable[[#This Row],['#인덱스제너레이터]]</f>
        <v>UI_Boss_Dulahan_Title</v>
      </c>
      <c r="C68" s="53" t="s">
        <v>670</v>
      </c>
      <c r="D68" s="53" t="s">
        <v>673</v>
      </c>
      <c r="E68" s="14" t="s">
        <v>549</v>
      </c>
      <c r="F68" s="14" t="s">
        <v>668</v>
      </c>
      <c r="G68" s="14" t="s">
        <v>669</v>
      </c>
      <c r="H68" s="14" t="s">
        <v>583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9" spans="2:9" ht="18">
      <c r="B69" t="str">
        <f>LocaleTable[[#This Row],['#인덱스제너레이터]]</f>
        <v>UI_Boss_Dulahan_Name</v>
      </c>
      <c r="C69" s="53" t="s">
        <v>671</v>
      </c>
      <c r="D69" s="53" t="s">
        <v>672</v>
      </c>
      <c r="E69" s="14" t="s">
        <v>549</v>
      </c>
      <c r="F69" s="14" t="s">
        <v>668</v>
      </c>
      <c r="G69" s="14" t="s">
        <v>669</v>
      </c>
      <c r="H69" s="14" t="s">
        <v>338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0" spans="2:9" ht="18">
      <c r="B70" t="str">
        <f>LocaleTable[[#This Row],['#인덱스제너레이터]]</f>
        <v>Item_Name_2000</v>
      </c>
      <c r="C70" s="53" t="s">
        <v>219</v>
      </c>
      <c r="D70" s="53" t="s">
        <v>514</v>
      </c>
      <c r="E70" s="14" t="s">
        <v>543</v>
      </c>
      <c r="F70" s="14" t="s">
        <v>338</v>
      </c>
      <c r="G70" s="19">
        <v>2000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1" spans="2:9" ht="18">
      <c r="B71" t="str">
        <f>LocaleTable[[#This Row],['#인덱스제너레이터]]</f>
        <v>Item_Name_2001</v>
      </c>
      <c r="C71" s="53" t="s">
        <v>100</v>
      </c>
      <c r="D71" s="53" t="s">
        <v>586</v>
      </c>
      <c r="E71" s="14" t="s">
        <v>543</v>
      </c>
      <c r="F71" s="14" t="s">
        <v>338</v>
      </c>
      <c r="G71" s="19">
        <v>2001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2" spans="2:9" ht="18">
      <c r="B72" t="str">
        <f>LocaleTable[[#This Row],['#인덱스제너레이터]]</f>
        <v>Item_Name_2002</v>
      </c>
      <c r="C72" s="53" t="s">
        <v>103</v>
      </c>
      <c r="D72" s="53" t="s">
        <v>516</v>
      </c>
      <c r="E72" s="14" t="s">
        <v>543</v>
      </c>
      <c r="F72" s="14" t="s">
        <v>338</v>
      </c>
      <c r="G72" s="19">
        <v>2002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3" spans="2:9" ht="18">
      <c r="B73" t="str">
        <f>LocaleTable[[#This Row],['#인덱스제너레이터]]</f>
        <v>Item_Name_2003</v>
      </c>
      <c r="C73" s="53" t="s">
        <v>102</v>
      </c>
      <c r="D73" s="53" t="s">
        <v>587</v>
      </c>
      <c r="E73" s="14" t="s">
        <v>543</v>
      </c>
      <c r="F73" s="14" t="s">
        <v>338</v>
      </c>
      <c r="G73" s="19">
        <v>2003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74" spans="2:9" ht="18">
      <c r="B74" t="str">
        <f>LocaleTable[[#This Row],['#인덱스제너레이터]]</f>
        <v>Item_Name_2004</v>
      </c>
      <c r="C74" s="53" t="s">
        <v>98</v>
      </c>
      <c r="D74" s="53" t="s">
        <v>529</v>
      </c>
      <c r="E74" s="14" t="s">
        <v>543</v>
      </c>
      <c r="F74" s="14" t="s">
        <v>338</v>
      </c>
      <c r="G74" s="19">
        <v>2004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75" spans="2:9" ht="18">
      <c r="B75" t="str">
        <f>LocaleTable[[#This Row],['#인덱스제너레이터]]</f>
        <v>Item_Name_2005</v>
      </c>
      <c r="C75" s="53" t="s">
        <v>104</v>
      </c>
      <c r="D75" s="53" t="s">
        <v>598</v>
      </c>
      <c r="E75" s="14" t="s">
        <v>543</v>
      </c>
      <c r="F75" s="14" t="s">
        <v>338</v>
      </c>
      <c r="G75" s="19">
        <v>2005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76" spans="2:9" ht="18">
      <c r="B76" t="str">
        <f>LocaleTable[[#This Row],['#인덱스제너레이터]]</f>
        <v>Item_Name_3000</v>
      </c>
      <c r="C76" s="53" t="s">
        <v>36</v>
      </c>
      <c r="D76" s="53" t="s">
        <v>518</v>
      </c>
      <c r="E76" s="14" t="s">
        <v>543</v>
      </c>
      <c r="F76" s="14" t="s">
        <v>338</v>
      </c>
      <c r="G76" s="19">
        <v>3000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7" spans="2:9" ht="18">
      <c r="B77" t="str">
        <f>LocaleTable[[#This Row],['#인덱스제너레이터]]</f>
        <v>Item_Name_3001</v>
      </c>
      <c r="C77" s="53" t="s">
        <v>241</v>
      </c>
      <c r="D77" s="53" t="s">
        <v>532</v>
      </c>
      <c r="E77" s="14" t="s">
        <v>543</v>
      </c>
      <c r="F77" s="14" t="s">
        <v>338</v>
      </c>
      <c r="G77" s="19">
        <v>3001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8" spans="2:9" ht="18">
      <c r="B78" t="str">
        <f>LocaleTable[[#This Row],['#인덱스제너레이터]]</f>
        <v>Item_Name_3002</v>
      </c>
      <c r="C78" s="53" t="s">
        <v>38</v>
      </c>
      <c r="D78" s="53" t="s">
        <v>534</v>
      </c>
      <c r="E78" s="14" t="s">
        <v>543</v>
      </c>
      <c r="F78" s="14" t="s">
        <v>338</v>
      </c>
      <c r="G78" s="19">
        <v>3002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9" spans="2:9" ht="18">
      <c r="B79" t="str">
        <f>LocaleTable[[#This Row],['#인덱스제너레이터]]</f>
        <v>Item_Name_3003</v>
      </c>
      <c r="C79" s="53" t="s">
        <v>216</v>
      </c>
      <c r="D79" s="53" t="s">
        <v>588</v>
      </c>
      <c r="E79" s="14" t="s">
        <v>543</v>
      </c>
      <c r="F79" s="14" t="s">
        <v>338</v>
      </c>
      <c r="G79" s="19">
        <v>3003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0" spans="2:9" ht="18">
      <c r="B80" t="str">
        <f>LocaleTable[[#This Row],['#인덱스제너레이터]]</f>
        <v>Item_Name_3004</v>
      </c>
      <c r="C80" s="53" t="s">
        <v>227</v>
      </c>
      <c r="D80" s="53" t="s">
        <v>589</v>
      </c>
      <c r="E80" s="14" t="s">
        <v>543</v>
      </c>
      <c r="F80" s="14" t="s">
        <v>338</v>
      </c>
      <c r="G80" s="19">
        <v>3004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1" spans="2:9" ht="18">
      <c r="B81" t="str">
        <f>LocaleTable[[#This Row],['#인덱스제너레이터]]</f>
        <v>Item_Name_3005</v>
      </c>
      <c r="C81" s="53" t="s">
        <v>106</v>
      </c>
      <c r="D81" s="53" t="s">
        <v>590</v>
      </c>
      <c r="E81" s="14" t="s">
        <v>543</v>
      </c>
      <c r="F81" s="14" t="s">
        <v>338</v>
      </c>
      <c r="G81" s="19">
        <v>3005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2" spans="2:9" ht="18">
      <c r="B82" t="str">
        <f>LocaleTable[[#This Row],['#인덱스제너레이터]]</f>
        <v>Item_Name_3006</v>
      </c>
      <c r="C82" s="54" t="s">
        <v>375</v>
      </c>
      <c r="D82" s="53" t="s">
        <v>591</v>
      </c>
      <c r="E82" s="14" t="s">
        <v>543</v>
      </c>
      <c r="F82" s="14" t="s">
        <v>338</v>
      </c>
      <c r="G82" s="19">
        <v>3006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3" spans="2:9" ht="18">
      <c r="B83" t="str">
        <f>LocaleTable[[#This Row],['#인덱스제너레이터]]</f>
        <v>Item_Name_4000</v>
      </c>
      <c r="C83" s="53" t="s">
        <v>101</v>
      </c>
      <c r="D83" s="53" t="s">
        <v>592</v>
      </c>
      <c r="E83" s="14" t="s">
        <v>543</v>
      </c>
      <c r="F83" s="14" t="s">
        <v>338</v>
      </c>
      <c r="G83" s="19">
        <v>4000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84" spans="2:9" ht="18">
      <c r="B84" t="str">
        <f>LocaleTable[[#This Row],['#인덱스제너레이터]]</f>
        <v>Item_Name_4001</v>
      </c>
      <c r="C84" s="53" t="s">
        <v>97</v>
      </c>
      <c r="D84" s="53" t="s">
        <v>521</v>
      </c>
      <c r="E84" s="14" t="s">
        <v>543</v>
      </c>
      <c r="F84" s="14" t="s">
        <v>338</v>
      </c>
      <c r="G84" s="19">
        <v>4001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85" spans="2:9" ht="18">
      <c r="B85" t="str">
        <f>LocaleTable[[#This Row],['#인덱스제너레이터]]</f>
        <v>Item_Name_4002</v>
      </c>
      <c r="C85" s="53" t="s">
        <v>225</v>
      </c>
      <c r="D85" s="53" t="s">
        <v>613</v>
      </c>
      <c r="E85" s="14" t="s">
        <v>543</v>
      </c>
      <c r="F85" s="14" t="s">
        <v>338</v>
      </c>
      <c r="G85" s="19">
        <v>4002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86" spans="2:9" ht="18">
      <c r="B86" t="str">
        <f>LocaleTable[[#This Row],['#인덱스제너레이터]]</f>
        <v>Item_Name_4003</v>
      </c>
      <c r="C86" s="53" t="s">
        <v>217</v>
      </c>
      <c r="D86" s="53" t="s">
        <v>599</v>
      </c>
      <c r="E86" s="14" t="s">
        <v>543</v>
      </c>
      <c r="F86" s="14" t="s">
        <v>338</v>
      </c>
      <c r="G86" s="19">
        <v>4003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7" spans="2:9" ht="18">
      <c r="B87" t="str">
        <f>LocaleTable[[#This Row],['#인덱스제너레이터]]</f>
        <v>Item_Name_4004</v>
      </c>
      <c r="C87" s="53" t="s">
        <v>380</v>
      </c>
      <c r="D87" s="53" t="s">
        <v>593</v>
      </c>
      <c r="E87" s="14" t="s">
        <v>543</v>
      </c>
      <c r="F87" s="14" t="s">
        <v>338</v>
      </c>
      <c r="G87" s="19">
        <v>4004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8" spans="2:9" ht="18">
      <c r="B88" t="str">
        <f>LocaleTable[[#This Row],['#인덱스제너레이터]]</f>
        <v>Item_Name_4005</v>
      </c>
      <c r="C88" s="53" t="s">
        <v>458</v>
      </c>
      <c r="D88" s="53" t="s">
        <v>594</v>
      </c>
      <c r="E88" s="14" t="s">
        <v>543</v>
      </c>
      <c r="F88" s="14" t="s">
        <v>338</v>
      </c>
      <c r="G88" s="19">
        <v>4005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9" spans="2:9" ht="18">
      <c r="B89" t="str">
        <f>LocaleTable[[#This Row],['#인덱스제너레이터]]</f>
        <v>Item_Name_4006</v>
      </c>
      <c r="C89" s="53" t="s">
        <v>462</v>
      </c>
      <c r="D89" s="53" t="s">
        <v>837</v>
      </c>
      <c r="E89" s="14" t="s">
        <v>543</v>
      </c>
      <c r="F89" s="14" t="s">
        <v>338</v>
      </c>
      <c r="G89" s="19">
        <v>4006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0" spans="2:9" ht="18">
      <c r="B90" t="str">
        <f>LocaleTable[[#This Row],['#인덱스제너레이터]]</f>
        <v>Item_Name_10000</v>
      </c>
      <c r="C90" s="53" t="s">
        <v>371</v>
      </c>
      <c r="D90" s="53" t="s">
        <v>595</v>
      </c>
      <c r="E90" s="14" t="s">
        <v>543</v>
      </c>
      <c r="F90" s="14" t="s">
        <v>338</v>
      </c>
      <c r="G90" s="19">
        <v>10000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1" spans="2:9" ht="18">
      <c r="B91" t="str">
        <f>LocaleTable[[#This Row],['#인덱스제너레이터]]</f>
        <v>Item_Name_10001</v>
      </c>
      <c r="C91" s="54" t="s">
        <v>385</v>
      </c>
      <c r="D91" s="53" t="s">
        <v>596</v>
      </c>
      <c r="E91" s="14" t="s">
        <v>543</v>
      </c>
      <c r="F91" s="14" t="s">
        <v>338</v>
      </c>
      <c r="G91" s="19">
        <v>10001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2" spans="2:9" ht="18">
      <c r="B92" t="str">
        <f>LocaleTable[[#This Row],['#인덱스제너레이터]]</f>
        <v>Item_Name_10002</v>
      </c>
      <c r="C92" s="54" t="s">
        <v>511</v>
      </c>
      <c r="D92" s="53" t="s">
        <v>524</v>
      </c>
      <c r="E92" s="14" t="s">
        <v>543</v>
      </c>
      <c r="F92" s="14" t="s">
        <v>338</v>
      </c>
      <c r="G92" s="19">
        <v>10002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3" spans="2:9" ht="18">
      <c r="B93" t="str">
        <f>LocaleTable[[#This Row],['#인덱스제너레이터]]</f>
        <v>Item_Name_10003</v>
      </c>
      <c r="C93" s="54" t="s">
        <v>373</v>
      </c>
      <c r="D93" s="53" t="s">
        <v>597</v>
      </c>
      <c r="E93" s="14" t="s">
        <v>543</v>
      </c>
      <c r="F93" s="14" t="s">
        <v>338</v>
      </c>
      <c r="G93" s="19">
        <v>10003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94" spans="2:9" ht="18">
      <c r="B94" t="str">
        <f>LocaleTable[[#This Row],['#인덱스제너레이터]]</f>
        <v>Item_Name_10004</v>
      </c>
      <c r="C94" s="53" t="s">
        <v>466</v>
      </c>
      <c r="D94" s="53" t="s">
        <v>526</v>
      </c>
      <c r="E94" s="14" t="s">
        <v>543</v>
      </c>
      <c r="F94" s="14" t="s">
        <v>338</v>
      </c>
      <c r="G94" s="19">
        <v>10004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95" spans="2:9" ht="18">
      <c r="B95" t="str">
        <f>LocaleTable[[#This Row],['#인덱스제너레이터]]</f>
        <v>Item_Name_10005</v>
      </c>
      <c r="C95" s="53" t="s">
        <v>476</v>
      </c>
      <c r="D95" s="53" t="s">
        <v>838</v>
      </c>
      <c r="E95" s="14" t="s">
        <v>543</v>
      </c>
      <c r="F95" s="14" t="s">
        <v>338</v>
      </c>
      <c r="G95" s="19">
        <v>10005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96" spans="2:9" ht="18">
      <c r="B96" t="str">
        <f>LocaleTable[[#This Row],['#인덱스제너레이터]]</f>
        <v>Item_Desc_2000</v>
      </c>
      <c r="C96" s="53" t="s">
        <v>416</v>
      </c>
      <c r="D96" s="53" t="s">
        <v>605</v>
      </c>
      <c r="E96" s="14" t="s">
        <v>543</v>
      </c>
      <c r="F96" s="14" t="s">
        <v>548</v>
      </c>
      <c r="G96" s="19">
        <v>2000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7" spans="2:9" ht="18">
      <c r="B97" t="str">
        <f>LocaleTable[[#This Row],['#인덱스제너레이터]]</f>
        <v>Item_Desc_2001</v>
      </c>
      <c r="C97" s="54" t="s">
        <v>248</v>
      </c>
      <c r="D97" s="53" t="s">
        <v>621</v>
      </c>
      <c r="E97" s="14" t="s">
        <v>543</v>
      </c>
      <c r="F97" s="14" t="s">
        <v>548</v>
      </c>
      <c r="G97" s="19">
        <v>2001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8" spans="2:9" ht="18">
      <c r="B98" t="str">
        <f>LocaleTable[[#This Row],['#인덱스제너레이터]]</f>
        <v>Item_Desc_2002</v>
      </c>
      <c r="C98" s="54" t="s">
        <v>239</v>
      </c>
      <c r="D98" s="53" t="s">
        <v>606</v>
      </c>
      <c r="E98" s="14" t="s">
        <v>543</v>
      </c>
      <c r="F98" s="14" t="s">
        <v>548</v>
      </c>
      <c r="G98" s="19">
        <v>2002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9" spans="2:9" ht="36">
      <c r="B99" t="str">
        <f>LocaleTable[[#This Row],['#인덱스제너레이터]]</f>
        <v>Item_Desc_2003</v>
      </c>
      <c r="C99" s="53" t="s">
        <v>240</v>
      </c>
      <c r="D99" s="53" t="s">
        <v>772</v>
      </c>
      <c r="E99" s="14" t="s">
        <v>543</v>
      </c>
      <c r="F99" s="14" t="s">
        <v>548</v>
      </c>
      <c r="G99" s="19">
        <v>2003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0" spans="2:9" ht="36">
      <c r="B100" t="str">
        <f>LocaleTable[[#This Row],['#인덱스제너레이터]]</f>
        <v>Item_Desc_2004</v>
      </c>
      <c r="C100" s="55" t="s">
        <v>387</v>
      </c>
      <c r="D100" s="53" t="s">
        <v>607</v>
      </c>
      <c r="E100" s="14" t="s">
        <v>543</v>
      </c>
      <c r="F100" s="14" t="s">
        <v>548</v>
      </c>
      <c r="G100" s="19">
        <v>2004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1" spans="2:9" ht="36">
      <c r="B101" t="str">
        <f>LocaleTable[[#This Row],['#인덱스제너레이터]]</f>
        <v>Item_Desc_2005</v>
      </c>
      <c r="C101" s="53" t="s">
        <v>247</v>
      </c>
      <c r="D101" s="53" t="s">
        <v>773</v>
      </c>
      <c r="E101" s="14" t="s">
        <v>543</v>
      </c>
      <c r="F101" s="14" t="s">
        <v>548</v>
      </c>
      <c r="G101" s="19">
        <v>2005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2" spans="2:9" ht="18">
      <c r="B102" t="str">
        <f>LocaleTable[[#This Row],['#인덱스제너레이터]]</f>
        <v>Item_Desc_3000</v>
      </c>
      <c r="C102" s="55" t="s">
        <v>608</v>
      </c>
      <c r="D102" s="53" t="s">
        <v>774</v>
      </c>
      <c r="E102" s="14" t="s">
        <v>543</v>
      </c>
      <c r="F102" s="14" t="s">
        <v>548</v>
      </c>
      <c r="G102" s="19">
        <v>3000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3" spans="2:9" ht="36">
      <c r="B103" t="str">
        <f>LocaleTable[[#This Row],['#인덱스제너레이터]]</f>
        <v>Item_Desc_3001</v>
      </c>
      <c r="C103" s="54" t="s">
        <v>250</v>
      </c>
      <c r="D103" s="53" t="s">
        <v>775</v>
      </c>
      <c r="E103" s="14" t="s">
        <v>543</v>
      </c>
      <c r="F103" s="14" t="s">
        <v>548</v>
      </c>
      <c r="G103" s="19">
        <v>3001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04" spans="2:9" ht="36">
      <c r="B104" t="str">
        <f>LocaleTable[[#This Row],['#인덱스제너레이터]]</f>
        <v>Item_Desc_3002</v>
      </c>
      <c r="C104" s="54" t="s">
        <v>388</v>
      </c>
      <c r="D104" s="53" t="s">
        <v>776</v>
      </c>
      <c r="E104" s="14" t="s">
        <v>543</v>
      </c>
      <c r="F104" s="14" t="s">
        <v>548</v>
      </c>
      <c r="G104" s="19">
        <v>3002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05" spans="2:9" ht="36">
      <c r="B105" t="str">
        <f>LocaleTable[[#This Row],['#인덱스제너레이터]]</f>
        <v>Item_Desc_3003</v>
      </c>
      <c r="C105" s="54" t="s">
        <v>242</v>
      </c>
      <c r="D105" s="53" t="s">
        <v>777</v>
      </c>
      <c r="E105" s="14" t="s">
        <v>543</v>
      </c>
      <c r="F105" s="14" t="s">
        <v>548</v>
      </c>
      <c r="G105" s="19">
        <v>3003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06" spans="2:9" ht="18">
      <c r="B106" t="str">
        <f>LocaleTable[[#This Row],['#인덱스제너레이터]]</f>
        <v>Item_Desc_3004</v>
      </c>
      <c r="C106" s="54" t="s">
        <v>244</v>
      </c>
      <c r="D106" s="53" t="s">
        <v>783</v>
      </c>
      <c r="E106" s="14" t="s">
        <v>543</v>
      </c>
      <c r="F106" s="14" t="s">
        <v>548</v>
      </c>
      <c r="G106" s="19">
        <v>3004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7" spans="2:9" ht="36">
      <c r="B107" t="str">
        <f>LocaleTable[[#This Row],['#인덱스제너레이터]]</f>
        <v>Item_Desc_3005</v>
      </c>
      <c r="C107" s="54" t="s">
        <v>600</v>
      </c>
      <c r="D107" s="53" t="s">
        <v>609</v>
      </c>
      <c r="E107" s="14" t="s">
        <v>543</v>
      </c>
      <c r="F107" s="14" t="s">
        <v>548</v>
      </c>
      <c r="G107" s="19">
        <v>3005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8" spans="2:9" ht="18">
      <c r="B108" t="str">
        <f>LocaleTable[[#This Row],['#인덱스제너레이터]]</f>
        <v>Item_Desc_3006</v>
      </c>
      <c r="C108" s="54" t="s">
        <v>376</v>
      </c>
      <c r="D108" s="53" t="s">
        <v>610</v>
      </c>
      <c r="E108" s="14" t="s">
        <v>543</v>
      </c>
      <c r="F108" s="14" t="s">
        <v>548</v>
      </c>
      <c r="G108" s="19">
        <v>3006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9" spans="2:9" ht="36">
      <c r="B109" t="str">
        <f>LocaleTable[[#This Row],['#인덱스제너레이터]]</f>
        <v>Item_Desc_4000</v>
      </c>
      <c r="C109" s="53" t="s">
        <v>246</v>
      </c>
      <c r="D109" s="53" t="s">
        <v>782</v>
      </c>
      <c r="E109" s="14" t="s">
        <v>543</v>
      </c>
      <c r="F109" s="14" t="s">
        <v>548</v>
      </c>
      <c r="G109" s="19">
        <v>4000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0" spans="2:9" ht="36">
      <c r="B110" t="str">
        <f>LocaleTable[[#This Row],['#인덱스제너레이터]]</f>
        <v>Item_Desc_4001</v>
      </c>
      <c r="C110" s="53" t="s">
        <v>391</v>
      </c>
      <c r="D110" s="53" t="s">
        <v>611</v>
      </c>
      <c r="E110" s="14" t="s">
        <v>543</v>
      </c>
      <c r="F110" s="14" t="s">
        <v>548</v>
      </c>
      <c r="G110" s="19">
        <v>4001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1" spans="2:9" ht="36">
      <c r="B111" t="str">
        <f>LocaleTable[[#This Row],['#인덱스제너레이터]]</f>
        <v>Item_Desc_4002</v>
      </c>
      <c r="C111" s="54" t="s">
        <v>245</v>
      </c>
      <c r="D111" s="53" t="s">
        <v>778</v>
      </c>
      <c r="E111" s="14" t="s">
        <v>543</v>
      </c>
      <c r="F111" s="14" t="s">
        <v>548</v>
      </c>
      <c r="G111" s="19">
        <v>4002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2" spans="2:9" ht="36">
      <c r="B112" t="str">
        <f>LocaleTable[[#This Row],['#인덱스제너레이터]]</f>
        <v>Item_Desc_4003</v>
      </c>
      <c r="C112" s="53" t="s">
        <v>243</v>
      </c>
      <c r="D112" s="53" t="s">
        <v>616</v>
      </c>
      <c r="E112" s="14" t="s">
        <v>543</v>
      </c>
      <c r="F112" s="14" t="s">
        <v>548</v>
      </c>
      <c r="G112" s="19">
        <v>4003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3" spans="2:9" ht="36">
      <c r="B113" t="str">
        <f>LocaleTable[[#This Row],['#인덱스제너레이터]]</f>
        <v>Item_Desc_4004</v>
      </c>
      <c r="C113" s="53" t="s">
        <v>249</v>
      </c>
      <c r="D113" s="53" t="s">
        <v>615</v>
      </c>
      <c r="E113" s="14" t="s">
        <v>543</v>
      </c>
      <c r="F113" s="14" t="s">
        <v>548</v>
      </c>
      <c r="G113" s="19">
        <v>4004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14" spans="2:9" ht="18">
      <c r="B114" t="str">
        <f>LocaleTable[[#This Row],['#인덱스제너레이터]]</f>
        <v>Item_Desc_4005</v>
      </c>
      <c r="C114" s="53" t="s">
        <v>856</v>
      </c>
      <c r="D114" s="53" t="s">
        <v>779</v>
      </c>
      <c r="E114" s="14" t="s">
        <v>543</v>
      </c>
      <c r="F114" s="14" t="s">
        <v>548</v>
      </c>
      <c r="G114" s="19">
        <v>4005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15" spans="2:9" ht="36">
      <c r="B115" t="str">
        <f>LocaleTable[[#This Row],['#인덱스제너레이터]]</f>
        <v>Item_Desc_4006</v>
      </c>
      <c r="C115" s="53" t="s">
        <v>463</v>
      </c>
      <c r="D115" s="53" t="s">
        <v>618</v>
      </c>
      <c r="E115" s="14" t="s">
        <v>543</v>
      </c>
      <c r="F115" s="14" t="s">
        <v>548</v>
      </c>
      <c r="G115" s="19">
        <v>4006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16" spans="2:9" ht="36">
      <c r="B116" t="str">
        <f>LocaleTable[[#This Row],['#인덱스제너레이터]]</f>
        <v>Item_Desc_10000</v>
      </c>
      <c r="C116" s="53" t="s">
        <v>398</v>
      </c>
      <c r="D116" s="53" t="s">
        <v>780</v>
      </c>
      <c r="E116" s="14" t="s">
        <v>543</v>
      </c>
      <c r="F116" s="14" t="s">
        <v>548</v>
      </c>
      <c r="G116" s="19">
        <v>10000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7" spans="2:9" ht="18">
      <c r="B117" t="str">
        <f>LocaleTable[[#This Row],['#인덱스제너레이터]]</f>
        <v>Item_Desc_10001</v>
      </c>
      <c r="C117" s="54" t="s">
        <v>389</v>
      </c>
      <c r="D117" s="53" t="s">
        <v>619</v>
      </c>
      <c r="E117" s="14" t="s">
        <v>543</v>
      </c>
      <c r="F117" s="14" t="s">
        <v>548</v>
      </c>
      <c r="G117" s="19">
        <v>10001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8" spans="2:9" ht="36">
      <c r="B118" t="str">
        <f>LocaleTable[[#This Row],['#인덱스제너레이터]]</f>
        <v>Item_Desc_10002</v>
      </c>
      <c r="C118" s="54" t="s">
        <v>512</v>
      </c>
      <c r="D118" s="55" t="s">
        <v>781</v>
      </c>
      <c r="E118" s="14" t="s">
        <v>543</v>
      </c>
      <c r="F118" s="14" t="s">
        <v>548</v>
      </c>
      <c r="G118" s="19">
        <v>10002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9" spans="2:9" ht="36">
      <c r="B119" t="str">
        <f>LocaleTable[[#This Row],['#인덱스제너레이터]]</f>
        <v>Item_Desc_10003</v>
      </c>
      <c r="C119" s="54" t="s">
        <v>386</v>
      </c>
      <c r="D119" s="53" t="s">
        <v>849</v>
      </c>
      <c r="E119" s="14" t="s">
        <v>543</v>
      </c>
      <c r="F119" s="14" t="s">
        <v>548</v>
      </c>
      <c r="G119" s="19">
        <v>10003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0" spans="2:9" ht="18">
      <c r="B120" t="str">
        <f>LocaleTable[[#This Row],['#인덱스제너레이터]]</f>
        <v>Item_Desc_10004</v>
      </c>
      <c r="C120" s="53" t="s">
        <v>467</v>
      </c>
      <c r="D120" s="53" t="s">
        <v>626</v>
      </c>
      <c r="E120" s="14" t="s">
        <v>543</v>
      </c>
      <c r="F120" s="14" t="s">
        <v>548</v>
      </c>
      <c r="G120" s="19">
        <v>10004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1" spans="2:9" ht="18">
      <c r="B121" t="str">
        <f>LocaleTable[[#This Row],['#인덱스제너레이터]]</f>
        <v>Item_Desc_10005</v>
      </c>
      <c r="C121" s="53" t="s">
        <v>477</v>
      </c>
      <c r="D121" s="53" t="s">
        <v>627</v>
      </c>
      <c r="E121" s="14" t="s">
        <v>543</v>
      </c>
      <c r="F121" s="14" t="s">
        <v>548</v>
      </c>
      <c r="G121" s="19">
        <v>10005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2" spans="2:9" ht="18">
      <c r="B122" t="str">
        <f>LocaleTable[[#This Row],['#인덱스제너레이터]]</f>
        <v>Item_PlusDesc_2000</v>
      </c>
      <c r="C122" s="54" t="s">
        <v>421</v>
      </c>
      <c r="D122" s="53" t="s">
        <v>628</v>
      </c>
      <c r="E122" s="14" t="s">
        <v>543</v>
      </c>
      <c r="F122" s="14" t="s">
        <v>365</v>
      </c>
      <c r="G122" s="19">
        <v>2000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3" spans="2:9" ht="18">
      <c r="B123" t="str">
        <f>LocaleTable[[#This Row],['#인덱스제너레이터]]</f>
        <v>Item_PlusDesc_2001</v>
      </c>
      <c r="C123" s="53" t="s">
        <v>817</v>
      </c>
      <c r="D123" s="53" t="s">
        <v>827</v>
      </c>
      <c r="E123" s="14" t="s">
        <v>543</v>
      </c>
      <c r="F123" s="14" t="s">
        <v>365</v>
      </c>
      <c r="G123" s="19">
        <v>2001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24" spans="2:9" ht="18">
      <c r="B124" t="str">
        <f>LocaleTable[[#This Row],['#인덱스제너레이터]]</f>
        <v>Item_PlusDesc_2002</v>
      </c>
      <c r="C124" s="53" t="s">
        <v>818</v>
      </c>
      <c r="D124" s="53" t="s">
        <v>826</v>
      </c>
      <c r="E124" s="14" t="s">
        <v>543</v>
      </c>
      <c r="F124" s="14" t="s">
        <v>365</v>
      </c>
      <c r="G124" s="19">
        <v>2002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25" spans="2:9" ht="18">
      <c r="B125" t="str">
        <f>LocaleTable[[#This Row],['#인덱스제너레이터]]</f>
        <v>Item_PlusDesc_2003</v>
      </c>
      <c r="C125" s="53" t="s">
        <v>417</v>
      </c>
      <c r="D125" s="53" t="s">
        <v>848</v>
      </c>
      <c r="E125" s="14" t="s">
        <v>543</v>
      </c>
      <c r="F125" s="14" t="s">
        <v>365</v>
      </c>
      <c r="G125" s="19">
        <v>2003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26" spans="2:9" ht="18">
      <c r="B126" t="str">
        <f>LocaleTable[[#This Row],['#인덱스제너레이터]]</f>
        <v>Item_PlusDesc_2004</v>
      </c>
      <c r="C126" s="53" t="s">
        <v>819</v>
      </c>
      <c r="D126" s="53" t="s">
        <v>825</v>
      </c>
      <c r="E126" s="14" t="s">
        <v>543</v>
      </c>
      <c r="F126" s="14" t="s">
        <v>365</v>
      </c>
      <c r="G126" s="19">
        <v>2004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7" spans="2:9" ht="18">
      <c r="B127" t="str">
        <f>LocaleTable[[#This Row],['#인덱스제너레이터]]</f>
        <v>Item_PlusDesc_2005</v>
      </c>
      <c r="C127" s="16" t="s">
        <v>839</v>
      </c>
      <c r="D127" s="53" t="s">
        <v>843</v>
      </c>
      <c r="E127" s="14" t="s">
        <v>543</v>
      </c>
      <c r="F127" s="14" t="s">
        <v>365</v>
      </c>
      <c r="G127" s="19">
        <v>2005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8" spans="2:9" ht="36">
      <c r="B128" t="str">
        <f>LocaleTable[[#This Row],['#인덱스제너레이터]]</f>
        <v>Item_PlusDesc_3000</v>
      </c>
      <c r="C128" s="55" t="s">
        <v>455</v>
      </c>
      <c r="D128" s="53" t="s">
        <v>847</v>
      </c>
      <c r="E128" s="14" t="s">
        <v>543</v>
      </c>
      <c r="F128" s="14" t="s">
        <v>365</v>
      </c>
      <c r="G128" s="19">
        <v>3000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9" spans="2:9" ht="18">
      <c r="B129" t="str">
        <f>LocaleTable[[#This Row],['#인덱스제너레이터]]</f>
        <v>Item_PlusDesc_3001</v>
      </c>
      <c r="C129" s="53" t="s">
        <v>711</v>
      </c>
      <c r="D129" s="53" t="s">
        <v>712</v>
      </c>
      <c r="E129" s="14" t="s">
        <v>543</v>
      </c>
      <c r="F129" s="14" t="s">
        <v>365</v>
      </c>
      <c r="G129" s="19">
        <v>3001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0" spans="2:9" ht="36">
      <c r="B130" t="str">
        <f>LocaleTable[[#This Row],['#인덱스제너레이터]]</f>
        <v>Item_PlusDesc_3002</v>
      </c>
      <c r="C130" s="53" t="s">
        <v>821</v>
      </c>
      <c r="D130" s="53" t="s">
        <v>846</v>
      </c>
      <c r="E130" s="14" t="s">
        <v>543</v>
      </c>
      <c r="F130" s="14" t="s">
        <v>365</v>
      </c>
      <c r="G130" s="19">
        <v>3002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1" spans="2:9" ht="18">
      <c r="B131" t="str">
        <f>LocaleTable[[#This Row],['#인덱스제너레이터]]</f>
        <v>Item_PlusDesc_3003</v>
      </c>
      <c r="C131" s="53" t="s">
        <v>384</v>
      </c>
      <c r="D131" s="53" t="s">
        <v>629</v>
      </c>
      <c r="E131" s="14" t="s">
        <v>543</v>
      </c>
      <c r="F131" s="14" t="s">
        <v>365</v>
      </c>
      <c r="G131" s="19">
        <v>3003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2" spans="2:9" ht="18">
      <c r="B132" t="str">
        <f>LocaleTable[[#This Row],['#인덱스제너레이터]]</f>
        <v>Item_PlusDesc_3004</v>
      </c>
      <c r="C132" s="53" t="s">
        <v>394</v>
      </c>
      <c r="D132" s="53" t="s">
        <v>844</v>
      </c>
      <c r="E132" s="14" t="s">
        <v>543</v>
      </c>
      <c r="F132" s="14" t="s">
        <v>365</v>
      </c>
      <c r="G132" s="19">
        <v>3004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3" spans="2:9" ht="18">
      <c r="B133" t="str">
        <f>LocaleTable[[#This Row],['#인덱스제너레이터]]</f>
        <v>Item_PlusDesc_3005</v>
      </c>
      <c r="C133" s="11" t="s">
        <v>842</v>
      </c>
      <c r="D133" s="53" t="s">
        <v>845</v>
      </c>
      <c r="E133" s="14" t="s">
        <v>543</v>
      </c>
      <c r="F133" s="14" t="s">
        <v>365</v>
      </c>
      <c r="G133" s="19">
        <v>3005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34" spans="2:9" ht="18">
      <c r="B134" t="str">
        <f>LocaleTable[[#This Row],['#인덱스제너레이터]]</f>
        <v>Item_PlusDesc_3006</v>
      </c>
      <c r="C134" s="54" t="s">
        <v>456</v>
      </c>
      <c r="D134" s="53" t="s">
        <v>630</v>
      </c>
      <c r="E134" s="14" t="s">
        <v>543</v>
      </c>
      <c r="F134" s="14" t="s">
        <v>365</v>
      </c>
      <c r="G134" s="19">
        <v>3006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35" spans="2:9" ht="18">
      <c r="B135" t="str">
        <f>LocaleTable[[#This Row],['#인덱스제너레이터]]</f>
        <v>Item_PlusDesc_4000</v>
      </c>
      <c r="C135" s="53" t="s">
        <v>426</v>
      </c>
      <c r="D135" s="53" t="s">
        <v>631</v>
      </c>
      <c r="E135" s="14" t="s">
        <v>543</v>
      </c>
      <c r="F135" s="14" t="s">
        <v>365</v>
      </c>
      <c r="G135" s="19">
        <v>4000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36" spans="2:9" ht="36">
      <c r="B136" t="str">
        <f>LocaleTable[[#This Row],['#인덱스제너레이터]]</f>
        <v>Item_PlusDesc_4001</v>
      </c>
      <c r="C136" s="53" t="s">
        <v>822</v>
      </c>
      <c r="D136" s="53" t="s">
        <v>854</v>
      </c>
      <c r="E136" s="14" t="s">
        <v>543</v>
      </c>
      <c r="F136" s="14" t="s">
        <v>365</v>
      </c>
      <c r="G136" s="19">
        <v>4001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7" spans="2:9" ht="18">
      <c r="B137" t="str">
        <f>LocaleTable[[#This Row],['#인덱스제너레이터]]</f>
        <v>Item_PlusDesc_4002</v>
      </c>
      <c r="C137" s="53" t="s">
        <v>312</v>
      </c>
      <c r="D137" s="53" t="s">
        <v>632</v>
      </c>
      <c r="E137" s="14" t="s">
        <v>543</v>
      </c>
      <c r="F137" s="14" t="s">
        <v>365</v>
      </c>
      <c r="G137" s="19">
        <v>4002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8" spans="2:9" ht="18">
      <c r="B138" t="str">
        <f>LocaleTable[[#This Row],['#인덱스제너레이터]]</f>
        <v>Item_PlusDesc_4003</v>
      </c>
      <c r="C138" s="53" t="s">
        <v>397</v>
      </c>
      <c r="D138" s="53" t="s">
        <v>633</v>
      </c>
      <c r="E138" s="14" t="s">
        <v>543</v>
      </c>
      <c r="F138" s="14" t="s">
        <v>365</v>
      </c>
      <c r="G138" s="19">
        <v>4003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9" spans="2:9" ht="18">
      <c r="B139" t="str">
        <f>LocaleTable[[#This Row],['#인덱스제너레이터]]</f>
        <v>Item_PlusDesc_4004</v>
      </c>
      <c r="C139" s="53" t="s">
        <v>459</v>
      </c>
      <c r="D139" s="53" t="s">
        <v>858</v>
      </c>
      <c r="E139" s="14" t="s">
        <v>543</v>
      </c>
      <c r="F139" s="14" t="s">
        <v>365</v>
      </c>
      <c r="G139" s="19">
        <v>4004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0" spans="2:9" ht="18">
      <c r="B140" t="str">
        <f>LocaleTable[[#This Row],['#인덱스제너레이터]]</f>
        <v>Item_PlusDesc_4005</v>
      </c>
      <c r="C140" s="53" t="s">
        <v>419</v>
      </c>
      <c r="D140" s="53" t="s">
        <v>857</v>
      </c>
      <c r="E140" s="14" t="s">
        <v>543</v>
      </c>
      <c r="F140" s="14" t="s">
        <v>365</v>
      </c>
      <c r="G140" s="19">
        <v>4005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1" spans="2:9" ht="18">
      <c r="B141" t="str">
        <f>LocaleTable[[#This Row],['#인덱스제너레이터]]</f>
        <v>Item_PlusDesc_4006</v>
      </c>
      <c r="C141" s="53" t="s">
        <v>820</v>
      </c>
      <c r="D141" s="53" t="s">
        <v>828</v>
      </c>
      <c r="E141" s="14" t="s">
        <v>543</v>
      </c>
      <c r="F141" s="14" t="s">
        <v>365</v>
      </c>
      <c r="G141" s="19">
        <v>4006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2" spans="2:9" ht="18">
      <c r="B142" t="str">
        <f>LocaleTable[[#This Row],['#인덱스제너레이터]]</f>
        <v>Item_PlusDesc_10000</v>
      </c>
      <c r="C142" s="54" t="s">
        <v>372</v>
      </c>
      <c r="D142" s="53" t="s">
        <v>634</v>
      </c>
      <c r="E142" s="14" t="s">
        <v>543</v>
      </c>
      <c r="F142" s="14" t="s">
        <v>365</v>
      </c>
      <c r="G142" s="19">
        <v>10000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3" spans="2:9" ht="18">
      <c r="B143" t="str">
        <f>LocaleTable[[#This Row],['#인덱스제너레이터]]</f>
        <v>Item_PlusDesc_10001</v>
      </c>
      <c r="C143" s="54" t="s">
        <v>510</v>
      </c>
      <c r="D143" s="53" t="s">
        <v>853</v>
      </c>
      <c r="E143" s="14" t="s">
        <v>543</v>
      </c>
      <c r="F143" s="14" t="s">
        <v>365</v>
      </c>
      <c r="G143" s="19">
        <v>10001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44" spans="2:9" ht="36">
      <c r="B144" t="str">
        <f>LocaleTable[[#This Row],['#인덱스제너레이터]]</f>
        <v>Item_PlusDesc_10002</v>
      </c>
      <c r="C144" s="54" t="s">
        <v>513</v>
      </c>
      <c r="D144" s="53" t="s">
        <v>852</v>
      </c>
      <c r="E144" s="14" t="s">
        <v>543</v>
      </c>
      <c r="F144" s="14" t="s">
        <v>365</v>
      </c>
      <c r="G144" s="19">
        <v>10002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45" spans="2:9" ht="18">
      <c r="B145" t="str">
        <f>LocaleTable[[#This Row],['#인덱스제너레이터]]</f>
        <v>Item_PlusDesc_10003</v>
      </c>
      <c r="C145" s="54" t="s">
        <v>508</v>
      </c>
      <c r="D145" s="53" t="s">
        <v>851</v>
      </c>
      <c r="E145" s="14" t="s">
        <v>543</v>
      </c>
      <c r="F145" s="14" t="s">
        <v>365</v>
      </c>
      <c r="G145" s="19">
        <v>10003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46" spans="2:9" ht="18">
      <c r="B146" t="str">
        <f>LocaleTable[[#This Row],['#인덱스제너레이터]]</f>
        <v>Item_PlusDesc_10004</v>
      </c>
      <c r="C146" s="53" t="s">
        <v>468</v>
      </c>
      <c r="D146" s="53" t="s">
        <v>635</v>
      </c>
      <c r="E146" s="14" t="s">
        <v>543</v>
      </c>
      <c r="F146" s="14" t="s">
        <v>365</v>
      </c>
      <c r="G146" s="19">
        <v>10004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7" spans="2:9" ht="36">
      <c r="B147" t="str">
        <f>LocaleTable[[#This Row],['#인덱스제너레이터]]</f>
        <v>Item_PlusDesc_10005</v>
      </c>
      <c r="C147" s="53" t="s">
        <v>509</v>
      </c>
      <c r="D147" s="53" t="s">
        <v>850</v>
      </c>
      <c r="E147" s="14" t="s">
        <v>543</v>
      </c>
      <c r="F147" s="14" t="s">
        <v>365</v>
      </c>
      <c r="G147" s="19">
        <v>10005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8" spans="2:9" ht="18">
      <c r="B148" t="str">
        <f>LocaleTable[[#This Row],['#인덱스제너레이터]]</f>
        <v>Item_MinusDesc_4000</v>
      </c>
      <c r="C148" s="53" t="s">
        <v>823</v>
      </c>
      <c r="D148" s="63" t="s">
        <v>824</v>
      </c>
      <c r="E148" s="14" t="s">
        <v>543</v>
      </c>
      <c r="F148" s="14" t="s">
        <v>366</v>
      </c>
      <c r="G148" s="19">
        <v>4000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9" spans="2:9" ht="18">
      <c r="B149" t="str">
        <f>LocaleTable[[#This Row],['#인덱스제너레이터]]</f>
        <v>Item_MinusDesc_4001</v>
      </c>
      <c r="C149" s="53" t="s">
        <v>390</v>
      </c>
      <c r="D149" s="63" t="s">
        <v>636</v>
      </c>
      <c r="E149" s="14" t="s">
        <v>543</v>
      </c>
      <c r="F149" s="14" t="s">
        <v>366</v>
      </c>
      <c r="G149" s="19">
        <v>4001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0" spans="2:9" ht="18">
      <c r="B150" t="str">
        <f>LocaleTable[[#This Row],['#인덱스제너레이터]]</f>
        <v>Item_MinusDesc_4002</v>
      </c>
      <c r="C150" s="53" t="s">
        <v>155</v>
      </c>
      <c r="D150" s="53" t="s">
        <v>637</v>
      </c>
      <c r="E150" s="14" t="s">
        <v>543</v>
      </c>
      <c r="F150" s="14" t="s">
        <v>366</v>
      </c>
      <c r="G150" s="19">
        <v>4002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1" spans="2:9" ht="18">
      <c r="B151" t="str">
        <f>LocaleTable[[#This Row],['#인덱스제너레이터]]</f>
        <v>Item_MinusDesc_4003</v>
      </c>
      <c r="C151" s="53" t="s">
        <v>840</v>
      </c>
      <c r="D151" s="53" t="s">
        <v>841</v>
      </c>
      <c r="E151" s="14" t="s">
        <v>543</v>
      </c>
      <c r="F151" s="14" t="s">
        <v>366</v>
      </c>
      <c r="G151" s="19">
        <v>4003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2" spans="2:9" ht="18">
      <c r="B152" t="str">
        <f>LocaleTable[[#This Row],['#인덱스제너레이터]]</f>
        <v>Item_MinusDesc_4004</v>
      </c>
      <c r="C152" s="53" t="s">
        <v>506</v>
      </c>
      <c r="D152" s="53" t="s">
        <v>638</v>
      </c>
      <c r="E152" s="14" t="s">
        <v>543</v>
      </c>
      <c r="F152" s="14" t="s">
        <v>366</v>
      </c>
      <c r="G152" s="19">
        <v>4004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3" spans="2:9" ht="18">
      <c r="B153" t="str">
        <f>LocaleTable[[#This Row],['#인덱스제너레이터]]</f>
        <v>Item_MinusDesc_4005</v>
      </c>
      <c r="C153" s="53" t="s">
        <v>461</v>
      </c>
      <c r="D153" s="53" t="s">
        <v>639</v>
      </c>
      <c r="E153" s="14" t="s">
        <v>543</v>
      </c>
      <c r="F153" s="14" t="s">
        <v>366</v>
      </c>
      <c r="G153" s="19">
        <v>4005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54" spans="2:9" ht="18">
      <c r="B154" t="str">
        <f>LocaleTable[[#This Row],['#인덱스제너레이터]]</f>
        <v>Item_MinusDesc_4006</v>
      </c>
      <c r="C154" s="53" t="s">
        <v>855</v>
      </c>
      <c r="D154" s="53" t="s">
        <v>859</v>
      </c>
      <c r="E154" s="14" t="s">
        <v>543</v>
      </c>
      <c r="F154" s="14" t="s">
        <v>366</v>
      </c>
      <c r="G154" s="19">
        <v>4006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2023-10-18T11:32:04Z</dcterms:modified>
  <cp:version>1200.0100.01</cp:version>
</cp:coreProperties>
</file>