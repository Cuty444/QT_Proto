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Proto\_GameData\"/>
    </mc:Choice>
  </mc:AlternateContent>
  <xr:revisionPtr revIDLastSave="0" documentId="13_ncr:1_{A09A75BE-5ACF-4D1B-8C21-C4EF351DBAB1}" xr6:coauthVersionLast="47" xr6:coauthVersionMax="47" xr10:uidLastSave="{00000000-0000-0000-0000-000000000000}"/>
  <bookViews>
    <workbookView xWindow="3975" yWindow="3300" windowWidth="28800" windowHeight="15345" firstSheet="12" activeTab="12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21" l="1"/>
  <c r="F38" i="21"/>
  <c r="E24" i="3" a="1"/>
  <c r="E24" i="3" s="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9" i="21"/>
  <c r="E40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9" i="21"/>
  <c r="F40" i="21"/>
  <c r="F6" i="21"/>
  <c r="E6" i="21"/>
  <c r="E7" i="21"/>
  <c r="B81" i="16"/>
  <c r="E8" i="21"/>
  <c r="F8" i="21"/>
  <c r="F7" i="21"/>
  <c r="E5" i="21"/>
  <c r="F5" i="21"/>
  <c r="F3" i="21"/>
  <c r="F4" i="21"/>
  <c r="E3" i="21"/>
  <c r="E4" i="21"/>
  <c r="N16" i="9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79" i="16"/>
  <c r="B79" i="16" s="1"/>
  <c r="I80" i="16"/>
  <c r="B80" i="16" s="1"/>
  <c r="I81" i="16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22" i="2"/>
  <c r="L22" i="2" s="1"/>
  <c r="K13" i="2"/>
  <c r="M20" i="2" s="1"/>
  <c r="N20" i="2" s="1"/>
  <c r="K14" i="2"/>
  <c r="K15" i="2"/>
  <c r="O22" i="2" s="1"/>
  <c r="P22" i="2" s="1"/>
  <c r="K20" i="2" l="1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P25" i="19" l="1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T16" i="19" l="1" a="1"/>
  <c r="T16" i="19" s="1"/>
  <c r="B27" i="13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<sst xmlns="http://schemas.openxmlformats.org/spreadsheetml/2006/main" count="2659" uniqueCount="1105">
  <si>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</si>
  <si>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</si>
  <si>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</si>
  <si>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</si>
  <si>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</si>
  <si>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</si>
  <si>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</si>
  <si>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</si>
  <si>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</si>
  <si>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</si>
  <si>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</si>
  <si>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</si>
  <si>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</si>
  <si>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</si>
  <si>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</si>
  <si>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</si>
  <si>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</si>
  <si>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</si>
  <si>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</si>
  <si>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</si>
  <si>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</si>
  <si>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</si>
  <si>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</si>
  <si>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</si>
  <si>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</si>
  <si>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</si>
  <si>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</si>
  <si>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</si>
  <si>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</si>
  <si>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</si>
  <si>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</si>
  <si>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</si>
  <si>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</si>
  <si>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</si>
  <si>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</si>
  <si>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</si>
  <si>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</si>
  <si>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</si>
  <si>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</si>
  <si>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</si>
  <si>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</si>
  <si>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</si>
  <si>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</si>
  <si>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</si>
  <si>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</si>
  <si>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</si>
  <si>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</si>
  <si>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</si>
  <si>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</si>
  <si>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</si>
  <si>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</si>
  <si>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</si>
  <si>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</si>
  <si>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</si>
  <si>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</si>
  <si>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</si>
  <si>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</si>
  <si>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</si>
  <si>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</si>
  <si>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</si>
  <si>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</si>
  <si>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</si>
  <si>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</si>
  <si>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</si>
  <si>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</si>
  <si>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</si>
  <si>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</si>
  <si>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</si>
  <si>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</si>
  <si>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</si>
  <si>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</si>
  <si>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</si>
  <si>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</si>
  <si>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</si>
  <si>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</si>
  <si>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</si>
  <si>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</si>
  <si>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</si>
  <si>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</si>
  <si>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</si>
  <si>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</si>
  <si>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</si>
  <si>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</si>
  <si>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</si>
  <si>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</si>
  <si>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</si>
  <si>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</si>
  <si>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</si>
  <si>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</si>
  <si>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</si>
  <si>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</si>
  <si>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</si>
  <si>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</si>
  <si>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</si>
  <si>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</si>
  <si>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</si>
  <si>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</si>
  <si>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</si>
  <si>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</si>
  <si>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</si>
  <si>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</si>
  <si>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</si>
  <si>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</si>
  <si>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</si>
  <si>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</si>
  <si>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</si>
  <si>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</si>
  <si>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</si>
  <si>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</si>
  <si>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</si>
  <si>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</si>
  <si>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</si>
  <si>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</si>
  <si>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</si>
  <si>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</si>
  <si>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</si>
  <si>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</si>
  <si>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</si>
  <si>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</si>
  <si>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</si>
  <si>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</si>
  <si>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</si>
  <si>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</si>
  <si>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</si>
  <si>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</si>
  <si>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</si>
  <si>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</si>
  <si>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</si>
  <si>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</si>
  <si>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</si>
  <si>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</si>
  <si>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</si>
  <si>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</si>
  <si>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</si>
  <si>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</si>
  <si>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</si>
  <si>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</si>
  <si>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</si>
  <si>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</si>
  <si>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</si>
  <si>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</si>
  <si>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</si>
  <si>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</si>
  <si>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</si>
  <si>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</si>
  <si>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</si>
  <si>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</si>
  <si>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</si>
  <si>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</si>
  <si>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</si>
  <si>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</si>
  <si>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</si>
  <si>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</si>
  <si>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</si>
  <si>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</si>
  <si>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</si>
  <si>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</si>
  <si>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</si>
  <si>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</si>
  <si>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</si>
  <si>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</si>
  <si>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</si>
  <si>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</si>
  <si>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</si>
  <si>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</si>
  <si>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</si>
  <si>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</si>
  <si>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</si>
  <si>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</si>
  <si>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</si>
  <si>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</si>
  <si>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</si>
  <si>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</si>
  <si>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</si>
  <si>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</si>
  <si>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</si>
  <si>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</si>
  <si>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</si>
  <si>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</si>
  <si>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</si>
  <si>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</si>
  <si>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</si>
  <si>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</si>
  <si>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</si>
  <si>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</si>
  <si>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</si>
  <si>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</si>
  <si>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</si>
  <si>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</si>
  <si>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</si>
  <si>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</si>
  <si>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</si>
  <si>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</si>
  <si>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</si>
  <si>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</si>
  <si>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</si>
  <si>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</si>
  <si>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</si>
  <si>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</si>
  <si>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</si>
  <si>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</si>
  <si>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</si>
  <si>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</si>
  <si>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</si>
  <si>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</si>
  <si>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</si>
  <si>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</si>
  <si>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</si>
  <si>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</si>
  <si>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</si>
  <si>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</si>
  <si>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</si>
  <si>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</si>
  <si>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</si>
  <si>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</si>
  <si>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</si>
  <si>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</si>
  <si>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</si>
  <si>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</si>
  <si>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</si>
  <si>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</si>
  <si>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</si>
  <si>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</si>
  <si>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</si>
  <si>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</si>
  <si>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</si>
  <si>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</si>
  <si>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</si>
  <si>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</si>
  <si>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</si>
  <si>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</si>
  <si>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</si>
  <si>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</si>
  <si>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</si>
  <si>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</si>
  <si>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</si>
  <si>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</si>
  <si>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</si>
  <si>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</si>
  <si>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</si>
  <si>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</si>
  <si>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</si>
  <si>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</si>
  <si>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</si>
  <si>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</si>
  <si>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</si>
  <si>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</si>
  <si>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</si>
  <si>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</si>
  <si>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</si>
  <si>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</si>
  <si>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</si>
  <si>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</si>
  <si>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</si>
  <si>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</si>
  <si>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</si>
  <si>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</si>
  <si>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</si>
  <si>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</si>
  <si>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</si>
  <si>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</si>
  <si>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</si>
  <si>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</si>
  <si>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</si>
  <si>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</si>
  <si>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</si>
  <si>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</si>
  <si>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</si>
  <si>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</si>
  <si>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</si>
  <si>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</si>
  <si>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</si>
  <si>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</si>
  <si>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</si>
  <si>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</si>
  <si>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</si>
  <si>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</si>
  <si>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</si>
  <si>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</si>
  <si>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</si>
  <si>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</si>
  <si>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</si>
  <si>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</si>
  <si>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</si>
  <si>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</si>
  <si>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</si>
  <si>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</si>
  <si>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</si>
  <si>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</si>
  <si>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</si>
  <si>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</si>
  <si>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</si>
  <si>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</si>
  <si>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</si>
  <si>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</si>
  <si>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</si>
  <si>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</si>
  <si>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</si>
  <si>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</si>
  <si>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</si>
  <si>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</si>
  <si>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</si>
  <si>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</si>
  <si>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</si>
  <si>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</si>
  <si>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</si>
  <si>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</si>
  <si>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</si>
  <si>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</si>
  <si>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</si>
  <si>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</si>
  <si>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</si>
  <si>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</si>
  <si>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</si>
  <si>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</si>
  <si>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</si>
  <si>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</si>
  <si>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</si>
  <si>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</si>
  <si>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</si>
  <si>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</si>
  <si>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</si>
  <si>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</si>
  <si>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</si>
  <si>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</si>
  <si>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</si>
  <si>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</si>
  <si>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</si>
  <si>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</si>
  <si>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</si>
  <si>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</si>
  <si>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</si>
  <si>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</si>
  <si>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</si>
  <si>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</si>
  <si>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</si>
  <si>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</si>
  <si>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</si>
  <si>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</si>
  <si>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</si>
  <si>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</si>
  <si>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</si>
  <si>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</si>
  <si>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</si>
  <si>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</si>
  <si>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</si>
  <si>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</si>
  <si>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</si>
  <si>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</si>
  <si>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</si>
  <si>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</si>
  <si>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</si>
  <si>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</si>
  <si>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</si>
  <si>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</si>
  <si>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</si>
  <si>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</si>
  <si>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</si>
  <si>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</si>
  <si>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</si>
  <si>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</si>
  <si>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</si>
  <si>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</si>
  <si>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</si>
  <si>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</si>
  <si>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</si>
  <si>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</si>
  <si>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</si>
  <si>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</si>
  <si>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</si>
  <si>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</si>
  <si>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</si>
  <si>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</si>
  <si>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</si>
  <si>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</si>
  <si>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</si>
  <si>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</si>
  <si>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</si>
  <si>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</si>
  <si>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</si>
  <si>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</si>
  <si>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</si>
  <si>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</si>
  <si>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</si>
  <si>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</si>
  <si>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</si>
  <si>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</si>
  <si>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</si>
  <si>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</si>
  <si>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</si>
  <si>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</si>
  <si>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</si>
  <si>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</si>
  <si>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</si>
  <si>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</si>
  <si>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</si>
  <si>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</si>
  <si>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</si>
  <si>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</si>
  <si>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</si>
  <si>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</si>
  <si>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</si>
  <si>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</si>
  <si>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</si>
  <si>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</si>
  <si>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</si>
  <si>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</si>
  <si>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</si>
  <si>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</si>
  <si>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</si>
  <si>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</si>
  <si>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</si>
  <si>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</si>
  <si>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</si>
  <si>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</si>
  <si>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</si>
  <si>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</si>
  <si>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</si>
  <si>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</si>
  <si>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</si>
  <si>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</si>
  <si>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</si>
  <si>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</si>
  <si>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</si>
  <si>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</si>
  <si>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</si>
  <si>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</si>
  <si>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</si>
  <si>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</si>
  <si>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</si>
  <si>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</si>
  <si>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</si>
  <si>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</si>
  <si>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</si>
  <si>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</si>
  <si>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</si>
  <si>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</si>
  <si>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</si>
  <si>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</si>
  <si>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</si>
  <si>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</si>
  <si>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</si>
  <si>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</si>
  <si>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</si>
  <si>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</si>
  <si>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</si>
  <si>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</si>
  <si>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</si>
  <si>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</si>
  <si>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</si>
  <si>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</si>
  <si>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</si>
  <si>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</si>
  <si>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</si>
  <si>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</si>
  <si>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</si>
  <si>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</si>
  <si>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</si>
  <si>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</si>
  <si>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</si>
  <si>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</si>
  <si>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</si>
  <si>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</si>
  <si>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</si>
  <si>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</si>
  <si>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</si>
  <si>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</si>
  <si>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</si>
  <si>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</si>
  <si>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</si>
  <si>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</si>
  <si>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</si>
  <si>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</si>
  <si>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</si>
  <si>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</si>
  <si>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</si>
  <si>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</si>
  <si>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</si>
  <si>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</si>
  <si>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</si>
  <si>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</si>
  <si>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</si>
  <si>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</si>
  <si>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</si>
  <si>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</si>
  <si>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</si>
  <si>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</si>
  <si>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</si>
  <si>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</si>
  <si>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</si>
  <si>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</si>
  <si>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</si>
  <si>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</si>
  <si>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</si>
  <si>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</si>
  <si>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</si>
  <si>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</si>
  <si>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</si>
  <si>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</si>
  <si>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</si>
  <si>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</si>
  <si>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</si>
  <si>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</si>
  <si>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</si>
  <si>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</si>
  <si>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</si>
  <si>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</si>
  <si>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</si>
  <si>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</si>
  <si>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</si>
  <si>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</si>
  <si>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</si>
  <si>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</si>
  <si>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</si>
  <si>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</si>
  <si>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</si>
  <si>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</si>
  <si>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</si>
  <si>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</si>
  <si>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</si>
  <si>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</si>
  <si>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</si>
  <si>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</si>
  <si>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</si>
  <si>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</si>
  <si>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</si>
  <si>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</si>
  <si>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</si>
  <si>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</si>
  <si>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</si>
  <si>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</si>
  <si>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</si>
  <si>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</si>
  <si>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</si>
  <si>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</si>
  <si>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</si>
  <si>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</si>
  <si>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</si>
  <si>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</si>
  <si>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</si>
  <si>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</si>
  <si>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</si>
  <si>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</si>
  <si>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</si>
  <si>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</si>
  <si>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</si>
  <si>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</si>
  <si>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</si>
  <si>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</si>
  <si>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</si>
  <si>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</si>
  <si>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</si>
  <si>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</si>
  <si>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</si>
  <si>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</si>
  <si>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</si>
  <si>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</si>
  <si>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</si>
  <si>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</si>
  <si>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</si>
  <si>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</si>
  <si>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</si>
  <si>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</si>
  <si>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</si>
  <si>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</si>
  <si>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</si>
  <si>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</si>
  <si>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</si>
  <si>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</si>
  <si>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</si>
  <si>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</si>
  <si>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</si>
  <si>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</si>
  <si>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</si>
  <si>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</si>
  <si>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</si>
  <si>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</si>
  <si>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</si>
  <si>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</si>
  <si>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</si>
  <si>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</si>
  <si>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</si>
  <si>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</si>
  <si>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</si>
  <si>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</si>
  <si>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</si>
  <si>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</si>
  <si>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</si>
  <si>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</si>
  <si>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</si>
  <si>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</si>
  <si>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</si>
  <si>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</si>
  <si>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</si>
  <si>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</si>
  <si>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</si>
  <si>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</si>
  <si>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</si>
  <si>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</si>
  <si>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</si>
  <si>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</si>
  <si>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</si>
  <si>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</si>
  <si>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</si>
  <si>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</si>
  <si>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</si>
  <si>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</si>
  <si>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</si>
  <si>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</si>
  <si>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</si>
  <si>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</si>
  <si>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</si>
  <si>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</si>
  <si>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</si>
  <si>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</si>
  <si>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</si>
  <si>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</si>
  <si>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</si>
  <si>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</si>
  <si>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</si>
  <si>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</si>
  <si>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</si>
  <si>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</si>
  <si>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</si>
  <si>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</si>
  <si>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</si>
  <si>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</si>
  <si>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</si>
  <si>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</si>
  <si>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</si>
  <si>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</si>
  <si>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</si>
  <si>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</si>
  <si>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</si>
  <si>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</si>
  <si>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</si>
  <si>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</si>
  <si>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</si>
  <si>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</si>
  <si>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</si>
  <si>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</si>
  <si>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</si>
  <si>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</si>
  <si>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</si>
  <si>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</si>
  <si>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</si>
  <si>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</si>
  <si>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</si>
  <si>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</si>
  <si>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</si>
  <si>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</si>
  <si>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</si>
  <si>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</si>
  <si>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</si>
  <si>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</si>
  <si>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</si>
  <si>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</si>
  <si>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</si>
  <si>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</si>
  <si>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</si>
  <si>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</si>
  <si>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</si>
  <si>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</si>
  <si>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</si>
  <si>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</si>
  <si>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</si>
  <si>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</si>
  <si>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</si>
  <si>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</si>
  <si>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</si>
  <si>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</si>
  <si>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</si>
  <si>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</si>
  <si>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</si>
  <si>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</si>
  <si>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</si>
  <si>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</si>
  <si>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</si>
  <si>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</si>
  <si>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</si>
  <si>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</si>
  <si>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</si>
  <si>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</si>
  <si>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</si>
  <si>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</si>
  <si>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</si>
  <si>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</si>
  <si>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</si>
  <si>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</si>
  <si>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</si>
  <si>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</si>
  <si>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</si>
  <si>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</si>
  <si>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</si>
  <si>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</si>
  <si>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</si>
  <si>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</si>
  <si>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</si>
  <si>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</si>
  <si>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</si>
  <si>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</si>
  <si>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</si>
  <si>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</si>
  <si>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</si>
  <si>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</si>
  <si>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</si>
  <si>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</si>
  <si>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</si>
  <si>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</si>
  <si>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</si>
  <si>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</si>
  <si>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</si>
  <si>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</si>
  <si>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</si>
  <si>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</si>
  <si>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</si>
  <si>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</si>
  <si>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</si>
  <si>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</si>
  <si>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</si>
  <si>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</si>
  <si>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</si>
  <si>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</si>
  <si>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</si>
  <si>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</si>
  <si>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</si>
  <si>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</si>
  <si>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</si>
  <si>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</si>
  <si>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</si>
  <si>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</si>
  <si>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</si>
  <si>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</si>
  <si>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</si>
  <si>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</si>
  <si>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</si>
  <si>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</si>
  <si>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</si>
  <si>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</si>
  <si>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</si>
  <si>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</si>
  <si>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</si>
  <si>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</si>
  <si>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</si>
  <si>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</si>
  <si>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</si>
  <si>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</si>
  <si>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</si>
  <si>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</si>
  <si>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</si>
  <si>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</si>
  <si>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</si>
  <si>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</si>
  <si>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</si>
  <si>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</si>
  <si>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</si>
  <si>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</si>
  <si>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</si>
  <si>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</si>
  <si>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</si>
  <si>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</si>
  <si>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</si>
  <si>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</si>
  <si>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</si>
  <si>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</si>
  <si>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</si>
  <si>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</si>
  <si>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</si>
  <si>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</si>
  <si>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</si>
  <si>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</si>
  <si>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</si>
  <si>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</si>
  <si>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</si>
  <si>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</si>
  <si>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</si>
  <si>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</si>
  <si>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</si>
  <si>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</si>
  <si>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</si>
  <si>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</si>
  <si>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</si>
  <si>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</si>
  <si>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</si>
  <si>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</si>
  <si>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</si>
  <si>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</si>
  <si>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</si>
  <si>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</si>
  <si>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</si>
  <si>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</si>
  <si>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</si>
  <si>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</si>
  <si>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</si>
  <si>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</si>
  <si>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</si>
  <si>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</si>
  <si>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</si>
  <si>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</si>
  <si>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</si>
  <si>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</si>
  <si>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</si>
  <si>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</si>
  <si>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</si>
  <si>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</si>
  <si>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</si>
  <si>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</si>
  <si>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</si>
  <si>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</si>
  <si>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</si>
  <si>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</si>
  <si>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</si>
  <si>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</si>
  <si>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</si>
  <si>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</si>
  <si>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</si>
  <si>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</si>
  <si>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</si>
  <si>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</si>
  <si>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</si>
  <si>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</si>
  <si>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</si>
  <si>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</si>
  <si>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</si>
  <si>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</si>
  <si>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</si>
  <si>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</si>
  <si>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</si>
  <si>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</si>
  <si>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</si>
  <si>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</si>
  <si>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</si>
  <si>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</si>
  <si>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</si>
  <si>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</si>
  <si>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</si>
  <si>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</si>
  <si>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</si>
  <si>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</si>
  <si>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</si>
  <si>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</si>
  <si>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</si>
  <si>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</si>
  <si>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</si>
  <si>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</si>
  <si>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</si>
  <si>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</si>
  <si>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</si>
  <si>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</si>
  <si>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</si>
  <si>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</si>
  <si>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</si>
  <si>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</si>
  <si>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</si>
  <si>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</si>
  <si>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</si>
  <si>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</si>
  <si>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</si>
  <si>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</si>
  <si>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</si>
  <si>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</si>
  <si>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</si>
  <si>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</si>
  <si>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</si>
  <si>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</si>
  <si>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</si>
  <si>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</si>
  <si>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</si>
  <si>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</si>
  <si>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</si>
  <si>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</si>
  <si>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</si>
  <si>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</si>
  <si>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</si>
  <si>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</si>
  <si>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</si>
  <si>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</si>
  <si>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</si>
  <si>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</si>
  <si>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</si>
  <si>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</si>
  <si>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</si>
  <si>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</si>
  <si>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</si>
  <si>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</si>
  <si>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</si>
  <si>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</si>
  <si>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</si>
  <si>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</si>
  <si>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</si>
  <si>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</si>
  <si>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</si>
  <si>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</si>
  <si>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</si>
  <si>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</si>
  <si>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</si>
  <si>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</si>
  <si>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</si>
  <si>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</si>
  <si>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</si>
  <si>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</si>
  <si>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</si>
  <si>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</si>
  <si>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</si>
  <si>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</si>
  <si>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</si>
  <si>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</si>
  <si>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</si>
  <si>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</si>
  <si>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</si>
  <si>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</si>
  <si>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</si>
  <si>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</si>
  <si>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</si>
  <si>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</si>
  <si>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</si>
  <si>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</si>
  <si>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</si>
  <si>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</si>
  <si>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</si>
  <si>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</si>
  <si>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</si>
  <si>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</si>
  <si>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</si>
  <si>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</si>
  <si>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</si>
  <si>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</si>
  <si>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</si>
  <si>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</si>
  <si>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</si>
  <si>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</si>
  <si>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</si>
  <si>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</si>
  <si>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</si>
  <si>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</si>
  <si>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</si>
  <si>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</si>
  <si>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</si>
  <si>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</si>
  <si>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</si>
  <si>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</si>
  <si>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</si>
  <si>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</si>
  <si>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</si>
  <si>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</si>
  <si>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</si>
  <si>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</si>
  <si>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</si>
  <si>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</si>
  <si>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</si>
  <si>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</si>
  <si>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</si>
  <si>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</si>
  <si>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</si>
  <si>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</si>
  <si>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</si>
  <si>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</si>
  <si>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</si>
  <si>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</si>
  <si>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</si>
  <si>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</si>
  <si>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</si>
  <si>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</si>
  <si>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</si>
  <si>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</si>
  <si>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</si>
  <si>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</si>
  <si>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</si>
  <si>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</si>
  <si>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</si>
  <si>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</si>
  <si>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</si>
  <si>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</si>
  <si>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</si>
  <si>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</si>
  <si>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</si>
  <si>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</si>
  <si>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</si>
  <si>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</si>
  <si>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</si>
  <si>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</si>
  <si>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</si>
  <si>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</si>
  <si>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</si>
  <si>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</si>
  <si>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</si>
  <si>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</si>
  <si>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</si>
  <si>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</si>
  <si>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</si>
  <si>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</si>
  <si>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</si>
  <si>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</si>
  <si>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</si>
  <si>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</si>
  <si>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</si>
  <si>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</si>
  <si>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</si>
  <si>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</si>
  <si>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</si>
  <si>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</si>
  <si>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</si>
  <si>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</si>
  <si>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</si>
  <si>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</si>
  <si>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</si>
  <si>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</si>
  <si>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</si>
  <si>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</si>
  <si>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</si>
  <si>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</si>
  <si>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</si>
  <si>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</si>
  <si>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</si>
  <si>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</si>
  <si>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</si>
  <si>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</si>
  <si>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</si>
  <si>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</si>
  <si>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</si>
  <si>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</si>
  <si>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</si>
  <si>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</si>
  <si>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</si>
  <si>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</si>
  <si>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</si>
  <si>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</si>
  <si>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</si>
  <si>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</si>
  <si>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</si>
  <si>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</si>
  <si>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</si>
  <si>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</si>
  <si>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</si>
  <si>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</si>
  <si>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</si>
  <si>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</si>
  <si>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</si>
  <si>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</si>
  <si>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</si>
  <si>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</si>
  <si>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</si>
  <si>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회피쿨타임 +200%</t>
    <phoneticPr fontId="6" type="noConversion"/>
  </si>
  <si>
    <t>Evasion cooldown +200%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</si>
  <si>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</si>
  <si>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</si>
  <si>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</si>
  <si>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</si>
  <si>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</si>
  <si>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</si>
  <si>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</si>
  <si>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</si>
  <si>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</si>
  <si>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</si>
  <si>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</si>
  <si>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</si>
  <si>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</si>
  <si>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</si>
  <si>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</si>
  <si>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</si>
  <si>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</si>
  <si>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</si>
  <si>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</si>
  <si>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</si>
  <si>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</si>
  <si>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</si>
  <si>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</si>
  <si>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</si>
  <si>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</si>
  <si>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</si>
  <si>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</si>
  <si>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</si>
  <si>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</si>
  <si>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</si>
  <si>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</si>
  <si>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</si>
  <si>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</si>
  <si>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</si>
  <si>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</si>
  <si>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</si>
  <si>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</si>
  <si>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</si>
  <si>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</si>
  <si>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</si>
  <si>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</si>
  <si>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</si>
  <si>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</si>
  <si>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</si>
  <si>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</si>
  <si>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</si>
  <si>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</si>
  <si>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</si>
  <si>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</si>
  <si>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You took down that unruly Jello!\nYou're making great progress, Ms. Bash!</t>
    <phoneticPr fontId="6" type="noConversion"/>
  </si>
  <si>
    <t>이럴 수가! 새디마저 배쉬 선수의 손에 꺾이다니!\n이제 챔피언까지 한걸음 남았습니다!</t>
    <phoneticPr fontId="6" type="noConversion"/>
  </si>
  <si>
    <t>I can't believe it! Even Saddy was defeated by Ms. Bash!\nNow you're one step away from being crowned champion!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</si>
  <si>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</si>
  <si>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</si>
  <si>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</si>
  <si>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</si>
  <si>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</si>
  <si>
    <t>icon/item/Passive_Item/Item_22.png</t>
    <phoneticPr fontId="6" type="noConversion"/>
  </si>
  <si>
    <t>icon/item/Passive_Item/Item_14_new.png</t>
    <phoneticPr fontId="6" type="noConversion"/>
  </si>
  <si>
    <t>icon/item/Passive_Item/Item_19_new.png</t>
    <phoneticPr fontId="6" type="noConversion"/>
  </si>
  <si>
    <t>icon/item/Passive_Item/Item_21.png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</si>
</sst>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1" totalsRowDxfId="160"/>
    <tableColumn id="2" xr3:uid="{00000000-0010-0000-0300-000002000000}" name="개수" dataDxfId="15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9" dataDxfId="148">
  <autoFilter ref="B11:F42" xr:uid="{00000000-0009-0000-0100-000008000000}"/>
  <tableColumns count="5">
    <tableColumn id="1" xr3:uid="{00000000-0010-0000-0600-000001000000}" name="스텟" dataDxfId="147"/>
    <tableColumn id="2" xr3:uid="{00000000-0010-0000-0600-000002000000}" name="참조 테이블" dataDxfId="146"/>
    <tableColumn id="3" xr3:uid="{00000000-0010-0000-0600-000003000000}" name="설명" dataDxfId="145"/>
    <tableColumn id="4" xr3:uid="{00000000-0010-0000-0600-000004000000}" name="Value 1당 가치" dataDxfId="144"/>
    <tableColumn id="5" xr3:uid="{00000000-0010-0000-0600-000005000000}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2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1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0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9">
      <calculatedColumnFormula array="1">표27[최종 DPS]</calculatedColumnFormula>
    </tableColumn>
    <tableColumn id="10" xr3:uid="{00000000-0010-0000-0900-00000A000000}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7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5">
  <autoFilter ref="H12:L13" xr:uid="{00000000-0009-0000-0100-000019000000}"/>
  <tableColumns count="5">
    <tableColumn id="1" xr3:uid="{00000000-0010-0000-0B00-000001000000}" name="직접 공격 DPS" dataDxfId="134">
      <calculatedColumnFormula array="1">CharacterAtkTable[ChargeRigidDmg1]/CharacterAtkTable[SwingCooldown]</calculatedColumnFormula>
    </tableColumn>
    <tableColumn id="2" xr3:uid="{00000000-0010-0000-0B00-000002000000}" name="직접 차징 DPS" dataDxfId="133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2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1">
      <calculatedColumnFormula array="1">CharacterAtkTable[EnemyProjectileDmg]*표26[적에게 튕김 기댓값]</calculatedColumnFormula>
    </tableColumn>
    <tableColumn id="5" xr3:uid="{00000000-0010-0000-0B00-000005000000}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9"/>
    <tableColumn id="2" xr3:uid="{00000000-0010-0000-0D00-000002000000}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6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5" dataDxfId="124">
  <autoFilter ref="B45:F54" xr:uid="{00000000-0009-0000-0100-00001C000000}"/>
  <tableColumns count="5">
    <tableColumn id="1" xr3:uid="{00000000-0010-0000-0F00-000001000000}" name="트리거" dataDxfId="123"/>
    <tableColumn id="2" xr3:uid="{00000000-0010-0000-0F00-000002000000}" name="발동 여부" dataDxfId="122"/>
    <tableColumn id="3" xr3:uid="{00000000-0010-0000-0F00-000003000000}" name="발동에 걸리는 시간" dataDxfId="121"/>
    <tableColumn id="4" xr3:uid="{00000000-0010-0000-0F00-000004000000}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8">
  <autoFilter ref="B57:F66" xr:uid="{00000000-0009-0000-0100-00001D000000}"/>
  <tableColumns count="5">
    <tableColumn id="1" xr3:uid="{00000000-0010-0000-1000-000001000000}" name="특수 이펙트 명칭" dataDxfId="117"/>
    <tableColumn id="2" xr3:uid="{00000000-0010-0000-1000-000002000000}" name="열1" dataDxfId="116"/>
    <tableColumn id="3" xr3:uid="{00000000-0010-0000-1000-000003000000}" name="설명" dataDxfId="115"/>
    <tableColumn id="4" xr3:uid="{00000000-0010-0000-1000-000004000000}" name="1당 가치" dataDxfId="114">
      <calculatedColumnFormula>E14</calculatedColumnFormula>
    </tableColumn>
    <tableColumn id="5" xr3:uid="{00000000-0010-0000-1000-000005000000}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2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1"/>
    <tableColumn id="3" xr3:uid="{00000000-0010-0000-1100-000003000000}" name="value"/>
    <tableColumn id="4" xr3:uid="{00000000-0010-0000-1100-000004000000}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9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8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7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6"/>
    <tableColumn id="7" xr3:uid="{00000000-0010-0000-1300-000007000000}" name="SwingCooldown" dataDxfId="105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4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3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2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1"/>
    <tableColumn id="14" xr3:uid="{00000000-0010-0000-1400-00000E000000}" name="#드랍테이블2" dataDxfId="100"/>
    <tableColumn id="15" xr3:uid="{00000000-0010-0000-1400-00000F000000}" name="#드랍테이블3" dataDxfId="99"/>
    <tableColumn id="16" xr3:uid="{00000000-0010-0000-1400-000010000000}" name="#드랍테이블4" dataDxfId="98"/>
    <tableColumn id="17" xr3:uid="{00000000-0010-0000-1400-000011000000}" name="#드랍테이블5" dataDxfId="97"/>
    <tableColumn id="18" xr3:uid="{00000000-0010-0000-1400-000012000000}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5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4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3"/>
    <tableColumn id="19" xr3:uid="{00000000-0010-0000-1600-000013000000}" name="#desc" dataDxfId="92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1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0"/>
    <tableColumn id="17" xr3:uid="{00000000-0010-0000-1600-000011000000}" name="#기준 적 체력 비율"/>
    <tableColumn id="18" xr3:uid="{00000000-0010-0000-1600-000012000000}" name="#평균 드랍 골드" dataDxfId="8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8"/>
    <tableColumn id="3" xr3:uid="{00000000-0010-0000-1700-000003000000}" name="ShootDataId" dataDxfId="87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6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4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3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2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74" dataDxfId="73">
  <autoFilter ref="B2:R33" xr:uid="{00000000-0009-0000-0100-000004000000}"/>
  <tableColumns count="17">
    <tableColumn id="1" xr3:uid="{00000000-0010-0000-1A00-000001000000}" name="#Index 참조용" dataDxfId="72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1">
      <calculatedColumnFormula>INDEX(LocaleTable[LocaleKR],MATCH(ItemTable[[#This Row],[Name]],LocaleTable[StringKey],0))</calculatedColumnFormula>
    </tableColumn>
    <tableColumn id="13" xr3:uid="{00000000-0010-0000-1A00-00000D000000}" name="#설명" dataDxfId="70">
      <calculatedColumnFormula>INDEX(LocaleTable[LocaleKR],MATCH(ItemTable[[#This Row],[Desc]],LocaleTable[StringKey],0))</calculatedColumnFormula>
    </tableColumn>
    <tableColumn id="12" xr3:uid="{00000000-0010-0000-1A00-00000C000000}" name="#이로운효과" dataDxfId="69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68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67">
      <calculatedColumnFormula>ItemTable[[#This Row],['#Index 참조용]]</calculatedColumnFormula>
    </tableColumn>
    <tableColumn id="2" xr3:uid="{00000000-0010-0000-1A00-000002000000}" name="Name" dataDxfId="66"/>
    <tableColumn id="3" xr3:uid="{00000000-0010-0000-1A00-000003000000}" name="Desc" dataDxfId="65"/>
    <tableColumn id="18" xr3:uid="{00000000-0010-0000-1A00-000012000000}" name="PlusDesc" dataDxfId="64"/>
    <tableColumn id="19" xr3:uid="{00000000-0010-0000-1A00-000013000000}" name="MinusDesc" dataDxfId="63"/>
    <tableColumn id="4" xr3:uid="{00000000-0010-0000-1A00-000004000000}" name="GradeType" dataDxfId="62"/>
    <tableColumn id="10" xr3:uid="{00000000-0010-0000-1A00-00000A000000}" name="MaxStack" dataDxfId="61"/>
    <tableColumn id="5" xr3:uid="{00000000-0010-0000-1A00-000005000000}" name="Value" dataDxfId="60"/>
    <tableColumn id="6" xr3:uid="{00000000-0010-0000-1A00-000006000000}" name="CostHp" dataDxfId="59"/>
    <tableColumn id="7" xr3:uid="{00000000-0010-0000-1A00-000007000000}" name="CostGold" dataDxfId="58"/>
    <tableColumn id="8" xr3:uid="{00000000-0010-0000-1A00-000008000000}" name="ItemEffectDataId" dataDxfId="57"/>
    <tableColumn id="9" xr3:uid="{00000000-0010-0000-1A00-000009000000}" name="ItemIconPath" dataDxfId="56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55">
  <autoFilter ref="B2:S41" xr:uid="{00000000-0009-0000-0100-000001000000}"/>
  <tableColumns count="18">
    <tableColumn id="2" xr3:uid="{00000000-0010-0000-1B00-000002000000}" name="#이름" dataDxfId="54">
      <calculatedColumnFormula>INDEX(ItemTable['#이름],MATCH(ItemEffectTable[[#This Row],[Index]],ItemTable[ItemEffectDataId],0))</calculatedColumnFormula>
    </tableColumn>
    <tableColumn id="3" xr3:uid="{00000000-0010-0000-1B00-000003000000}" name="#Grade" dataDxfId="53">
      <calculatedColumnFormula>INDEX(ItemTable[GradeType],MATCH(ItemEffectTable[[#This Row],[Index]],ItemTable[ItemEffectDataId],0))</calculatedColumnFormula>
    </tableColumn>
    <tableColumn id="4" xr3:uid="{00000000-0010-0000-1B00-000004000000}" name="Index" dataDxfId="52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1"/>
    <tableColumn id="12" xr3:uid="{00000000-0010-0000-1B00-00000C000000}" name="ConditionValue"/>
    <tableColumn id="1" xr3:uid="{00000000-0010-0000-1B00-000001000000}" name="#트리거1" dataDxfId="50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49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48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47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46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45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44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43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42">
  <autoFilter ref="B2:U35" xr:uid="{00000000-0009-0000-0100-000016000000}"/>
  <tableColumns count="20">
    <tableColumn id="3" xr3:uid="{00000000-0010-0000-1C00-000003000000}" name="#아이템 명칭" dataDxfId="41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0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39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3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3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36"/>
    <tableColumn id="8" xr3:uid="{00000000-0010-0000-1C00-000008000000}" name="#효력 가치 판단" dataDxfId="3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34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33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32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1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0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29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28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27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26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25">
  <autoFilter ref="B2:N25" xr:uid="{00000000-0009-0000-0100-000017000000}"/>
  <tableColumns count="13">
    <tableColumn id="4" xr3:uid="{00000000-0010-0000-1D00-000004000000}" name="Index" dataDxfId="24"/>
    <tableColumn id="7" xr3:uid="{00000000-0010-0000-1D00-000007000000}" name="#명칭" dataDxfId="23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22"/>
    <tableColumn id="13" xr3:uid="{00000000-0010-0000-1D00-00000D000000}" name="Param2"/>
    <tableColumn id="2" xr3:uid="{00000000-0010-0000-1D00-000002000000}" name="#Param2설명" dataDxfId="21"/>
    <tableColumn id="14" xr3:uid="{00000000-0010-0000-1D00-00000E000000}" name="Param3"/>
    <tableColumn id="3" xr3:uid="{00000000-0010-0000-1D00-000003000000}" name="#Param3설명" dataDxfId="20"/>
    <tableColumn id="8" xr3:uid="{00000000-0010-0000-1D00-000008000000}" name="Param4" dataDxfId="19"/>
    <tableColumn id="9" xr3:uid="{00000000-0010-0000-1D00-000009000000}" name="#Param3설명3" dataDxfId="18"/>
    <tableColumn id="10" xr3:uid="{00000000-0010-0000-1D00-00000A000000}" name="#가치판단" dataDxfId="17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16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15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14"/>
    <tableColumn id="3" xr3:uid="{00000000-0010-0000-1E00-000003000000}" name="#리소스 유형" dataDxfId="13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60D7941-DE0A-034E-B1B7-6132CB8AE4FA}" name="표31" displayName="표31" ref="B2:F40" totalsRowShown="0">
  <autoFilter ref="B2:F40" xr:uid="{960D7941-DE0A-034E-B1B7-6132CB8AE4FA}"/>
  <tableColumns count="5">
    <tableColumn id="1" xr3:uid="{09B1B949-606D-1B40-B8B0-DA4AC4C1EC1F}" name="Index"/>
    <tableColumn id="2" xr3:uid="{575BF0B7-3E5E-5642-8C82-C47CD88F14BE}" name="LocaleId" dataDxfId="12"/>
    <tableColumn id="3" xr3:uid="{139B9400-56C9-6644-A87D-CE52E0600A5C}" name="Duration"/>
    <tableColumn id="4" xr3:uid="{2A1BF5A5-78F9-DE4B-A9D7-67414A2F9252}" name="#한국어" dataDxfId="11">
      <calculatedColumnFormula>INDEX(LocaleTable[LocaleKR],MATCH(표31[[#This Row],[LocaleId]],LocaleTable[StringKey],0))</calculatedColumnFormula>
    </tableColumn>
    <tableColumn id="5" xr3:uid="{F596FF80-B0C2-9643-BB05-5332A324D9BF}" name="#영어" dataDxfId="10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F000000}" name="LocaleTable" displayName="LocaleTable" ref="B2:I214" totalsRowShown="0" headerRowDxfId="9" dataDxfId="8">
  <autoFilter ref="B2:I214" xr:uid="{00000000-0009-0000-0100-000003000000}"/>
  <tableColumns count="8">
    <tableColumn id="1" xr3:uid="{00000000-0010-0000-1F00-000001000000}" name="StringKey" dataDxfId="7"/>
    <tableColumn id="2" xr3:uid="{00000000-0010-0000-1F00-000002000000}" name="LocaleKR" dataDxfId="6"/>
    <tableColumn id="3" xr3:uid="{00000000-0010-0000-1F00-000003000000}" name="LocaleUS" dataDxfId="5"/>
    <tableColumn id="6" xr3:uid="{00000000-0010-0000-1F00-000006000000}" name="#컴포넌트1" dataDxfId="4"/>
    <tableColumn id="7" xr3:uid="{00000000-0010-0000-1F00-000007000000}" name="#컴포넌트2" dataDxfId="3"/>
    <tableColumn id="8" xr3:uid="{00000000-0010-0000-1F00-000008000000}" name="#컴포넌트3" dataDxfId="2"/>
    <tableColumn id="9" xr3:uid="{00000000-0010-0000-1F00-000009000000}" name="#컴포넌트4" dataDxfId="1"/>
    <tableColumn id="5" xr3:uid="{00000000-0010-0000-1F00-000005000000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5" defaultRowHeight="16.5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75" defaultRowHeight="16.5"/>
  <cols>
    <col min="2" max="2" width="10.25" customWidth="1"/>
    <col min="3" max="3" width="12.25" customWidth="1"/>
    <col min="4" max="4" width="12.75" bestFit="1" customWidth="1"/>
    <col min="5" max="5" width="10.25" bestFit="1" customWidth="1"/>
    <col min="6" max="6" width="11.25" customWidth="1"/>
    <col min="7" max="7" width="15.25" customWidth="1"/>
    <col min="8" max="8" width="13.25" customWidth="1"/>
    <col min="9" max="9" width="11.75" customWidth="1"/>
    <col min="11" max="12" width="16" customWidth="1"/>
    <col min="13" max="13" width="17.25" customWidth="1"/>
    <col min="14" max="14" width="16.75" customWidth="1"/>
    <col min="15" max="15" width="16.25" customWidth="1"/>
    <col min="16" max="16" width="17" customWidth="1"/>
    <col min="17" max="17" width="14.75" customWidth="1"/>
    <col min="18" max="18" width="15.7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12" zoomScale="113" zoomScaleNormal="85" zoomScaleSheetLayoutView="100" workbookViewId="0">
      <selection activeCell="E25" sqref="E25"/>
    </sheetView>
  </sheetViews>
  <sheetFormatPr defaultColWidth="14.75" defaultRowHeight="16.5"/>
  <cols>
    <col min="1" max="1" width="2.5" customWidth="1"/>
    <col min="2" max="2" width="19.75" customWidth="1"/>
    <col min="3" max="3" width="20.5" customWidth="1"/>
    <col min="4" max="4" width="41.25" customWidth="1"/>
    <col min="5" max="5" width="17" customWidth="1"/>
    <col min="6" max="6" width="13.25" customWidth="1"/>
    <col min="7" max="7" width="3.5" customWidth="1"/>
    <col min="8" max="12" width="16.5" customWidth="1"/>
    <col min="13" max="13" width="2.5" customWidth="1"/>
    <col min="14" max="14" width="15.7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716</v>
      </c>
      <c r="I15" t="s">
        <v>595</v>
      </c>
      <c r="J15" t="s">
        <v>596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812</v>
      </c>
      <c r="C25" s="9" t="s">
        <v>9</v>
      </c>
      <c r="D25" s="16" t="s">
        <v>816</v>
      </c>
      <c r="E25" s="19">
        <v>50</v>
      </c>
      <c r="F25" s="61">
        <v>0</v>
      </c>
    </row>
    <row r="26" spans="1:15">
      <c r="A26" s="9"/>
      <c r="B26" s="71" t="s">
        <v>813</v>
      </c>
      <c r="C26" s="9" t="s">
        <v>9</v>
      </c>
      <c r="D26" s="16" t="s">
        <v>815</v>
      </c>
      <c r="E26" s="19">
        <v>30</v>
      </c>
      <c r="F26" s="61">
        <v>0</v>
      </c>
    </row>
    <row r="27" spans="1:15">
      <c r="A27" s="9"/>
      <c r="B27" s="71" t="s">
        <v>809</v>
      </c>
      <c r="C27" s="9" t="s">
        <v>9</v>
      </c>
      <c r="D27" s="16" t="s">
        <v>814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75" defaultRowHeight="16.5"/>
  <cols>
    <col min="1" max="1" width="8.75" bestFit="1" customWidth="1"/>
    <col min="2" max="2" width="30.25" bestFit="1" customWidth="1"/>
    <col min="4" max="4" width="73.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75" defaultRowHeight="16.5"/>
  <cols>
    <col min="2" max="2" width="8.75" bestFit="1" customWidth="1"/>
    <col min="3" max="3" width="8.75" customWidth="1"/>
    <col min="4" max="4" width="10.25" bestFit="1" customWidth="1"/>
    <col min="5" max="5" width="15.75" bestFit="1" customWidth="1"/>
    <col min="6" max="6" width="17" bestFit="1" customWidth="1"/>
    <col min="7" max="7" width="23.75" bestFit="1" customWidth="1"/>
    <col min="8" max="8" width="22.75" bestFit="1" customWidth="1"/>
    <col min="9" max="9" width="19" bestFit="1" customWidth="1"/>
    <col min="10" max="10" width="23.25" bestFit="1" customWidth="1"/>
    <col min="11" max="12" width="23.25" customWidth="1"/>
    <col min="13" max="13" width="11.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75" defaultRowHeight="16.5"/>
  <cols>
    <col min="2" max="2" width="8.75" bestFit="1" customWidth="1"/>
    <col min="3" max="3" width="16" bestFit="1" customWidth="1"/>
    <col min="4" max="4" width="17.25" bestFit="1" customWidth="1"/>
    <col min="5" max="5" width="12.25" bestFit="1" customWidth="1"/>
    <col min="6" max="6" width="20.25" bestFit="1" customWidth="1"/>
    <col min="7" max="7" width="13.75" bestFit="1" customWidth="1"/>
    <col min="8" max="8" width="22.25" customWidth="1"/>
    <col min="9" max="9" width="17.75" style="71" customWidth="1"/>
    <col min="10" max="10" width="18.25" bestFit="1" customWidth="1"/>
    <col min="11" max="11" width="19.25" bestFit="1" customWidth="1"/>
    <col min="12" max="12" width="22.75" bestFit="1" customWidth="1"/>
    <col min="13" max="13" width="18.75" bestFit="1" customWidth="1"/>
    <col min="14" max="15" width="19.5" bestFit="1" customWidth="1"/>
    <col min="16" max="17" width="23.25" bestFit="1" customWidth="1"/>
    <col min="18" max="18" width="13.25" bestFit="1" customWidth="1"/>
    <col min="19" max="19" width="14.25" bestFit="1" customWidth="1"/>
    <col min="20" max="20" width="25.25" bestFit="1" customWidth="1"/>
    <col min="21" max="23" width="22.25" bestFit="1" customWidth="1"/>
    <col min="24" max="24" width="21.25" customWidth="1"/>
    <col min="25" max="25" width="27.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811</v>
      </c>
      <c r="I2" s="33" t="s">
        <v>813</v>
      </c>
      <c r="J2" s="33" t="s">
        <v>809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75" defaultRowHeight="16.5"/>
  <cols>
    <col min="2" max="2" width="8.5" bestFit="1" customWidth="1"/>
    <col min="3" max="3" width="12.75" bestFit="1" customWidth="1"/>
    <col min="4" max="4" width="18.25" bestFit="1" customWidth="1"/>
    <col min="5" max="5" width="16.75" bestFit="1" customWidth="1"/>
    <col min="6" max="6" width="15.25" bestFit="1" customWidth="1"/>
    <col min="7" max="7" width="23.5" bestFit="1" customWidth="1"/>
    <col min="8" max="8" width="14.25" bestFit="1" customWidth="1"/>
    <col min="9" max="9" width="17.25" bestFit="1" customWidth="1"/>
    <col min="10" max="10" width="19" bestFit="1" customWidth="1"/>
    <col min="11" max="11" width="14.25" bestFit="1" customWidth="1"/>
    <col min="12" max="12" width="16.25" bestFit="1" customWidth="1"/>
    <col min="13" max="13" width="17.75" bestFit="1" customWidth="1"/>
    <col min="14" max="14" width="15.75" bestFit="1" customWidth="1"/>
    <col min="15" max="15" width="17.25" bestFit="1" customWidth="1"/>
    <col min="16" max="17" width="17.75" bestFit="1" customWidth="1"/>
    <col min="18" max="18" width="15.75" bestFit="1" customWidth="1"/>
    <col min="19" max="19" width="17.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75" defaultRowHeight="16.5"/>
  <cols>
    <col min="3" max="3" width="19.25" customWidth="1"/>
    <col min="4" max="4" width="10.25" bestFit="1" customWidth="1"/>
    <col min="7" max="7" width="10.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topLeftCell="G1" zoomScaleNormal="75" zoomScaleSheetLayoutView="100" workbookViewId="0">
      <selection activeCell="C18" sqref="C18"/>
    </sheetView>
  </sheetViews>
  <sheetFormatPr defaultColWidth="8.75" defaultRowHeight="16.5"/>
  <cols>
    <col min="2" max="2" width="8.75" bestFit="1" customWidth="1"/>
    <col min="3" max="4" width="30.25" customWidth="1"/>
    <col min="5" max="5" width="10.25" customWidth="1"/>
    <col min="6" max="6" width="14.5" customWidth="1"/>
    <col min="7" max="7" width="12.75" customWidth="1"/>
    <col min="8" max="8" width="14" customWidth="1"/>
    <col min="9" max="9" width="27.75" customWidth="1"/>
    <col min="10" max="10" width="17" customWidth="1"/>
    <col min="11" max="11" width="19.25" customWidth="1"/>
    <col min="12" max="12" width="17.5" customWidth="1"/>
    <col min="13" max="13" width="15.75" customWidth="1"/>
    <col min="14" max="14" width="17.25" customWidth="1"/>
    <col min="15" max="15" width="12.75" customWidth="1"/>
    <col min="16" max="16" width="17.75" customWidth="1"/>
    <col min="17" max="17" width="16" customWidth="1"/>
    <col min="18" max="18" width="16.25" bestFit="1" customWidth="1"/>
    <col min="19" max="19" width="18.25" bestFit="1" customWidth="1"/>
    <col min="20" max="20" width="47.25" customWidth="1"/>
    <col min="21" max="21" width="20.75" bestFit="1" customWidth="1"/>
    <col min="22" max="22" width="17.7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1024</v>
      </c>
      <c r="D2" s="12" t="s">
        <v>1025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1022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1023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1021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798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837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799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838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835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840</v>
      </c>
      <c r="V21" s="20"/>
    </row>
    <row r="22" spans="2:22" s="39" customFormat="1">
      <c r="B22" s="39">
        <v>1103</v>
      </c>
      <c r="C22" s="45" t="s">
        <v>836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841</v>
      </c>
      <c r="V22" s="20"/>
    </row>
    <row r="23" spans="2:22" s="39" customFormat="1">
      <c r="B23" s="39">
        <v>1003</v>
      </c>
      <c r="C23" s="40" t="s">
        <v>797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839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75" defaultRowHeight="16.5"/>
  <cols>
    <col min="2" max="2" width="8.75" bestFit="1" customWidth="1"/>
    <col min="3" max="3" width="23.5" customWidth="1"/>
    <col min="4" max="4" width="15" bestFit="1" customWidth="1"/>
    <col min="5" max="5" width="14.75" customWidth="1"/>
    <col min="6" max="6" width="13.25" bestFit="1" customWidth="1"/>
    <col min="7" max="7" width="14.75" bestFit="1" customWidth="1"/>
    <col min="8" max="8" width="23.75" bestFit="1" customWidth="1"/>
    <col min="9" max="9" width="22.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801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805</v>
      </c>
      <c r="D60">
        <v>2002</v>
      </c>
      <c r="E60" s="16" t="s">
        <v>808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806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807</v>
      </c>
      <c r="D62">
        <v>2002</v>
      </c>
      <c r="E62" s="16" t="s">
        <v>808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817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817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817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817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817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817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817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817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817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834</v>
      </c>
      <c r="D72">
        <v>3104</v>
      </c>
      <c r="E72" s="16" t="s">
        <v>808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834</v>
      </c>
      <c r="D73">
        <v>3114</v>
      </c>
      <c r="E73" s="16" t="s">
        <v>808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834</v>
      </c>
      <c r="D74">
        <v>3109</v>
      </c>
      <c r="E74" s="16" t="s">
        <v>808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834</v>
      </c>
      <c r="D75">
        <v>3101</v>
      </c>
      <c r="E75" s="16" t="s">
        <v>808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834</v>
      </c>
      <c r="D76">
        <v>3102</v>
      </c>
      <c r="E76" s="16" t="s">
        <v>808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834</v>
      </c>
      <c r="D77">
        <v>3108</v>
      </c>
      <c r="E77" s="16" t="s">
        <v>808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834</v>
      </c>
      <c r="D78">
        <v>3111</v>
      </c>
      <c r="E78" s="16" t="s">
        <v>808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834</v>
      </c>
      <c r="D79">
        <v>3116</v>
      </c>
      <c r="E79" s="16" t="s">
        <v>808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834</v>
      </c>
      <c r="D80">
        <v>3115</v>
      </c>
      <c r="E80" s="16" t="s">
        <v>808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834</v>
      </c>
      <c r="D81">
        <v>3106</v>
      </c>
      <c r="E81" s="16" t="s">
        <v>808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834</v>
      </c>
      <c r="D82">
        <v>3103</v>
      </c>
      <c r="E82" s="16" t="s">
        <v>808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834</v>
      </c>
      <c r="D83">
        <v>3105</v>
      </c>
      <c r="E83" s="16" t="s">
        <v>808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834</v>
      </c>
      <c r="D84">
        <v>3113</v>
      </c>
      <c r="E84" s="16" t="s">
        <v>808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834</v>
      </c>
      <c r="D85">
        <v>3112</v>
      </c>
      <c r="E85" s="16" t="s">
        <v>808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834</v>
      </c>
      <c r="D86">
        <v>3110</v>
      </c>
      <c r="E86" s="16" t="s">
        <v>808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834</v>
      </c>
      <c r="D87">
        <v>3107</v>
      </c>
      <c r="E87" s="16" t="s">
        <v>808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834</v>
      </c>
      <c r="D88">
        <v>3110</v>
      </c>
      <c r="E88" s="16" t="s">
        <v>808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834</v>
      </c>
      <c r="D89">
        <v>3101</v>
      </c>
      <c r="E89" s="16" t="s">
        <v>808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834</v>
      </c>
      <c r="D90">
        <v>3116</v>
      </c>
      <c r="E90" s="16" t="s">
        <v>808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834</v>
      </c>
      <c r="D91">
        <v>3105</v>
      </c>
      <c r="E91" s="16" t="s">
        <v>808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834</v>
      </c>
      <c r="D92">
        <v>3115</v>
      </c>
      <c r="E92" s="16" t="s">
        <v>808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834</v>
      </c>
      <c r="D93">
        <v>3111</v>
      </c>
      <c r="E93" s="16" t="s">
        <v>808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834</v>
      </c>
      <c r="D94">
        <v>3112</v>
      </c>
      <c r="E94" s="16" t="s">
        <v>808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834</v>
      </c>
      <c r="D95">
        <v>3108</v>
      </c>
      <c r="E95" s="16" t="s">
        <v>808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834</v>
      </c>
      <c r="D96">
        <v>3107</v>
      </c>
      <c r="E96" s="16" t="s">
        <v>808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834</v>
      </c>
      <c r="D97">
        <v>3102</v>
      </c>
      <c r="E97" s="16" t="s">
        <v>808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834</v>
      </c>
      <c r="D98">
        <v>3106</v>
      </c>
      <c r="E98" s="16" t="s">
        <v>808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834</v>
      </c>
      <c r="D99">
        <v>3114</v>
      </c>
      <c r="E99" s="16" t="s">
        <v>808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834</v>
      </c>
      <c r="D100">
        <v>3103</v>
      </c>
      <c r="E100" s="16" t="s">
        <v>808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834</v>
      </c>
      <c r="D101">
        <v>3113</v>
      </c>
      <c r="E101" s="16" t="s">
        <v>808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834</v>
      </c>
      <c r="D102">
        <v>3104</v>
      </c>
      <c r="E102" s="16" t="s">
        <v>808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834</v>
      </c>
      <c r="D103">
        <v>3109</v>
      </c>
      <c r="E103" s="16" t="s">
        <v>808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834</v>
      </c>
      <c r="D104">
        <v>3110</v>
      </c>
      <c r="E104" s="16" t="s">
        <v>808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834</v>
      </c>
      <c r="D105">
        <v>3116</v>
      </c>
      <c r="E105" s="16" t="s">
        <v>808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834</v>
      </c>
      <c r="D106">
        <v>3108</v>
      </c>
      <c r="E106" s="16" t="s">
        <v>808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834</v>
      </c>
      <c r="D107">
        <v>3115</v>
      </c>
      <c r="E107" s="16" t="s">
        <v>808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834</v>
      </c>
      <c r="D108">
        <v>3103</v>
      </c>
      <c r="E108" s="16" t="s">
        <v>808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834</v>
      </c>
      <c r="D109">
        <v>3102</v>
      </c>
      <c r="E109" s="16" t="s">
        <v>808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834</v>
      </c>
      <c r="D110">
        <v>3114</v>
      </c>
      <c r="E110" s="16" t="s">
        <v>808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834</v>
      </c>
      <c r="D111">
        <v>3113</v>
      </c>
      <c r="E111" s="16" t="s">
        <v>808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834</v>
      </c>
      <c r="D112">
        <v>3111</v>
      </c>
      <c r="E112" s="16" t="s">
        <v>808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834</v>
      </c>
      <c r="D113">
        <v>3107</v>
      </c>
      <c r="E113" s="16" t="s">
        <v>808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834</v>
      </c>
      <c r="D114">
        <v>3106</v>
      </c>
      <c r="E114" s="16" t="s">
        <v>808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834</v>
      </c>
      <c r="D115">
        <v>3104</v>
      </c>
      <c r="E115" s="16" t="s">
        <v>808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834</v>
      </c>
      <c r="D116">
        <v>3112</v>
      </c>
      <c r="E116" s="16" t="s">
        <v>808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834</v>
      </c>
      <c r="D117">
        <v>3101</v>
      </c>
      <c r="E117" s="16" t="s">
        <v>808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834</v>
      </c>
      <c r="D118">
        <v>3105</v>
      </c>
      <c r="E118" s="16" t="s">
        <v>808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834</v>
      </c>
      <c r="D119">
        <v>3109</v>
      </c>
      <c r="E119" s="16" t="s">
        <v>808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834</v>
      </c>
      <c r="D120">
        <v>3101</v>
      </c>
      <c r="E120" s="16" t="s">
        <v>808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834</v>
      </c>
      <c r="D121">
        <v>3110</v>
      </c>
      <c r="E121" s="16" t="s">
        <v>808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834</v>
      </c>
      <c r="D122">
        <v>3103</v>
      </c>
      <c r="E122" s="16" t="s">
        <v>808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834</v>
      </c>
      <c r="D123">
        <v>3116</v>
      </c>
      <c r="E123" s="16" t="s">
        <v>808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834</v>
      </c>
      <c r="D124">
        <v>3109</v>
      </c>
      <c r="E124" s="16" t="s">
        <v>808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834</v>
      </c>
      <c r="D125">
        <v>3107</v>
      </c>
      <c r="E125" s="16" t="s">
        <v>808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834</v>
      </c>
      <c r="D126">
        <v>3113</v>
      </c>
      <c r="E126" s="16" t="s">
        <v>808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834</v>
      </c>
      <c r="D127">
        <v>3106</v>
      </c>
      <c r="E127" s="16" t="s">
        <v>808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834</v>
      </c>
      <c r="D128">
        <v>3102</v>
      </c>
      <c r="E128" s="16" t="s">
        <v>808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834</v>
      </c>
      <c r="D129">
        <v>3111</v>
      </c>
      <c r="E129" s="16" t="s">
        <v>808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834</v>
      </c>
      <c r="D130">
        <v>3115</v>
      </c>
      <c r="E130" s="16" t="s">
        <v>808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834</v>
      </c>
      <c r="D131">
        <v>3112</v>
      </c>
      <c r="E131" s="16" t="s">
        <v>808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834</v>
      </c>
      <c r="D132">
        <v>3114</v>
      </c>
      <c r="E132" s="16" t="s">
        <v>808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834</v>
      </c>
      <c r="D133">
        <v>3105</v>
      </c>
      <c r="E133" s="16" t="s">
        <v>808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834</v>
      </c>
      <c r="D134">
        <v>3104</v>
      </c>
      <c r="E134" s="16" t="s">
        <v>808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834</v>
      </c>
      <c r="D135">
        <v>3108</v>
      </c>
      <c r="E135" s="16" t="s">
        <v>808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869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869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869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75" defaultRowHeight="16.5"/>
  <cols>
    <col min="2" max="2" width="8.75" bestFit="1" customWidth="1"/>
    <col min="3" max="3" width="22.5" customWidth="1"/>
    <col min="4" max="4" width="14.25" bestFit="1" customWidth="1"/>
    <col min="5" max="5" width="18.25" bestFit="1" customWidth="1"/>
    <col min="6" max="6" width="20.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832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832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832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832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832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832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886</v>
      </c>
      <c r="D94">
        <v>0</v>
      </c>
      <c r="E94">
        <v>206</v>
      </c>
      <c r="F94">
        <v>0</v>
      </c>
      <c r="G94">
        <v>16</v>
      </c>
      <c r="H94" s="11" t="s">
        <v>975</v>
      </c>
    </row>
    <row r="95" spans="2:8">
      <c r="B95">
        <v>806</v>
      </c>
      <c r="C95" s="11" t="s">
        <v>886</v>
      </c>
      <c r="D95">
        <v>15</v>
      </c>
      <c r="E95">
        <v>206</v>
      </c>
      <c r="F95">
        <v>0</v>
      </c>
      <c r="G95">
        <v>16</v>
      </c>
      <c r="H95" s="11" t="s">
        <v>975</v>
      </c>
    </row>
    <row r="96" spans="2:8">
      <c r="B96">
        <v>806</v>
      </c>
      <c r="C96" s="11" t="s">
        <v>886</v>
      </c>
      <c r="D96">
        <v>-15</v>
      </c>
      <c r="E96">
        <v>206</v>
      </c>
      <c r="F96">
        <v>0</v>
      </c>
      <c r="G96">
        <v>16</v>
      </c>
      <c r="H96" s="11" t="s">
        <v>975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801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802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802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802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818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818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818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819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819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819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820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820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820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821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821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821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822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822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822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829</v>
      </c>
      <c r="D205">
        <v>-90</v>
      </c>
      <c r="E205">
        <v>3001</v>
      </c>
      <c r="F205">
        <v>1</v>
      </c>
      <c r="G205">
        <v>5.5</v>
      </c>
      <c r="H205" s="11" t="s">
        <v>832</v>
      </c>
    </row>
    <row r="206" spans="2:8">
      <c r="B206">
        <v>3002</v>
      </c>
      <c r="C206" s="11" t="s">
        <v>828</v>
      </c>
      <c r="D206">
        <v>-90</v>
      </c>
      <c r="E206">
        <v>3002</v>
      </c>
      <c r="F206">
        <v>1</v>
      </c>
      <c r="G206">
        <v>5</v>
      </c>
      <c r="H206" s="11" t="s">
        <v>832</v>
      </c>
    </row>
    <row r="207" spans="2:8">
      <c r="B207">
        <v>3101</v>
      </c>
      <c r="C207" s="11" t="s">
        <v>834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834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834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834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834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834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834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834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834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834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834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834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834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834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834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834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833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833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833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833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833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833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833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833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833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833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833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833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833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833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833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833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876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8" sqref="F8"/>
    </sheetView>
  </sheetViews>
  <sheetFormatPr defaultColWidth="8.75" defaultRowHeight="16.5"/>
  <cols>
    <col min="2" max="2" width="8.75" bestFit="1" customWidth="1"/>
    <col min="3" max="3" width="16" customWidth="1"/>
    <col min="4" max="4" width="11.75" bestFit="1" customWidth="1"/>
    <col min="5" max="5" width="14" bestFit="1" customWidth="1"/>
    <col min="6" max="6" width="13.25" bestFit="1" customWidth="1"/>
    <col min="7" max="7" width="38.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1.2</v>
      </c>
      <c r="F5">
        <v>25</v>
      </c>
      <c r="G5" s="11" t="s">
        <v>779</v>
      </c>
    </row>
    <row r="6" spans="2:7">
      <c r="B6">
        <v>205</v>
      </c>
      <c r="C6" s="14" t="s">
        <v>425</v>
      </c>
      <c r="D6" t="b">
        <v>1</v>
      </c>
      <c r="E6">
        <v>0.8</v>
      </c>
      <c r="F6">
        <v>14</v>
      </c>
      <c r="G6" s="11" t="s">
        <v>394</v>
      </c>
    </row>
    <row r="7" spans="2:7">
      <c r="B7">
        <v>206</v>
      </c>
      <c r="C7" s="14" t="s">
        <v>886</v>
      </c>
      <c r="D7" t="b">
        <v>0</v>
      </c>
      <c r="E7">
        <v>2</v>
      </c>
      <c r="F7">
        <v>50</v>
      </c>
      <c r="G7" s="11" t="s">
        <v>779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804</v>
      </c>
      <c r="D16" t="b">
        <v>1</v>
      </c>
      <c r="E16">
        <v>2</v>
      </c>
      <c r="F16">
        <v>25</v>
      </c>
      <c r="G16" s="16" t="s">
        <v>800</v>
      </c>
    </row>
    <row r="17" spans="2:7">
      <c r="B17">
        <v>2001</v>
      </c>
      <c r="C17" s="18" t="s">
        <v>803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831</v>
      </c>
      <c r="D18" t="b">
        <v>1</v>
      </c>
      <c r="E18">
        <v>2</v>
      </c>
      <c r="F18">
        <v>25</v>
      </c>
      <c r="G18" s="16" t="s">
        <v>874</v>
      </c>
    </row>
    <row r="19" spans="2:7">
      <c r="B19">
        <v>3002</v>
      </c>
      <c r="C19" s="14" t="s">
        <v>830</v>
      </c>
      <c r="D19" t="b">
        <v>1</v>
      </c>
      <c r="E19">
        <v>2</v>
      </c>
      <c r="F19">
        <v>25</v>
      </c>
      <c r="G19" s="16" t="s">
        <v>875</v>
      </c>
    </row>
    <row r="20" spans="2:7">
      <c r="B20">
        <v>3003</v>
      </c>
      <c r="C20" s="14" t="s">
        <v>871</v>
      </c>
      <c r="D20" t="b">
        <v>1</v>
      </c>
      <c r="E20">
        <v>1</v>
      </c>
      <c r="F20">
        <v>25</v>
      </c>
      <c r="G20" s="16" t="s">
        <v>872</v>
      </c>
    </row>
    <row r="21" spans="2:7">
      <c r="B21">
        <v>3004</v>
      </c>
      <c r="C21" s="14" t="s">
        <v>870</v>
      </c>
      <c r="D21" t="b">
        <v>1</v>
      </c>
      <c r="E21">
        <v>1</v>
      </c>
      <c r="F21">
        <v>25</v>
      </c>
      <c r="G21" s="16" t="s">
        <v>873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tabSelected="1" topLeftCell="A3" zoomScaleNormal="100" zoomScaleSheetLayoutView="100" workbookViewId="0">
      <pane xSplit="3" topLeftCell="I1" activePane="topRight" state="frozen"/>
      <selection pane="topRight" activeCell="J9" sqref="J9"/>
    </sheetView>
  </sheetViews>
  <sheetFormatPr defaultColWidth="8.75" defaultRowHeight="16.5"/>
  <cols>
    <col min="1" max="1" width="8.75" style="72"/>
    <col min="2" max="2" width="11.5" style="42" customWidth="1"/>
    <col min="3" max="3" width="17.75" style="42" customWidth="1"/>
    <col min="4" max="4" width="62.25" style="42" customWidth="1"/>
    <col min="5" max="5" width="68.75" style="42" customWidth="1"/>
    <col min="6" max="6" width="31.75" style="42" customWidth="1"/>
    <col min="7" max="7" width="8.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25" style="42" bestFit="1" customWidth="1"/>
    <col min="12" max="12" width="14.75" style="42" customWidth="1"/>
    <col min="13" max="13" width="12.25" style="42" customWidth="1"/>
    <col min="14" max="14" width="8.25" style="42" bestFit="1" customWidth="1"/>
    <col min="15" max="15" width="9.75" style="42" customWidth="1"/>
    <col min="16" max="16" width="11.25" style="42" bestFit="1" customWidth="1"/>
    <col min="17" max="17" width="18.75" style="42" bestFit="1" customWidth="1"/>
    <col min="18" max="18" width="36.25" style="42" customWidth="1"/>
    <col min="19" max="16384" width="8.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867</v>
      </c>
      <c r="C2" s="73" t="s">
        <v>785</v>
      </c>
      <c r="D2" s="73" t="s">
        <v>844</v>
      </c>
      <c r="E2" s="73" t="s">
        <v>845</v>
      </c>
      <c r="F2" s="73" t="s">
        <v>846</v>
      </c>
      <c r="G2" s="75" t="s">
        <v>868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877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848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1035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1101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1006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1036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1102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1037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+200%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1100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1103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1104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976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81" priority="5">
      <formula>$L1="Active"</formula>
    </cfRule>
    <cfRule type="expression" dxfId="80" priority="6">
      <formula>$L1="Cursed"</formula>
    </cfRule>
    <cfRule type="expression" dxfId="79" priority="7">
      <formula>$L1="Rare"</formula>
    </cfRule>
    <cfRule type="expression" dxfId="78" priority="8">
      <formula>$L1="Normal"</formula>
    </cfRule>
  </conditionalFormatting>
  <conditionalFormatting sqref="A1:XFD1048576">
    <cfRule type="expression" dxfId="77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6" priority="4">
      <formula>LEFT(B$2,1)="#"</formula>
    </cfRule>
  </conditionalFormatting>
  <conditionalFormatting sqref="B34:B1048576">
    <cfRule type="expression" dxfId="75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G24" sqref="G24"/>
    </sheetView>
  </sheetViews>
  <sheetFormatPr defaultColWidth="8.75" defaultRowHeight="16.5"/>
  <cols>
    <col min="1" max="1" width="8.75" style="44"/>
    <col min="2" max="2" width="20" bestFit="1" customWidth="1"/>
    <col min="3" max="3" width="10.25" bestFit="1" customWidth="1"/>
    <col min="4" max="4" width="8.75" bestFit="1" customWidth="1"/>
    <col min="5" max="7" width="17.75" customWidth="1"/>
    <col min="8" max="8" width="28.25" customWidth="1"/>
    <col min="9" max="11" width="18" customWidth="1"/>
    <col min="12" max="17" width="18.2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785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992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985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824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823</v>
      </c>
      <c r="J16" s="16" t="s">
        <v>981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823</v>
      </c>
      <c r="J17" s="11" t="s">
        <v>982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881</v>
      </c>
      <c r="I18" s="11" t="s">
        <v>823</v>
      </c>
      <c r="J18" s="11" t="s">
        <v>863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881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997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1005</v>
      </c>
      <c r="I21" s="11" t="s">
        <v>823</v>
      </c>
      <c r="J21" s="16" t="s">
        <v>981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1005</v>
      </c>
      <c r="I22" s="16" t="s">
        <v>823</v>
      </c>
      <c r="J22" s="11" t="s">
        <v>982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1016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0.2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977</v>
      </c>
      <c r="J33" s="11" t="s">
        <v>863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985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977</v>
      </c>
      <c r="J35" s="11" t="s">
        <v>863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F13" sqref="F13"/>
    </sheetView>
  </sheetViews>
  <sheetFormatPr defaultColWidth="8.75" defaultRowHeight="16.5"/>
  <cols>
    <col min="2" max="2" width="17.75" bestFit="1" customWidth="1"/>
    <col min="3" max="3" width="29" bestFit="1" customWidth="1"/>
    <col min="4" max="4" width="8.75" bestFit="1" customWidth="1"/>
    <col min="5" max="5" width="21.25" bestFit="1" customWidth="1"/>
    <col min="6" max="6" width="20.5" bestFit="1" customWidth="1"/>
    <col min="7" max="7" width="21.75" bestFit="1" customWidth="1"/>
    <col min="8" max="8" width="11.5" bestFit="1" customWidth="1"/>
    <col min="9" max="9" width="18.75" bestFit="1" customWidth="1"/>
    <col min="10" max="10" width="12.5" bestFit="1" customWidth="1"/>
    <col min="11" max="11" width="12.25" style="8" customWidth="1"/>
    <col min="12" max="12" width="12.75" bestFit="1" customWidth="1"/>
    <col min="13" max="14" width="13.75" bestFit="1" customWidth="1"/>
    <col min="15" max="15" width="13.75" customWidth="1"/>
    <col min="16" max="16" width="13.75" bestFit="1" customWidth="1"/>
    <col min="17" max="19" width="13.7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810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1004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880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1014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1015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1013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0.2</v>
      </c>
      <c r="O19" s="19">
        <f>IF(ItemEffectTable23[[#This Row],['#발동율]]=-1,-1,(ItemEffectTable23[[#This Row],['#발동율]]+ItemEffectTable23[[#This Row],['#쿨타임]])/ItemEffectTable23[[#This Row],[Duration]])</f>
        <v>0.26874999999999999</v>
      </c>
      <c r="P19" s="19">
        <f>ItemEffectTable23[[#This Row],['#효력 가치 판단]]/IF(ItemEffectTable23[[#This Row],['#발동량]]=-1,1,ItemEffectTable23[[#This Row],['#발동량]])</f>
        <v>93.023255813953469</v>
      </c>
      <c r="Q19" s="19">
        <f>SUMIF(ItemEffectTable23['#아이템 명칭],ItemEffectTable23[[#This Row],['#아이템 명칭]],ItemEffectTable23['#총 가치판단])</f>
        <v>18.023255813953455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18.023255813953455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0.36046511627906908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18.023255813953455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18.023255813953455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0.36046511627906908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-2</v>
      </c>
      <c r="D25" s="16">
        <v>9105</v>
      </c>
      <c r="E25" s="11" t="s">
        <v>393</v>
      </c>
      <c r="F25">
        <v>3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212.49999999999997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212.49999999999997</v>
      </c>
      <c r="Q25" s="19">
        <f>SUMIF(ItemEffectTable23['#아이템 명칭],ItemEffectTable23[[#This Row],['#아이템 명칭]],ItemEffectTable23['#총 가치판단])</f>
        <v>212.49999999999997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212.49999999999997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4.2499999999999991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48.800000000000011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0.9760000000000002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48.800000000000011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0.9760000000000002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48.800000000000011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0.9760000000000002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48.800000000000011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0.9760000000000002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48.800000000000011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0.9760000000000002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48.800000000000011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0.9760000000000002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810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K26" sqref="K26"/>
    </sheetView>
  </sheetViews>
  <sheetFormatPr defaultColWidth="8.75" defaultRowHeight="16.5"/>
  <cols>
    <col min="1" max="1" width="8.75" style="43"/>
    <col min="2" max="2" width="8.75" bestFit="1" customWidth="1"/>
    <col min="3" max="3" width="14.75" customWidth="1"/>
    <col min="4" max="4" width="14.5" customWidth="1"/>
    <col min="5" max="5" width="11.25" customWidth="1"/>
    <col min="6" max="6" width="18.25" customWidth="1"/>
    <col min="7" max="7" width="11.75" customWidth="1"/>
    <col min="8" max="8" width="20.75" customWidth="1"/>
    <col min="9" max="9" width="17.5" customWidth="1"/>
    <col min="10" max="10" width="25.75" customWidth="1"/>
    <col min="11" max="11" width="11.75" bestFit="1" customWidth="1"/>
    <col min="12" max="12" width="22.25" customWidth="1"/>
    <col min="13" max="14" width="14.2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980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787</v>
      </c>
      <c r="E10">
        <v>1</v>
      </c>
      <c r="F10" s="14" t="s">
        <v>866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I11">
        <v>0.5</v>
      </c>
      <c r="J11" s="14" t="s">
        <v>1099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980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I23">
        <v>1</v>
      </c>
      <c r="J23" s="14" t="s">
        <v>1099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75" defaultRowHeight="16.5"/>
  <cols>
    <col min="3" max="3" width="15.25" bestFit="1" customWidth="1"/>
    <col min="4" max="4" width="28.25" customWidth="1"/>
    <col min="5" max="5" width="16.25" bestFit="1" customWidth="1"/>
    <col min="6" max="6" width="33.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5FD3B-0470-1742-B18A-F854DE2D5D1A}">
  <sheetPr>
    <tabColor theme="9" tint="0.79998168889431442"/>
  </sheetPr>
  <dimension ref="B1:F40"/>
  <sheetViews>
    <sheetView workbookViewId="0">
      <selection activeCell="E42" sqref="E42"/>
    </sheetView>
  </sheetViews>
  <sheetFormatPr defaultColWidth="11.25" defaultRowHeight="16.5"/>
  <cols>
    <col min="3" max="3" width="28.75" customWidth="1"/>
    <col min="4" max="4" width="14.25" customWidth="1"/>
    <col min="5" max="5" width="100.25" customWidth="1"/>
    <col min="6" max="6" width="105.75" customWidth="1"/>
  </cols>
  <sheetData>
    <row r="1" spans="2:6">
      <c r="B1" s="16" t="s">
        <v>610</v>
      </c>
      <c r="C1" s="16" t="s">
        <v>1046</v>
      </c>
      <c r="D1" s="16" t="s">
        <v>312</v>
      </c>
      <c r="E1" s="16"/>
      <c r="F1" s="16"/>
    </row>
    <row r="2" spans="2:6">
      <c r="B2" s="16" t="s">
        <v>1044</v>
      </c>
      <c r="C2" s="16" t="s">
        <v>1045</v>
      </c>
      <c r="D2" s="16" t="s">
        <v>320</v>
      </c>
      <c r="E2" s="87" t="s">
        <v>1047</v>
      </c>
      <c r="F2" s="87" t="s">
        <v>1048</v>
      </c>
    </row>
    <row r="3" spans="2:6">
      <c r="B3">
        <v>1000</v>
      </c>
      <c r="C3" s="16" t="s">
        <v>1049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1050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1051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1052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Vash,\nyou've completed all the tutorials!</v>
      </c>
    </row>
    <row r="7" spans="2:6">
      <c r="B7">
        <v>1001</v>
      </c>
      <c r="C7" t="s">
        <v>1053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1054</v>
      </c>
      <c r="D8">
        <v>1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1055</v>
      </c>
      <c r="D9">
        <v>1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Ms. Bash!\nBaseball is always fun, isn't it?</v>
      </c>
    </row>
    <row r="10" spans="2:6">
      <c r="B10">
        <v>1004</v>
      </c>
      <c r="C10" t="s">
        <v>1056</v>
      </c>
      <c r="D10">
        <v>1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Ms. Bash, you're here! \nMay you be crowned champion!</v>
      </c>
    </row>
    <row r="11" spans="2:6">
      <c r="B11">
        <v>1005</v>
      </c>
      <c r="C11" t="s">
        <v>1057</v>
      </c>
      <c r="D11">
        <v>1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Ms. Bash! Stop Jello's run!</v>
      </c>
    </row>
    <row r="12" spans="2:6">
      <c r="B12">
        <v>1006</v>
      </c>
      <c r="C12" t="s">
        <v>1058</v>
      </c>
      <c r="D12">
        <v>1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Ms. Bash! Saddy stopped by earlier!\nHe's been waiting for you!</v>
      </c>
    </row>
    <row r="13" spans="2:6">
      <c r="B13">
        <v>1007</v>
      </c>
      <c r="C13" t="s">
        <v>1059</v>
      </c>
      <c r="D13">
        <v>1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Ms. Bash!\nMr. Dullahan is gunning for you!</v>
      </c>
    </row>
    <row r="14" spans="2:6">
      <c r="B14">
        <v>1008</v>
      </c>
      <c r="C14" t="s">
        <v>1060</v>
      </c>
      <c r="D14">
        <v>1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1061</v>
      </c>
      <c r="D15">
        <v>1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1062</v>
      </c>
      <c r="D16">
        <v>1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1063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1064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1065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1066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1067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1068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1069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1070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1071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1072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1073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1074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1075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1076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Ms. Bash, we're at the end of the tutorial!\nIn front of me are some powerful Active Items!</v>
      </c>
    </row>
    <row r="31" spans="2:6">
      <c r="B31">
        <v>2301</v>
      </c>
      <c r="C31" t="s">
        <v>1077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1078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1079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1080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1081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1082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1083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Ms. Bash!</v>
      </c>
    </row>
    <row r="38" spans="2:6">
      <c r="B38">
        <v>3001</v>
      </c>
      <c r="C38" t="s">
        <v>1085</v>
      </c>
      <c r="D38">
        <v>1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1084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Ms. Bash!\nNow you're one step away from being crowned champion!</v>
      </c>
    </row>
    <row r="40" spans="2:6">
      <c r="B40">
        <v>3002</v>
      </c>
      <c r="C40" t="s">
        <v>1085</v>
      </c>
      <c r="D40">
        <v>1.5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opLeftCell="A89" zoomScale="85" zoomScaleNormal="85" zoomScaleSheetLayoutView="100" workbookViewId="0">
      <selection activeCell="M112" sqref="M112"/>
    </sheetView>
  </sheetViews>
  <sheetFormatPr defaultColWidth="8.75" defaultRowHeight="16.5"/>
  <cols>
    <col min="2" max="2" width="22.75" customWidth="1"/>
    <col min="3" max="3" width="73.5" style="9" customWidth="1"/>
    <col min="4" max="4" width="64.25" customWidth="1"/>
    <col min="5" max="5" width="13.75" style="79" customWidth="1"/>
    <col min="6" max="6" width="12.25" style="79" bestFit="1" customWidth="1"/>
    <col min="7" max="7" width="16.75" style="79" customWidth="1"/>
    <col min="8" max="8" width="12.25" style="79" bestFit="1" customWidth="1"/>
    <col min="9" max="9" width="34.2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723</v>
      </c>
      <c r="D8" s="51" t="s">
        <v>722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633</v>
      </c>
      <c r="D10" s="51" t="s">
        <v>719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637</v>
      </c>
      <c r="D14" s="51" t="s">
        <v>720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742</v>
      </c>
      <c r="D16" s="51" t="s">
        <v>748</v>
      </c>
      <c r="E16" s="81" t="s">
        <v>755</v>
      </c>
      <c r="F16" s="82" t="s">
        <v>498</v>
      </c>
      <c r="G16" s="82" t="s">
        <v>721</v>
      </c>
      <c r="H16" s="81" t="s">
        <v>748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743</v>
      </c>
      <c r="D17" s="51" t="s">
        <v>749</v>
      </c>
      <c r="E17" s="81" t="s">
        <v>755</v>
      </c>
      <c r="F17" s="82" t="s">
        <v>498</v>
      </c>
      <c r="G17" s="82" t="s">
        <v>721</v>
      </c>
      <c r="H17" s="81" t="s">
        <v>749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744</v>
      </c>
      <c r="D18" s="51" t="s">
        <v>750</v>
      </c>
      <c r="E18" s="81" t="s">
        <v>755</v>
      </c>
      <c r="F18" s="82" t="s">
        <v>498</v>
      </c>
      <c r="G18" s="82" t="s">
        <v>721</v>
      </c>
      <c r="H18" s="81" t="s">
        <v>750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745</v>
      </c>
      <c r="D19" s="51" t="s">
        <v>653</v>
      </c>
      <c r="E19" s="81" t="s">
        <v>755</v>
      </c>
      <c r="F19" s="82" t="s">
        <v>498</v>
      </c>
      <c r="G19" s="82" t="s">
        <v>721</v>
      </c>
      <c r="H19" s="81" t="s">
        <v>756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755</v>
      </c>
      <c r="F20" s="82" t="s">
        <v>498</v>
      </c>
      <c r="G20" s="82" t="s">
        <v>721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746</v>
      </c>
      <c r="D21" s="51" t="s">
        <v>751</v>
      </c>
      <c r="E21" s="81" t="s">
        <v>755</v>
      </c>
      <c r="F21" s="82" t="s">
        <v>498</v>
      </c>
      <c r="G21" s="82" t="s">
        <v>721</v>
      </c>
      <c r="H21" s="81" t="s">
        <v>757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747</v>
      </c>
      <c r="D22" s="51" t="s">
        <v>752</v>
      </c>
      <c r="E22" s="81" t="s">
        <v>755</v>
      </c>
      <c r="F22" s="82" t="s">
        <v>498</v>
      </c>
      <c r="G22" s="82" t="s">
        <v>721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639</v>
      </c>
      <c r="D24" s="51" t="s">
        <v>717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640</v>
      </c>
      <c r="D25" s="51" t="s">
        <v>718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753</v>
      </c>
      <c r="D26" s="51" t="s">
        <v>754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3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3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3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508</v>
      </c>
      <c r="D46" s="51" t="s">
        <v>581</v>
      </c>
      <c r="E46" s="81" t="s">
        <v>473</v>
      </c>
      <c r="F46" s="81" t="s">
        <v>505</v>
      </c>
      <c r="G46" s="81" t="s">
        <v>506</v>
      </c>
      <c r="H46" s="81" t="s">
        <v>581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488</v>
      </c>
      <c r="D47" s="51" t="s">
        <v>474</v>
      </c>
      <c r="E47" s="81" t="s">
        <v>473</v>
      </c>
      <c r="F47" s="81" t="s">
        <v>505</v>
      </c>
      <c r="G47" s="81" t="s">
        <v>506</v>
      </c>
      <c r="H47" s="81" t="s">
        <v>475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760</v>
      </c>
      <c r="D48" s="51" t="s">
        <v>772</v>
      </c>
      <c r="E48" s="81" t="s">
        <v>473</v>
      </c>
      <c r="F48" s="81" t="s">
        <v>505</v>
      </c>
      <c r="G48" s="81" t="s">
        <v>761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765</v>
      </c>
      <c r="D49" s="51" t="s">
        <v>771</v>
      </c>
      <c r="E49" s="81" t="s">
        <v>473</v>
      </c>
      <c r="F49" s="81" t="s">
        <v>505</v>
      </c>
      <c r="G49" s="81" t="s">
        <v>761</v>
      </c>
      <c r="H49" s="81" t="s">
        <v>336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766</v>
      </c>
      <c r="D50" s="51" t="s">
        <v>762</v>
      </c>
      <c r="E50" s="81" t="s">
        <v>473</v>
      </c>
      <c r="F50" s="81" t="s">
        <v>505</v>
      </c>
      <c r="G50" s="81" t="s">
        <v>761</v>
      </c>
      <c r="H50" s="81" t="s">
        <v>762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767</v>
      </c>
      <c r="D51" s="51" t="s">
        <v>763</v>
      </c>
      <c r="E51" s="81" t="s">
        <v>473</v>
      </c>
      <c r="F51" s="81" t="s">
        <v>505</v>
      </c>
      <c r="G51" s="81" t="s">
        <v>761</v>
      </c>
      <c r="H51" s="81" t="s">
        <v>763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768</v>
      </c>
      <c r="D52" s="51" t="s">
        <v>770</v>
      </c>
      <c r="E52" s="81" t="s">
        <v>473</v>
      </c>
      <c r="F52" s="81" t="s">
        <v>505</v>
      </c>
      <c r="G52" s="81" t="s">
        <v>761</v>
      </c>
      <c r="H52" s="81" t="s">
        <v>764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769</v>
      </c>
      <c r="D53" s="51" t="s">
        <v>571</v>
      </c>
      <c r="E53" s="81" t="s">
        <v>473</v>
      </c>
      <c r="F53" s="81" t="s">
        <v>505</v>
      </c>
      <c r="G53" s="81" t="s">
        <v>761</v>
      </c>
      <c r="H53" s="81" t="s">
        <v>571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489</v>
      </c>
      <c r="D54" s="51" t="s">
        <v>477</v>
      </c>
      <c r="E54" s="83" t="s">
        <v>473</v>
      </c>
      <c r="F54" s="81" t="s">
        <v>505</v>
      </c>
      <c r="G54" s="83" t="s">
        <v>476</v>
      </c>
      <c r="H54" s="81" t="s">
        <v>478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490</v>
      </c>
      <c r="D55" s="51" t="s">
        <v>484</v>
      </c>
      <c r="E55" s="83" t="s">
        <v>473</v>
      </c>
      <c r="F55" s="81" t="s">
        <v>505</v>
      </c>
      <c r="G55" s="83" t="s">
        <v>476</v>
      </c>
      <c r="H55" s="81" t="s">
        <v>485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491</v>
      </c>
      <c r="D56" s="51" t="s">
        <v>481</v>
      </c>
      <c r="E56" s="81" t="s">
        <v>473</v>
      </c>
      <c r="F56" s="81" t="s">
        <v>505</v>
      </c>
      <c r="G56" s="81" t="s">
        <v>476</v>
      </c>
      <c r="H56" s="81" t="s">
        <v>482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493</v>
      </c>
      <c r="D57" s="51" t="s">
        <v>479</v>
      </c>
      <c r="E57" s="81" t="s">
        <v>473</v>
      </c>
      <c r="F57" s="81" t="s">
        <v>505</v>
      </c>
      <c r="G57" s="81" t="s">
        <v>476</v>
      </c>
      <c r="H57" s="81" t="s">
        <v>480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492</v>
      </c>
      <c r="D58" s="51" t="s">
        <v>486</v>
      </c>
      <c r="E58" s="81" t="s">
        <v>473</v>
      </c>
      <c r="F58" s="81" t="s">
        <v>505</v>
      </c>
      <c r="G58" s="81" t="s">
        <v>476</v>
      </c>
      <c r="H58" s="81" t="s">
        <v>487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494</v>
      </c>
      <c r="D59" s="51" t="s">
        <v>156</v>
      </c>
      <c r="E59" s="81" t="s">
        <v>473</v>
      </c>
      <c r="F59" s="81" t="s">
        <v>505</v>
      </c>
      <c r="G59" s="81" t="s">
        <v>476</v>
      </c>
      <c r="H59" s="81" t="s">
        <v>483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580</v>
      </c>
      <c r="D60" s="51" t="s">
        <v>507</v>
      </c>
      <c r="E60" s="81" t="s">
        <v>473</v>
      </c>
      <c r="F60" s="81" t="s">
        <v>577</v>
      </c>
      <c r="G60" s="81" t="s">
        <v>507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579</v>
      </c>
      <c r="D61" s="51" t="s">
        <v>578</v>
      </c>
      <c r="E61" s="81" t="s">
        <v>473</v>
      </c>
      <c r="F61" s="81" t="s">
        <v>577</v>
      </c>
      <c r="G61" s="81" t="s">
        <v>578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784</v>
      </c>
      <c r="D62" s="51" t="s">
        <v>782</v>
      </c>
      <c r="E62" s="81" t="s">
        <v>473</v>
      </c>
      <c r="F62" s="81" t="s">
        <v>780</v>
      </c>
      <c r="G62" s="81" t="s">
        <v>782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783</v>
      </c>
      <c r="D63" s="51" t="s">
        <v>781</v>
      </c>
      <c r="E63" s="81" t="s">
        <v>473</v>
      </c>
      <c r="F63" s="81" t="s">
        <v>780</v>
      </c>
      <c r="G63" s="81" t="s">
        <v>781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773</v>
      </c>
      <c r="D64" s="51" t="s">
        <v>774</v>
      </c>
      <c r="E64" s="81" t="s">
        <v>473</v>
      </c>
      <c r="F64" s="81" t="s">
        <v>622</v>
      </c>
      <c r="G64" s="81" t="s">
        <v>623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624</v>
      </c>
      <c r="D65" s="51" t="s">
        <v>735</v>
      </c>
      <c r="E65" s="81" t="s">
        <v>473</v>
      </c>
      <c r="F65" s="81" t="s">
        <v>622</v>
      </c>
      <c r="G65" s="81" t="s">
        <v>623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625</v>
      </c>
      <c r="D66" s="51" t="s">
        <v>734</v>
      </c>
      <c r="E66" s="81" t="s">
        <v>473</v>
      </c>
      <c r="F66" s="81" t="s">
        <v>622</v>
      </c>
      <c r="G66" s="81" t="s">
        <v>623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626</v>
      </c>
      <c r="D67" s="51" t="s">
        <v>736</v>
      </c>
      <c r="E67" s="81" t="s">
        <v>473</v>
      </c>
      <c r="F67" s="81" t="s">
        <v>622</v>
      </c>
      <c r="G67" s="81" t="s">
        <v>623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737</v>
      </c>
      <c r="D68" s="51" t="s">
        <v>738</v>
      </c>
      <c r="E68" s="81" t="s">
        <v>473</v>
      </c>
      <c r="F68" s="81" t="s">
        <v>622</v>
      </c>
      <c r="G68" s="81" t="s">
        <v>623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627</v>
      </c>
      <c r="D69" s="51" t="s">
        <v>630</v>
      </c>
      <c r="E69" s="81" t="s">
        <v>473</v>
      </c>
      <c r="F69" s="81" t="s">
        <v>622</v>
      </c>
      <c r="G69" s="81" t="s">
        <v>623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3">
      <c r="B70" t="str">
        <f>LocaleTable[[#This Row],['#인덱스제너레이터]]</f>
        <v>UI_Loading_Tip_7</v>
      </c>
      <c r="C70" s="51" t="s">
        <v>628</v>
      </c>
      <c r="D70" s="51" t="s">
        <v>739</v>
      </c>
      <c r="E70" s="81" t="s">
        <v>473</v>
      </c>
      <c r="F70" s="81" t="s">
        <v>622</v>
      </c>
      <c r="G70" s="81" t="s">
        <v>623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629</v>
      </c>
      <c r="D71" s="51" t="s">
        <v>631</v>
      </c>
      <c r="E71" s="81" t="s">
        <v>473</v>
      </c>
      <c r="F71" s="81" t="s">
        <v>622</v>
      </c>
      <c r="G71" s="81" t="s">
        <v>623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741</v>
      </c>
      <c r="D72" s="51" t="s">
        <v>740</v>
      </c>
      <c r="E72" s="81" t="s">
        <v>473</v>
      </c>
      <c r="F72" s="81" t="s">
        <v>622</v>
      </c>
      <c r="G72" s="81" t="s">
        <v>623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777</v>
      </c>
      <c r="D73" s="51" t="s">
        <v>778</v>
      </c>
      <c r="E73" s="81" t="s">
        <v>473</v>
      </c>
      <c r="F73" s="81" t="s">
        <v>622</v>
      </c>
      <c r="G73" s="81" t="s">
        <v>623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775</v>
      </c>
      <c r="D74" s="51" t="s">
        <v>776</v>
      </c>
      <c r="E74" s="81" t="s">
        <v>473</v>
      </c>
      <c r="F74" s="81" t="s">
        <v>622</v>
      </c>
      <c r="G74" s="81" t="s">
        <v>623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758</v>
      </c>
      <c r="D75" s="51" t="s">
        <v>759</v>
      </c>
      <c r="E75" s="81" t="s">
        <v>473</v>
      </c>
      <c r="F75" s="81" t="s">
        <v>622</v>
      </c>
      <c r="G75" s="81" t="s">
        <v>623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573</v>
      </c>
      <c r="D76" s="51" t="s">
        <v>576</v>
      </c>
      <c r="E76" s="81" t="s">
        <v>473</v>
      </c>
      <c r="F76" s="81" t="s">
        <v>571</v>
      </c>
      <c r="G76" s="81" t="s">
        <v>572</v>
      </c>
      <c r="H76" s="81" t="s">
        <v>507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574</v>
      </c>
      <c r="D77" s="51" t="s">
        <v>575</v>
      </c>
      <c r="E77" s="81" t="s">
        <v>473</v>
      </c>
      <c r="F77" s="81" t="s">
        <v>571</v>
      </c>
      <c r="G77" s="81" t="s">
        <v>572</v>
      </c>
      <c r="H77" s="81" t="s">
        <v>316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912</v>
      </c>
      <c r="D78" s="51" t="s">
        <v>913</v>
      </c>
      <c r="E78" s="81" t="s">
        <v>897</v>
      </c>
      <c r="F78" s="81" t="s">
        <v>898</v>
      </c>
      <c r="G78" s="81" t="s">
        <v>497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3">
      <c r="B79" t="str">
        <f>LocaleTable[[#This Row],['#인덱스제너레이터]]</f>
        <v>Caster_Lobby_Tutorial_2</v>
      </c>
      <c r="C79" s="9" t="s">
        <v>914</v>
      </c>
      <c r="D79" s="51" t="s">
        <v>915</v>
      </c>
      <c r="E79" s="83" t="s">
        <v>897</v>
      </c>
      <c r="F79" s="83" t="s">
        <v>898</v>
      </c>
      <c r="G79" s="83" t="s">
        <v>497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916</v>
      </c>
      <c r="D80" s="51" t="s">
        <v>917</v>
      </c>
      <c r="E80" s="83" t="s">
        <v>897</v>
      </c>
      <c r="F80" s="83" t="s">
        <v>898</v>
      </c>
      <c r="G80" s="83" t="s">
        <v>497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918</v>
      </c>
      <c r="D81" s="51" t="s">
        <v>919</v>
      </c>
      <c r="E81" s="83" t="s">
        <v>897</v>
      </c>
      <c r="F81" s="83" t="s">
        <v>898</v>
      </c>
      <c r="G81" s="83" t="s">
        <v>899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920</v>
      </c>
      <c r="D82" s="51" t="s">
        <v>921</v>
      </c>
      <c r="E82" s="83" t="s">
        <v>897</v>
      </c>
      <c r="F82" s="83" t="s">
        <v>898</v>
      </c>
      <c r="G82" s="83" t="s">
        <v>899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922</v>
      </c>
      <c r="D83" s="51" t="s">
        <v>923</v>
      </c>
      <c r="E83" s="83" t="s">
        <v>897</v>
      </c>
      <c r="F83" s="83" t="s">
        <v>898</v>
      </c>
      <c r="G83" s="83" t="s">
        <v>900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924</v>
      </c>
      <c r="D84" s="51" t="s">
        <v>925</v>
      </c>
      <c r="E84" s="83" t="s">
        <v>897</v>
      </c>
      <c r="F84" s="83" t="s">
        <v>898</v>
      </c>
      <c r="G84" s="83" t="s">
        <v>900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926</v>
      </c>
      <c r="D85" s="51" t="s">
        <v>927</v>
      </c>
      <c r="E85" s="83" t="s">
        <v>897</v>
      </c>
      <c r="F85" s="83" t="s">
        <v>898</v>
      </c>
      <c r="G85" s="83" t="s">
        <v>900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928</v>
      </c>
      <c r="D86" s="51" t="s">
        <v>929</v>
      </c>
      <c r="E86" s="83" t="s">
        <v>897</v>
      </c>
      <c r="F86" s="83" t="s">
        <v>898</v>
      </c>
      <c r="G86" s="83" t="s">
        <v>901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930</v>
      </c>
      <c r="D87" s="51" t="s">
        <v>931</v>
      </c>
      <c r="E87" s="83" t="s">
        <v>897</v>
      </c>
      <c r="F87" s="83" t="s">
        <v>898</v>
      </c>
      <c r="G87" s="83" t="s">
        <v>902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932</v>
      </c>
      <c r="D88" s="51" t="s">
        <v>933</v>
      </c>
      <c r="E88" s="83" t="s">
        <v>897</v>
      </c>
      <c r="F88" s="83" t="s">
        <v>898</v>
      </c>
      <c r="G88" s="83" t="s">
        <v>903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3">
      <c r="B89" t="str">
        <f>LocaleTable[[#This Row],['#인덱스제너레이터]]</f>
        <v>Caster_Lobby_GameClear_1</v>
      </c>
      <c r="C89" s="9" t="s">
        <v>934</v>
      </c>
      <c r="D89" s="51" t="s">
        <v>935</v>
      </c>
      <c r="E89" s="83" t="s">
        <v>897</v>
      </c>
      <c r="F89" s="83" t="s">
        <v>898</v>
      </c>
      <c r="G89" s="83" t="s">
        <v>904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936</v>
      </c>
      <c r="D90" s="51" t="s">
        <v>937</v>
      </c>
      <c r="E90" s="83" t="s">
        <v>897</v>
      </c>
      <c r="F90" s="83" t="s">
        <v>898</v>
      </c>
      <c r="G90" s="83" t="s">
        <v>904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938</v>
      </c>
      <c r="D91" s="51" t="s">
        <v>939</v>
      </c>
      <c r="E91" s="83" t="s">
        <v>897</v>
      </c>
      <c r="F91" s="83" t="s">
        <v>898</v>
      </c>
      <c r="G91" s="83" t="s">
        <v>904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3">
      <c r="B92" t="str">
        <f>LocaleTable[[#This Row],['#인덱스제너레이터]]</f>
        <v>Caster_Tutorial_Start_1</v>
      </c>
      <c r="C92" s="9" t="s">
        <v>940</v>
      </c>
      <c r="D92" s="51" t="s">
        <v>941</v>
      </c>
      <c r="E92" s="83" t="s">
        <v>897</v>
      </c>
      <c r="F92" s="83" t="s">
        <v>497</v>
      </c>
      <c r="G92" s="83" t="s">
        <v>495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942</v>
      </c>
      <c r="D93" s="51" t="s">
        <v>943</v>
      </c>
      <c r="E93" s="83" t="s">
        <v>897</v>
      </c>
      <c r="F93" s="83" t="s">
        <v>497</v>
      </c>
      <c r="G93" s="83" t="s">
        <v>905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 ht="33">
      <c r="B94" t="str">
        <f>LocaleTable[[#This Row],['#인덱스제너레이터]]</f>
        <v>Caster_Tutorial_Attack_2</v>
      </c>
      <c r="C94" s="9" t="s">
        <v>944</v>
      </c>
      <c r="D94" s="51" t="s">
        <v>1031</v>
      </c>
      <c r="E94" s="83" t="s">
        <v>897</v>
      </c>
      <c r="F94" s="83" t="s">
        <v>497</v>
      </c>
      <c r="G94" s="83" t="s">
        <v>905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3">
      <c r="B95" t="str">
        <f>LocaleTable[[#This Row],['#인덱스제너레이터]]</f>
        <v>Caster_Tutorial_Attack_3</v>
      </c>
      <c r="C95" s="9" t="s">
        <v>945</v>
      </c>
      <c r="D95" s="51" t="s">
        <v>946</v>
      </c>
      <c r="E95" s="83" t="s">
        <v>897</v>
      </c>
      <c r="F95" s="83" t="s">
        <v>497</v>
      </c>
      <c r="G95" s="83" t="s">
        <v>905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3">
      <c r="B96" t="str">
        <f>LocaleTable[[#This Row],['#인덱스제너레이터]]</f>
        <v>Caster_Tutorial_Attack_4</v>
      </c>
      <c r="C96" s="9" t="s">
        <v>947</v>
      </c>
      <c r="D96" s="51" t="s">
        <v>1032</v>
      </c>
      <c r="E96" s="83" t="s">
        <v>897</v>
      </c>
      <c r="F96" s="83" t="s">
        <v>497</v>
      </c>
      <c r="G96" s="83" t="s">
        <v>905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3">
      <c r="B97" t="str">
        <f>LocaleTable[[#This Row],['#인덱스제너레이터]]</f>
        <v>Caster_Tutorial_Attack_5</v>
      </c>
      <c r="C97" s="9" t="s">
        <v>948</v>
      </c>
      <c r="D97" s="51" t="s">
        <v>949</v>
      </c>
      <c r="E97" s="83" t="s">
        <v>897</v>
      </c>
      <c r="F97" s="83" t="s">
        <v>497</v>
      </c>
      <c r="G97" s="83" t="s">
        <v>905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3">
      <c r="B98" t="str">
        <f>LocaleTable[[#This Row],['#인덱스제너레이터]]</f>
        <v>Caster_Tutorial_Attack_6</v>
      </c>
      <c r="C98" s="9" t="s">
        <v>950</v>
      </c>
      <c r="D98" s="51" t="s">
        <v>951</v>
      </c>
      <c r="E98" s="83" t="s">
        <v>897</v>
      </c>
      <c r="F98" s="83" t="s">
        <v>497</v>
      </c>
      <c r="G98" s="83" t="s">
        <v>905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3">
      <c r="B99" t="str">
        <f>LocaleTable[[#This Row],['#인덱스제너레이터]]</f>
        <v>Caster_Tutorial_Attack_7</v>
      </c>
      <c r="C99" s="58" t="s">
        <v>1033</v>
      </c>
      <c r="D99" s="51" t="s">
        <v>1034</v>
      </c>
      <c r="E99" s="83" t="s">
        <v>897</v>
      </c>
      <c r="F99" s="83" t="s">
        <v>497</v>
      </c>
      <c r="G99" s="83" t="s">
        <v>905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952</v>
      </c>
      <c r="D100" s="51" t="s">
        <v>953</v>
      </c>
      <c r="E100" s="83" t="s">
        <v>897</v>
      </c>
      <c r="F100" s="83" t="s">
        <v>497</v>
      </c>
      <c r="G100" s="83" t="s">
        <v>905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954</v>
      </c>
      <c r="D101" s="51" t="s">
        <v>955</v>
      </c>
      <c r="E101" s="83" t="s">
        <v>897</v>
      </c>
      <c r="F101" s="83" t="s">
        <v>497</v>
      </c>
      <c r="G101" s="83" t="s">
        <v>905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71" t="s">
        <v>1096</v>
      </c>
      <c r="D102" s="51" t="s">
        <v>956</v>
      </c>
      <c r="E102" s="83" t="s">
        <v>897</v>
      </c>
      <c r="F102" s="83" t="s">
        <v>497</v>
      </c>
      <c r="G102" s="83" t="s">
        <v>905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957</v>
      </c>
      <c r="D103" s="51" t="s">
        <v>958</v>
      </c>
      <c r="E103" s="83" t="s">
        <v>897</v>
      </c>
      <c r="F103" s="83" t="s">
        <v>497</v>
      </c>
      <c r="G103" s="83" t="s">
        <v>906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959</v>
      </c>
      <c r="D104" s="51" t="s">
        <v>960</v>
      </c>
      <c r="E104" s="83" t="s">
        <v>897</v>
      </c>
      <c r="F104" s="83" t="s">
        <v>497</v>
      </c>
      <c r="G104" s="83" t="s">
        <v>906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3">
      <c r="B105" t="str">
        <f>LocaleTable[[#This Row],['#인덱스제너레이터]]</f>
        <v>Caster_Tutorial_Active_1</v>
      </c>
      <c r="C105" s="9" t="s">
        <v>961</v>
      </c>
      <c r="D105" s="51" t="s">
        <v>962</v>
      </c>
      <c r="E105" s="83" t="s">
        <v>897</v>
      </c>
      <c r="F105" s="83" t="s">
        <v>497</v>
      </c>
      <c r="G105" s="83" t="s">
        <v>907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3">
      <c r="B106" t="str">
        <f>LocaleTable[[#This Row],['#인덱스제너레이터]]</f>
        <v>Caster_Tutorial_Active_2</v>
      </c>
      <c r="C106" s="9" t="s">
        <v>963</v>
      </c>
      <c r="D106" s="51" t="s">
        <v>964</v>
      </c>
      <c r="E106" s="83" t="s">
        <v>897</v>
      </c>
      <c r="F106" s="83" t="s">
        <v>497</v>
      </c>
      <c r="G106" s="83" t="s">
        <v>907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3">
      <c r="B107" t="str">
        <f>LocaleTable[[#This Row],['#인덱스제너레이터]]</f>
        <v>Caster_Tutorial_Active_3</v>
      </c>
      <c r="C107" s="9" t="s">
        <v>965</v>
      </c>
      <c r="D107" s="51" t="s">
        <v>966</v>
      </c>
      <c r="E107" s="83" t="s">
        <v>897</v>
      </c>
      <c r="F107" s="83" t="s">
        <v>497</v>
      </c>
      <c r="G107" s="83" t="s">
        <v>907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3">
      <c r="B108" t="str">
        <f>LocaleTable[[#This Row],['#인덱스제너레이터]]</f>
        <v>Caster_Tutorial_Active_4</v>
      </c>
      <c r="C108" s="9" t="s">
        <v>967</v>
      </c>
      <c r="D108" s="51" t="s">
        <v>968</v>
      </c>
      <c r="E108" s="83" t="s">
        <v>897</v>
      </c>
      <c r="F108" s="83" t="s">
        <v>497</v>
      </c>
      <c r="G108" s="83" t="s">
        <v>907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3">
      <c r="B109" t="str">
        <f>LocaleTable[[#This Row],['#인덱스제너레이터]]</f>
        <v>Caster_Tutorial_Battle_1</v>
      </c>
      <c r="C109" s="9" t="s">
        <v>969</v>
      </c>
      <c r="D109" s="51" t="s">
        <v>970</v>
      </c>
      <c r="E109" s="83" t="s">
        <v>897</v>
      </c>
      <c r="F109" s="83" t="s">
        <v>497</v>
      </c>
      <c r="G109" s="83" t="s">
        <v>908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3">
      <c r="B110" t="str">
        <f>LocaleTable[[#This Row],['#인덱스제너레이터]]</f>
        <v>Caster_Tutorial_Battle_2</v>
      </c>
      <c r="C110" s="9" t="s">
        <v>971</v>
      </c>
      <c r="D110" s="51" t="s">
        <v>972</v>
      </c>
      <c r="E110" s="83" t="s">
        <v>897</v>
      </c>
      <c r="F110" s="83" t="s">
        <v>497</v>
      </c>
      <c r="G110" s="83" t="s">
        <v>908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973</v>
      </c>
      <c r="D111" s="51" t="s">
        <v>974</v>
      </c>
      <c r="E111" s="83" t="s">
        <v>897</v>
      </c>
      <c r="F111" s="83" t="s">
        <v>497</v>
      </c>
      <c r="G111" s="83" t="s">
        <v>908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 ht="33">
      <c r="B112" t="str">
        <f>LocaleTable[[#This Row],['#인덱스제너레이터]]</f>
        <v>Caster_Boss_Clear_Jello</v>
      </c>
      <c r="C112" s="71" t="s">
        <v>1092</v>
      </c>
      <c r="D112" s="51" t="s">
        <v>1093</v>
      </c>
      <c r="E112" s="83" t="s">
        <v>897</v>
      </c>
      <c r="F112" s="83" t="s">
        <v>909</v>
      </c>
      <c r="G112" s="83" t="s">
        <v>910</v>
      </c>
      <c r="H112" s="83" t="s">
        <v>901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3">
      <c r="B113" t="str">
        <f>LocaleTable[[#This Row],['#인덱스제너레이터]]</f>
        <v>Caster_Boss_Clear_Saddy</v>
      </c>
      <c r="C113" s="71" t="s">
        <v>1094</v>
      </c>
      <c r="D113" s="51" t="s">
        <v>1095</v>
      </c>
      <c r="E113" s="83" t="s">
        <v>897</v>
      </c>
      <c r="F113" s="83" t="s">
        <v>909</v>
      </c>
      <c r="G113" s="83" t="s">
        <v>910</v>
      </c>
      <c r="H113" s="83" t="s">
        <v>902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3">
      <c r="B114" t="str">
        <f>LocaleTable[[#This Row],['#인덱스제너레이터]]</f>
        <v>Caster_Boss_Clear_Teleport</v>
      </c>
      <c r="C114" s="71" t="s">
        <v>1097</v>
      </c>
      <c r="D114" s="51" t="s">
        <v>1098</v>
      </c>
      <c r="E114" s="83" t="s">
        <v>897</v>
      </c>
      <c r="F114" s="83" t="s">
        <v>909</v>
      </c>
      <c r="G114" s="83" t="s">
        <v>910</v>
      </c>
      <c r="H114" s="83" t="s">
        <v>911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206</v>
      </c>
      <c r="D115" s="51" t="s">
        <v>459</v>
      </c>
      <c r="E115" s="81" t="s">
        <v>467</v>
      </c>
      <c r="F115" s="81" t="s">
        <v>316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842</v>
      </c>
      <c r="D116" s="51" t="s">
        <v>843</v>
      </c>
      <c r="E116" s="81" t="s">
        <v>467</v>
      </c>
      <c r="F116" s="81" t="s">
        <v>316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460</v>
      </c>
      <c r="E117" s="81" t="s">
        <v>467</v>
      </c>
      <c r="F117" s="81" t="s">
        <v>316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510</v>
      </c>
      <c r="E118" s="81" t="s">
        <v>467</v>
      </c>
      <c r="F118" s="81" t="s">
        <v>316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465</v>
      </c>
      <c r="E119" s="81" t="s">
        <v>467</v>
      </c>
      <c r="F119" s="81" t="s">
        <v>316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521</v>
      </c>
      <c r="E120" s="81" t="s">
        <v>467</v>
      </c>
      <c r="F120" s="81" t="s">
        <v>316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Item_Name_2006</v>
      </c>
      <c r="C121" s="51" t="s">
        <v>998</v>
      </c>
      <c r="D121" s="51" t="s">
        <v>999</v>
      </c>
      <c r="E121" s="81" t="s">
        <v>467</v>
      </c>
      <c r="F121" s="81" t="s">
        <v>316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>
      <c r="B122" t="str">
        <f>LocaleTable[[#This Row],['#인덱스제너레이터]]</f>
        <v>Item_Name_3000</v>
      </c>
      <c r="C122" s="51" t="s">
        <v>33</v>
      </c>
      <c r="D122" s="51" t="s">
        <v>461</v>
      </c>
      <c r="E122" s="81" t="s">
        <v>467</v>
      </c>
      <c r="F122" s="81" t="s">
        <v>316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>
      <c r="B123" t="str">
        <f>LocaleTable[[#This Row],['#인덱스제너레이터]]</f>
        <v>Item_Name_3001</v>
      </c>
      <c r="C123" s="51" t="s">
        <v>849</v>
      </c>
      <c r="D123" s="51" t="s">
        <v>850</v>
      </c>
      <c r="E123" s="81" t="s">
        <v>467</v>
      </c>
      <c r="F123" s="81" t="s">
        <v>316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>
      <c r="B124" t="str">
        <f>LocaleTable[[#This Row],['#인덱스제너레이터]]</f>
        <v>Item_Name_3002</v>
      </c>
      <c r="C124" s="51" t="s">
        <v>35</v>
      </c>
      <c r="D124" s="51" t="s">
        <v>466</v>
      </c>
      <c r="E124" s="81" t="s">
        <v>467</v>
      </c>
      <c r="F124" s="81" t="s">
        <v>316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>
      <c r="B125" t="str">
        <f>LocaleTable[[#This Row],['#인덱스제너레이터]]</f>
        <v>Item_Name_3003</v>
      </c>
      <c r="C125" s="51" t="s">
        <v>204</v>
      </c>
      <c r="D125" s="51" t="s">
        <v>511</v>
      </c>
      <c r="E125" s="81" t="s">
        <v>467</v>
      </c>
      <c r="F125" s="81" t="s">
        <v>316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>
      <c r="B126" t="str">
        <f>LocaleTable[[#This Row],['#인덱스제너레이터]]</f>
        <v>Item_Name_3004</v>
      </c>
      <c r="C126" s="51" t="s">
        <v>213</v>
      </c>
      <c r="D126" s="51" t="s">
        <v>512</v>
      </c>
      <c r="E126" s="81" t="s">
        <v>467</v>
      </c>
      <c r="F126" s="81" t="s">
        <v>316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>
      <c r="B127" t="str">
        <f>LocaleTable[[#This Row],['#인덱스제너레이터]]</f>
        <v>Item_Name_3005</v>
      </c>
      <c r="C127" s="51" t="s">
        <v>101</v>
      </c>
      <c r="D127" s="51" t="s">
        <v>513</v>
      </c>
      <c r="E127" s="81" t="s">
        <v>467</v>
      </c>
      <c r="F127" s="81" t="s">
        <v>316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>
      <c r="B128" t="str">
        <f>LocaleTable[[#This Row],['#인덱스제너레이터]]</f>
        <v>Item_Name_3006</v>
      </c>
      <c r="C128" s="52" t="s">
        <v>351</v>
      </c>
      <c r="D128" s="51" t="s">
        <v>514</v>
      </c>
      <c r="E128" s="81" t="s">
        <v>467</v>
      </c>
      <c r="F128" s="81" t="s">
        <v>316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>
      <c r="B129" t="str">
        <f>LocaleTable[[#This Row],['#인덱스제너레이터]]</f>
        <v>Item_Name_3007</v>
      </c>
      <c r="C129" s="52" t="s">
        <v>864</v>
      </c>
      <c r="D129" s="51" t="s">
        <v>865</v>
      </c>
      <c r="E129" s="81" t="s">
        <v>467</v>
      </c>
      <c r="F129" s="81" t="s">
        <v>316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>
      <c r="B130" t="str">
        <f>LocaleTable[[#This Row],['#인덱스제너레이터]]</f>
        <v>Item_Name_3008</v>
      </c>
      <c r="C130" s="51" t="s">
        <v>96</v>
      </c>
      <c r="D130" s="51" t="s">
        <v>515</v>
      </c>
      <c r="E130" s="81" t="s">
        <v>467</v>
      </c>
      <c r="F130" s="81" t="s">
        <v>316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>
      <c r="B131" t="str">
        <f>LocaleTable[[#This Row],['#인덱스제너레이터]]</f>
        <v>Item_Name_3009</v>
      </c>
      <c r="C131" s="51" t="s">
        <v>1007</v>
      </c>
      <c r="D131" s="51" t="s">
        <v>1008</v>
      </c>
      <c r="E131" s="81" t="s">
        <v>467</v>
      </c>
      <c r="F131" s="81" t="s">
        <v>316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>
      <c r="B132" t="str">
        <f>LocaleTable[[#This Row],['#인덱스제너레이터]]</f>
        <v>Item_Name_3010</v>
      </c>
      <c r="C132" s="51" t="s">
        <v>1019</v>
      </c>
      <c r="D132" s="51" t="s">
        <v>1020</v>
      </c>
      <c r="E132" s="81" t="s">
        <v>467</v>
      </c>
      <c r="F132" s="81" t="s">
        <v>316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>
      <c r="B133" t="str">
        <f>LocaleTable[[#This Row],['#인덱스제너레이터]]</f>
        <v>Item_Name_4001</v>
      </c>
      <c r="C133" s="51" t="s">
        <v>93</v>
      </c>
      <c r="D133" s="51" t="s">
        <v>462</v>
      </c>
      <c r="E133" s="81" t="s">
        <v>467</v>
      </c>
      <c r="F133" s="81" t="s">
        <v>316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>
      <c r="B134" t="str">
        <f>LocaleTable[[#This Row],['#인덱스제너레이터]]</f>
        <v>Item_Name_4002</v>
      </c>
      <c r="C134" s="51" t="s">
        <v>854</v>
      </c>
      <c r="D134" s="51" t="s">
        <v>851</v>
      </c>
      <c r="E134" s="81" t="s">
        <v>467</v>
      </c>
      <c r="F134" s="81" t="s">
        <v>316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>
      <c r="B135" t="str">
        <f>LocaleTable[[#This Row],['#인덱스제너레이터]]</f>
        <v>Item_Name_4003</v>
      </c>
      <c r="C135" s="51" t="s">
        <v>1038</v>
      </c>
      <c r="D135" s="51" t="s">
        <v>1039</v>
      </c>
      <c r="E135" s="81" t="s">
        <v>467</v>
      </c>
      <c r="F135" s="81" t="s">
        <v>316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>
      <c r="B136" t="str">
        <f>LocaleTable[[#This Row],['#인덱스제너레이터]]</f>
        <v>Item_Name_4004</v>
      </c>
      <c r="C136" s="51" t="s">
        <v>356</v>
      </c>
      <c r="D136" s="51" t="s">
        <v>516</v>
      </c>
      <c r="E136" s="81" t="s">
        <v>467</v>
      </c>
      <c r="F136" s="81" t="s">
        <v>316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>
      <c r="B137" t="str">
        <f>LocaleTable[[#This Row],['#인덱스제너레이터]]</f>
        <v>Item_Name_4005</v>
      </c>
      <c r="C137" s="51" t="s">
        <v>425</v>
      </c>
      <c r="D137" s="51" t="s">
        <v>517</v>
      </c>
      <c r="E137" s="81" t="s">
        <v>467</v>
      </c>
      <c r="F137" s="81" t="s">
        <v>316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>
      <c r="B138" t="str">
        <f>LocaleTable[[#This Row],['#인덱스제너레이터]]</f>
        <v>Item_Name_4006</v>
      </c>
      <c r="C138" s="51" t="s">
        <v>427</v>
      </c>
      <c r="D138" s="51" t="s">
        <v>724</v>
      </c>
      <c r="E138" s="81" t="s">
        <v>467</v>
      </c>
      <c r="F138" s="81" t="s">
        <v>316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>
      <c r="B139" t="str">
        <f>LocaleTable[[#This Row],['#인덱스제너레이터]]</f>
        <v>Item_Name_4007</v>
      </c>
      <c r="C139" s="52" t="s">
        <v>860</v>
      </c>
      <c r="D139" s="51" t="s">
        <v>859</v>
      </c>
      <c r="E139" s="81" t="s">
        <v>467</v>
      </c>
      <c r="F139" s="81" t="s">
        <v>316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>
      <c r="B140" t="str">
        <f>LocaleTable[[#This Row],['#인덱스제너레이터]]</f>
        <v>Item_Name_10000</v>
      </c>
      <c r="C140" s="51" t="s">
        <v>348</v>
      </c>
      <c r="D140" s="51" t="s">
        <v>518</v>
      </c>
      <c r="E140" s="81" t="s">
        <v>467</v>
      </c>
      <c r="F140" s="81" t="s">
        <v>316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>
      <c r="B141" t="str">
        <f>LocaleTable[[#This Row],['#인덱스제너레이터]]</f>
        <v>Item_Name_10001</v>
      </c>
      <c r="C141" s="52" t="s">
        <v>360</v>
      </c>
      <c r="D141" s="51" t="s">
        <v>519</v>
      </c>
      <c r="E141" s="81" t="s">
        <v>467</v>
      </c>
      <c r="F141" s="81" t="s">
        <v>316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>
      <c r="B142" t="str">
        <f>LocaleTable[[#This Row],['#인덱스제너레이터]]</f>
        <v>Item_Name_10002</v>
      </c>
      <c r="C142" s="52" t="s">
        <v>458</v>
      </c>
      <c r="D142" s="51" t="s">
        <v>463</v>
      </c>
      <c r="E142" s="81" t="s">
        <v>467</v>
      </c>
      <c r="F142" s="81" t="s">
        <v>316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>
      <c r="B143" t="str">
        <f>LocaleTable[[#This Row],['#인덱스제너레이터]]</f>
        <v>Item_Name_10003</v>
      </c>
      <c r="C143" s="52" t="s">
        <v>349</v>
      </c>
      <c r="D143" s="51" t="s">
        <v>520</v>
      </c>
      <c r="E143" s="81" t="s">
        <v>467</v>
      </c>
      <c r="F143" s="81" t="s">
        <v>316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>
      <c r="B144" t="str">
        <f>LocaleTable[[#This Row],['#인덱스제너레이터]]</f>
        <v>Item_Name_10004</v>
      </c>
      <c r="C144" s="51" t="s">
        <v>429</v>
      </c>
      <c r="D144" s="51" t="s">
        <v>464</v>
      </c>
      <c r="E144" s="81" t="s">
        <v>467</v>
      </c>
      <c r="F144" s="81" t="s">
        <v>316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>
      <c r="B145" t="str">
        <f>LocaleTable[[#This Row],['#인덱스제너레이터]]</f>
        <v>Item_Name_10005</v>
      </c>
      <c r="C145" s="51" t="s">
        <v>433</v>
      </c>
      <c r="D145" s="51" t="s">
        <v>725</v>
      </c>
      <c r="E145" s="81" t="s">
        <v>467</v>
      </c>
      <c r="F145" s="81" t="s">
        <v>316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>
      <c r="B146" t="str">
        <f>LocaleTable[[#This Row],['#인덱스제너레이터]]</f>
        <v>Item_Desc_2000</v>
      </c>
      <c r="C146" s="51" t="s">
        <v>387</v>
      </c>
      <c r="D146" s="51" t="s">
        <v>523</v>
      </c>
      <c r="E146" s="81" t="s">
        <v>467</v>
      </c>
      <c r="F146" s="81" t="s">
        <v>472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3">
      <c r="B147" t="str">
        <f>LocaleTable[[#This Row],['#인덱스제너레이터]]</f>
        <v>Item_Desc_2001</v>
      </c>
      <c r="C147" s="52" t="s">
        <v>855</v>
      </c>
      <c r="D147" s="51" t="s">
        <v>856</v>
      </c>
      <c r="E147" s="81" t="s">
        <v>467</v>
      </c>
      <c r="F147" s="81" t="s">
        <v>472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>
      <c r="B148" t="str">
        <f>LocaleTable[[#This Row],['#인덱스제너레이터]]</f>
        <v>Item_Desc_2002</v>
      </c>
      <c r="C148" s="52" t="s">
        <v>223</v>
      </c>
      <c r="D148" s="51" t="s">
        <v>524</v>
      </c>
      <c r="E148" s="81" t="s">
        <v>467</v>
      </c>
      <c r="F148" s="81" t="s">
        <v>472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3">
      <c r="B149" t="str">
        <f>LocaleTable[[#This Row],['#인덱스제너레이터]]</f>
        <v>Item_Desc_2003</v>
      </c>
      <c r="C149" s="51" t="s">
        <v>224</v>
      </c>
      <c r="D149" s="51" t="s">
        <v>669</v>
      </c>
      <c r="E149" s="81" t="s">
        <v>467</v>
      </c>
      <c r="F149" s="81" t="s">
        <v>472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3">
      <c r="B150" t="str">
        <f>LocaleTable[[#This Row],['#인덱스제너레이터]]</f>
        <v>Item_Desc_2004</v>
      </c>
      <c r="C150" s="77" t="s">
        <v>362</v>
      </c>
      <c r="D150" s="51" t="s">
        <v>525</v>
      </c>
      <c r="E150" s="81" t="s">
        <v>467</v>
      </c>
      <c r="F150" s="81" t="s">
        <v>472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 ht="33">
      <c r="B151" t="str">
        <f>LocaleTable[[#This Row],['#인덱스제너레이터]]</f>
        <v>Item_Desc_2005</v>
      </c>
      <c r="C151" s="51" t="s">
        <v>227</v>
      </c>
      <c r="D151" s="51" t="s">
        <v>670</v>
      </c>
      <c r="E151" s="81" t="s">
        <v>467</v>
      </c>
      <c r="F151" s="81" t="s">
        <v>472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>
      <c r="B152" t="str">
        <f>LocaleTable[[#This Row],['#인덱스제너레이터]]</f>
        <v>Item_Desc_2006</v>
      </c>
      <c r="C152" s="51" t="s">
        <v>1000</v>
      </c>
      <c r="D152" s="51" t="s">
        <v>1001</v>
      </c>
      <c r="E152" s="81" t="s">
        <v>467</v>
      </c>
      <c r="F152" s="81" t="s">
        <v>472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>
      <c r="B153" t="str">
        <f>LocaleTable[[#This Row],['#인덱스제너레이터]]</f>
        <v>Item_Desc_3000</v>
      </c>
      <c r="C153" s="77" t="s">
        <v>526</v>
      </c>
      <c r="D153" s="51" t="s">
        <v>671</v>
      </c>
      <c r="E153" s="81" t="s">
        <v>467</v>
      </c>
      <c r="F153" s="81" t="s">
        <v>472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>
      <c r="B154" t="str">
        <f>LocaleTable[[#This Row],['#인덱스제너레이터]]</f>
        <v>Item_Desc_3001</v>
      </c>
      <c r="C154" s="78" t="s">
        <v>857</v>
      </c>
      <c r="D154" s="77" t="s">
        <v>858</v>
      </c>
      <c r="E154" s="81" t="s">
        <v>467</v>
      </c>
      <c r="F154" s="81" t="s">
        <v>472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>
      <c r="B155" t="str">
        <f>LocaleTable[[#This Row],['#인덱스제너레이터]]</f>
        <v>Item_Desc_3002</v>
      </c>
      <c r="C155" s="52" t="s">
        <v>363</v>
      </c>
      <c r="D155" s="51" t="s">
        <v>788</v>
      </c>
      <c r="E155" s="81" t="s">
        <v>467</v>
      </c>
      <c r="F155" s="81" t="s">
        <v>472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3">
      <c r="B156" t="str">
        <f>LocaleTable[[#This Row],['#인덱스제너레이터]]</f>
        <v>Item_Desc_3003</v>
      </c>
      <c r="C156" s="52" t="s">
        <v>789</v>
      </c>
      <c r="D156" s="51" t="s">
        <v>672</v>
      </c>
      <c r="E156" s="81" t="s">
        <v>467</v>
      </c>
      <c r="F156" s="81" t="s">
        <v>472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>
      <c r="B157" t="str">
        <f>LocaleTable[[#This Row],['#인덱스제너레이터]]</f>
        <v>Item_Desc_3004</v>
      </c>
      <c r="C157" s="52" t="s">
        <v>225</v>
      </c>
      <c r="D157" s="51" t="s">
        <v>676</v>
      </c>
      <c r="E157" s="81" t="s">
        <v>467</v>
      </c>
      <c r="F157" s="81" t="s">
        <v>472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>
      <c r="B158" t="str">
        <f>LocaleTable[[#This Row],['#인덱스제너레이터]]</f>
        <v>Item_Desc_3005</v>
      </c>
      <c r="C158" s="52" t="s">
        <v>522</v>
      </c>
      <c r="D158" s="51" t="s">
        <v>790</v>
      </c>
      <c r="E158" s="81" t="s">
        <v>467</v>
      </c>
      <c r="F158" s="81" t="s">
        <v>472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>
      <c r="B159" t="str">
        <f>LocaleTable[[#This Row],['#인덱스제너레이터]]</f>
        <v>Item_Desc_3006</v>
      </c>
      <c r="C159" s="52" t="s">
        <v>352</v>
      </c>
      <c r="D159" s="51" t="s">
        <v>791</v>
      </c>
      <c r="E159" s="81" t="s">
        <v>467</v>
      </c>
      <c r="F159" s="81" t="s">
        <v>472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3">
      <c r="B160" t="str">
        <f>LocaleTable[[#This Row],['#인덱스제너레이터]]</f>
        <v>Item_Desc_3007</v>
      </c>
      <c r="C160" s="52" t="s">
        <v>878</v>
      </c>
      <c r="D160" s="51" t="s">
        <v>879</v>
      </c>
      <c r="E160" s="81" t="s">
        <v>467</v>
      </c>
      <c r="F160" s="81" t="s">
        <v>472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3">
      <c r="B161" t="str">
        <f>LocaleTable[[#This Row],['#인덱스제너레이터]]</f>
        <v>Item_Desc_3008</v>
      </c>
      <c r="C161" s="51" t="s">
        <v>226</v>
      </c>
      <c r="D161" s="51" t="s">
        <v>792</v>
      </c>
      <c r="E161" s="81" t="s">
        <v>467</v>
      </c>
      <c r="F161" s="81" t="s">
        <v>472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>
      <c r="B162" t="str">
        <f>LocaleTable[[#This Row],['#인덱스제너레이터]]</f>
        <v>Item_Desc_3009</v>
      </c>
      <c r="C162" s="51" t="s">
        <v>1009</v>
      </c>
      <c r="D162" s="51" t="s">
        <v>1010</v>
      </c>
      <c r="E162" s="81" t="s">
        <v>467</v>
      </c>
      <c r="F162" s="81" t="s">
        <v>472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>
      <c r="B163" t="str">
        <f>LocaleTable[[#This Row],['#인덱스제너레이터]]</f>
        <v>Item_Desc_3010</v>
      </c>
      <c r="C163" s="51" t="s">
        <v>1017</v>
      </c>
      <c r="D163" s="51" t="s">
        <v>1018</v>
      </c>
      <c r="E163" s="81" t="s">
        <v>467</v>
      </c>
      <c r="F163" s="81" t="s">
        <v>472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 ht="33">
      <c r="B164" t="str">
        <f>LocaleTable[[#This Row],['#인덱스제너레이터]]</f>
        <v>Item_Desc_4001</v>
      </c>
      <c r="C164" s="51" t="s">
        <v>366</v>
      </c>
      <c r="D164" s="51" t="s">
        <v>793</v>
      </c>
      <c r="E164" s="81" t="s">
        <v>467</v>
      </c>
      <c r="F164" s="81" t="s">
        <v>472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3">
      <c r="B165" t="str">
        <f>LocaleTable[[#This Row],['#인덱스제너레이터]]</f>
        <v>Item_Desc_4002</v>
      </c>
      <c r="C165" s="52" t="s">
        <v>852</v>
      </c>
      <c r="D165" s="51" t="s">
        <v>853</v>
      </c>
      <c r="E165" s="81" t="s">
        <v>467</v>
      </c>
      <c r="F165" s="81" t="s">
        <v>472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>
      <c r="B166" t="str">
        <f>LocaleTable[[#This Row],['#인덱스제너레이터]]</f>
        <v>Item_Desc_4003</v>
      </c>
      <c r="C166" s="51" t="s">
        <v>1041</v>
      </c>
      <c r="D166" s="51" t="s">
        <v>1040</v>
      </c>
      <c r="E166" s="81" t="s">
        <v>467</v>
      </c>
      <c r="F166" s="81" t="s">
        <v>472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3">
      <c r="B167" t="str">
        <f>LocaleTable[[#This Row],['#인덱스제너레이터]]</f>
        <v>Item_Desc_4004</v>
      </c>
      <c r="C167" s="51" t="s">
        <v>228</v>
      </c>
      <c r="D167" s="51" t="s">
        <v>528</v>
      </c>
      <c r="E167" s="81" t="s">
        <v>467</v>
      </c>
      <c r="F167" s="81" t="s">
        <v>472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>
      <c r="B168" t="str">
        <f>LocaleTable[[#This Row],['#인덱스제너레이터]]</f>
        <v>Item_Desc_4005</v>
      </c>
      <c r="C168" s="51" t="s">
        <v>732</v>
      </c>
      <c r="D168" s="51" t="s">
        <v>673</v>
      </c>
      <c r="E168" s="81" t="s">
        <v>467</v>
      </c>
      <c r="F168" s="81" t="s">
        <v>472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>
      <c r="B169" t="str">
        <f>LocaleTable[[#This Row],['#인덱스제너레이터]]</f>
        <v>Item_Desc_4006</v>
      </c>
      <c r="C169" s="51" t="s">
        <v>794</v>
      </c>
      <c r="D169" s="51" t="s">
        <v>529</v>
      </c>
      <c r="E169" s="81" t="s">
        <v>467</v>
      </c>
      <c r="F169" s="81" t="s">
        <v>472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3">
      <c r="B170" t="str">
        <f>LocaleTable[[#This Row],['#인덱스제너레이터]]</f>
        <v>Item_Desc_4007</v>
      </c>
      <c r="C170" s="78" t="s">
        <v>882</v>
      </c>
      <c r="D170" s="77" t="s">
        <v>883</v>
      </c>
      <c r="E170" s="81" t="s">
        <v>467</v>
      </c>
      <c r="F170" s="81" t="s">
        <v>472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3">
      <c r="B171" t="str">
        <f>LocaleTable[[#This Row],['#인덱스제너레이터]]</f>
        <v>Item_Desc_10000</v>
      </c>
      <c r="C171" s="51" t="s">
        <v>796</v>
      </c>
      <c r="D171" s="51" t="s">
        <v>674</v>
      </c>
      <c r="E171" s="81" t="s">
        <v>467</v>
      </c>
      <c r="F171" s="81" t="s">
        <v>472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>
      <c r="B172" t="str">
        <f>LocaleTable[[#This Row],['#인덱스제너레이터]]</f>
        <v>Item_Desc_10001</v>
      </c>
      <c r="C172" s="52" t="s">
        <v>364</v>
      </c>
      <c r="D172" s="51" t="s">
        <v>530</v>
      </c>
      <c r="E172" s="81" t="s">
        <v>467</v>
      </c>
      <c r="F172" s="81" t="s">
        <v>472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3">
      <c r="B173" t="str">
        <f>LocaleTable[[#This Row],['#인덱스제너레이터]]</f>
        <v>Item_Desc_10002</v>
      </c>
      <c r="C173" s="52" t="s">
        <v>795</v>
      </c>
      <c r="D173" s="77" t="s">
        <v>675</v>
      </c>
      <c r="E173" s="81" t="s">
        <v>467</v>
      </c>
      <c r="F173" s="81" t="s">
        <v>472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 ht="33">
      <c r="B174" t="str">
        <f>LocaleTable[[#This Row],['#인덱스제너레이터]]</f>
        <v>Item_Desc_10003</v>
      </c>
      <c r="C174" s="52" t="s">
        <v>361</v>
      </c>
      <c r="D174" s="51" t="s">
        <v>730</v>
      </c>
      <c r="E174" s="81" t="s">
        <v>467</v>
      </c>
      <c r="F174" s="81" t="s">
        <v>472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>
      <c r="B175" t="str">
        <f>LocaleTable[[#This Row],['#인덱스제너레이터]]</f>
        <v>Item_Desc_10004</v>
      </c>
      <c r="C175" s="51" t="s">
        <v>430</v>
      </c>
      <c r="D175" s="51" t="s">
        <v>536</v>
      </c>
      <c r="E175" s="81" t="s">
        <v>467</v>
      </c>
      <c r="F175" s="81" t="s">
        <v>472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>
      <c r="B176" t="str">
        <f>LocaleTable[[#This Row],['#인덱스제너레이터]]</f>
        <v>Item_Desc_10005</v>
      </c>
      <c r="C176" s="51" t="s">
        <v>434</v>
      </c>
      <c r="D176" s="51" t="s">
        <v>537</v>
      </c>
      <c r="E176" s="81" t="s">
        <v>467</v>
      </c>
      <c r="F176" s="81" t="s">
        <v>472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>
      <c r="B177" t="str">
        <f>LocaleTable[[#This Row],['#인덱스제너레이터]]</f>
        <v>Item_PlusDesc_2000</v>
      </c>
      <c r="C177" s="52" t="s">
        <v>391</v>
      </c>
      <c r="D177" s="51" t="s">
        <v>538</v>
      </c>
      <c r="E177" s="81" t="s">
        <v>467</v>
      </c>
      <c r="F177" s="81" t="s">
        <v>343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>
      <c r="B178" t="str">
        <f>LocaleTable[[#This Row],['#인덱스제너레이터]]</f>
        <v>Item_PlusDesc_2001</v>
      </c>
      <c r="C178" s="51" t="s">
        <v>710</v>
      </c>
      <c r="D178" s="51" t="s">
        <v>715</v>
      </c>
      <c r="E178" s="81" t="s">
        <v>467</v>
      </c>
      <c r="F178" s="81" t="s">
        <v>343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>
      <c r="B179" t="str">
        <f>LocaleTable[[#This Row],['#인덱스제너레이터]]</f>
        <v>Item_PlusDesc_2002</v>
      </c>
      <c r="C179" s="51" t="s">
        <v>711</v>
      </c>
      <c r="D179" s="51" t="s">
        <v>714</v>
      </c>
      <c r="E179" s="81" t="s">
        <v>467</v>
      </c>
      <c r="F179" s="81" t="s">
        <v>343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>
      <c r="B180" t="str">
        <f>LocaleTable[[#This Row],['#인덱스제너레이터]]</f>
        <v>Item_PlusDesc_2003</v>
      </c>
      <c r="C180" s="51" t="s">
        <v>1086</v>
      </c>
      <c r="D180" s="51" t="s">
        <v>1088</v>
      </c>
      <c r="E180" s="81" t="s">
        <v>467</v>
      </c>
      <c r="F180" s="81" t="s">
        <v>343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>
      <c r="B181" t="str">
        <f>LocaleTable[[#This Row],['#인덱스제너레이터]]</f>
        <v>Item_PlusDesc_2004</v>
      </c>
      <c r="C181" s="51" t="s">
        <v>1087</v>
      </c>
      <c r="D181" s="51" t="s">
        <v>1089</v>
      </c>
      <c r="E181" s="81" t="s">
        <v>467</v>
      </c>
      <c r="F181" s="81" t="s">
        <v>343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>
      <c r="B182" t="str">
        <f>LocaleTable[[#This Row],['#인덱스제너레이터]]</f>
        <v>Item_PlusDesc_2005</v>
      </c>
      <c r="C182" s="71" t="s">
        <v>726</v>
      </c>
      <c r="D182" s="51" t="s">
        <v>861</v>
      </c>
      <c r="E182" s="81" t="s">
        <v>467</v>
      </c>
      <c r="F182" s="81" t="s">
        <v>343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>
      <c r="B183" t="str">
        <f>LocaleTable[[#This Row],['#인덱스제너레이터]]</f>
        <v>Item_PlusDesc_2006</v>
      </c>
      <c r="C183" s="52" t="s">
        <v>1002</v>
      </c>
      <c r="D183" s="51" t="s">
        <v>1003</v>
      </c>
      <c r="E183" s="81" t="s">
        <v>467</v>
      </c>
      <c r="F183" s="81" t="s">
        <v>343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>
      <c r="B184" t="str">
        <f>LocaleTable[[#This Row],['#인덱스제너레이터]]</f>
        <v>Item_PlusDesc_3000</v>
      </c>
      <c r="C184" s="77" t="s">
        <v>993</v>
      </c>
      <c r="D184" s="51" t="s">
        <v>994</v>
      </c>
      <c r="E184" s="81" t="s">
        <v>467</v>
      </c>
      <c r="F184" s="81" t="s">
        <v>343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>
      <c r="B185" t="str">
        <f>LocaleTable[[#This Row],['#인덱스제너레이터]]</f>
        <v>Item_PlusDesc_3001</v>
      </c>
      <c r="C185" s="51" t="s">
        <v>1028</v>
      </c>
      <c r="D185" s="51" t="s">
        <v>614</v>
      </c>
      <c r="E185" s="81" t="s">
        <v>467</v>
      </c>
      <c r="F185" s="81" t="s">
        <v>343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3">
      <c r="B186" t="str">
        <f>LocaleTable[[#This Row],['#인덱스제너레이터]]</f>
        <v>Item_PlusDesc_3002</v>
      </c>
      <c r="C186" s="51" t="s">
        <v>712</v>
      </c>
      <c r="D186" s="51" t="s">
        <v>729</v>
      </c>
      <c r="E186" s="81" t="s">
        <v>467</v>
      </c>
      <c r="F186" s="81" t="s">
        <v>343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>
      <c r="B187" t="str">
        <f>LocaleTable[[#This Row],['#인덱스제너레이터]]</f>
        <v>Item_PlusDesc_3003</v>
      </c>
      <c r="C187" s="51" t="s">
        <v>884</v>
      </c>
      <c r="D187" s="51" t="s">
        <v>885</v>
      </c>
      <c r="E187" s="81" t="s">
        <v>467</v>
      </c>
      <c r="F187" s="81" t="s">
        <v>343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>
      <c r="B188" t="str">
        <f>LocaleTable[[#This Row],['#인덱스제너레이터]]</f>
        <v>Item_PlusDesc_3004</v>
      </c>
      <c r="C188" s="51" t="s">
        <v>368</v>
      </c>
      <c r="D188" s="51" t="s">
        <v>728</v>
      </c>
      <c r="E188" s="81" t="s">
        <v>467</v>
      </c>
      <c r="F188" s="81" t="s">
        <v>343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>
      <c r="B189" t="str">
        <f>LocaleTable[[#This Row],['#인덱스제너레이터]]</f>
        <v>Item_PlusDesc_3005</v>
      </c>
      <c r="C189" s="58" t="s">
        <v>1090</v>
      </c>
      <c r="D189" s="51" t="s">
        <v>1091</v>
      </c>
      <c r="E189" s="81" t="s">
        <v>467</v>
      </c>
      <c r="F189" s="81" t="s">
        <v>343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>
      <c r="B190" t="str">
        <f>LocaleTable[[#This Row],['#인덱스제너레이터]]</f>
        <v>Item_PlusDesc_3006</v>
      </c>
      <c r="C190" s="52" t="s">
        <v>978</v>
      </c>
      <c r="D190" s="51" t="s">
        <v>979</v>
      </c>
      <c r="E190" s="81" t="s">
        <v>467</v>
      </c>
      <c r="F190" s="81" t="s">
        <v>343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>
      <c r="B191" t="str">
        <f>LocaleTable[[#This Row],['#인덱스제너레이터]]</f>
        <v>Item_PlusDesc_3007</v>
      </c>
      <c r="C191" s="52" t="s">
        <v>1026</v>
      </c>
      <c r="D191" s="51" t="s">
        <v>1027</v>
      </c>
      <c r="E191" s="81" t="s">
        <v>467</v>
      </c>
      <c r="F191" s="81" t="s">
        <v>343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>
      <c r="B192" t="str">
        <f>LocaleTable[[#This Row],['#인덱스제너레이터]]</f>
        <v>Item_PlusDesc_3008</v>
      </c>
      <c r="C192" s="51" t="s">
        <v>995</v>
      </c>
      <c r="D192" s="51" t="s">
        <v>996</v>
      </c>
      <c r="E192" s="81" t="s">
        <v>467</v>
      </c>
      <c r="F192" s="81" t="s">
        <v>343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>
      <c r="B193" t="str">
        <f>LocaleTable[[#This Row],['#인덱스제너레이터]]</f>
        <v>Item_PlusDesc_3009</v>
      </c>
      <c r="C193" s="51" t="s">
        <v>1011</v>
      </c>
      <c r="D193" s="51" t="s">
        <v>1012</v>
      </c>
      <c r="E193" s="81" t="s">
        <v>467</v>
      </c>
      <c r="F193" s="81" t="s">
        <v>343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>
      <c r="B194" t="str">
        <f>LocaleTable[[#This Row],['#인덱스제너레이터]]</f>
        <v>Item_PlusDesc_3010</v>
      </c>
      <c r="C194" s="51" t="s">
        <v>1029</v>
      </c>
      <c r="D194" s="51" t="s">
        <v>1030</v>
      </c>
      <c r="E194" s="81" t="s">
        <v>467</v>
      </c>
      <c r="F194" s="81" t="s">
        <v>343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3">
      <c r="B195" t="str">
        <f>LocaleTable[[#This Row],['#인덱스제너레이터]]</f>
        <v>Item_PlusDesc_4001</v>
      </c>
      <c r="C195" s="51" t="s">
        <v>713</v>
      </c>
      <c r="D195" s="51" t="s">
        <v>731</v>
      </c>
      <c r="E195" s="81" t="s">
        <v>467</v>
      </c>
      <c r="F195" s="81" t="s">
        <v>343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>
      <c r="B196" t="str">
        <f>LocaleTable[[#This Row],['#인덱스제너레이터]]</f>
        <v>Item_PlusDesc_4002</v>
      </c>
      <c r="C196" s="51" t="s">
        <v>290</v>
      </c>
      <c r="D196" s="51" t="s">
        <v>539</v>
      </c>
      <c r="E196" s="81" t="s">
        <v>467</v>
      </c>
      <c r="F196" s="81" t="s">
        <v>343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>
      <c r="B197" t="str">
        <f>LocaleTable[[#This Row],['#인덱스제너레이터]]</f>
        <v>Item_PlusDesc_4003</v>
      </c>
      <c r="C197" s="51" t="s">
        <v>371</v>
      </c>
      <c r="D197" s="51" t="s">
        <v>540</v>
      </c>
      <c r="E197" s="81" t="s">
        <v>467</v>
      </c>
      <c r="F197" s="81" t="s">
        <v>343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>
      <c r="B198" t="str">
        <f>LocaleTable[[#This Row],['#인덱스제너레이터]]</f>
        <v>Item_PlusDesc_4004</v>
      </c>
      <c r="C198" s="51" t="s">
        <v>988</v>
      </c>
      <c r="D198" s="51" t="s">
        <v>989</v>
      </c>
      <c r="E198" s="81" t="s">
        <v>467</v>
      </c>
      <c r="F198" s="81" t="s">
        <v>343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>
      <c r="B199" t="str">
        <f>LocaleTable[[#This Row],['#인덱스제너레이터]]</f>
        <v>Item_PlusDesc_4005</v>
      </c>
      <c r="C199" s="51" t="s">
        <v>389</v>
      </c>
      <c r="D199" s="51" t="s">
        <v>733</v>
      </c>
      <c r="E199" s="81" t="s">
        <v>467</v>
      </c>
      <c r="F199" s="81" t="s">
        <v>343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>
      <c r="B200" t="str">
        <f>LocaleTable[[#This Row],['#인덱스제너레이터]]</f>
        <v>Item_PlusDesc_4006</v>
      </c>
      <c r="C200" s="51" t="s">
        <v>986</v>
      </c>
      <c r="D200" s="51" t="s">
        <v>987</v>
      </c>
      <c r="E200" s="81" t="s">
        <v>467</v>
      </c>
      <c r="F200" s="81" t="s">
        <v>343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>
      <c r="B201" t="str">
        <f>LocaleTable[[#This Row],['#인덱스제너레이터]]</f>
        <v>Item_PlusDesc_4007</v>
      </c>
      <c r="C201" s="51" t="s">
        <v>990</v>
      </c>
      <c r="D201" s="51" t="s">
        <v>991</v>
      </c>
      <c r="E201" s="81" t="s">
        <v>467</v>
      </c>
      <c r="F201" s="81" t="s">
        <v>343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>
      <c r="B202" t="str">
        <f>LocaleTable[[#This Row],['#인덱스제너레이터]]</f>
        <v>Item_PlusDesc_10000</v>
      </c>
      <c r="C202" s="52" t="s">
        <v>895</v>
      </c>
      <c r="D202" s="51" t="s">
        <v>894</v>
      </c>
      <c r="E202" s="81" t="s">
        <v>467</v>
      </c>
      <c r="F202" s="81" t="s">
        <v>343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>
      <c r="B203" t="str">
        <f>LocaleTable[[#This Row],['#인덱스제너레이터]]</f>
        <v>Item_PlusDesc_10001</v>
      </c>
      <c r="C203" s="52" t="s">
        <v>891</v>
      </c>
      <c r="D203" s="51" t="s">
        <v>887</v>
      </c>
      <c r="E203" s="81" t="s">
        <v>467</v>
      </c>
      <c r="F203" s="81" t="s">
        <v>343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>
      <c r="B204" t="str">
        <f>LocaleTable[[#This Row],['#인덱스제너레이터]]</f>
        <v>Item_PlusDesc_10002</v>
      </c>
      <c r="C204" s="52" t="s">
        <v>892</v>
      </c>
      <c r="D204" s="51" t="s">
        <v>888</v>
      </c>
      <c r="E204" s="81" t="s">
        <v>467</v>
      </c>
      <c r="F204" s="81" t="s">
        <v>343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>
      <c r="B205" t="str">
        <f>LocaleTable[[#This Row],['#인덱스제너레이터]]</f>
        <v>Item_PlusDesc_10003</v>
      </c>
      <c r="C205" s="52" t="s">
        <v>456</v>
      </c>
      <c r="D205" s="51" t="s">
        <v>889</v>
      </c>
      <c r="E205" s="81" t="s">
        <v>467</v>
      </c>
      <c r="F205" s="81" t="s">
        <v>343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>
      <c r="B206" t="str">
        <f>LocaleTable[[#This Row],['#인덱스제너레이터]]</f>
        <v>Item_PlusDesc_10004</v>
      </c>
      <c r="C206" s="51" t="s">
        <v>896</v>
      </c>
      <c r="D206" s="51" t="s">
        <v>893</v>
      </c>
      <c r="E206" s="81" t="s">
        <v>467</v>
      </c>
      <c r="F206" s="81" t="s">
        <v>343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>
      <c r="B207" t="str">
        <f>LocaleTable[[#This Row],['#인덱스제너레이터]]</f>
        <v>Item_PlusDesc_10005</v>
      </c>
      <c r="C207" s="51" t="s">
        <v>457</v>
      </c>
      <c r="D207" s="51" t="s">
        <v>890</v>
      </c>
      <c r="E207" s="81" t="s">
        <v>467</v>
      </c>
      <c r="F207" s="81" t="s">
        <v>343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>
      <c r="B208" t="str">
        <f>LocaleTable[[#This Row],['#인덱스제너레이터]]</f>
        <v>Item_MinusDesc_4001</v>
      </c>
      <c r="C208" s="51" t="s">
        <v>365</v>
      </c>
      <c r="D208" s="58" t="s">
        <v>541</v>
      </c>
      <c r="E208" s="81" t="s">
        <v>467</v>
      </c>
      <c r="F208" s="81" t="s">
        <v>344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>
      <c r="B209" t="str">
        <f>LocaleTable[[#This Row],['#인덱스제너레이터]]</f>
        <v>Item_MinusDesc_4002</v>
      </c>
      <c r="C209" s="51" t="s">
        <v>146</v>
      </c>
      <c r="D209" s="51" t="s">
        <v>542</v>
      </c>
      <c r="E209" s="81" t="s">
        <v>467</v>
      </c>
      <c r="F209" s="81" t="s">
        <v>344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>
      <c r="B210" t="str">
        <f>LocaleTable[[#This Row],['#인덱스제너레이터]]</f>
        <v>Item_MinusDesc_4003</v>
      </c>
      <c r="C210" s="51" t="s">
        <v>727</v>
      </c>
      <c r="D210" s="51" t="s">
        <v>862</v>
      </c>
      <c r="E210" s="81" t="s">
        <v>467</v>
      </c>
      <c r="F210" s="81" t="s">
        <v>344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>
      <c r="B211" t="str">
        <f>LocaleTable[[#This Row],['#인덱스제너레이터]]</f>
        <v>Item_MinusDesc_4004</v>
      </c>
      <c r="C211" s="51" t="s">
        <v>825</v>
      </c>
      <c r="D211" s="51" t="s">
        <v>826</v>
      </c>
      <c r="E211" s="81" t="s">
        <v>467</v>
      </c>
      <c r="F211" s="81" t="s">
        <v>344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>
      <c r="B212" t="str">
        <f>LocaleTable[[#This Row],['#인덱스제너레이터]]</f>
        <v>Item_MinusDesc_4005</v>
      </c>
      <c r="C212" s="51" t="s">
        <v>1042</v>
      </c>
      <c r="D212" s="51" t="s">
        <v>1043</v>
      </c>
      <c r="E212" s="81" t="s">
        <v>467</v>
      </c>
      <c r="F212" s="81" t="s">
        <v>344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>
      <c r="B213" t="str">
        <f>LocaleTable[[#This Row],['#인덱스제너레이터]]</f>
        <v>Item_MinusDesc_4006</v>
      </c>
      <c r="C213" s="51" t="s">
        <v>983</v>
      </c>
      <c r="D213" s="51" t="s">
        <v>984</v>
      </c>
      <c r="E213" s="81" t="s">
        <v>467</v>
      </c>
      <c r="F213" s="81" t="s">
        <v>344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467</v>
      </c>
      <c r="F214" s="81" t="s">
        <v>344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석현 방</cp:lastModifiedBy>
  <cp:revision>2</cp:revision>
  <dcterms:created xsi:type="dcterms:W3CDTF">2023-03-25T04:43:38Z</dcterms:created>
  <dcterms:modified xsi:type="dcterms:W3CDTF">2023-11-17T15:35:36Z</dcterms:modified>
  <cp:version>1200.0100.01</cp:version>
</cp:coreProperties>
</file>