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현재_통합_문서"/>
  <mc:AlternateContent xmlns:mc="http://schemas.openxmlformats.org/markup-compatibility/2006">
    <mc:Choice Requires="x15">
      <x15ac:absPath xmlns:x15ac="http://schemas.microsoft.com/office/spreadsheetml/2010/11/ac" url="C:\Users\224dj\Documents\QT_Proto\_GameData\"/>
    </mc:Choice>
  </mc:AlternateContent>
  <xr:revisionPtr revIDLastSave="0" documentId="13_ncr:1_{428C8945-360A-4256-8090-57DD4FBD0991}" xr6:coauthVersionLast="47" xr6:coauthVersionMax="47" xr10:uidLastSave="{00000000-0000-0000-0000-000000000000}"/>
  <bookViews>
    <workbookView xWindow="-108" yWindow="-108" windowWidth="23256" windowHeight="12456" firstSheet="11" activeTab="12" xr2:uid="{00000000-000D-0000-FFFF-FFFF00000000}"/>
  </bookViews>
  <sheets>
    <sheet name="#시트별저장버튼" sheetId="1" r:id="rId1"/>
    <sheet name="#스테이지 밸런스 시트" sheetId="2" r:id="rId2"/>
    <sheet name="#전투 밸런스 시트" sheetId="3" r:id="rId3"/>
    <sheet name="#공용데이터(참고용)" sheetId="4" r:id="rId4"/>
    <sheet name="CharacterGameData" sheetId="5" r:id="rId5"/>
    <sheet name="CharacterAtkGameData" sheetId="6" r:id="rId6"/>
    <sheet name="ProductialMapGameData" sheetId="7" r:id="rId7"/>
    <sheet name="DropGameData" sheetId="8" r:id="rId8"/>
    <sheet name="EnemyGameData" sheetId="9" r:id="rId9"/>
    <sheet name="EnemyAtkGameData" sheetId="10" r:id="rId10"/>
    <sheet name="ShootGameData" sheetId="11" r:id="rId11"/>
    <sheet name="ProjectileGameData" sheetId="12" r:id="rId12"/>
    <sheet name="ItemGameData" sheetId="13" r:id="rId13"/>
    <sheet name="ItemEffectGameData" sheetId="14" r:id="rId14"/>
    <sheet name="BuffEffectGameData" sheetId="19" r:id="rId15"/>
    <sheet name="SpecialEffectGameData" sheetId="20" r:id="rId16"/>
    <sheet name="ItemResourceGameData" sheetId="15" r:id="rId17"/>
    <sheet name="LocaleGameData" sheetId="16"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3" l="1"/>
  <c r="G4" i="13"/>
  <c r="G5" i="13"/>
  <c r="G6" i="13"/>
  <c r="G7" i="13"/>
  <c r="G8" i="13"/>
  <c r="G9" i="13"/>
  <c r="G10" i="13"/>
  <c r="G11" i="13"/>
  <c r="G12" i="13"/>
  <c r="G13" i="13"/>
  <c r="G14" i="13"/>
  <c r="G15" i="13"/>
  <c r="G17" i="13"/>
  <c r="G18" i="13"/>
  <c r="G19" i="13"/>
  <c r="G20" i="13"/>
  <c r="G21" i="13"/>
  <c r="G22" i="13"/>
  <c r="G23" i="13"/>
  <c r="G24" i="13"/>
  <c r="G25" i="13"/>
  <c r="G26" i="13"/>
  <c r="G27" i="13"/>
  <c r="G28" i="13"/>
  <c r="G30" i="13"/>
  <c r="C14" i="19"/>
  <c r="I14" i="19" a="1"/>
  <c r="I14" i="19" s="1"/>
  <c r="J14" i="19" s="1" a="1"/>
  <c r="J14" i="19" s="1"/>
  <c r="L14" i="19" s="1"/>
  <c r="N14" i="19"/>
  <c r="N7" i="20"/>
  <c r="M7" i="20" s="1"/>
  <c r="L17" i="14"/>
  <c r="O17" i="14" s="1"/>
  <c r="M17" i="14"/>
  <c r="P17" i="14" s="1"/>
  <c r="N17" i="14"/>
  <c r="S17" i="14"/>
  <c r="L16" i="14"/>
  <c r="O16" i="14" s="1"/>
  <c r="M16" i="14"/>
  <c r="P16" i="14" s="1"/>
  <c r="N16" i="14"/>
  <c r="Q16" i="14" s="1"/>
  <c r="S16" i="14"/>
  <c r="B147" i="16"/>
  <c r="I147" i="16"/>
  <c r="B119" i="16"/>
  <c r="I119" i="16"/>
  <c r="I91" i="16"/>
  <c r="B91" i="16" s="1"/>
  <c r="O16" i="13" a="1"/>
  <c r="O16" i="13" s="1"/>
  <c r="B9" i="13" a="1"/>
  <c r="B9" i="13" s="1"/>
  <c r="B10" i="13" s="1" a="1"/>
  <c r="B10" i="13" s="1"/>
  <c r="B11" i="13" s="1" a="1"/>
  <c r="B11" i="13" s="1"/>
  <c r="B12" i="13" s="1" a="1"/>
  <c r="B12" i="13" s="1"/>
  <c r="B13" i="13" s="1" a="1"/>
  <c r="B13" i="13" s="1"/>
  <c r="B14" i="13" s="1" a="1"/>
  <c r="B14" i="13" s="1"/>
  <c r="B15" i="13" s="1" a="1"/>
  <c r="B15" i="13" s="1"/>
  <c r="B16" i="13" s="1" a="1"/>
  <c r="B16" i="13" s="1"/>
  <c r="Q16" i="13" s="1" a="1"/>
  <c r="Q16" i="13" s="1"/>
  <c r="B17" i="13" a="1"/>
  <c r="B17" i="13" s="1"/>
  <c r="B18" i="13" s="1" a="1"/>
  <c r="B18" i="13" s="1"/>
  <c r="B19" i="13" s="1" a="1"/>
  <c r="B19" i="13" s="1"/>
  <c r="B20" i="13" s="1" a="1"/>
  <c r="B20" i="13" s="1"/>
  <c r="B21" i="13" s="1" a="1"/>
  <c r="B21" i="13" s="1"/>
  <c r="B22" i="13" s="1" a="1"/>
  <c r="B22" i="13" s="1"/>
  <c r="B23" i="13" s="1" a="1"/>
  <c r="B23" i="13" s="1"/>
  <c r="B24" i="13" s="1" a="1"/>
  <c r="B24" i="13" s="1"/>
  <c r="B25" i="13" a="1"/>
  <c r="B25" i="13" s="1"/>
  <c r="B26" i="13" s="1" a="1"/>
  <c r="B26" i="13" s="1"/>
  <c r="B27" i="13" s="1" a="1"/>
  <c r="B27" i="13" s="1"/>
  <c r="B28" i="13" s="1" a="1"/>
  <c r="B28" i="13" s="1"/>
  <c r="B29" i="13" s="1" a="1"/>
  <c r="B29" i="13" s="1"/>
  <c r="B3" i="13" a="1"/>
  <c r="B3" i="13" s="1"/>
  <c r="B4" i="13" s="1" a="1"/>
  <c r="B4" i="13" s="1"/>
  <c r="B5" i="13" s="1" a="1"/>
  <c r="B5" i="13" s="1"/>
  <c r="B6" i="13" s="1" a="1"/>
  <c r="B6" i="13" s="1"/>
  <c r="B7" i="13" s="1" a="1"/>
  <c r="B7" i="13" s="1"/>
  <c r="B8" i="13" s="1" a="1"/>
  <c r="B8" i="13" s="1"/>
  <c r="F4" i="20" a="1"/>
  <c r="F4" i="20" s="1"/>
  <c r="F5" i="20" a="1"/>
  <c r="F5" i="20" s="1"/>
  <c r="F6" i="20" a="1"/>
  <c r="F6" i="20" s="1"/>
  <c r="F8" i="20" a="1"/>
  <c r="F8" i="20" s="1"/>
  <c r="F9" i="20" a="1"/>
  <c r="F9" i="20" s="1"/>
  <c r="F10" i="20" a="1"/>
  <c r="F10" i="20" s="1"/>
  <c r="F11" i="20" a="1"/>
  <c r="F11" i="20" s="1"/>
  <c r="F12" i="20" a="1"/>
  <c r="F12" i="20"/>
  <c r="F13" i="20" a="1"/>
  <c r="F13" i="20" s="1"/>
  <c r="F14" i="20" a="1"/>
  <c r="F14" i="20" s="1"/>
  <c r="F15" i="20" a="1"/>
  <c r="F15" i="20" s="1"/>
  <c r="F16" i="20" a="1"/>
  <c r="F16" i="20" s="1"/>
  <c r="F3" i="20" a="1"/>
  <c r="F3" i="20" s="1"/>
  <c r="S31" i="14"/>
  <c r="N31" i="14"/>
  <c r="Q31" i="14" s="1"/>
  <c r="M31" i="14"/>
  <c r="L31" i="14"/>
  <c r="O31" i="14" s="1"/>
  <c r="C19" i="20"/>
  <c r="C20" i="20"/>
  <c r="I169" i="16"/>
  <c r="B169" i="16" s="1"/>
  <c r="I155" i="16"/>
  <c r="B155" i="16" s="1"/>
  <c r="O24" i="13" a="1"/>
  <c r="O24" i="13" s="1"/>
  <c r="I99" i="16"/>
  <c r="B99" i="16" s="1"/>
  <c r="I127" i="16"/>
  <c r="B127" i="16" s="1"/>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73" i="10"/>
  <c r="I74" i="10"/>
  <c r="I72" i="10"/>
  <c r="I75" i="10"/>
  <c r="I76" i="10"/>
  <c r="I77" i="10"/>
  <c r="I78" i="10"/>
  <c r="I79" i="10"/>
  <c r="I80" i="10"/>
  <c r="I81" i="10"/>
  <c r="I82" i="10"/>
  <c r="I83" i="10"/>
  <c r="I84" i="10"/>
  <c r="I85" i="10"/>
  <c r="I86" i="10"/>
  <c r="I87" i="10"/>
  <c r="N14" i="20"/>
  <c r="M14" i="20" s="1"/>
  <c r="S32" i="14"/>
  <c r="N32" i="14"/>
  <c r="Q32" i="14" s="1"/>
  <c r="M32" i="14"/>
  <c r="P32" i="14" s="1"/>
  <c r="L32" i="14"/>
  <c r="O32" i="14" s="1"/>
  <c r="N13" i="20"/>
  <c r="M13" i="20" s="1"/>
  <c r="C27" i="19"/>
  <c r="I27" i="19" a="1"/>
  <c r="I27" i="19" s="1"/>
  <c r="J27" i="19" s="1" a="1"/>
  <c r="J27" i="19" s="1"/>
  <c r="L27" i="19" s="1"/>
  <c r="N27" i="19"/>
  <c r="C26" i="19"/>
  <c r="I26" i="19" a="1"/>
  <c r="I26" i="19" s="1"/>
  <c r="J26" i="19" s="1" a="1"/>
  <c r="J26" i="19" s="1"/>
  <c r="L26" i="19" s="1"/>
  <c r="N26" i="19"/>
  <c r="L29" i="14"/>
  <c r="O29" i="14" s="1"/>
  <c r="M29" i="14"/>
  <c r="P29" i="14" s="1"/>
  <c r="N29" i="14"/>
  <c r="Q29" i="14" s="1"/>
  <c r="S29" i="14"/>
  <c r="L30" i="14"/>
  <c r="O30" i="14" s="1"/>
  <c r="M30" i="14"/>
  <c r="P30" i="14" s="1"/>
  <c r="N30" i="14"/>
  <c r="Q30" i="14" s="1"/>
  <c r="S30" i="14"/>
  <c r="C33" i="19"/>
  <c r="I33" i="19" a="1"/>
  <c r="I33" i="19" s="1"/>
  <c r="J33" i="19" s="1" a="1"/>
  <c r="J33" i="19" s="1"/>
  <c r="L33" i="19" s="1"/>
  <c r="N33" i="19"/>
  <c r="I71" i="10"/>
  <c r="I69" i="10"/>
  <c r="I67" i="10"/>
  <c r="I65" i="10"/>
  <c r="I70" i="10"/>
  <c r="I68" i="10"/>
  <c r="I66" i="10"/>
  <c r="I64" i="10"/>
  <c r="I63" i="10"/>
  <c r="C3" i="19"/>
  <c r="C4" i="19"/>
  <c r="C5" i="19"/>
  <c r="C6" i="19"/>
  <c r="C7" i="19"/>
  <c r="C8" i="19"/>
  <c r="C9" i="19"/>
  <c r="C10" i="19"/>
  <c r="C11" i="19"/>
  <c r="C12" i="19"/>
  <c r="C13" i="19"/>
  <c r="C15" i="19"/>
  <c r="C16" i="19"/>
  <c r="C17" i="19"/>
  <c r="C18" i="19"/>
  <c r="C19" i="19"/>
  <c r="C20" i="19"/>
  <c r="C21" i="19"/>
  <c r="C22" i="19"/>
  <c r="C23" i="19"/>
  <c r="C24" i="19"/>
  <c r="C25" i="19"/>
  <c r="C28" i="19"/>
  <c r="C29" i="19"/>
  <c r="C30" i="19"/>
  <c r="C31" i="19"/>
  <c r="C32" i="19"/>
  <c r="C34" i="19"/>
  <c r="C35" i="19"/>
  <c r="I62" i="10"/>
  <c r="I61" i="10"/>
  <c r="I60" i="10"/>
  <c r="I59" i="10"/>
  <c r="V16" i="9"/>
  <c r="V17" i="9"/>
  <c r="V20" i="9"/>
  <c r="N19" i="20"/>
  <c r="M19" i="20" s="1"/>
  <c r="I62" i="16"/>
  <c r="B62" i="16" s="1"/>
  <c r="I63" i="16"/>
  <c r="B63" i="16" s="1"/>
  <c r="I53" i="16"/>
  <c r="B53" i="16" s="1"/>
  <c r="I52" i="16"/>
  <c r="B52" i="16" s="1"/>
  <c r="I50" i="16"/>
  <c r="B50" i="16" s="1"/>
  <c r="I51" i="16"/>
  <c r="B51" i="16" s="1"/>
  <c r="I49" i="16"/>
  <c r="B49" i="16" s="1"/>
  <c r="I48" i="16"/>
  <c r="B48" i="16" s="1"/>
  <c r="I22" i="16"/>
  <c r="B22" i="16" s="1"/>
  <c r="I21" i="16"/>
  <c r="B21" i="16" s="1"/>
  <c r="I17" i="16"/>
  <c r="B17" i="16" s="1"/>
  <c r="I18" i="16"/>
  <c r="B18" i="16" s="1"/>
  <c r="I16" i="16"/>
  <c r="B16" i="16" s="1"/>
  <c r="I19" i="16"/>
  <c r="B19" i="16" s="1"/>
  <c r="I20" i="16"/>
  <c r="B20" i="16" s="1"/>
  <c r="I20" i="19" a="1"/>
  <c r="I20" i="19" s="1"/>
  <c r="J20" i="19" s="1" a="1"/>
  <c r="J20" i="19" s="1"/>
  <c r="L20" i="19" s="1"/>
  <c r="N20" i="19"/>
  <c r="D106" i="11"/>
  <c r="D114" i="11" s="1"/>
  <c r="D122" i="11" s="1"/>
  <c r="D130" i="11" s="1"/>
  <c r="D138" i="11" s="1"/>
  <c r="D146" i="11" s="1"/>
  <c r="D154" i="11" s="1"/>
  <c r="D162" i="11" s="1"/>
  <c r="D170" i="11" s="1"/>
  <c r="D178" i="11" s="1"/>
  <c r="D107" i="11"/>
  <c r="D115" i="11" s="1"/>
  <c r="D123" i="11" s="1"/>
  <c r="D131" i="11" s="1"/>
  <c r="D139" i="11" s="1"/>
  <c r="D147" i="11" s="1"/>
  <c r="D155" i="11" s="1"/>
  <c r="D163" i="11" s="1"/>
  <c r="D171" i="11" s="1"/>
  <c r="D179" i="11" s="1"/>
  <c r="D108" i="11"/>
  <c r="D116" i="11" s="1"/>
  <c r="D124" i="11" s="1"/>
  <c r="D132" i="11" s="1"/>
  <c r="D140" i="11" s="1"/>
  <c r="D148" i="11" s="1"/>
  <c r="D156" i="11" s="1"/>
  <c r="D164" i="11" s="1"/>
  <c r="D172" i="11" s="1"/>
  <c r="D180" i="11" s="1"/>
  <c r="D109" i="11"/>
  <c r="D117" i="11" s="1"/>
  <c r="D125" i="11" s="1"/>
  <c r="D133" i="11" s="1"/>
  <c r="D141" i="11" s="1"/>
  <c r="D149" i="11" s="1"/>
  <c r="D157" i="11" s="1"/>
  <c r="D165" i="11" s="1"/>
  <c r="D173" i="11" s="1"/>
  <c r="D181" i="11" s="1"/>
  <c r="D110" i="11"/>
  <c r="D118" i="11" s="1"/>
  <c r="D126" i="11" s="1"/>
  <c r="D134" i="11" s="1"/>
  <c r="D142" i="11" s="1"/>
  <c r="D150" i="11" s="1"/>
  <c r="D158" i="11" s="1"/>
  <c r="D166" i="11" s="1"/>
  <c r="D174" i="11" s="1"/>
  <c r="D182" i="11" s="1"/>
  <c r="D111" i="11"/>
  <c r="D119" i="11" s="1"/>
  <c r="D127" i="11" s="1"/>
  <c r="D135" i="11" s="1"/>
  <c r="D143" i="11" s="1"/>
  <c r="D151" i="11" s="1"/>
  <c r="D159" i="11" s="1"/>
  <c r="D167" i="11" s="1"/>
  <c r="D175" i="11" s="1"/>
  <c r="D183" i="11" s="1"/>
  <c r="D112" i="11"/>
  <c r="D120" i="11" s="1"/>
  <c r="D128" i="11" s="1"/>
  <c r="D136" i="11" s="1"/>
  <c r="D144" i="11" s="1"/>
  <c r="D152" i="11" s="1"/>
  <c r="D160" i="11" s="1"/>
  <c r="D168" i="11" s="1"/>
  <c r="D176" i="11" s="1"/>
  <c r="D184" i="11" s="1"/>
  <c r="D105" i="11"/>
  <c r="D113" i="11" s="1"/>
  <c r="D121" i="11" s="1"/>
  <c r="D129" i="11" s="1"/>
  <c r="D137" i="11" s="1"/>
  <c r="D145" i="11" s="1"/>
  <c r="D153" i="11" s="1"/>
  <c r="D161" i="11" s="1"/>
  <c r="D169" i="11" s="1"/>
  <c r="D177" i="11" s="1"/>
  <c r="B112" i="11"/>
  <c r="B120" i="11" s="1"/>
  <c r="B111" i="11"/>
  <c r="B119" i="11" s="1"/>
  <c r="B110" i="11"/>
  <c r="B118" i="11" s="1"/>
  <c r="B109" i="11"/>
  <c r="B117" i="11" s="1"/>
  <c r="B108" i="11"/>
  <c r="B116" i="11" s="1"/>
  <c r="B107" i="11"/>
  <c r="B115" i="11" s="1"/>
  <c r="B106" i="11"/>
  <c r="B114" i="11" s="1"/>
  <c r="B105" i="11"/>
  <c r="B113" i="11" s="1"/>
  <c r="C104" i="11"/>
  <c r="C103" i="11"/>
  <c r="C102" i="11"/>
  <c r="C101" i="11"/>
  <c r="C100" i="11"/>
  <c r="C99" i="11"/>
  <c r="C98" i="11"/>
  <c r="C97" i="11"/>
  <c r="E17" i="3"/>
  <c r="E22" i="3"/>
  <c r="M6" i="20"/>
  <c r="M8" i="20"/>
  <c r="M9" i="20"/>
  <c r="M10" i="20"/>
  <c r="M12" i="20"/>
  <c r="M15" i="20"/>
  <c r="M16" i="20"/>
  <c r="M17" i="20"/>
  <c r="M18" i="20"/>
  <c r="M20" i="20"/>
  <c r="E29" i="3"/>
  <c r="E28" i="3" a="1"/>
  <c r="E28" i="3" s="1"/>
  <c r="E16" i="3"/>
  <c r="S3" i="14"/>
  <c r="S4" i="14"/>
  <c r="S5" i="14"/>
  <c r="S6" i="14"/>
  <c r="S7" i="14"/>
  <c r="S8" i="14"/>
  <c r="S9" i="14"/>
  <c r="S10" i="14"/>
  <c r="S11" i="14"/>
  <c r="S12" i="14"/>
  <c r="S13" i="14"/>
  <c r="S14" i="14"/>
  <c r="S15" i="14"/>
  <c r="S18" i="14"/>
  <c r="S19" i="14"/>
  <c r="S20" i="14"/>
  <c r="S21" i="14"/>
  <c r="S22" i="14"/>
  <c r="S23" i="14"/>
  <c r="S24" i="14"/>
  <c r="S25" i="14"/>
  <c r="S26" i="14"/>
  <c r="S27" i="14"/>
  <c r="S28" i="14"/>
  <c r="S33" i="14"/>
  <c r="S34" i="14"/>
  <c r="S35" i="14"/>
  <c r="S36" i="14"/>
  <c r="S37" i="14"/>
  <c r="S38" i="14"/>
  <c r="N3" i="19"/>
  <c r="N4" i="19"/>
  <c r="N5" i="19"/>
  <c r="N6" i="19"/>
  <c r="N7" i="19"/>
  <c r="N8" i="19"/>
  <c r="N9" i="19"/>
  <c r="N10" i="19"/>
  <c r="N11" i="19"/>
  <c r="N12" i="19"/>
  <c r="N13" i="19"/>
  <c r="N15" i="19"/>
  <c r="N16" i="19"/>
  <c r="N17" i="19"/>
  <c r="N18" i="19"/>
  <c r="N19" i="19"/>
  <c r="N21" i="19"/>
  <c r="N22" i="19"/>
  <c r="N23" i="19"/>
  <c r="N24" i="19"/>
  <c r="N25" i="19"/>
  <c r="N28" i="19"/>
  <c r="N29" i="19"/>
  <c r="N30" i="19"/>
  <c r="N31" i="19"/>
  <c r="N32" i="19"/>
  <c r="N34" i="19"/>
  <c r="N35" i="19"/>
  <c r="E46" i="3"/>
  <c r="E52" i="3"/>
  <c r="E53" i="3"/>
  <c r="E54" i="3"/>
  <c r="D52" i="3" a="1"/>
  <c r="D52" i="3" s="1"/>
  <c r="D51" i="3" a="1"/>
  <c r="D51" i="3" s="1"/>
  <c r="E51" i="3" s="1"/>
  <c r="D50" i="3" a="1"/>
  <c r="D50" i="3" s="1"/>
  <c r="E50" i="3" s="1"/>
  <c r="D49" i="3" a="1"/>
  <c r="D49" i="3" s="1"/>
  <c r="E49" i="3" s="1"/>
  <c r="D48" i="3" a="1"/>
  <c r="D48" i="3"/>
  <c r="E48" i="3" s="1"/>
  <c r="D47" i="3" a="1"/>
  <c r="D47" i="3" s="1"/>
  <c r="E47" i="3" s="1"/>
  <c r="I7" i="16"/>
  <c r="B7" i="16" s="1"/>
  <c r="I23" i="16"/>
  <c r="B23" i="16" s="1"/>
  <c r="I26" i="16"/>
  <c r="B26" i="16" s="1"/>
  <c r="I27" i="16"/>
  <c r="B27" i="16" s="1"/>
  <c r="I28" i="16"/>
  <c r="B28" i="16" s="1"/>
  <c r="I29" i="16"/>
  <c r="B29" i="16" s="1"/>
  <c r="I30" i="16"/>
  <c r="B30" i="16" s="1"/>
  <c r="I31" i="16"/>
  <c r="B31" i="16" s="1"/>
  <c r="I32" i="16"/>
  <c r="B32" i="16" s="1"/>
  <c r="I33" i="16"/>
  <c r="B33" i="16" s="1"/>
  <c r="I34" i="16"/>
  <c r="B34" i="16" s="1"/>
  <c r="I35" i="16"/>
  <c r="B35" i="16" s="1"/>
  <c r="I36" i="16"/>
  <c r="B36" i="16" s="1"/>
  <c r="I37" i="16"/>
  <c r="B37" i="16" s="1"/>
  <c r="I38" i="16"/>
  <c r="B38" i="16" s="1"/>
  <c r="I8" i="16"/>
  <c r="B8" i="16" s="1"/>
  <c r="I9" i="16"/>
  <c r="B9" i="16" s="1"/>
  <c r="I10" i="16"/>
  <c r="B10" i="16" s="1"/>
  <c r="I11" i="16"/>
  <c r="B11" i="16" s="1"/>
  <c r="I12" i="16"/>
  <c r="B12" i="16" s="1"/>
  <c r="I13" i="16"/>
  <c r="B13" i="16" s="1"/>
  <c r="I14" i="16"/>
  <c r="B14" i="16" s="1"/>
  <c r="I15" i="16"/>
  <c r="B15" i="16" s="1"/>
  <c r="I24" i="16"/>
  <c r="B24" i="16" s="1"/>
  <c r="I25" i="16"/>
  <c r="B25" i="16" s="1"/>
  <c r="I75" i="16"/>
  <c r="B75" i="16" s="1"/>
  <c r="I74" i="16"/>
  <c r="B74" i="16" s="1"/>
  <c r="I66" i="16"/>
  <c r="B66" i="16" s="1"/>
  <c r="I67" i="16"/>
  <c r="B67" i="16" s="1"/>
  <c r="I68" i="16"/>
  <c r="B68" i="16" s="1"/>
  <c r="I69" i="16"/>
  <c r="B69" i="16" s="1"/>
  <c r="I70" i="16"/>
  <c r="B70" i="16" s="1"/>
  <c r="I71" i="16"/>
  <c r="B71" i="16" s="1"/>
  <c r="I72" i="16"/>
  <c r="B72" i="16" s="1"/>
  <c r="I73" i="16"/>
  <c r="B73" i="16" s="1"/>
  <c r="I64" i="16"/>
  <c r="B64" i="16" s="1"/>
  <c r="I65" i="16"/>
  <c r="B65" i="16" s="1"/>
  <c r="I6" i="16"/>
  <c r="B6" i="16" s="1"/>
  <c r="N10" i="14"/>
  <c r="N3" i="14"/>
  <c r="Q3" i="14" s="1"/>
  <c r="N4" i="14"/>
  <c r="Q4" i="14" s="1"/>
  <c r="N5" i="14"/>
  <c r="Q5" i="14" s="1"/>
  <c r="N6" i="14"/>
  <c r="Q6" i="14" s="1"/>
  <c r="N7" i="14"/>
  <c r="Q7" i="14" s="1"/>
  <c r="N8" i="14"/>
  <c r="Q8" i="14" s="1"/>
  <c r="N9" i="14"/>
  <c r="Q9" i="14" s="1"/>
  <c r="N11" i="14"/>
  <c r="Q11" i="14" s="1"/>
  <c r="N12" i="14"/>
  <c r="Q12" i="14" s="1"/>
  <c r="N13" i="14"/>
  <c r="Q13" i="14" s="1"/>
  <c r="N14" i="14"/>
  <c r="Q14" i="14" s="1"/>
  <c r="N15" i="14"/>
  <c r="Q15" i="14" s="1"/>
  <c r="N18" i="14"/>
  <c r="Q18" i="14" s="1"/>
  <c r="N19" i="14"/>
  <c r="Q19" i="14" s="1"/>
  <c r="N20" i="14"/>
  <c r="Q20" i="14" s="1"/>
  <c r="N21" i="14"/>
  <c r="Q21" i="14" s="1"/>
  <c r="N22" i="14"/>
  <c r="Q22" i="14" s="1"/>
  <c r="N23" i="14"/>
  <c r="Q23" i="14" s="1"/>
  <c r="N24" i="14"/>
  <c r="Q24" i="14" s="1"/>
  <c r="N25" i="14"/>
  <c r="Q25" i="14" s="1"/>
  <c r="N26" i="14"/>
  <c r="Q26" i="14" s="1"/>
  <c r="N27" i="14"/>
  <c r="Q27" i="14" s="1"/>
  <c r="N28" i="14"/>
  <c r="Q28" i="14" s="1"/>
  <c r="N33" i="14"/>
  <c r="Q33" i="14" s="1"/>
  <c r="N34" i="14"/>
  <c r="Q34" i="14" s="1"/>
  <c r="N35" i="14"/>
  <c r="Q35" i="14" s="1"/>
  <c r="N36" i="14"/>
  <c r="Q36" i="14" s="1"/>
  <c r="N37" i="14"/>
  <c r="Q37" i="14" s="1"/>
  <c r="N38" i="14"/>
  <c r="Q38" i="14" s="1"/>
  <c r="M3" i="14"/>
  <c r="P3" i="14" s="1"/>
  <c r="M4" i="14"/>
  <c r="P4" i="14" s="1"/>
  <c r="M5" i="14"/>
  <c r="P5" i="14" s="1"/>
  <c r="M6" i="14"/>
  <c r="P6" i="14" s="1"/>
  <c r="M7" i="14"/>
  <c r="P7" i="14" s="1"/>
  <c r="M8" i="14"/>
  <c r="P8" i="14" s="1"/>
  <c r="M9" i="14"/>
  <c r="P9" i="14" s="1"/>
  <c r="M10" i="14"/>
  <c r="M11" i="14"/>
  <c r="P11" i="14" s="1"/>
  <c r="M12" i="14"/>
  <c r="P12" i="14" s="1"/>
  <c r="M13" i="14"/>
  <c r="P13" i="14" s="1"/>
  <c r="M14" i="14"/>
  <c r="P14" i="14" s="1"/>
  <c r="M15" i="14"/>
  <c r="P15" i="14" s="1"/>
  <c r="M18" i="14"/>
  <c r="P18" i="14" s="1"/>
  <c r="M19" i="14"/>
  <c r="P19" i="14" s="1"/>
  <c r="M20" i="14"/>
  <c r="P20" i="14" s="1"/>
  <c r="M21" i="14"/>
  <c r="P21" i="14" s="1"/>
  <c r="M22" i="14"/>
  <c r="P22" i="14" s="1"/>
  <c r="M23" i="14"/>
  <c r="P23" i="14" s="1"/>
  <c r="M24" i="14"/>
  <c r="P24" i="14" s="1"/>
  <c r="M25" i="14"/>
  <c r="P25" i="14" s="1"/>
  <c r="M26" i="14"/>
  <c r="P26" i="14" s="1"/>
  <c r="M27" i="14"/>
  <c r="P27" i="14" s="1"/>
  <c r="M28" i="14"/>
  <c r="P28" i="14" s="1"/>
  <c r="M33" i="14"/>
  <c r="P33" i="14" s="1"/>
  <c r="M34" i="14"/>
  <c r="P34" i="14" s="1"/>
  <c r="M35" i="14"/>
  <c r="P35" i="14" s="1"/>
  <c r="M36" i="14"/>
  <c r="P36" i="14" s="1"/>
  <c r="M37" i="14"/>
  <c r="P37" i="14" s="1"/>
  <c r="M38" i="14"/>
  <c r="P38" i="14" s="1"/>
  <c r="L10" i="14"/>
  <c r="L3" i="14"/>
  <c r="L4" i="14"/>
  <c r="L5" i="14"/>
  <c r="L6" i="14"/>
  <c r="L7" i="14"/>
  <c r="L8" i="14"/>
  <c r="L9" i="14"/>
  <c r="L11" i="14"/>
  <c r="L12" i="14"/>
  <c r="L13" i="14"/>
  <c r="L14" i="14"/>
  <c r="L15" i="14"/>
  <c r="L18" i="14"/>
  <c r="L19" i="14"/>
  <c r="L20" i="14"/>
  <c r="L21" i="14"/>
  <c r="L22" i="14"/>
  <c r="L23" i="14"/>
  <c r="L24" i="14"/>
  <c r="L25" i="14"/>
  <c r="L26" i="14"/>
  <c r="R26" i="14" s="1"/>
  <c r="M23" i="19" s="1"/>
  <c r="O23" i="19" s="1"/>
  <c r="L27" i="14"/>
  <c r="L28" i="14"/>
  <c r="L33" i="14"/>
  <c r="L34" i="14"/>
  <c r="L35" i="14"/>
  <c r="L36" i="14"/>
  <c r="L37" i="14"/>
  <c r="L38" i="14"/>
  <c r="C7" i="3"/>
  <c r="E58" i="3" s="1" a="1"/>
  <c r="E58" i="3" s="1"/>
  <c r="E24" i="3" a="1"/>
  <c r="E24" i="3" s="1"/>
  <c r="B7" i="3"/>
  <c r="E21" i="3" s="1" a="1"/>
  <c r="E21" i="3" s="1"/>
  <c r="O27" i="3"/>
  <c r="I13" i="3" a="1"/>
  <c r="I13" i="3" s="1"/>
  <c r="K13" i="3" a="1"/>
  <c r="K13" i="3" s="1"/>
  <c r="J13" i="3" a="1"/>
  <c r="J13" i="3" s="1"/>
  <c r="H13" i="3" a="1"/>
  <c r="H13" i="3" s="1"/>
  <c r="I3" i="19" a="1"/>
  <c r="I3" i="19" s="1"/>
  <c r="J3" i="19" s="1" a="1"/>
  <c r="J3" i="19" s="1"/>
  <c r="L3" i="19" s="1"/>
  <c r="I4" i="19" a="1"/>
  <c r="I4" i="19" s="1"/>
  <c r="J4" i="19" s="1" a="1"/>
  <c r="J4" i="19" s="1"/>
  <c r="I5" i="19" a="1"/>
  <c r="I5" i="19" s="1"/>
  <c r="J5" i="19" s="1" a="1"/>
  <c r="J5" i="19" s="1"/>
  <c r="I6" i="19" a="1"/>
  <c r="I6" i="19" s="1"/>
  <c r="J6" i="19" s="1" a="1"/>
  <c r="J6" i="19" s="1"/>
  <c r="I7" i="19" a="1"/>
  <c r="I7" i="19" s="1"/>
  <c r="J7" i="19" s="1" a="1"/>
  <c r="J7" i="19" s="1"/>
  <c r="L7" i="19" s="1"/>
  <c r="I9" i="19" a="1"/>
  <c r="I9" i="19" s="1"/>
  <c r="J9" i="19" s="1" a="1"/>
  <c r="J9" i="19" s="1"/>
  <c r="I10" i="19" a="1"/>
  <c r="I10" i="19" s="1"/>
  <c r="J10" i="19" s="1" a="1"/>
  <c r="J10" i="19" s="1"/>
  <c r="I11" i="19" a="1"/>
  <c r="I11" i="19" s="1"/>
  <c r="J11" i="19" s="1" a="1"/>
  <c r="J11" i="19" s="1"/>
  <c r="L11" i="19" s="1"/>
  <c r="I12" i="19" a="1"/>
  <c r="I12" i="19" s="1"/>
  <c r="J12" i="19" s="1" a="1"/>
  <c r="J12" i="19" s="1"/>
  <c r="I15" i="19" a="1"/>
  <c r="I15" i="19" s="1"/>
  <c r="J15" i="19" s="1" a="1"/>
  <c r="J15" i="19" s="1"/>
  <c r="I16" i="19" a="1"/>
  <c r="I16" i="19" s="1"/>
  <c r="J16" i="19" s="1" a="1"/>
  <c r="J16" i="19" s="1"/>
  <c r="I17" i="19" a="1"/>
  <c r="I17" i="19" s="1"/>
  <c r="J17" i="19" s="1" a="1"/>
  <c r="J17" i="19" s="1"/>
  <c r="I18" i="19" a="1"/>
  <c r="I18" i="19" s="1"/>
  <c r="J18" i="19" s="1" a="1"/>
  <c r="J18" i="19" s="1"/>
  <c r="I19" i="19" a="1"/>
  <c r="I19" i="19" s="1"/>
  <c r="J19" i="19" s="1" a="1"/>
  <c r="J19" i="19" s="1"/>
  <c r="I21" i="19" a="1"/>
  <c r="I21" i="19" s="1"/>
  <c r="J21" i="19" s="1" a="1"/>
  <c r="J21" i="19" s="1"/>
  <c r="I22" i="19" a="1"/>
  <c r="I22" i="19" s="1"/>
  <c r="J22" i="19" s="1" a="1"/>
  <c r="J22" i="19" s="1"/>
  <c r="I23" i="19" a="1"/>
  <c r="I23" i="19" s="1"/>
  <c r="J23" i="19" s="1" a="1"/>
  <c r="J23" i="19" s="1"/>
  <c r="L23" i="19" s="1"/>
  <c r="I24" i="19" a="1"/>
  <c r="I24" i="19" s="1"/>
  <c r="J24" i="19" s="1" a="1"/>
  <c r="J24" i="19" s="1"/>
  <c r="I25" i="19" a="1"/>
  <c r="I25" i="19" s="1"/>
  <c r="J25" i="19" s="1" a="1"/>
  <c r="J25" i="19" s="1"/>
  <c r="I28" i="19" a="1"/>
  <c r="I28" i="19" s="1"/>
  <c r="J28" i="19" s="1" a="1"/>
  <c r="J28" i="19" s="1"/>
  <c r="I29" i="19" a="1"/>
  <c r="I29" i="19" s="1"/>
  <c r="J29" i="19" s="1" a="1"/>
  <c r="J29" i="19" s="1"/>
  <c r="L29" i="19" s="1"/>
  <c r="I30" i="19" a="1"/>
  <c r="I30" i="19" s="1"/>
  <c r="J30" i="19" s="1" a="1"/>
  <c r="J30" i="19" s="1"/>
  <c r="L30" i="19" s="1"/>
  <c r="I31" i="19" a="1"/>
  <c r="I31" i="19" s="1"/>
  <c r="J31" i="19" s="1" a="1"/>
  <c r="J31" i="19" s="1"/>
  <c r="I32" i="19" a="1"/>
  <c r="I32" i="19" s="1"/>
  <c r="J32" i="19" s="1" a="1"/>
  <c r="J32" i="19" s="1"/>
  <c r="I34" i="19" a="1"/>
  <c r="I34" i="19" s="1"/>
  <c r="J34" i="19" s="1" a="1"/>
  <c r="J34" i="19" s="1"/>
  <c r="I35" i="19" a="1"/>
  <c r="I35" i="19" s="1"/>
  <c r="J35" i="19" s="1" a="1"/>
  <c r="J35" i="19" s="1"/>
  <c r="E20" i="3"/>
  <c r="E23" i="3"/>
  <c r="E30" i="3"/>
  <c r="E31" i="3"/>
  <c r="E32" i="3"/>
  <c r="E33" i="3"/>
  <c r="E34" i="3"/>
  <c r="I61" i="16"/>
  <c r="B61" i="16" s="1"/>
  <c r="I60" i="16"/>
  <c r="B60" i="16" s="1"/>
  <c r="I76" i="16"/>
  <c r="B76" i="16" s="1"/>
  <c r="I77" i="16"/>
  <c r="B77" i="16" s="1"/>
  <c r="I39" i="16"/>
  <c r="B39" i="16" s="1"/>
  <c r="I41" i="16"/>
  <c r="B41" i="16" s="1"/>
  <c r="I42" i="16"/>
  <c r="B42" i="16" s="1"/>
  <c r="I43" i="16"/>
  <c r="B43" i="16" s="1"/>
  <c r="I44" i="16"/>
  <c r="B44" i="16" s="1"/>
  <c r="I45" i="16"/>
  <c r="B45" i="16" s="1"/>
  <c r="I40" i="16"/>
  <c r="B40" i="16" s="1"/>
  <c r="K20" i="2"/>
  <c r="L20" i="2" s="1"/>
  <c r="O20" i="2"/>
  <c r="P20" i="2" s="1"/>
  <c r="O21" i="2"/>
  <c r="P21" i="2" s="1"/>
  <c r="M20" i="2"/>
  <c r="N20" i="2" s="1"/>
  <c r="M21" i="2"/>
  <c r="N21" i="2" s="1"/>
  <c r="M22" i="2"/>
  <c r="N22" i="2" s="1"/>
  <c r="K21" i="2"/>
  <c r="L21" i="2" s="1"/>
  <c r="K22" i="2"/>
  <c r="L22" i="2" s="1"/>
  <c r="K13" i="2"/>
  <c r="K14" i="2"/>
  <c r="K15" i="2"/>
  <c r="O22" i="2" s="1"/>
  <c r="P22" i="2" s="1"/>
  <c r="B30" i="13" l="1" a="1"/>
  <c r="B30" i="13" s="1"/>
  <c r="Q17" i="14"/>
  <c r="R17" i="14" s="1"/>
  <c r="R16" i="14"/>
  <c r="M14" i="19" s="1"/>
  <c r="O14" i="19" s="1"/>
  <c r="P14" i="19" s="1"/>
  <c r="J16" i="13"/>
  <c r="I16" i="13"/>
  <c r="H16" i="13"/>
  <c r="C16" i="13" s="1"/>
  <c r="P31" i="14"/>
  <c r="R31" i="14" s="1"/>
  <c r="R12" i="14"/>
  <c r="M11" i="19" s="1"/>
  <c r="O11" i="19" s="1"/>
  <c r="P11" i="19" s="1"/>
  <c r="I25" i="13"/>
  <c r="H25" i="13"/>
  <c r="J25" i="13"/>
  <c r="I23" i="13"/>
  <c r="Q24" i="13" a="1"/>
  <c r="Q24" i="13" s="1"/>
  <c r="K17" i="13"/>
  <c r="K23" i="13"/>
  <c r="K22" i="13"/>
  <c r="K21" i="13"/>
  <c r="K20" i="13"/>
  <c r="K19" i="13"/>
  <c r="K18" i="13"/>
  <c r="H20" i="13"/>
  <c r="I21" i="13"/>
  <c r="H19" i="13"/>
  <c r="I20" i="13"/>
  <c r="J23" i="13"/>
  <c r="H18" i="13"/>
  <c r="I19" i="13"/>
  <c r="J22" i="13"/>
  <c r="H17" i="13"/>
  <c r="I18" i="13"/>
  <c r="J21" i="13"/>
  <c r="I17" i="13"/>
  <c r="J20" i="13"/>
  <c r="H23" i="13"/>
  <c r="J19" i="13"/>
  <c r="H22" i="13"/>
  <c r="J18" i="13"/>
  <c r="H21" i="13"/>
  <c r="I22" i="13"/>
  <c r="J17" i="13"/>
  <c r="R27" i="14"/>
  <c r="M24" i="19" s="1"/>
  <c r="O24" i="19" s="1"/>
  <c r="R29" i="14"/>
  <c r="R13" i="14"/>
  <c r="M12" i="19" s="1"/>
  <c r="O12" i="19" s="1"/>
  <c r="R32" i="14"/>
  <c r="R30" i="14"/>
  <c r="M27" i="19" s="1"/>
  <c r="O27" i="19" s="1"/>
  <c r="P27" i="19" s="1"/>
  <c r="P10" i="14"/>
  <c r="M11" i="20"/>
  <c r="M3" i="20"/>
  <c r="M4" i="20"/>
  <c r="M5" i="20"/>
  <c r="O34" i="14"/>
  <c r="R34" i="14" s="1"/>
  <c r="C112" i="11"/>
  <c r="C110" i="11"/>
  <c r="Q21" i="2"/>
  <c r="Q22" i="2"/>
  <c r="Q20" i="2"/>
  <c r="C106" i="11"/>
  <c r="C111" i="11"/>
  <c r="C107" i="11"/>
  <c r="C108" i="11"/>
  <c r="C117" i="11"/>
  <c r="B125" i="11"/>
  <c r="C118" i="11"/>
  <c r="B126" i="11"/>
  <c r="C114" i="11"/>
  <c r="B122" i="11"/>
  <c r="C119" i="11"/>
  <c r="B127" i="11"/>
  <c r="C115" i="11"/>
  <c r="B123" i="11"/>
  <c r="B121" i="11"/>
  <c r="C113" i="11"/>
  <c r="C120" i="11"/>
  <c r="B128" i="11"/>
  <c r="C116" i="11"/>
  <c r="B124" i="11"/>
  <c r="C109" i="11"/>
  <c r="C105" i="11"/>
  <c r="O4" i="14"/>
  <c r="O18" i="14"/>
  <c r="L35" i="19"/>
  <c r="O28" i="14"/>
  <c r="R28" i="14" s="1"/>
  <c r="O14" i="14"/>
  <c r="Q10" i="14"/>
  <c r="K10" i="19" a="1"/>
  <c r="K10" i="19" s="1"/>
  <c r="L10" i="19" s="1"/>
  <c r="P23" i="19"/>
  <c r="R24" i="14"/>
  <c r="M22" i="19" s="1"/>
  <c r="O22" i="19" s="1"/>
  <c r="R8" i="14"/>
  <c r="M8" i="19" s="1"/>
  <c r="O8" i="19" s="1"/>
  <c r="R22" i="14"/>
  <c r="R20" i="14"/>
  <c r="M18" i="19" s="1"/>
  <c r="O18" i="19" s="1"/>
  <c r="R10" i="14"/>
  <c r="M10" i="19" s="1"/>
  <c r="O10" i="19" s="1"/>
  <c r="R14" i="14"/>
  <c r="R21" i="14"/>
  <c r="M19" i="19" s="1"/>
  <c r="O19" i="19" s="1"/>
  <c r="R7" i="14"/>
  <c r="M7" i="19" s="1"/>
  <c r="O7" i="19" s="1"/>
  <c r="P7" i="19" s="1"/>
  <c r="R5" i="14"/>
  <c r="M5" i="19" s="1"/>
  <c r="O5" i="19" s="1"/>
  <c r="R18" i="14"/>
  <c r="R4" i="14"/>
  <c r="M4" i="19" s="1"/>
  <c r="O4" i="19" s="1"/>
  <c r="R3" i="14"/>
  <c r="M3" i="19" s="1"/>
  <c r="O3" i="19" s="1"/>
  <c r="P3" i="19" s="1"/>
  <c r="O36" i="14"/>
  <c r="R36" i="14" s="1"/>
  <c r="O24" i="14"/>
  <c r="O20" i="14"/>
  <c r="O10" i="14"/>
  <c r="O6" i="14"/>
  <c r="R6" i="14" s="1"/>
  <c r="M6" i="19" s="1"/>
  <c r="O6" i="19" s="1"/>
  <c r="O35" i="14"/>
  <c r="R35" i="14" s="1"/>
  <c r="M33" i="19" s="1"/>
  <c r="O33" i="19" s="1"/>
  <c r="P33" i="19" s="1"/>
  <c r="O27" i="14"/>
  <c r="O23" i="14"/>
  <c r="R23" i="14" s="1"/>
  <c r="O19" i="14"/>
  <c r="O13" i="14"/>
  <c r="O9" i="14"/>
  <c r="R9" i="14" s="1"/>
  <c r="M9" i="19" s="1"/>
  <c r="O9" i="19" s="1"/>
  <c r="O5" i="14"/>
  <c r="O38" i="14"/>
  <c r="O26" i="14"/>
  <c r="O22" i="14"/>
  <c r="O12" i="14"/>
  <c r="O8" i="14"/>
  <c r="O37" i="14"/>
  <c r="O33" i="14"/>
  <c r="R33" i="14" s="1"/>
  <c r="O25" i="14"/>
  <c r="R25" i="14" s="1"/>
  <c r="O21" i="14"/>
  <c r="O15" i="14"/>
  <c r="R15" i="14" s="1"/>
  <c r="O11" i="14"/>
  <c r="R11" i="14" s="1"/>
  <c r="O7" i="14"/>
  <c r="O3" i="14"/>
  <c r="L32" i="19"/>
  <c r="L17" i="19"/>
  <c r="L18" i="19"/>
  <c r="L31" i="19"/>
  <c r="L15" i="19"/>
  <c r="L25" i="19"/>
  <c r="L24" i="19"/>
  <c r="L9" i="19"/>
  <c r="L6" i="19"/>
  <c r="L21" i="19"/>
  <c r="L5" i="19"/>
  <c r="L19" i="19"/>
  <c r="L4" i="19"/>
  <c r="L16" i="19"/>
  <c r="L12" i="19"/>
  <c r="L13" i="3"/>
  <c r="I19" i="3" s="1" a="1"/>
  <c r="I19" i="3" s="1"/>
  <c r="N12" i="9"/>
  <c r="N3" i="9"/>
  <c r="N4" i="9"/>
  <c r="N5" i="9"/>
  <c r="N6" i="9"/>
  <c r="N7" i="9"/>
  <c r="N8" i="9"/>
  <c r="N9" i="9"/>
  <c r="N20" i="9"/>
  <c r="N10" i="9"/>
  <c r="N11" i="9"/>
  <c r="N13" i="9"/>
  <c r="N14" i="9"/>
  <c r="N15" i="9"/>
  <c r="I3" i="16"/>
  <c r="B3" i="16" s="1"/>
  <c r="I4" i="16"/>
  <c r="B4" i="16" s="1"/>
  <c r="I5" i="16"/>
  <c r="B5" i="16" s="1"/>
  <c r="I59" i="16"/>
  <c r="B59" i="16" s="1"/>
  <c r="I58" i="16"/>
  <c r="B58" i="16" s="1"/>
  <c r="I57" i="16"/>
  <c r="B57" i="16" s="1"/>
  <c r="I56" i="16"/>
  <c r="B56" i="16" s="1"/>
  <c r="I55" i="16"/>
  <c r="B55" i="16" s="1"/>
  <c r="I54" i="16"/>
  <c r="B54" i="16" s="1"/>
  <c r="I47" i="16"/>
  <c r="B47" i="16" s="1"/>
  <c r="I46" i="16"/>
  <c r="B46" i="16" s="1"/>
  <c r="I78" i="16"/>
  <c r="B78" i="16" s="1"/>
  <c r="I79" i="16"/>
  <c r="B79" i="16" s="1"/>
  <c r="I80" i="16"/>
  <c r="B80" i="16" s="1"/>
  <c r="I81" i="16"/>
  <c r="B81" i="16" s="1"/>
  <c r="I82" i="16"/>
  <c r="B82" i="16" s="1"/>
  <c r="I83" i="16"/>
  <c r="B83" i="16" s="1"/>
  <c r="I84" i="16"/>
  <c r="B84" i="16" s="1"/>
  <c r="I85" i="16"/>
  <c r="B85" i="16" s="1"/>
  <c r="I86" i="16"/>
  <c r="B86" i="16" s="1"/>
  <c r="I87" i="16"/>
  <c r="B87" i="16" s="1"/>
  <c r="I88" i="16"/>
  <c r="B88" i="16" s="1"/>
  <c r="I89" i="16"/>
  <c r="B89" i="16" s="1"/>
  <c r="I90" i="16"/>
  <c r="B90" i="16" s="1"/>
  <c r="I92" i="16"/>
  <c r="B92" i="16" s="1"/>
  <c r="I93" i="16"/>
  <c r="B93" i="16" s="1"/>
  <c r="I94" i="16"/>
  <c r="B94" i="16" s="1"/>
  <c r="I95" i="16"/>
  <c r="B95" i="16" s="1"/>
  <c r="I96" i="16"/>
  <c r="B96" i="16" s="1"/>
  <c r="I97" i="16"/>
  <c r="B97" i="16" s="1"/>
  <c r="I98" i="16"/>
  <c r="B98" i="16" s="1"/>
  <c r="I100" i="16"/>
  <c r="B100" i="16" s="1"/>
  <c r="I101" i="16"/>
  <c r="B101" i="16" s="1"/>
  <c r="I102" i="16"/>
  <c r="B102" i="16" s="1"/>
  <c r="I103" i="16"/>
  <c r="B103" i="16" s="1"/>
  <c r="I104" i="16"/>
  <c r="B104" i="16" s="1"/>
  <c r="I105" i="16"/>
  <c r="B105" i="16" s="1"/>
  <c r="I106" i="16"/>
  <c r="B106" i="16" s="1"/>
  <c r="I107" i="16"/>
  <c r="B107" i="16" s="1"/>
  <c r="I108" i="16"/>
  <c r="B108" i="16" s="1"/>
  <c r="I109" i="16"/>
  <c r="B109" i="16" s="1"/>
  <c r="I110" i="16"/>
  <c r="B110" i="16" s="1"/>
  <c r="I111" i="16"/>
  <c r="B111" i="16" s="1"/>
  <c r="I112" i="16"/>
  <c r="B112" i="16" s="1"/>
  <c r="I113" i="16"/>
  <c r="B113" i="16" s="1"/>
  <c r="I114" i="16"/>
  <c r="B114" i="16" s="1"/>
  <c r="I115" i="16"/>
  <c r="B115" i="16" s="1"/>
  <c r="I116" i="16"/>
  <c r="B116" i="16" s="1"/>
  <c r="I117" i="16"/>
  <c r="B117" i="16" s="1"/>
  <c r="I118" i="16"/>
  <c r="B118" i="16" s="1"/>
  <c r="I120" i="16"/>
  <c r="B120" i="16" s="1"/>
  <c r="I121" i="16"/>
  <c r="B121" i="16" s="1"/>
  <c r="I122" i="16"/>
  <c r="B122" i="16" s="1"/>
  <c r="I123" i="16"/>
  <c r="B123" i="16" s="1"/>
  <c r="I124" i="16"/>
  <c r="B124" i="16" s="1"/>
  <c r="I125" i="16"/>
  <c r="B125" i="16" s="1"/>
  <c r="I126" i="16"/>
  <c r="B126" i="16" s="1"/>
  <c r="I128" i="16"/>
  <c r="B128" i="16" s="1"/>
  <c r="I129" i="16"/>
  <c r="B129" i="16" s="1"/>
  <c r="I130" i="16"/>
  <c r="B130" i="16" s="1"/>
  <c r="I131" i="16"/>
  <c r="B131" i="16" s="1"/>
  <c r="I132" i="16"/>
  <c r="B132" i="16" s="1"/>
  <c r="I133" i="16"/>
  <c r="B133" i="16" s="1"/>
  <c r="I134" i="16"/>
  <c r="B134" i="16" s="1"/>
  <c r="I135" i="16"/>
  <c r="B135" i="16" s="1"/>
  <c r="I136" i="16"/>
  <c r="B136" i="16" s="1"/>
  <c r="I137" i="16"/>
  <c r="B137" i="16" s="1"/>
  <c r="I138" i="16"/>
  <c r="B138" i="16" s="1"/>
  <c r="I139" i="16"/>
  <c r="B139" i="16" s="1"/>
  <c r="I140" i="16"/>
  <c r="B140" i="16" s="1"/>
  <c r="I141" i="16"/>
  <c r="B141" i="16" s="1"/>
  <c r="I142" i="16"/>
  <c r="B142" i="16" s="1"/>
  <c r="I143" i="16"/>
  <c r="B143" i="16" s="1"/>
  <c r="I144" i="16"/>
  <c r="B144" i="16" s="1"/>
  <c r="I145" i="16"/>
  <c r="B145" i="16" s="1"/>
  <c r="I146" i="16"/>
  <c r="B146" i="16" s="1"/>
  <c r="I148" i="16"/>
  <c r="B148" i="16" s="1"/>
  <c r="I149" i="16"/>
  <c r="B149" i="16" s="1"/>
  <c r="I150" i="16"/>
  <c r="B150" i="16" s="1"/>
  <c r="I151" i="16"/>
  <c r="B151" i="16" s="1"/>
  <c r="I152" i="16"/>
  <c r="B152" i="16" s="1"/>
  <c r="I153" i="16"/>
  <c r="B153" i="16" s="1"/>
  <c r="I154" i="16"/>
  <c r="B154" i="16" s="1"/>
  <c r="I156" i="16"/>
  <c r="B156" i="16" s="1"/>
  <c r="I157" i="16"/>
  <c r="B157" i="16" s="1"/>
  <c r="I158" i="16"/>
  <c r="B158" i="16" s="1"/>
  <c r="I159" i="16"/>
  <c r="B159" i="16" s="1"/>
  <c r="I160" i="16"/>
  <c r="B160" i="16" s="1"/>
  <c r="I161" i="16"/>
  <c r="B161" i="16" s="1"/>
  <c r="I162" i="16"/>
  <c r="B162" i="16" s="1"/>
  <c r="I163" i="16"/>
  <c r="B163" i="16" s="1"/>
  <c r="I164" i="16"/>
  <c r="B164" i="16" s="1"/>
  <c r="I165" i="16"/>
  <c r="B165" i="16" s="1"/>
  <c r="I166" i="16"/>
  <c r="B166" i="16" s="1"/>
  <c r="I167" i="16"/>
  <c r="B167" i="16" s="1"/>
  <c r="I168" i="16"/>
  <c r="B168" i="16" s="1"/>
  <c r="Q23" i="13" a="1"/>
  <c r="Q23" i="13" s="1"/>
  <c r="O23" i="13" a="1"/>
  <c r="O23" i="13" s="1"/>
  <c r="Q22" i="13" a="1"/>
  <c r="Q22" i="13" s="1"/>
  <c r="O22" i="13" a="1"/>
  <c r="O22" i="13" s="1"/>
  <c r="M9" i="2"/>
  <c r="L9" i="2"/>
  <c r="E5" i="9"/>
  <c r="K7" i="8"/>
  <c r="K8" i="8"/>
  <c r="K9" i="8"/>
  <c r="K10" i="8"/>
  <c r="K11" i="8"/>
  <c r="K3" i="8"/>
  <c r="K6" i="8"/>
  <c r="K5" i="8"/>
  <c r="K4" i="8"/>
  <c r="O15" i="13" a="1"/>
  <c r="O15" i="13" s="1"/>
  <c r="F20" i="13" l="1"/>
  <c r="F21" i="13"/>
  <c r="F22" i="13"/>
  <c r="F23" i="13"/>
  <c r="F17" i="13"/>
  <c r="F18" i="13"/>
  <c r="D16" i="13"/>
  <c r="F8" i="13"/>
  <c r="F25" i="13"/>
  <c r="F28" i="13"/>
  <c r="F29" i="13"/>
  <c r="F9" i="13"/>
  <c r="F26" i="13"/>
  <c r="F11" i="13"/>
  <c r="F12" i="13"/>
  <c r="F16" i="13"/>
  <c r="F10" i="13"/>
  <c r="F27" i="13"/>
  <c r="F3" i="13"/>
  <c r="F4" i="13"/>
  <c r="F5" i="13"/>
  <c r="F13" i="13"/>
  <c r="F30" i="13"/>
  <c r="F7" i="13"/>
  <c r="F15" i="13"/>
  <c r="F6" i="13"/>
  <c r="F14" i="13"/>
  <c r="F19" i="13"/>
  <c r="E16" i="13"/>
  <c r="I26" i="13"/>
  <c r="D26" i="13" s="1"/>
  <c r="J26" i="13"/>
  <c r="E26" i="13" s="1"/>
  <c r="H26" i="13"/>
  <c r="C26" i="13" s="1"/>
  <c r="K24" i="13"/>
  <c r="F24" i="13" s="1"/>
  <c r="J24" i="13"/>
  <c r="E24" i="13" s="1"/>
  <c r="I24" i="13"/>
  <c r="D24" i="13" s="1"/>
  <c r="H24" i="13"/>
  <c r="C24" i="13" s="1"/>
  <c r="C25" i="13"/>
  <c r="C19" i="13"/>
  <c r="C21" i="13"/>
  <c r="C17" i="13"/>
  <c r="C20" i="13"/>
  <c r="C22" i="13"/>
  <c r="E21" i="13"/>
  <c r="D21" i="13"/>
  <c r="E22" i="13"/>
  <c r="D22" i="13"/>
  <c r="E23" i="13"/>
  <c r="D23" i="13"/>
  <c r="E25" i="13"/>
  <c r="D25" i="13"/>
  <c r="E17" i="13"/>
  <c r="D17" i="13"/>
  <c r="E18" i="13"/>
  <c r="D18" i="13"/>
  <c r="E19" i="13"/>
  <c r="D19" i="13"/>
  <c r="E20" i="13"/>
  <c r="D20" i="13"/>
  <c r="C23" i="13"/>
  <c r="C18" i="13"/>
  <c r="M25" i="19"/>
  <c r="O25" i="19" s="1"/>
  <c r="P25" i="19" s="1"/>
  <c r="P24" i="19"/>
  <c r="P12" i="19"/>
  <c r="M13" i="19"/>
  <c r="O13" i="19" s="1"/>
  <c r="M26" i="19"/>
  <c r="O26" i="19" s="1"/>
  <c r="P26" i="19" s="1"/>
  <c r="I8" i="3" a="1"/>
  <c r="I8" i="3" s="1"/>
  <c r="I9" i="3" a="1"/>
  <c r="I9" i="3" s="1"/>
  <c r="I7" i="3" a="1"/>
  <c r="I7" i="3" s="1"/>
  <c r="M21" i="19"/>
  <c r="O21" i="19" s="1"/>
  <c r="P21" i="19" s="1"/>
  <c r="M20" i="19"/>
  <c r="O20" i="19" s="1"/>
  <c r="P20" i="19" s="1"/>
  <c r="C123" i="11"/>
  <c r="B131" i="11"/>
  <c r="C127" i="11"/>
  <c r="B135" i="11"/>
  <c r="C121" i="11"/>
  <c r="B129" i="11"/>
  <c r="C124" i="11"/>
  <c r="B132" i="11"/>
  <c r="C126" i="11"/>
  <c r="B134" i="11"/>
  <c r="C122" i="11"/>
  <c r="B130" i="11"/>
  <c r="C128" i="11"/>
  <c r="B136" i="11"/>
  <c r="B133" i="11"/>
  <c r="C125" i="11"/>
  <c r="P9" i="19"/>
  <c r="P6" i="19"/>
  <c r="P10" i="19"/>
  <c r="P18" i="19"/>
  <c r="P4" i="19"/>
  <c r="P5" i="19"/>
  <c r="P19" i="19"/>
  <c r="M31" i="19"/>
  <c r="O31" i="19" s="1"/>
  <c r="P31" i="19" s="1"/>
  <c r="M32" i="19"/>
  <c r="O32" i="19" s="1"/>
  <c r="P32" i="19" s="1"/>
  <c r="M29" i="19"/>
  <c r="O29" i="19" s="1"/>
  <c r="P29" i="19" s="1"/>
  <c r="M28" i="19"/>
  <c r="O28" i="19" s="1"/>
  <c r="M30" i="19"/>
  <c r="O30" i="19" s="1"/>
  <c r="P30" i="19" s="1"/>
  <c r="M16" i="19"/>
  <c r="O16" i="19" s="1"/>
  <c r="P16" i="19" s="1"/>
  <c r="M15" i="19"/>
  <c r="O15" i="19" s="1"/>
  <c r="P15" i="19" s="1"/>
  <c r="R38" i="14"/>
  <c r="M35" i="19" s="1"/>
  <c r="O35" i="19" s="1"/>
  <c r="P35" i="19" s="1"/>
  <c r="R37" i="14"/>
  <c r="M34" i="19" s="1"/>
  <c r="O34" i="19" s="1"/>
  <c r="R19" i="14"/>
  <c r="M17" i="19" s="1"/>
  <c r="O17" i="19" s="1"/>
  <c r="P17" i="19" s="1"/>
  <c r="I46" i="10"/>
  <c r="I58" i="10"/>
  <c r="I56" i="10"/>
  <c r="I55" i="10"/>
  <c r="I54" i="10"/>
  <c r="I53" i="10"/>
  <c r="I57" i="10"/>
  <c r="I45" i="10"/>
  <c r="N5" i="7"/>
  <c r="O5" i="7"/>
  <c r="P5" i="7"/>
  <c r="Q5" i="7"/>
  <c r="R5" i="7"/>
  <c r="S5" i="7"/>
  <c r="K9" i="2"/>
  <c r="I42" i="10"/>
  <c r="I3" i="10"/>
  <c r="I5" i="10"/>
  <c r="I9" i="10"/>
  <c r="I21" i="10"/>
  <c r="I16" i="10"/>
  <c r="I18" i="10"/>
  <c r="I11" i="10"/>
  <c r="I28" i="10"/>
  <c r="I17" i="10"/>
  <c r="I7" i="10"/>
  <c r="I30" i="10"/>
  <c r="I31" i="10"/>
  <c r="I32" i="10"/>
  <c r="I33" i="10"/>
  <c r="I34" i="10"/>
  <c r="I35" i="10"/>
  <c r="I36" i="10"/>
  <c r="I37" i="10"/>
  <c r="I38" i="10"/>
  <c r="I4" i="10"/>
  <c r="I43" i="10"/>
  <c r="I44" i="10"/>
  <c r="I26" i="10"/>
  <c r="I29" i="10"/>
  <c r="I12" i="10"/>
  <c r="I22" i="10"/>
  <c r="I13" i="10"/>
  <c r="I19" i="10"/>
  <c r="I24" i="10"/>
  <c r="I25" i="10"/>
  <c r="I8" i="10"/>
  <c r="I10" i="10"/>
  <c r="I20" i="10"/>
  <c r="I23" i="10"/>
  <c r="I14" i="10"/>
  <c r="I6" i="10"/>
  <c r="I15" i="10"/>
  <c r="I27" i="10"/>
  <c r="I39" i="10"/>
  <c r="I40" i="10"/>
  <c r="I41" i="10"/>
  <c r="I48" i="10"/>
  <c r="I49" i="10"/>
  <c r="I50" i="10"/>
  <c r="I51" i="10"/>
  <c r="I52" i="10"/>
  <c r="I47" i="10"/>
  <c r="V10" i="9"/>
  <c r="E10" i="9"/>
  <c r="H4" i="10"/>
  <c r="V15" i="9"/>
  <c r="E15" i="9"/>
  <c r="V14" i="9"/>
  <c r="E14" i="9"/>
  <c r="E13" i="9"/>
  <c r="H20" i="10"/>
  <c r="H27" i="10"/>
  <c r="H15" i="10"/>
  <c r="H6" i="10"/>
  <c r="H14" i="10"/>
  <c r="H23" i="10"/>
  <c r="H10" i="10"/>
  <c r="H8" i="10"/>
  <c r="H25" i="10"/>
  <c r="H24" i="10"/>
  <c r="H19" i="10"/>
  <c r="H13" i="10"/>
  <c r="H22" i="10"/>
  <c r="H12" i="10"/>
  <c r="H29" i="10"/>
  <c r="H26" i="10"/>
  <c r="H3" i="10"/>
  <c r="H5" i="10"/>
  <c r="H9" i="10"/>
  <c r="H21" i="10"/>
  <c r="H16" i="10"/>
  <c r="H18" i="10"/>
  <c r="H11" i="10"/>
  <c r="H28" i="10"/>
  <c r="H17" i="10"/>
  <c r="H7" i="10"/>
  <c r="H30" i="10"/>
  <c r="H31" i="10"/>
  <c r="H32" i="10"/>
  <c r="H33" i="10"/>
  <c r="H34" i="10"/>
  <c r="H35" i="10"/>
  <c r="H36" i="10"/>
  <c r="H37" i="10"/>
  <c r="H38" i="10"/>
  <c r="E12" i="9"/>
  <c r="E11" i="9"/>
  <c r="C9" i="15"/>
  <c r="C8" i="15"/>
  <c r="C7" i="15"/>
  <c r="C6" i="15"/>
  <c r="C5" i="15"/>
  <c r="C4" i="15"/>
  <c r="C3" i="15"/>
  <c r="O21" i="13" a="1"/>
  <c r="O21" i="13" s="1"/>
  <c r="O19" i="13" a="1"/>
  <c r="O19" i="13" s="1"/>
  <c r="O18" i="13" a="1"/>
  <c r="O18" i="13" s="1"/>
  <c r="O17" i="13" a="1"/>
  <c r="O17" i="13" s="1"/>
  <c r="Q18" i="13" a="1"/>
  <c r="Q18" i="13" s="1"/>
  <c r="O14" i="13" a="1"/>
  <c r="O14" i="13" s="1"/>
  <c r="O13" i="13" a="1"/>
  <c r="O13" i="13" s="1"/>
  <c r="O12" i="13" a="1"/>
  <c r="O12" i="13" s="1"/>
  <c r="O11" i="13" a="1"/>
  <c r="O11" i="13" s="1"/>
  <c r="O10" i="13" a="1"/>
  <c r="O10" i="13" s="1"/>
  <c r="O9" i="13" a="1"/>
  <c r="O9" i="13" s="1"/>
  <c r="O8" i="13" a="1"/>
  <c r="O8" i="13" s="1"/>
  <c r="O7" i="13" a="1"/>
  <c r="O7" i="13" s="1"/>
  <c r="O6" i="13" a="1"/>
  <c r="O6" i="13" s="1"/>
  <c r="O5" i="13" a="1"/>
  <c r="O5" i="13" s="1"/>
  <c r="O4" i="13" a="1"/>
  <c r="O4" i="13" s="1"/>
  <c r="O3" i="13" a="1"/>
  <c r="O3" i="13" s="1"/>
  <c r="V9" i="9"/>
  <c r="E9" i="9"/>
  <c r="V8" i="9"/>
  <c r="E8" i="9"/>
  <c r="V7" i="9"/>
  <c r="E7" i="9"/>
  <c r="V6" i="9"/>
  <c r="E6" i="9"/>
  <c r="V5" i="9"/>
  <c r="V4" i="9"/>
  <c r="E4" i="9"/>
  <c r="V3" i="9"/>
  <c r="E3" i="9"/>
  <c r="S4" i="7"/>
  <c r="R4" i="7"/>
  <c r="Q4" i="7"/>
  <c r="P4" i="7"/>
  <c r="O4" i="7"/>
  <c r="N4" i="7"/>
  <c r="S3" i="7"/>
  <c r="R3" i="7"/>
  <c r="Q3" i="7"/>
  <c r="P3" i="7"/>
  <c r="O3" i="7"/>
  <c r="N3" i="7"/>
  <c r="E15" i="3"/>
  <c r="E13" i="3"/>
  <c r="N7" i="3"/>
  <c r="D7" i="2"/>
  <c r="J27" i="13" l="1"/>
  <c r="E27" i="13" s="1"/>
  <c r="I27" i="13"/>
  <c r="D27" i="13" s="1"/>
  <c r="H27" i="13"/>
  <c r="C27" i="13" s="1"/>
  <c r="J9" i="13"/>
  <c r="E9" i="13" s="1"/>
  <c r="I9" i="13"/>
  <c r="D9" i="13" s="1"/>
  <c r="H9" i="13"/>
  <c r="C9" i="13" s="1"/>
  <c r="H3" i="13"/>
  <c r="C3" i="13" s="1"/>
  <c r="J3" i="13"/>
  <c r="E3" i="13" s="1"/>
  <c r="I3" i="13"/>
  <c r="D3" i="13" s="1"/>
  <c r="G14" i="2"/>
  <c r="G15" i="2"/>
  <c r="C130" i="11"/>
  <c r="B138" i="11"/>
  <c r="C132" i="11"/>
  <c r="B140" i="11"/>
  <c r="C134" i="11"/>
  <c r="B142" i="11"/>
  <c r="C129" i="11"/>
  <c r="B137" i="11"/>
  <c r="C135" i="11"/>
  <c r="B143" i="11"/>
  <c r="B141" i="11"/>
  <c r="C133" i="11"/>
  <c r="C136" i="11"/>
  <c r="B144" i="11"/>
  <c r="C131" i="11"/>
  <c r="B139" i="11"/>
  <c r="L28" i="19"/>
  <c r="P28" i="19" s="1"/>
  <c r="L22" i="19"/>
  <c r="P22" i="19" s="1"/>
  <c r="L34" i="19"/>
  <c r="P34" i="19" s="1"/>
  <c r="I8" i="19" a="1"/>
  <c r="I8" i="19" s="1"/>
  <c r="J8" i="19" s="1" a="1"/>
  <c r="J8" i="19" s="1"/>
  <c r="L8" i="19" s="1"/>
  <c r="P8" i="19" s="1"/>
  <c r="I13" i="19" a="1"/>
  <c r="I13" i="19" s="1"/>
  <c r="J13" i="19" s="1" a="1"/>
  <c r="J13" i="19" s="1"/>
  <c r="L13" i="19" s="1"/>
  <c r="P13" i="19" s="1"/>
  <c r="J7" i="3"/>
  <c r="J8" i="3"/>
  <c r="J9" i="3"/>
  <c r="M14" i="2"/>
  <c r="M15" i="2"/>
  <c r="G13" i="2"/>
  <c r="Q17" i="13" a="1"/>
  <c r="Q17" i="13" s="1"/>
  <c r="Q9" i="13" a="1"/>
  <c r="Q9" i="13" s="1"/>
  <c r="Q19" i="13" a="1"/>
  <c r="Q19" i="13" s="1"/>
  <c r="Q3" i="13" a="1"/>
  <c r="Q3" i="13" s="1"/>
  <c r="H28" i="13" l="1"/>
  <c r="C28" i="13" s="1"/>
  <c r="I28" i="13"/>
  <c r="D28" i="13" s="1"/>
  <c r="J28" i="13"/>
  <c r="E28" i="13" s="1"/>
  <c r="J10" i="13"/>
  <c r="E10" i="13" s="1"/>
  <c r="I10" i="13"/>
  <c r="D10" i="13" s="1"/>
  <c r="H10" i="13"/>
  <c r="C10" i="13" s="1"/>
  <c r="J4" i="13"/>
  <c r="E4" i="13" s="1"/>
  <c r="I4" i="13"/>
  <c r="D4" i="13" s="1"/>
  <c r="H4" i="13"/>
  <c r="C4" i="13" s="1"/>
  <c r="C141" i="11"/>
  <c r="B149" i="11"/>
  <c r="B145" i="11"/>
  <c r="C137" i="11"/>
  <c r="C140" i="11"/>
  <c r="B148" i="11"/>
  <c r="C143" i="11"/>
  <c r="B151" i="11"/>
  <c r="C144" i="11"/>
  <c r="B152" i="11"/>
  <c r="C138" i="11"/>
  <c r="B146" i="11"/>
  <c r="C142" i="11"/>
  <c r="B150" i="11"/>
  <c r="C139" i="11"/>
  <c r="B147" i="11"/>
  <c r="M13" i="2"/>
  <c r="L13" i="2"/>
  <c r="Q4" i="13" a="1"/>
  <c r="Q4" i="13" s="1"/>
  <c r="Q10" i="13" a="1"/>
  <c r="Q10" i="13" s="1"/>
  <c r="L14" i="2"/>
  <c r="L15" i="2"/>
  <c r="O7" i="3"/>
  <c r="Q20" i="13" a="1"/>
  <c r="Q20" i="13" s="1"/>
  <c r="J29" i="13" l="1"/>
  <c r="E29" i="13" s="1"/>
  <c r="H29" i="13"/>
  <c r="C29" i="13" s="1"/>
  <c r="I29" i="13"/>
  <c r="D29" i="13" s="1"/>
  <c r="J11" i="13"/>
  <c r="E11" i="13" s="1"/>
  <c r="I11" i="13"/>
  <c r="D11" i="13" s="1"/>
  <c r="H11" i="13"/>
  <c r="C11" i="13" s="1"/>
  <c r="H5" i="13"/>
  <c r="C5" i="13" s="1"/>
  <c r="J5" i="13"/>
  <c r="E5" i="13" s="1"/>
  <c r="I5" i="13"/>
  <c r="D5" i="13" s="1"/>
  <c r="Q11" i="13" a="1"/>
  <c r="Q11" i="13" s="1"/>
  <c r="C148" i="11"/>
  <c r="B156" i="11"/>
  <c r="C146" i="11"/>
  <c r="B154" i="11"/>
  <c r="C152" i="11"/>
  <c r="B160" i="11"/>
  <c r="C151" i="11"/>
  <c r="B159" i="11"/>
  <c r="B153" i="11"/>
  <c r="C145" i="11"/>
  <c r="C147" i="11"/>
  <c r="B155" i="11"/>
  <c r="C150" i="11"/>
  <c r="B158" i="11"/>
  <c r="B157" i="11"/>
  <c r="C149" i="11"/>
  <c r="Q5" i="13" a="1"/>
  <c r="Q5" i="13" s="1"/>
  <c r="M16" i="2"/>
  <c r="P14" i="2" s="1"/>
  <c r="Q21" i="13" a="1"/>
  <c r="Q21" i="13" s="1"/>
  <c r="I30" i="13" l="1"/>
  <c r="D30" i="13" s="1"/>
  <c r="J30" i="13"/>
  <c r="E30" i="13" s="1"/>
  <c r="H30" i="13"/>
  <c r="C30" i="13" s="1"/>
  <c r="J12" i="13"/>
  <c r="E12" i="13" s="1"/>
  <c r="I12" i="13"/>
  <c r="D12" i="13" s="1"/>
  <c r="H12" i="13"/>
  <c r="C12" i="13" s="1"/>
  <c r="Q13" i="13" a="1"/>
  <c r="Q13" i="13" s="1"/>
  <c r="Q12" i="13" a="1"/>
  <c r="Q12" i="13" s="1"/>
  <c r="Q7" i="13" a="1"/>
  <c r="Q7" i="13" s="1"/>
  <c r="I6" i="13"/>
  <c r="D6" i="13" s="1"/>
  <c r="H6" i="13"/>
  <c r="C6" i="13" s="1"/>
  <c r="J6" i="13"/>
  <c r="E6" i="13" s="1"/>
  <c r="Q6" i="13" a="1"/>
  <c r="Q6" i="13" s="1"/>
  <c r="B161" i="11"/>
  <c r="C153" i="11"/>
  <c r="C159" i="11"/>
  <c r="B167" i="11"/>
  <c r="C154" i="11"/>
  <c r="B162" i="11"/>
  <c r="C157" i="11"/>
  <c r="B165" i="11"/>
  <c r="C160" i="11"/>
  <c r="B168" i="11"/>
  <c r="C158" i="11"/>
  <c r="B166" i="11"/>
  <c r="C156" i="11"/>
  <c r="B164" i="11"/>
  <c r="C155" i="11"/>
  <c r="B163" i="11"/>
  <c r="P13" i="2"/>
  <c r="I14" i="13" l="1"/>
  <c r="D14" i="13" s="1"/>
  <c r="H8" i="13"/>
  <c r="C8" i="13" s="1"/>
  <c r="I7" i="13"/>
  <c r="D7" i="13" s="1"/>
  <c r="H7" i="13"/>
  <c r="J7" i="13"/>
  <c r="E7" i="13" s="1"/>
  <c r="H13" i="13"/>
  <c r="C13" i="13" s="1"/>
  <c r="J13" i="13"/>
  <c r="E13" i="13" s="1"/>
  <c r="I13" i="13"/>
  <c r="D13" i="13" s="1"/>
  <c r="C168" i="11"/>
  <c r="B176" i="11"/>
  <c r="C165" i="11"/>
  <c r="B173" i="11"/>
  <c r="C166" i="11"/>
  <c r="B174" i="11"/>
  <c r="C163" i="11"/>
  <c r="B171" i="11"/>
  <c r="C167" i="11"/>
  <c r="B175" i="11"/>
  <c r="C162" i="11"/>
  <c r="B170" i="11"/>
  <c r="C164" i="11"/>
  <c r="B172" i="11"/>
  <c r="B169" i="11"/>
  <c r="C161" i="11"/>
  <c r="I15" i="13" l="1"/>
  <c r="D15" i="13" s="1"/>
  <c r="Q14" i="13" a="1"/>
  <c r="Q14" i="13" s="1"/>
  <c r="Q8" i="13" a="1"/>
  <c r="Q8" i="13" s="1"/>
  <c r="I8" i="13"/>
  <c r="D8" i="13" s="1"/>
  <c r="H14" i="13"/>
  <c r="C14" i="13" s="1"/>
  <c r="J14" i="13"/>
  <c r="E14" i="13" s="1"/>
  <c r="C7" i="13"/>
  <c r="J8" i="13"/>
  <c r="E8" i="13" s="1"/>
  <c r="C170" i="11"/>
  <c r="B178" i="11"/>
  <c r="C178" i="11" s="1"/>
  <c r="C171" i="11"/>
  <c r="B179" i="11"/>
  <c r="C179" i="11" s="1"/>
  <c r="C174" i="11"/>
  <c r="B182" i="11"/>
  <c r="C182" i="11" s="1"/>
  <c r="C173" i="11"/>
  <c r="B181" i="11"/>
  <c r="C181" i="11" s="1"/>
  <c r="C175" i="11"/>
  <c r="B183" i="11"/>
  <c r="C183" i="11" s="1"/>
  <c r="C169" i="11"/>
  <c r="B177" i="11"/>
  <c r="C177" i="11" s="1"/>
  <c r="C172" i="11"/>
  <c r="B180" i="11"/>
  <c r="C180" i="11" s="1"/>
  <c r="C176" i="11"/>
  <c r="B184" i="11"/>
  <c r="H39" i="10"/>
  <c r="B9" i="14" l="1"/>
  <c r="B9" i="19" s="1"/>
  <c r="T9" i="19" a="1"/>
  <c r="T9" i="19" s="1"/>
  <c r="C9" i="14"/>
  <c r="J15" i="13"/>
  <c r="E15" i="13" s="1"/>
  <c r="Q15" i="13" a="1"/>
  <c r="Q15" i="13" s="1"/>
  <c r="B16" i="14" s="1"/>
  <c r="H15" i="13"/>
  <c r="C15" i="13" s="1"/>
  <c r="H118" i="10"/>
  <c r="H117" i="10"/>
  <c r="H129" i="10"/>
  <c r="H83" i="10"/>
  <c r="H80" i="10"/>
  <c r="H119" i="10"/>
  <c r="H101" i="10"/>
  <c r="H115" i="10"/>
  <c r="H96" i="10"/>
  <c r="H85" i="10"/>
  <c r="H134" i="10"/>
  <c r="H125" i="10"/>
  <c r="H112" i="10"/>
  <c r="H75" i="10"/>
  <c r="H111" i="10"/>
  <c r="H109" i="10"/>
  <c r="H126" i="10"/>
  <c r="H78" i="10"/>
  <c r="H91" i="10"/>
  <c r="H106" i="10"/>
  <c r="H79" i="10"/>
  <c r="H121" i="10"/>
  <c r="H122" i="10"/>
  <c r="H77" i="10"/>
  <c r="H93" i="10"/>
  <c r="H100" i="10"/>
  <c r="H130" i="10"/>
  <c r="H92" i="10"/>
  <c r="H105" i="10"/>
  <c r="H87" i="10"/>
  <c r="H98" i="10"/>
  <c r="H102" i="10"/>
  <c r="H81" i="10"/>
  <c r="H84" i="10"/>
  <c r="H120" i="10"/>
  <c r="H86" i="10"/>
  <c r="H131" i="10"/>
  <c r="H114" i="10"/>
  <c r="H107" i="10"/>
  <c r="H133" i="10"/>
  <c r="H94" i="10"/>
  <c r="H95" i="10"/>
  <c r="H104" i="10"/>
  <c r="H88" i="10"/>
  <c r="H110" i="10"/>
  <c r="H108" i="10"/>
  <c r="H74" i="10"/>
  <c r="H124" i="10"/>
  <c r="H99" i="10"/>
  <c r="H89" i="10"/>
  <c r="H135" i="10"/>
  <c r="H73" i="10"/>
  <c r="H76" i="10"/>
  <c r="H90" i="10"/>
  <c r="H132" i="10"/>
  <c r="H103" i="10"/>
  <c r="H72" i="10"/>
  <c r="H113" i="10"/>
  <c r="H127" i="10"/>
  <c r="H116" i="10"/>
  <c r="H82" i="10"/>
  <c r="H97" i="10"/>
  <c r="H123" i="10"/>
  <c r="H128" i="10"/>
  <c r="H68" i="10"/>
  <c r="H71" i="10"/>
  <c r="H65" i="10"/>
  <c r="H70" i="10"/>
  <c r="H67" i="10"/>
  <c r="H64" i="10"/>
  <c r="H66" i="10"/>
  <c r="H69" i="10"/>
  <c r="H63" i="10"/>
  <c r="C184" i="11"/>
  <c r="H62" i="10"/>
  <c r="H61" i="10"/>
  <c r="H59" i="10"/>
  <c r="H60" i="10"/>
  <c r="H42" i="10"/>
  <c r="H43" i="10"/>
  <c r="H52" i="10"/>
  <c r="H53" i="10"/>
  <c r="H56" i="10"/>
  <c r="H51" i="10"/>
  <c r="H55" i="10"/>
  <c r="H41" i="10"/>
  <c r="H45" i="10"/>
  <c r="H46" i="10"/>
  <c r="H50" i="10"/>
  <c r="H58" i="10"/>
  <c r="H40" i="10"/>
  <c r="H48" i="10"/>
  <c r="H44" i="10"/>
  <c r="H47" i="10"/>
  <c r="H49" i="10"/>
  <c r="H57" i="10"/>
  <c r="H54" i="10"/>
  <c r="C17" i="14" l="1"/>
  <c r="T5" i="19" a="1"/>
  <c r="T5" i="19" s="1"/>
  <c r="B17" i="14"/>
  <c r="C16" i="14"/>
  <c r="B14" i="19"/>
  <c r="C7" i="20"/>
  <c r="T14" i="19" a="1"/>
  <c r="T14" i="19" s="1"/>
  <c r="B15" i="14"/>
  <c r="C6" i="20" s="1"/>
  <c r="B7" i="14"/>
  <c r="B7" i="19" s="1"/>
  <c r="T11" i="19" a="1"/>
  <c r="T11" i="19" s="1"/>
  <c r="B10" i="14"/>
  <c r="B10" i="19" s="1"/>
  <c r="C13" i="14"/>
  <c r="B12" i="14"/>
  <c r="B11" i="19" s="1"/>
  <c r="C10" i="14"/>
  <c r="B11" i="14"/>
  <c r="C4" i="20" s="1"/>
  <c r="C11" i="14"/>
  <c r="T10" i="19" a="1"/>
  <c r="T10" i="19" s="1"/>
  <c r="T13" i="19" a="1"/>
  <c r="T13" i="19" s="1"/>
  <c r="T12" i="19" a="1"/>
  <c r="T12" i="19" s="1"/>
  <c r="C12" i="14"/>
  <c r="C14" i="14"/>
  <c r="B13" i="14"/>
  <c r="B12" i="19" s="1"/>
  <c r="B14" i="14"/>
  <c r="C5" i="20" s="1"/>
  <c r="C3" i="14"/>
  <c r="T7" i="19" a="1"/>
  <c r="T7" i="19" s="1"/>
  <c r="B4" i="14"/>
  <c r="B4" i="19" s="1"/>
  <c r="T6" i="19" a="1"/>
  <c r="T6" i="19" s="1"/>
  <c r="C6" i="14"/>
  <c r="C8" i="14"/>
  <c r="B5" i="14"/>
  <c r="B5" i="19" s="1"/>
  <c r="T4" i="19" a="1"/>
  <c r="T4" i="19" s="1"/>
  <c r="B3" i="14"/>
  <c r="B3" i="19" s="1"/>
  <c r="C4" i="14"/>
  <c r="B35" i="14"/>
  <c r="B28" i="14"/>
  <c r="B18" i="14"/>
  <c r="B15" i="19" s="1"/>
  <c r="B38" i="14"/>
  <c r="B35" i="19" s="1"/>
  <c r="B21" i="14"/>
  <c r="C10" i="20" s="1"/>
  <c r="B19" i="14"/>
  <c r="B17" i="19" s="1"/>
  <c r="B26" i="14"/>
  <c r="B23" i="19" s="1"/>
  <c r="B24" i="14"/>
  <c r="B22" i="19" s="1"/>
  <c r="B8" i="14"/>
  <c r="C3" i="20" s="1"/>
  <c r="B30" i="14"/>
  <c r="B23" i="14"/>
  <c r="C8" i="20" s="1"/>
  <c r="B33" i="14"/>
  <c r="C15" i="20" s="1"/>
  <c r="T3" i="19" a="1"/>
  <c r="T3" i="19" s="1"/>
  <c r="B32" i="14"/>
  <c r="B6" i="14"/>
  <c r="B6" i="19" s="1"/>
  <c r="B20" i="14"/>
  <c r="B18" i="19" s="1"/>
  <c r="C31" i="14"/>
  <c r="B34" i="14"/>
  <c r="C16" i="20" s="1"/>
  <c r="B25" i="14"/>
  <c r="C9" i="20" s="1"/>
  <c r="B31" i="14"/>
  <c r="T8" i="19" a="1"/>
  <c r="T8" i="19" s="1"/>
  <c r="C7" i="14"/>
  <c r="B22" i="14"/>
  <c r="C11" i="20" s="1"/>
  <c r="C5" i="14"/>
  <c r="B29" i="14"/>
  <c r="B36" i="14"/>
  <c r="C18" i="20" s="1"/>
  <c r="B27" i="14"/>
  <c r="B24" i="19" s="1"/>
  <c r="B37" i="14"/>
  <c r="B34" i="19" s="1"/>
  <c r="C15" i="14"/>
  <c r="T35" i="19" a="1"/>
  <c r="T35" i="19" s="1"/>
  <c r="T23" i="19" a="1"/>
  <c r="T23" i="19" s="1"/>
  <c r="C34" i="14"/>
  <c r="C35" i="14"/>
  <c r="T25" i="19" a="1"/>
  <c r="T25" i="19" s="1"/>
  <c r="T22" i="19" a="1"/>
  <c r="T22" i="19" s="1"/>
  <c r="C26" i="14"/>
  <c r="T28" i="19" a="1"/>
  <c r="T28" i="19" s="1"/>
  <c r="C19" i="14"/>
  <c r="T19" i="19" a="1"/>
  <c r="T19" i="19" s="1"/>
  <c r="C24" i="14"/>
  <c r="C22" i="14"/>
  <c r="C36" i="14"/>
  <c r="T29" i="19" a="1"/>
  <c r="T29" i="19" s="1"/>
  <c r="C32" i="14"/>
  <c r="C30" i="14"/>
  <c r="C29" i="14"/>
  <c r="T26" i="19" a="1"/>
  <c r="T26" i="19" s="1"/>
  <c r="C23" i="14"/>
  <c r="C38" i="14"/>
  <c r="T32" i="19" a="1"/>
  <c r="T32" i="19" s="1"/>
  <c r="T21" i="19" a="1"/>
  <c r="T21" i="19" s="1"/>
  <c r="T18" i="19" a="1"/>
  <c r="T18" i="19" s="1"/>
  <c r="C18" i="14"/>
  <c r="T17" i="19" a="1"/>
  <c r="T17" i="19" s="1"/>
  <c r="T34" i="19" a="1"/>
  <c r="T34" i="19" s="1"/>
  <c r="C37" i="14"/>
  <c r="C28" i="14"/>
  <c r="C33" i="14"/>
  <c r="T30" i="19" a="1"/>
  <c r="T30" i="19" s="1"/>
  <c r="T16" i="19" a="1"/>
  <c r="T16" i="19" s="1"/>
  <c r="C25" i="14"/>
  <c r="T15" i="19" a="1"/>
  <c r="T15" i="19" s="1"/>
  <c r="T24" i="19" a="1"/>
  <c r="T24" i="19" s="1"/>
  <c r="T27" i="19" a="1"/>
  <c r="T27" i="19" s="1"/>
  <c r="C20" i="14"/>
  <c r="C21" i="14"/>
  <c r="C27" i="14"/>
  <c r="T20" i="19" a="1"/>
  <c r="T20" i="19" s="1"/>
  <c r="T31" i="19" a="1"/>
  <c r="T31" i="19" s="1"/>
  <c r="T33" i="19" a="1"/>
  <c r="T33" i="19" s="1"/>
  <c r="R14" i="19" l="1"/>
  <c r="B13" i="19"/>
  <c r="C14" i="20"/>
  <c r="C13" i="20"/>
  <c r="B25" i="19"/>
  <c r="C12" i="20"/>
  <c r="B33" i="19"/>
  <c r="C17" i="20"/>
  <c r="B28" i="19"/>
  <c r="B31" i="19"/>
  <c r="B32" i="19"/>
  <c r="B30" i="19"/>
  <c r="B29" i="19"/>
  <c r="B19" i="19"/>
  <c r="B16" i="19"/>
  <c r="B20" i="19"/>
  <c r="B26" i="19"/>
  <c r="B27" i="19"/>
  <c r="B21" i="19"/>
  <c r="B8" i="19"/>
  <c r="Q14" i="19" l="1"/>
  <c r="Q27" i="19"/>
  <c r="R33" i="19"/>
  <c r="R26" i="19"/>
  <c r="R27" i="19"/>
  <c r="Q33" i="19"/>
  <c r="Q26" i="19"/>
  <c r="R19" i="19"/>
  <c r="R34" i="19"/>
  <c r="R20" i="19"/>
  <c r="Q29" i="19"/>
  <c r="Q20" i="19"/>
  <c r="Q32" i="19"/>
  <c r="R22" i="19"/>
  <c r="R35" i="19"/>
  <c r="R30" i="19"/>
  <c r="R25" i="19"/>
  <c r="R23" i="19"/>
  <c r="R28" i="19"/>
  <c r="R24" i="19"/>
  <c r="R29" i="19"/>
  <c r="R31" i="19"/>
  <c r="R32" i="19"/>
  <c r="R5" i="19"/>
  <c r="R3" i="19"/>
  <c r="R4" i="19"/>
  <c r="R6" i="19"/>
  <c r="R7" i="19"/>
  <c r="R10" i="19"/>
  <c r="R12" i="19"/>
  <c r="R9" i="19"/>
  <c r="R11" i="19"/>
  <c r="R18" i="19"/>
  <c r="R16" i="19"/>
  <c r="R13" i="19"/>
  <c r="R15" i="19"/>
  <c r="R17" i="19"/>
  <c r="R21" i="19"/>
  <c r="R8" i="19"/>
  <c r="Q8" i="19"/>
  <c r="Q4" i="19"/>
  <c r="Q6" i="19"/>
  <c r="Q7" i="19"/>
  <c r="Q3" i="19"/>
  <c r="Q5" i="19"/>
  <c r="Q10" i="19"/>
  <c r="Q9" i="19"/>
  <c r="Q12" i="19"/>
  <c r="Q22" i="19"/>
  <c r="Q11" i="19"/>
  <c r="Q13" i="19"/>
  <c r="Q35" i="19"/>
  <c r="Q18" i="19"/>
  <c r="Q16" i="19"/>
  <c r="Q25" i="19"/>
  <c r="Q30" i="19"/>
  <c r="Q17" i="19"/>
  <c r="Q23" i="19"/>
  <c r="Q21" i="19"/>
  <c r="Q15" i="19"/>
  <c r="Q34" i="19"/>
  <c r="Q24" i="19"/>
  <c r="Q28" i="19"/>
  <c r="Q19" i="19"/>
  <c r="Q31" i="19"/>
  <c r="S14" i="19" l="1"/>
  <c r="U14" i="19" s="1"/>
  <c r="S27" i="19"/>
  <c r="U27" i="19" s="1"/>
  <c r="S26" i="19"/>
  <c r="U26" i="19" s="1"/>
  <c r="S33" i="19"/>
  <c r="U33" i="19" s="1"/>
  <c r="S20" i="19"/>
  <c r="U20" i="19" s="1"/>
  <c r="S16" i="19"/>
  <c r="U16" i="19" s="1"/>
  <c r="S18" i="19"/>
  <c r="U18" i="19" s="1"/>
  <c r="S11" i="19"/>
  <c r="U11" i="19" s="1"/>
  <c r="S9" i="19"/>
  <c r="U9" i="19" s="1"/>
  <c r="S12" i="19"/>
  <c r="U12" i="19" s="1"/>
  <c r="S10" i="19"/>
  <c r="U10" i="19" s="1"/>
  <c r="S7" i="19"/>
  <c r="U7" i="19" s="1"/>
  <c r="S8" i="19"/>
  <c r="U8" i="19" s="1"/>
  <c r="S6" i="19"/>
  <c r="U6" i="19" s="1"/>
  <c r="S21" i="19"/>
  <c r="U21" i="19" s="1"/>
  <c r="S4" i="19"/>
  <c r="U4" i="19" s="1"/>
  <c r="S17" i="19"/>
  <c r="U17" i="19" s="1"/>
  <c r="S3" i="19"/>
  <c r="U3" i="19" s="1"/>
  <c r="S35" i="19"/>
  <c r="U35" i="19" s="1"/>
  <c r="S34" i="19"/>
  <c r="U34" i="19" s="1"/>
  <c r="S22" i="19"/>
  <c r="U22" i="19" s="1"/>
  <c r="S23" i="19"/>
  <c r="U23" i="19" s="1"/>
  <c r="S24" i="19"/>
  <c r="U24" i="19" s="1"/>
  <c r="S28" i="19"/>
  <c r="U28" i="19" s="1"/>
  <c r="S29" i="19"/>
  <c r="U29" i="19" s="1"/>
  <c r="S30" i="19"/>
  <c r="U30" i="19" s="1"/>
  <c r="S31" i="19"/>
  <c r="U31" i="19" s="1"/>
  <c r="S32" i="19"/>
  <c r="U32" i="19" s="1"/>
  <c r="S25" i="19"/>
  <c r="U25" i="19" s="1"/>
  <c r="S15" i="19"/>
  <c r="U15" i="19" s="1"/>
  <c r="S5" i="19"/>
  <c r="U5" i="19" s="1"/>
  <c r="S13" i="19"/>
  <c r="U13" i="19" s="1"/>
  <c r="S19" i="19"/>
  <c r="U1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김동주</author>
  </authors>
  <commentList>
    <comment ref="D2" authorId="0" shapeId="0" xr:uid="{00000000-0006-0000-06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시작</t>
        </r>
        <r>
          <rPr>
            <sz val="9"/>
            <color indexed="81"/>
            <rFont val="Tahoma"/>
            <family val="2"/>
          </rPr>
          <t xml:space="preserve">, </t>
        </r>
        <r>
          <rPr>
            <sz val="9"/>
            <color indexed="81"/>
            <rFont val="돋움"/>
            <family val="3"/>
            <charset val="129"/>
          </rPr>
          <t>끝</t>
        </r>
        <r>
          <rPr>
            <sz val="9"/>
            <color indexed="81"/>
            <rFont val="Tahoma"/>
            <family val="2"/>
          </rPr>
          <t xml:space="preserve">, </t>
        </r>
        <r>
          <rPr>
            <sz val="9"/>
            <color indexed="81"/>
            <rFont val="돋움"/>
            <family val="3"/>
            <charset val="129"/>
          </rPr>
          <t>상점</t>
        </r>
        <r>
          <rPr>
            <sz val="9"/>
            <color indexed="81"/>
            <rFont val="Tahoma"/>
            <family val="2"/>
          </rPr>
          <t xml:space="preserve"> 3</t>
        </r>
        <r>
          <rPr>
            <sz val="9"/>
            <color indexed="81"/>
            <rFont val="돋움"/>
            <family val="3"/>
            <charset val="129"/>
          </rPr>
          <t>개는</t>
        </r>
        <r>
          <rPr>
            <sz val="9"/>
            <color indexed="81"/>
            <rFont val="Tahoma"/>
            <family val="2"/>
          </rPr>
          <t xml:space="preserve"> </t>
        </r>
        <r>
          <rPr>
            <sz val="9"/>
            <color indexed="81"/>
            <rFont val="돋움"/>
            <family val="3"/>
            <charset val="129"/>
          </rPr>
          <t>상시</t>
        </r>
        <r>
          <rPr>
            <sz val="9"/>
            <color indexed="81"/>
            <rFont val="Tahoma"/>
            <family val="2"/>
          </rPr>
          <t xml:space="preserve"> </t>
        </r>
        <r>
          <rPr>
            <sz val="9"/>
            <color indexed="81"/>
            <rFont val="돋움"/>
            <family val="3"/>
            <charset val="129"/>
          </rPr>
          <t>제외됨</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김동주</author>
    <author>Kim_Dongju</author>
  </authors>
  <commentList>
    <comment ref="F2" authorId="0" shapeId="0" xr:uid="{00000000-0006-0000-0F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파라미터가</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의미를</t>
        </r>
        <r>
          <rPr>
            <sz val="9"/>
            <color indexed="81"/>
            <rFont val="Tahoma"/>
            <family val="2"/>
          </rPr>
          <t xml:space="preserve"> </t>
        </r>
        <r>
          <rPr>
            <sz val="9"/>
            <color indexed="81"/>
            <rFont val="돋움"/>
            <family val="3"/>
            <charset val="129"/>
          </rPr>
          <t>갖는지</t>
        </r>
        <r>
          <rPr>
            <sz val="9"/>
            <color indexed="81"/>
            <rFont val="Tahoma"/>
            <family val="2"/>
          </rPr>
          <t xml:space="preserve"> </t>
        </r>
        <r>
          <rPr>
            <sz val="9"/>
            <color indexed="81"/>
            <rFont val="돋움"/>
            <family val="3"/>
            <charset val="129"/>
          </rPr>
          <t>적어야할</t>
        </r>
        <r>
          <rPr>
            <sz val="9"/>
            <color indexed="81"/>
            <rFont val="Tahoma"/>
            <family val="2"/>
          </rPr>
          <t xml:space="preserve"> </t>
        </r>
        <r>
          <rPr>
            <sz val="9"/>
            <color indexed="81"/>
            <rFont val="돋움"/>
            <family val="3"/>
            <charset val="129"/>
          </rPr>
          <t>듯</t>
        </r>
        <r>
          <rPr>
            <sz val="9"/>
            <color indexed="81"/>
            <rFont val="Tahoma"/>
            <family val="2"/>
          </rPr>
          <t>.</t>
        </r>
      </text>
    </comment>
    <comment ref="N2" authorId="1" shapeId="0" xr:uid="{3028EB66-3708-4CDA-AF9D-2CA955CE285F}">
      <text>
        <r>
          <rPr>
            <b/>
            <sz val="9"/>
            <color rgb="FF000000"/>
            <rFont val="Tahoma"/>
            <family val="2"/>
          </rPr>
          <t>Kim_Dongju:</t>
        </r>
        <r>
          <rPr>
            <sz val="9"/>
            <color rgb="FF000000"/>
            <rFont val="Tahoma"/>
            <family val="2"/>
          </rPr>
          <t xml:space="preserve">
</t>
        </r>
        <r>
          <rPr>
            <sz val="9"/>
            <color rgb="FF000000"/>
            <rFont val="돋움"/>
            <family val="2"/>
            <charset val="129"/>
          </rPr>
          <t>나중에</t>
        </r>
        <r>
          <rPr>
            <sz val="9"/>
            <color rgb="FF000000"/>
            <rFont val="Tahoma"/>
            <family val="2"/>
          </rPr>
          <t xml:space="preserve"> </t>
        </r>
        <r>
          <rPr>
            <sz val="9"/>
            <color rgb="FF000000"/>
            <rFont val="돋움"/>
            <family val="2"/>
            <charset val="129"/>
          </rPr>
          <t>바꿔야함</t>
        </r>
        <r>
          <rPr>
            <sz val="9"/>
            <color rgb="FF000000"/>
            <rFont val="Tahoma"/>
            <family val="2"/>
          </rPr>
          <t xml:space="preserve">.
</t>
        </r>
        <r>
          <rPr>
            <sz val="9"/>
            <color rgb="FF000000"/>
            <rFont val="Tahoma"/>
            <family val="2"/>
          </rPr>
          <t xml:space="preserve">- </t>
        </r>
        <r>
          <rPr>
            <sz val="9"/>
            <color rgb="FF000000"/>
            <rFont val="돋움"/>
            <family val="2"/>
            <charset val="129"/>
          </rPr>
          <t>투사체</t>
        </r>
        <r>
          <rPr>
            <sz val="9"/>
            <color rgb="FF000000"/>
            <rFont val="Tahoma"/>
            <family val="2"/>
          </rPr>
          <t xml:space="preserve"> </t>
        </r>
        <r>
          <rPr>
            <sz val="9"/>
            <color rgb="FF000000"/>
            <rFont val="돋움"/>
            <family val="2"/>
            <charset val="129"/>
          </rPr>
          <t>발사</t>
        </r>
        <r>
          <rPr>
            <sz val="9"/>
            <color rgb="FF000000"/>
            <rFont val="Tahoma"/>
            <family val="2"/>
          </rPr>
          <t xml:space="preserve"> </t>
        </r>
        <r>
          <rPr>
            <sz val="9"/>
            <color rgb="FF000000"/>
            <rFont val="돋움"/>
            <family val="2"/>
            <charset val="129"/>
          </rPr>
          <t>메커닉</t>
        </r>
        <r>
          <rPr>
            <sz val="9"/>
            <color rgb="FF000000"/>
            <rFont val="Tahoma"/>
            <family val="2"/>
          </rPr>
          <t xml:space="preserve"> </t>
        </r>
        <r>
          <rPr>
            <sz val="9"/>
            <color rgb="FF000000"/>
            <rFont val="돋움"/>
            <family val="2"/>
            <charset val="129"/>
          </rPr>
          <t>밸런싱</t>
        </r>
        <r>
          <rPr>
            <sz val="9"/>
            <color rgb="FF000000"/>
            <rFont val="돋움"/>
            <family val="2"/>
            <charset val="129"/>
          </rPr>
          <t xml:space="preserve">
</t>
        </r>
        <r>
          <rPr>
            <sz val="9"/>
            <color rgb="FF000000"/>
            <rFont val="Tahoma"/>
            <family val="2"/>
          </rPr>
          <t xml:space="preserve">- </t>
        </r>
        <r>
          <rPr>
            <sz val="9"/>
            <color rgb="FF000000"/>
            <rFont val="돋움"/>
            <family val="2"/>
            <charset val="129"/>
          </rPr>
          <t>거꾸로</t>
        </r>
        <r>
          <rPr>
            <sz val="9"/>
            <color rgb="FF000000"/>
            <rFont val="Tahoma"/>
            <family val="2"/>
          </rPr>
          <t xml:space="preserve"> </t>
        </r>
        <r>
          <rPr>
            <sz val="9"/>
            <color rgb="FF000000"/>
            <rFont val="돋움"/>
            <family val="2"/>
            <charset val="129"/>
          </rPr>
          <t>공격</t>
        </r>
        <r>
          <rPr>
            <sz val="9"/>
            <color rgb="FF000000"/>
            <rFont val="Tahoma"/>
            <family val="2"/>
          </rPr>
          <t xml:space="preserve"> </t>
        </r>
        <r>
          <rPr>
            <sz val="9"/>
            <color rgb="FF000000"/>
            <rFont val="돋움"/>
            <family val="2"/>
            <charset val="129"/>
          </rPr>
          <t>조정</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<sst xmlns="http://schemas.openxmlformats.org/spreadsheetml/2006/main" count="2351" uniqueCount="933">
  <si>
    <t>MovementSpd</t>
  </si>
  <si>
    <t>플레이어가 던진 공이 충돌 횟수만큼 튕기고 포물선으로 떨어지는 거리</t>
  </si>
  <si>
    <t>ProjectileDataId</t>
  </si>
  <si>
    <t>DodgeInvincibleTime</t>
  </si>
  <si>
    <t>ValueOperatorType</t>
  </si>
  <si>
    <t>MercyInvincibleTime</t>
  </si>
  <si>
    <t>EnemyHpIncreasePer</t>
  </si>
  <si>
    <t>ItemEffectDataId</t>
  </si>
  <si>
    <t>SwingCentralAngle</t>
  </si>
  <si>
    <t>CharacterAtkTable</t>
  </si>
  <si>
    <t>공격 방향이 반대 방향이 됨.</t>
  </si>
  <si>
    <t>공격 방향이 무작위 방향이 됨.</t>
  </si>
  <si>
    <t>DeadAfterStunTime</t>
  </si>
  <si>
    <t>DodgeDurationTime</t>
  </si>
  <si>
    <t>ChargeMovementSpd</t>
  </si>
  <si>
    <t>ReflectCorrection</t>
  </si>
  <si>
    <t>ItemResourceTable</t>
  </si>
  <si>
    <t>주인공</t>
  </si>
  <si>
    <t>기본공</t>
  </si>
  <si>
    <t>박쥐</t>
  </si>
  <si>
    <t>#메모</t>
  </si>
  <si>
    <t>층</t>
  </si>
  <si>
    <t>#설명</t>
  </si>
  <si>
    <t>재화</t>
  </si>
  <si>
    <t>int</t>
  </si>
  <si>
    <t>Hp</t>
  </si>
  <si>
    <t>#</t>
  </si>
  <si>
    <t>Int</t>
  </si>
  <si>
    <t>스텟</t>
  </si>
  <si>
    <t>HP</t>
  </si>
  <si>
    <t>Bat</t>
  </si>
  <si>
    <t>-</t>
  </si>
  <si>
    <t>설명</t>
  </si>
  <si>
    <t>데빌불</t>
  </si>
  <si>
    <t>#이름</t>
  </si>
  <si>
    <t>돌가면</t>
  </si>
  <si>
    <t>value</t>
  </si>
  <si>
    <t>None</t>
  </si>
  <si>
    <t>Index</t>
  </si>
  <si>
    <t>String</t>
  </si>
  <si>
    <t>Enum</t>
  </si>
  <si>
    <t>Name</t>
  </si>
  <si>
    <t>Normal</t>
  </si>
  <si>
    <t>Rare</t>
  </si>
  <si>
    <t>Weapon</t>
  </si>
  <si>
    <t>Value</t>
  </si>
  <si>
    <t>개당 가격</t>
  </si>
  <si>
    <t>Cursed</t>
  </si>
  <si>
    <t>CostHp</t>
  </si>
  <si>
    <t>Gold</t>
  </si>
  <si>
    <t>string</t>
  </si>
  <si>
    <t>float</t>
  </si>
  <si>
    <t>골드 가치</t>
  </si>
  <si>
    <t>스텟별 가치</t>
  </si>
  <si>
    <t>적 방어성</t>
  </si>
  <si>
    <t>적 기준 체력</t>
  </si>
  <si>
    <t>골드 밸런스</t>
  </si>
  <si>
    <t>#변수명</t>
  </si>
  <si>
    <t>#대상 아이템</t>
  </si>
  <si>
    <t>#리소스 유형</t>
  </si>
  <si>
    <t>이동 사운드</t>
  </si>
  <si>
    <t>2층_보스</t>
  </si>
  <si>
    <t>2층_선택지</t>
  </si>
  <si>
    <t>Spacing</t>
  </si>
  <si>
    <t>Sight</t>
  </si>
  <si>
    <t>enum</t>
  </si>
  <si>
    <t>AimType</t>
  </si>
  <si>
    <t>#Grade</t>
  </si>
  <si>
    <t>MaxHp</t>
  </si>
  <si>
    <t>적 공격2</t>
  </si>
  <si>
    <t>#드랍테이블1</t>
  </si>
  <si>
    <t>bool</t>
  </si>
  <si>
    <t>적 공격1</t>
  </si>
  <si>
    <t>#드랍테이블6</t>
  </si>
  <si>
    <t>리소스변경</t>
  </si>
  <si>
    <t>공격력변경</t>
  </si>
  <si>
    <t>#드랍테이블2</t>
  </si>
  <si>
    <t>#드랍테이블3</t>
  </si>
  <si>
    <t>#드랍테이블4</t>
  </si>
  <si>
    <t>#드랍테이블5</t>
  </si>
  <si>
    <t>골드획득량변경</t>
  </si>
  <si>
    <t>참조 테이블</t>
  </si>
  <si>
    <t>Reverse</t>
  </si>
  <si>
    <t>이동속도변경</t>
  </si>
  <si>
    <t>공크기변경</t>
  </si>
  <si>
    <t>최대체력변경</t>
  </si>
  <si>
    <t>Target</t>
  </si>
  <si>
    <t>정방향 발사</t>
  </si>
  <si>
    <t>MaxHP</t>
  </si>
  <si>
    <t>야구공전사</t>
  </si>
  <si>
    <t>World</t>
  </si>
  <si>
    <t>flaot</t>
  </si>
  <si>
    <t>샷건 발사</t>
  </si>
  <si>
    <t>슬픈 캔리오</t>
  </si>
  <si>
    <t>적토목마</t>
  </si>
  <si>
    <t>3발 발사</t>
  </si>
  <si>
    <t>코코아 한통</t>
  </si>
  <si>
    <t>QT 파우더</t>
  </si>
  <si>
    <t>쿨 - 도그</t>
  </si>
  <si>
    <t>삼각김곰</t>
  </si>
  <si>
    <t>Desc</t>
  </si>
  <si>
    <t>이상한 사탕</t>
  </si>
  <si>
    <t>기절 후 사망까지 걸리는 시간 *투사체 상태로 전이될 경우 해당 값은 사용되지 않는다.</t>
  </si>
  <si>
    <t>ColliderRad</t>
  </si>
  <si>
    <t>적이 직접공격 당한 후 일반 상태가 되기까지 걸리는 시간</t>
  </si>
  <si>
    <t>플레이어가 던진 공이 멈추고 삭제되기까지 대기 시간</t>
  </si>
  <si>
    <t>ProjectileSpdDecelerationValue</t>
  </si>
  <si>
    <t>/Resource/Effect/RainbowTrail</t>
  </si>
  <si>
    <t>ResourceChange</t>
  </si>
  <si>
    <t>RandomDirection</t>
  </si>
  <si>
    <t>ItemIconPath</t>
  </si>
  <si>
    <t>BallStackMax</t>
  </si>
  <si>
    <t>AtkStartType</t>
  </si>
  <si>
    <t>투사체 공용 충돌 시 감속량</t>
  </si>
  <si>
    <t>AtkStartParam</t>
  </si>
  <si>
    <t>ProjectileTrail</t>
  </si>
  <si>
    <t>AtkCheckDelay</t>
  </si>
  <si>
    <t>QT 재화 밸런스 시트</t>
  </si>
  <si>
    <t>GoldShopProb</t>
  </si>
  <si>
    <t>투사체 공용 시간당 감속량</t>
  </si>
  <si>
    <t>ChoiceDropId</t>
  </si>
  <si>
    <t>DeadAtkDataId</t>
  </si>
  <si>
    <t>ChargeShootSpd1</t>
  </si>
  <si>
    <t>GoldShopDropId</t>
  </si>
  <si>
    <t>HpShopDropId</t>
  </si>
  <si>
    <t>WeaponDropId</t>
  </si>
  <si>
    <t>MaxRoomValue</t>
  </si>
  <si>
    <t>AfterIdleSec</t>
  </si>
  <si>
    <t>MaxBounceCount</t>
  </si>
  <si>
    <t>SwingCooldown</t>
  </si>
  <si>
    <t>ResourceType</t>
  </si>
  <si>
    <t>ResourcePath</t>
  </si>
  <si>
    <t>ChargeRigidDmg1</t>
  </si>
  <si>
    <t>ProjectileTable</t>
  </si>
  <si>
    <t>4발 대각상하좌우 뿌리기</t>
  </si>
  <si>
    <t>DodgeAddForce</t>
  </si>
  <si>
    <t>샷건 8불릿 발사 랜덤1</t>
  </si>
  <si>
    <t>ChargeRigidDmg2</t>
  </si>
  <si>
    <t>튕겨내기탄환속도변경-미차징</t>
  </si>
  <si>
    <t>샷건 8불릿 발사 랜덤3</t>
  </si>
  <si>
    <t>튕겨내기탄환속도변경-1단계</t>
  </si>
  <si>
    <t>플레이어조준 샷건 1회 발사</t>
  </si>
  <si>
    <t>플레이어조준 샷건 3연발</t>
  </si>
  <si>
    <t>CharacterTable</t>
  </si>
  <si>
    <t>ChargeShootSpd2</t>
  </si>
  <si>
    <t>샷건 8불릿 발사 랜덤2</t>
  </si>
  <si>
    <t>공격 방향이 반대가 됩니다.</t>
  </si>
  <si>
    <t>ProjectileDestroyDelay</t>
  </si>
  <si>
    <t>/Resource/Bat/ToyBat</t>
  </si>
  <si>
    <t>ChargeProjectileDmg1</t>
  </si>
  <si>
    <t>차징에 따른 충돌 횟수 변경 - 미차징</t>
  </si>
  <si>
    <t>아이템 등급 별 가질 수 있는 효력 총량</t>
  </si>
  <si>
    <t>/Resource/Bat/Trumpet</t>
  </si>
  <si>
    <t>ChargeProjectileDmg2</t>
  </si>
  <si>
    <t>ProjectileStopDistance</t>
  </si>
  <si>
    <t>BounceSpdReductionRate</t>
  </si>
  <si>
    <t>GoldGain</t>
  </si>
  <si>
    <t>GradeType</t>
  </si>
  <si>
    <t>CostGold</t>
  </si>
  <si>
    <t>LocaleUS</t>
  </si>
  <si>
    <t>LocaleKR</t>
  </si>
  <si>
    <t>PCHitboxRad</t>
  </si>
  <si>
    <t>HpShopProb</t>
  </si>
  <si>
    <t>적 체력 상승량</t>
  </si>
  <si>
    <t>QT 밸런스 시트</t>
  </si>
  <si>
    <t>BossDropId</t>
  </si>
  <si>
    <t>예상 전투 시간</t>
  </si>
  <si>
    <t>휘두르기/던지기</t>
  </si>
  <si>
    <t>휘두르기 탄환 트레일</t>
  </si>
  <si>
    <t>MoveSound</t>
  </si>
  <si>
    <t>2층_골드상점_슬롯</t>
  </si>
  <si>
    <t>AtkDataId</t>
  </si>
  <si>
    <t>MoveType</t>
  </si>
  <si>
    <t>DirectDmg</t>
  </si>
  <si>
    <t>SpacingRad</t>
  </si>
  <si>
    <t>GoldDropMax</t>
  </si>
  <si>
    <t>SwingSound</t>
  </si>
  <si>
    <t>GoldDropMin</t>
  </si>
  <si>
    <t>ItemDropId</t>
  </si>
  <si>
    <t>2층_시작무기선택</t>
  </si>
  <si>
    <t>PrefabPath</t>
  </si>
  <si>
    <t>SpacingLeft</t>
  </si>
  <si>
    <t>#기준 적 체력 비율</t>
  </si>
  <si>
    <t>AfterDelay</t>
  </si>
  <si>
    <t>QT 시트 저장 버튼</t>
  </si>
  <si>
    <t>BeforeDelay</t>
  </si>
  <si>
    <t>ShootDataId</t>
  </si>
  <si>
    <t>ShootAngle</t>
  </si>
  <si>
    <t>SwingRad</t>
  </si>
  <si>
    <t>AtkDmgPer</t>
  </si>
  <si>
    <t>InitalSpd</t>
  </si>
  <si>
    <t>RigidSpd</t>
  </si>
  <si>
    <t>배트 스프라이트</t>
  </si>
  <si>
    <t>휘두르기 사운드</t>
  </si>
  <si>
    <t>RigidTime</t>
  </si>
  <si>
    <t>직접공격피해량-미차징</t>
  </si>
  <si>
    <t>직접공격피해량-1단계</t>
  </si>
  <si>
    <t>공최대소지개수변경</t>
  </si>
  <si>
    <t>#평균 드랍 골드</t>
  </si>
  <si>
    <t>PC 최대 DPS</t>
  </si>
  <si>
    <t>IsBounce</t>
  </si>
  <si>
    <t>Value 1당 가치</t>
  </si>
  <si>
    <t>4발 상하좌우 뿌리기</t>
  </si>
  <si>
    <t>정방향 발사 튕김</t>
  </si>
  <si>
    <t>사나운 돼지저금통</t>
  </si>
  <si>
    <t>누군가의 일기장</t>
  </si>
  <si>
    <t>ChargeTime</t>
  </si>
  <si>
    <t>메탈유니콘 키링</t>
  </si>
  <si>
    <t>3발 발사 연발</t>
  </si>
  <si>
    <t>샷건 8불릿 발사</t>
  </si>
  <si>
    <t>적 공격1 튕김</t>
  </si>
  <si>
    <t>차징피해량-미차징</t>
  </si>
  <si>
    <t>차징피해량-1단계</t>
  </si>
  <si>
    <t>Multiply</t>
  </si>
  <si>
    <t>성배 속 무언가</t>
  </si>
  <si>
    <t>Prefabs/EnemyProjectile.prefab</t>
  </si>
  <si>
    <t>Prefabs/PlayerProjectile.prefab</t>
  </si>
  <si>
    <t>적에게 직접공격 시 경직될 때 시간당 감속 속도</t>
  </si>
  <si>
    <t>RigidSpdDecelerationValue</t>
  </si>
  <si>
    <t>적에게 직접공격 시 경직될 때 밀려나는 속도</t>
  </si>
  <si>
    <t>/Resource/Bat/RainbowBat</t>
  </si>
  <si>
    <t>/Resource/Sound/ToyBat_Walk</t>
  </si>
  <si>
    <t>/Resource/Bat/TrumpetBat</t>
  </si>
  <si>
    <t>/Resource/Sound/RainbowAtk</t>
  </si>
  <si>
    <t>얼.죽.아 클럽의 새로운 유행입니다.</t>
    <phoneticPr fontId="6" type="noConversion"/>
  </si>
  <si>
    <t>배트 이외의 물건에 사용하지 마시오\nQT추출물 0.0006% 함유\nQT향 0.1%함유</t>
    <phoneticPr fontId="6" type="noConversion"/>
  </si>
  <si>
    <t>낡은 추억들이 느껴집니다.\n3년 전 이 사람은...\n잠깐, 우리가 이걸봐도 괜찮은걸까요?</t>
    <phoneticPr fontId="6" type="noConversion"/>
  </si>
  <si>
    <t>종교적인 용도로 보이는 컵입니다.\n잠깐, 방금 조금 움직인 것 같은데요?</t>
    <phoneticPr fontId="6" type="noConversion"/>
  </si>
  <si>
    <t>온 몸이 녹는 듯 한 강력한 단맛입니다.\n끈적해지지 않게 조심하세요!</t>
    <phoneticPr fontId="6" type="noConversion"/>
  </si>
  <si>
    <t>대나무 향을 머금은 흰 밥이\n까만 김을 만나 완성된 환상적인 조합.</t>
    <phoneticPr fontId="6" type="noConversion"/>
  </si>
  <si>
    <t>1. 태양의 방향으로 기립.\n2. 팔을 벌려 Y자로 선다.\n3. 태양을 바라보며 외친다.</t>
    <phoneticPr fontId="6" type="noConversion"/>
  </si>
  <si>
    <t>#</t>
    <phoneticPr fontId="6" type="noConversion"/>
  </si>
  <si>
    <t>bat</t>
    <phoneticPr fontId="6" type="noConversion"/>
  </si>
  <si>
    <t>Slime_Elite</t>
    <phoneticPr fontId="6" type="noConversion"/>
  </si>
  <si>
    <t>Slime</t>
    <phoneticPr fontId="6" type="noConversion"/>
  </si>
  <si>
    <t>Flow</t>
    <phoneticPr fontId="6" type="noConversion"/>
  </si>
  <si>
    <t>Flow_Elite</t>
    <phoneticPr fontId="6" type="noConversion"/>
  </si>
  <si>
    <t>기관총난사</t>
    <phoneticPr fontId="6" type="noConversion"/>
  </si>
  <si>
    <t>기관총 난사 -20도</t>
  </si>
  <si>
    <t>기관총 난사 -30도</t>
  </si>
  <si>
    <t>기관총 난사 5도</t>
    <phoneticPr fontId="6" type="noConversion"/>
  </si>
  <si>
    <t>기관총 난사 10도</t>
    <phoneticPr fontId="6" type="noConversion"/>
  </si>
  <si>
    <t>기관총 난사 15도</t>
    <phoneticPr fontId="6" type="noConversion"/>
  </si>
  <si>
    <t>기관총 난사 20도</t>
    <phoneticPr fontId="6" type="noConversion"/>
  </si>
  <si>
    <t>기관총 난사 25도</t>
    <phoneticPr fontId="6" type="noConversion"/>
  </si>
  <si>
    <t>기관총 난사 30도</t>
    <phoneticPr fontId="6" type="noConversion"/>
  </si>
  <si>
    <t>기관총 난사 35도</t>
    <phoneticPr fontId="6" type="noConversion"/>
  </si>
  <si>
    <t>기관총 난사 40도</t>
    <phoneticPr fontId="6" type="noConversion"/>
  </si>
  <si>
    <t>기관총 난사 -5도</t>
    <phoneticPr fontId="6" type="noConversion"/>
  </si>
  <si>
    <t>기관총 난사 -10도</t>
    <phoneticPr fontId="6" type="noConversion"/>
  </si>
  <si>
    <t>기관총 난사 -15도</t>
  </si>
  <si>
    <t>기관총 난사 -25도</t>
  </si>
  <si>
    <t>기관총 난사 -35도</t>
  </si>
  <si>
    <t>기관총 난사 -40도</t>
  </si>
  <si>
    <t>Earring</t>
    <phoneticPr fontId="6" type="noConversion"/>
  </si>
  <si>
    <t>Earring_Elite</t>
    <phoneticPr fontId="6" type="noConversion"/>
  </si>
  <si>
    <t>Catcher_Elite</t>
    <phoneticPr fontId="6" type="noConversion"/>
  </si>
  <si>
    <t>Catcher</t>
    <phoneticPr fontId="6" type="noConversion"/>
  </si>
  <si>
    <t>폐기</t>
    <phoneticPr fontId="6" type="noConversion"/>
  </si>
  <si>
    <t>(엘리트)박쥐??</t>
    <phoneticPr fontId="6" type="noConversion"/>
  </si>
  <si>
    <t>Ghost</t>
    <phoneticPr fontId="6" type="noConversion"/>
  </si>
  <si>
    <t>World</t>
    <phoneticPr fontId="6" type="noConversion"/>
  </si>
  <si>
    <t>Target</t>
    <phoneticPr fontId="6" type="noConversion"/>
  </si>
  <si>
    <t>듀라한 내려찍기</t>
    <phoneticPr fontId="6" type="noConversion"/>
  </si>
  <si>
    <t>듀라한 착지</t>
    <phoneticPr fontId="6" type="noConversion"/>
  </si>
  <si>
    <t>듀라한 던지기</t>
    <phoneticPr fontId="6" type="noConversion"/>
  </si>
  <si>
    <t>듀라한 공 던지기</t>
    <phoneticPr fontId="6" type="noConversion"/>
  </si>
  <si>
    <t>듀라한 공</t>
    <phoneticPr fontId="6" type="noConversion"/>
  </si>
  <si>
    <t>Ghost_대각뿌리기</t>
    <phoneticPr fontId="6" type="noConversion"/>
  </si>
  <si>
    <t>catcher_3발 발사</t>
    <phoneticPr fontId="6" type="noConversion"/>
  </si>
  <si>
    <t>earring_한발쏘기</t>
    <phoneticPr fontId="6" type="noConversion"/>
  </si>
  <si>
    <t>정방향 발사</t>
    <phoneticPr fontId="6" type="noConversion"/>
  </si>
  <si>
    <t>적 공격3</t>
    <phoneticPr fontId="6" type="noConversion"/>
  </si>
  <si>
    <t>적 공격3 튕김</t>
    <phoneticPr fontId="6" type="noConversion"/>
  </si>
  <si>
    <t>slime_상하좌우뿌리기</t>
    <phoneticPr fontId="6" type="noConversion"/>
  </si>
  <si>
    <t>E_slime_8발 방사 3회</t>
    <phoneticPr fontId="6" type="noConversion"/>
  </si>
  <si>
    <t>E_slime_8발 방사 4회</t>
  </si>
  <si>
    <t>E_slime_8발 방사 5회</t>
  </si>
  <si>
    <t>E_catcher_샷건 3연발</t>
    <phoneticPr fontId="6" type="noConversion"/>
  </si>
  <si>
    <t>E_earring_정방향 발사 튕김 3발</t>
    <phoneticPr fontId="6" type="noConversion"/>
  </si>
  <si>
    <t>E_earring_정방향 발사 튕김 4발</t>
  </si>
  <si>
    <t>E_earring_정방향 발사 튕김 5발</t>
  </si>
  <si>
    <t>#공격 프로세스 총합</t>
    <phoneticPr fontId="6" type="noConversion"/>
  </si>
  <si>
    <t>일반</t>
    <phoneticPr fontId="6" type="noConversion"/>
  </si>
  <si>
    <t>정예</t>
    <phoneticPr fontId="6" type="noConversion"/>
  </si>
  <si>
    <t>스테이지</t>
    <phoneticPr fontId="6" type="noConversion"/>
  </si>
  <si>
    <t>박쥐</t>
    <phoneticPr fontId="6" type="noConversion"/>
  </si>
  <si>
    <t>개체별 골드 획득</t>
    <phoneticPr fontId="6" type="noConversion"/>
  </si>
  <si>
    <t>MIN</t>
    <phoneticPr fontId="6" type="noConversion"/>
  </si>
  <si>
    <t>MAX</t>
    <phoneticPr fontId="6" type="noConversion"/>
  </si>
  <si>
    <t>요약</t>
  </si>
  <si>
    <t>방 평균 골드</t>
    <phoneticPr fontId="6" type="noConversion"/>
  </si>
  <si>
    <t>공격력 +100%</t>
    <phoneticPr fontId="6" type="noConversion"/>
  </si>
  <si>
    <t>flow_기관총난사</t>
    <phoneticPr fontId="6" type="noConversion"/>
  </si>
  <si>
    <t>Prefabs/DullahanProjectile.prefab</t>
    <phoneticPr fontId="6" type="noConversion"/>
  </si>
  <si>
    <t>AgroRange</t>
    <phoneticPr fontId="6" type="noConversion"/>
  </si>
  <si>
    <t>공용_선택지</t>
    <phoneticPr fontId="6" type="noConversion"/>
  </si>
  <si>
    <t>1층_아이템보상</t>
    <phoneticPr fontId="6" type="noConversion"/>
  </si>
  <si>
    <t>1층_Hp상점_슬롯</t>
    <phoneticPr fontId="6" type="noConversion"/>
  </si>
  <si>
    <t>공용_골드상점_슬롯</t>
    <phoneticPr fontId="6" type="noConversion"/>
  </si>
  <si>
    <t>공용_시작방</t>
    <phoneticPr fontId="6" type="noConversion"/>
  </si>
  <si>
    <t>16방향 발사</t>
  </si>
  <si>
    <t>16방향 발사</t>
    <phoneticPr fontId="6" type="noConversion"/>
  </si>
  <si>
    <t>int</t>
    <phoneticPr fontId="6" type="noConversion"/>
  </si>
  <si>
    <t>BodyContactDmg</t>
    <phoneticPr fontId="6" type="noConversion"/>
  </si>
  <si>
    <t>float</t>
    <phoneticPr fontId="6" type="noConversion"/>
  </si>
  <si>
    <t>CoolTime</t>
    <phoneticPr fontId="6" type="noConversion"/>
  </si>
  <si>
    <t>TriggerType</t>
    <phoneticPr fontId="6" type="noConversion"/>
  </si>
  <si>
    <t>Condition</t>
    <phoneticPr fontId="6" type="noConversion"/>
  </si>
  <si>
    <t>ConditionTarget</t>
    <phoneticPr fontId="6" type="noConversion"/>
  </si>
  <si>
    <t>ApplyStat</t>
    <phoneticPr fontId="6" type="noConversion"/>
  </si>
  <si>
    <t>Param1</t>
    <phoneticPr fontId="6" type="noConversion"/>
  </si>
  <si>
    <t>Param2</t>
    <phoneticPr fontId="12" type="noConversion"/>
  </si>
  <si>
    <t>Param3</t>
    <phoneticPr fontId="12" type="noConversion"/>
  </si>
  <si>
    <t>float</t>
    <phoneticPr fontId="12" type="noConversion"/>
  </si>
  <si>
    <t>Teleport</t>
    <phoneticPr fontId="6" type="noConversion"/>
  </si>
  <si>
    <t>Prefabs/Enemy/Enemy_bat.prefab</t>
    <phoneticPr fontId="6" type="noConversion"/>
  </si>
  <si>
    <t>Prefabs/Enemy/Enemy_pitcher.prefab</t>
    <phoneticPr fontId="6" type="noConversion"/>
  </si>
  <si>
    <t>Name</t>
    <phoneticPr fontId="6" type="noConversion"/>
  </si>
  <si>
    <t>string</t>
    <phoneticPr fontId="6" type="noConversion"/>
  </si>
  <si>
    <t>ApplyValue</t>
    <phoneticPr fontId="6" type="noConversion"/>
  </si>
  <si>
    <t>enum</t>
    <phoneticPr fontId="12" type="noConversion"/>
  </si>
  <si>
    <t>Duration</t>
    <phoneticPr fontId="12" type="noConversion"/>
  </si>
  <si>
    <t>MoveTargetUpdatePeroid</t>
    <phoneticPr fontId="6" type="noConversion"/>
  </si>
  <si>
    <t>ConditionValue</t>
    <phoneticPr fontId="6" type="noConversion"/>
  </si>
  <si>
    <t>None</t>
    <phoneticPr fontId="6" type="noConversion"/>
  </si>
  <si>
    <t>Equip</t>
    <phoneticPr fontId="6" type="noConversion"/>
  </si>
  <si>
    <t>Addition</t>
  </si>
  <si>
    <t>ApplyBuffId</t>
    <phoneticPr fontId="6" type="noConversion"/>
  </si>
  <si>
    <t>ApplySpecialEffectId</t>
    <phoneticPr fontId="6" type="noConversion"/>
  </si>
  <si>
    <t>ReverseAtkDir</t>
    <phoneticPr fontId="12" type="noConversion"/>
  </si>
  <si>
    <t>TimeScale</t>
    <phoneticPr fontId="12" type="noConversion"/>
  </si>
  <si>
    <t>OnActiveKey</t>
    <phoneticPr fontId="6" type="noConversion"/>
  </si>
  <si>
    <t>AfterIdleSec</t>
    <phoneticPr fontId="6" type="noConversion"/>
  </si>
  <si>
    <t>ChargeTime</t>
    <phoneticPr fontId="12" type="noConversion"/>
  </si>
  <si>
    <t>EffectType</t>
    <phoneticPr fontId="6" type="noConversion"/>
  </si>
  <si>
    <t>Absorb</t>
    <phoneticPr fontId="12" type="noConversion"/>
  </si>
  <si>
    <t>ProjectileInRange</t>
    <phoneticPr fontId="6" type="noConversion"/>
  </si>
  <si>
    <t>Player</t>
    <phoneticPr fontId="6" type="noConversion"/>
  </si>
  <si>
    <t>DodgeCooldown</t>
    <phoneticPr fontId="6" type="noConversion"/>
  </si>
  <si>
    <t>SwingCooldown</t>
    <phoneticPr fontId="6" type="noConversion"/>
  </si>
  <si>
    <t>Charge</t>
    <phoneticPr fontId="12" type="noConversion"/>
  </si>
  <si>
    <t>OnSwing</t>
    <phoneticPr fontId="6" type="noConversion"/>
  </si>
  <si>
    <t>Shoot</t>
    <phoneticPr fontId="12" type="noConversion"/>
  </si>
  <si>
    <t>Active</t>
    <phoneticPr fontId="6" type="noConversion"/>
  </si>
  <si>
    <t>PlusDesc</t>
    <phoneticPr fontId="6" type="noConversion"/>
  </si>
  <si>
    <t>MinusDesc</t>
    <phoneticPr fontId="6" type="noConversion"/>
  </si>
  <si>
    <t>#Param1설명</t>
    <phoneticPr fontId="12" type="noConversion"/>
  </si>
  <si>
    <t>#Param2설명</t>
  </si>
  <si>
    <t>#Param3설명</t>
    <phoneticPr fontId="12" type="noConversion"/>
  </si>
  <si>
    <t>인피니티 도넛</t>
    <phoneticPr fontId="6" type="noConversion"/>
  </si>
  <si>
    <t>기절한 적에게 순간이동하며 공격합니다.</t>
    <phoneticPr fontId="6" type="noConversion"/>
  </si>
  <si>
    <t>미사일 백팩</t>
    <phoneticPr fontId="6" type="noConversion"/>
  </si>
  <si>
    <t>OnAttackStunEnemy</t>
    <phoneticPr fontId="6" type="noConversion"/>
  </si>
  <si>
    <t>투수 케르베로스</t>
    <phoneticPr fontId="6" type="noConversion"/>
  </si>
  <si>
    <t>공을 좋아하는 개들입니다.\n자세히보니 한마리였네요…</t>
    <phoneticPr fontId="6" type="noConversion"/>
  </si>
  <si>
    <t>#명칭</t>
    <phoneticPr fontId="12" type="noConversion"/>
  </si>
  <si>
    <t>케르베로스 아이템 효과</t>
    <phoneticPr fontId="6" type="noConversion"/>
  </si>
  <si>
    <t>케르베로스 아이템 투사체</t>
    <phoneticPr fontId="6" type="noConversion"/>
  </si>
  <si>
    <t>행성 만세</t>
    <phoneticPr fontId="6" type="noConversion"/>
  </si>
  <si>
    <t>ChargeMovementSpd</t>
    <phoneticPr fontId="6" type="noConversion"/>
  </si>
  <si>
    <t>#Param3설명3</t>
  </si>
  <si>
    <t>Param4</t>
    <phoneticPr fontId="12" type="noConversion"/>
  </si>
  <si>
    <t>골드획득량 +50%</t>
    <phoneticPr fontId="6" type="noConversion"/>
  </si>
  <si>
    <t>초소형 블랙홀</t>
    <phoneticPr fontId="6" type="noConversion"/>
  </si>
  <si>
    <t>앞만 보고 살아가는 당신에게 추천합니다.\n데일리룩으로 안성맞춤.</t>
    <phoneticPr fontId="6" type="noConversion"/>
  </si>
  <si>
    <t>시크한 표정을 믿고 산책에 나갔다가는\n마라톤을 하게 될 수 있습니다.</t>
    <phoneticPr fontId="6" type="noConversion"/>
  </si>
  <si>
    <t>꽤 무게가 나가는 돌가면.\n안쪽에 숨겨진 침들이 보이는데...\n위험하진 않겠죠?</t>
    <phoneticPr fontId="6" type="noConversion"/>
  </si>
  <si>
    <t>공공장소에서 사용으로 인한\n피해는 책임지지 않습니다.</t>
    <phoneticPr fontId="6" type="noConversion"/>
  </si>
  <si>
    <t>공격속도 -30%</t>
    <phoneticPr fontId="6" type="noConversion"/>
  </si>
  <si>
    <t>어째선지 계속해서 울고 있는 양초입니다.\n건드리고 싶지 않네요.</t>
    <phoneticPr fontId="6" type="noConversion"/>
  </si>
  <si>
    <t>AtkDmgPer</t>
    <phoneticPr fontId="12" type="noConversion"/>
  </si>
  <si>
    <t>OnParry</t>
    <phoneticPr fontId="6" type="noConversion"/>
  </si>
  <si>
    <t>공 충돌횟수 +3</t>
    <phoneticPr fontId="6" type="noConversion"/>
  </si>
  <si>
    <t>OnSwingHit</t>
    <phoneticPr fontId="6" type="noConversion"/>
  </si>
  <si>
    <t>SwingCooldown</t>
    <phoneticPr fontId="12" type="noConversion"/>
  </si>
  <si>
    <t>공격력 +60%</t>
    <phoneticPr fontId="6" type="noConversion"/>
  </si>
  <si>
    <t>층</t>
    <phoneticPr fontId="6" type="noConversion"/>
  </si>
  <si>
    <t>층 방 개수</t>
    <phoneticPr fontId="6" type="noConversion"/>
  </si>
  <si>
    <t>1층</t>
    <phoneticPr fontId="6" type="noConversion"/>
  </si>
  <si>
    <t>2층</t>
    <phoneticPr fontId="6" type="noConversion"/>
  </si>
  <si>
    <t>3층</t>
  </si>
  <si>
    <t>3층</t>
    <phoneticPr fontId="6" type="noConversion"/>
  </si>
  <si>
    <t>개수</t>
    <phoneticPr fontId="6" type="noConversion"/>
  </si>
  <si>
    <t>평균획득골드</t>
    <phoneticPr fontId="6" type="noConversion"/>
  </si>
  <si>
    <t>일반템</t>
    <phoneticPr fontId="6" type="noConversion"/>
  </si>
  <si>
    <t>희귀템</t>
    <phoneticPr fontId="6" type="noConversion"/>
  </si>
  <si>
    <t>태양 만세 아이템 효과</t>
    <phoneticPr fontId="6" type="noConversion"/>
  </si>
  <si>
    <t>태양 만세</t>
    <phoneticPr fontId="6" type="noConversion"/>
  </si>
  <si>
    <t>Prefabs/ItemProjectile1.prefab</t>
    <phoneticPr fontId="6" type="noConversion"/>
  </si>
  <si>
    <t>Multiply</t>
    <phoneticPr fontId="12" type="noConversion"/>
  </si>
  <si>
    <t>ChargeBounceCount</t>
    <phoneticPr fontId="12" type="noConversion"/>
  </si>
  <si>
    <t>배트에 달아놓으면 휘두를 때\n짤랑짤랑 소리가 납니다.</t>
    <phoneticPr fontId="6" type="noConversion"/>
  </si>
  <si>
    <t>차징 타격 시 5초간\n공격력 +20%</t>
    <phoneticPr fontId="6" type="noConversion"/>
  </si>
  <si>
    <t>OnDodge</t>
    <phoneticPr fontId="6" type="noConversion"/>
  </si>
  <si>
    <t>회피 시 공 4개 발사</t>
    <phoneticPr fontId="6" type="noConversion"/>
  </si>
  <si>
    <t>Hard</t>
    <phoneticPr fontId="12" type="noConversion"/>
  </si>
  <si>
    <t>플레이어의 공이\n적을 관통합니다.</t>
    <phoneticPr fontId="6" type="noConversion"/>
  </si>
  <si>
    <t>ChargeBounceCount</t>
    <phoneticPr fontId="6" type="noConversion"/>
  </si>
  <si>
    <t>DodgeCooldown</t>
    <phoneticPr fontId="12" type="noConversion"/>
  </si>
  <si>
    <t>Prefabs/ItemProjectile2.prefab</t>
    <phoneticPr fontId="6" type="noConversion"/>
  </si>
  <si>
    <t>HP</t>
    <phoneticPr fontId="12" type="noConversion"/>
  </si>
  <si>
    <t>일반 공격이\n차징 공격이 됩니다.</t>
    <phoneticPr fontId="6" type="noConversion"/>
  </si>
  <si>
    <t>Spacing</t>
    <phoneticPr fontId="6" type="noConversion"/>
  </si>
  <si>
    <t>ChargeProjectileDmg</t>
    <phoneticPr fontId="6" type="noConversion"/>
  </si>
  <si>
    <t>EnemyProjectileDmg</t>
    <phoneticPr fontId="6" type="noConversion"/>
  </si>
  <si>
    <t>ChargeShootSpd</t>
    <phoneticPr fontId="6" type="noConversion"/>
  </si>
  <si>
    <t>#554</t>
    <phoneticPr fontId="6" type="noConversion"/>
  </si>
  <si>
    <t>Prefabs/Enemy/Enemy_Slime.prefab</t>
    <phoneticPr fontId="6" type="noConversion"/>
  </si>
  <si>
    <t>Prefabs/Enemy/Enemy_Flow.prefab</t>
    <phoneticPr fontId="6" type="noConversion"/>
  </si>
  <si>
    <t>Prefabs/Enemy/Enemy_Earring.prefab</t>
    <phoneticPr fontId="6" type="noConversion"/>
  </si>
  <si>
    <t>#504</t>
    <phoneticPr fontId="6" type="noConversion"/>
  </si>
  <si>
    <t>#505</t>
    <phoneticPr fontId="6" type="noConversion"/>
  </si>
  <si>
    <t>Prefabs/Enemy/Enemy_Catcher.prefab</t>
    <phoneticPr fontId="6" type="noConversion"/>
  </si>
  <si>
    <t>Prefabs/Enemy/Enemy_Catcher_Elite.prefab</t>
    <phoneticPr fontId="6" type="noConversion"/>
  </si>
  <si>
    <t>Prefabs/Enemy/Enemy_Earring_Elite.prefab</t>
    <phoneticPr fontId="6" type="noConversion"/>
  </si>
  <si>
    <t>Prefabs/Enemy/Enemy_Ghost.prefab</t>
    <phoneticPr fontId="6" type="noConversion"/>
  </si>
  <si>
    <t>Prefabs/Enemy/Enemy_Slime_Elite.prefab</t>
    <phoneticPr fontId="6" type="noConversion"/>
  </si>
  <si>
    <t>슬라임 : 방사 상하좌우4발</t>
    <phoneticPr fontId="6" type="noConversion"/>
  </si>
  <si>
    <t>둥둥이 : 플레이어조준 기관총</t>
    <phoneticPr fontId="6" type="noConversion"/>
  </si>
  <si>
    <t>귀마개 : 플레이어조준 튕김공 발사</t>
    <phoneticPr fontId="6" type="noConversion"/>
  </si>
  <si>
    <t>포수 : 플레이어조준 3발 3연발</t>
    <phoneticPr fontId="6" type="noConversion"/>
  </si>
  <si>
    <t>유령 : 방사 대각 4발</t>
    <phoneticPr fontId="6" type="noConversion"/>
  </si>
  <si>
    <t>슬라임(엘리트) : 8방향 방사</t>
    <phoneticPr fontId="6" type="noConversion"/>
  </si>
  <si>
    <t>둥둥이(엘리트) : 플레이어조준 기관총</t>
    <phoneticPr fontId="6" type="noConversion"/>
  </si>
  <si>
    <t>귀마개(엘리트) : 플레이어조준 튕김공 발사</t>
    <phoneticPr fontId="6" type="noConversion"/>
  </si>
  <si>
    <t>포수(엘리트) : 플레이어조준 샷건 3연발</t>
    <phoneticPr fontId="6" type="noConversion"/>
  </si>
  <si>
    <t>Heal</t>
    <phoneticPr fontId="12" type="noConversion"/>
  </si>
  <si>
    <t>Rare</t>
    <phoneticPr fontId="6" type="noConversion"/>
  </si>
  <si>
    <t>Equip, OnHeal, OnDamage</t>
    <phoneticPr fontId="6" type="noConversion"/>
  </si>
  <si>
    <t>Random</t>
    <phoneticPr fontId="6" type="noConversion"/>
  </si>
  <si>
    <t>기절한 적을 공격할 때\n4초간 공격력 +30%</t>
    <phoneticPr fontId="6" type="noConversion"/>
  </si>
  <si>
    <t>공격 시 33%확률로 공 3개 발사</t>
    <phoneticPr fontId="6" type="noConversion"/>
  </si>
  <si>
    <t>회피 캣 아이템 효과</t>
    <phoneticPr fontId="6" type="noConversion"/>
  </si>
  <si>
    <t>회피 캣</t>
    <phoneticPr fontId="6" type="noConversion"/>
  </si>
  <si>
    <t>피격 시 공 8개 발사</t>
    <phoneticPr fontId="6" type="noConversion"/>
  </si>
  <si>
    <t>MovementSpd</t>
    <phoneticPr fontId="12" type="noConversion"/>
  </si>
  <si>
    <t>어른의 카드</t>
    <phoneticPr fontId="6" type="noConversion"/>
  </si>
  <si>
    <r>
      <t xml:space="preserve">지속시간(초) </t>
    </r>
    <r>
      <rPr>
        <sz val="11"/>
        <color rgb="FFFF0000"/>
        <rFont val="맑은 고딕"/>
        <family val="3"/>
        <charset val="129"/>
      </rPr>
      <t>*시간 배율만큼 시간이 늘어남</t>
    </r>
    <phoneticPr fontId="12" type="noConversion"/>
  </si>
  <si>
    <t>엑스칼리배트</t>
    <phoneticPr fontId="6" type="noConversion"/>
  </si>
  <si>
    <t>약속된 홈런의 배트!</t>
  </si>
  <si>
    <t>조준 방향으로 강력한 빔을 발사합니다.</t>
    <phoneticPr fontId="6" type="noConversion"/>
  </si>
  <si>
    <t>SplashRectangle</t>
    <phoneticPr fontId="12" type="noConversion"/>
  </si>
  <si>
    <t>피해량</t>
    <phoneticPr fontId="12" type="noConversion"/>
  </si>
  <si>
    <t>폭</t>
    <phoneticPr fontId="12" type="noConversion"/>
  </si>
  <si>
    <t>길이</t>
    <phoneticPr fontId="12" type="noConversion"/>
  </si>
  <si>
    <t>OnDamage</t>
    <phoneticPr fontId="6" type="noConversion"/>
  </si>
  <si>
    <t>#10004</t>
    <phoneticPr fontId="12" type="noConversion"/>
  </si>
  <si>
    <t>여의배트</t>
    <phoneticPr fontId="6" type="noConversion"/>
  </si>
  <si>
    <t>배트를 마음대로 늘릴 수 있습니다!</t>
    <phoneticPr fontId="6" type="noConversion"/>
  </si>
  <si>
    <t>SwingRad</t>
    <phoneticPr fontId="12" type="noConversion"/>
  </si>
  <si>
    <t>SwingCentralAngle</t>
    <phoneticPr fontId="6" type="noConversion"/>
  </si>
  <si>
    <t>AddGold</t>
    <phoneticPr fontId="12" type="noConversion"/>
  </si>
  <si>
    <t>icon/item/Passive_Item/item_05.png</t>
    <phoneticPr fontId="6" type="noConversion"/>
  </si>
  <si>
    <t>icon/item/Passive_Item/item_07.png</t>
    <phoneticPr fontId="6" type="noConversion"/>
  </si>
  <si>
    <t>icon/item/Passive_Item/item_11.png</t>
    <phoneticPr fontId="6" type="noConversion"/>
  </si>
  <si>
    <t>icon/item/Passive_Item/item_15.png</t>
    <phoneticPr fontId="6" type="noConversion"/>
  </si>
  <si>
    <t>icon/item/Passive_Item/item_17.png</t>
    <phoneticPr fontId="6" type="noConversion"/>
  </si>
  <si>
    <t>icon/item/Passive_Item/item_09.png</t>
    <phoneticPr fontId="6" type="noConversion"/>
  </si>
  <si>
    <t>icon/item/Passive_Item/item_10.png</t>
    <phoneticPr fontId="6" type="noConversion"/>
  </si>
  <si>
    <t>icon/item/Passive_Item/item_16.png</t>
    <phoneticPr fontId="6" type="noConversion"/>
  </si>
  <si>
    <t>icon/item/Passive_Item/item_03.png</t>
    <phoneticPr fontId="6" type="noConversion"/>
  </si>
  <si>
    <t>icon/item/Passive_Item/item_18.png</t>
    <phoneticPr fontId="6" type="noConversion"/>
  </si>
  <si>
    <t>icon/item/Passive_Item/item_06.png</t>
    <phoneticPr fontId="6" type="noConversion"/>
  </si>
  <si>
    <t>icon/item/Passive_Item/item_08.png</t>
    <phoneticPr fontId="6" type="noConversion"/>
  </si>
  <si>
    <t>icon/item/Passive_Item/item_01.png</t>
    <phoneticPr fontId="6" type="noConversion"/>
  </si>
  <si>
    <t>icon/item/Passive_Item/item_13.png</t>
    <phoneticPr fontId="6" type="noConversion"/>
  </si>
  <si>
    <t>icon/item/Active_item/A_item_02.png</t>
    <phoneticPr fontId="6" type="noConversion"/>
  </si>
  <si>
    <t>icon/item/Active_item/A_item_03.png</t>
    <phoneticPr fontId="6" type="noConversion"/>
  </si>
  <si>
    <t>icon/item/Active_item/A_item_06.png</t>
    <phoneticPr fontId="6" type="noConversion"/>
  </si>
  <si>
    <t>icon/item/Active_item/A_item_01.png</t>
    <phoneticPr fontId="6" type="noConversion"/>
  </si>
  <si>
    <t>icon/item/Active_item/A_item_07.png</t>
    <phoneticPr fontId="6" type="noConversion"/>
  </si>
  <si>
    <t>Addition</t>
    <phoneticPr fontId="12" type="noConversion"/>
  </si>
  <si>
    <t>커서 방향으로 돌진합니다.\n(쿨타임 8초)</t>
    <phoneticPr fontId="6" type="noConversion"/>
  </si>
  <si>
    <t>10초간 공격범위 +100%\n(쿨타임 18초)</t>
    <phoneticPr fontId="6" type="noConversion"/>
  </si>
  <si>
    <t>주변 투사체를 흡수하여 발사합니다.\n(쿨타임 10초)</t>
    <phoneticPr fontId="6" type="noConversion"/>
  </si>
  <si>
    <t>사이버웨어</t>
    <phoneticPr fontId="6" type="noConversion"/>
  </si>
  <si>
    <t>6초간 주변 시간이 느려집니다.\n(쿨타임 12초)</t>
    <phoneticPr fontId="6" type="noConversion"/>
  </si>
  <si>
    <t>Metal Unicorn Keyring</t>
  </si>
  <si>
    <t>Cool - Dog</t>
  </si>
  <si>
    <t>Devil Bull</t>
  </si>
  <si>
    <t>Sad Canrio</t>
  </si>
  <si>
    <t>Cyberware</t>
  </si>
  <si>
    <t>Excalibat</t>
  </si>
  <si>
    <t>Red Hobbyhorse</t>
  </si>
  <si>
    <t>Stone Mask</t>
  </si>
  <si>
    <t>Item</t>
    <phoneticPr fontId="6" type="noConversion"/>
  </si>
  <si>
    <t>#컴포넌트1</t>
    <phoneticPr fontId="6" type="noConversion"/>
  </si>
  <si>
    <t>#컴포넌트2</t>
    <phoneticPr fontId="6" type="noConversion"/>
  </si>
  <si>
    <t>#컴포넌트3</t>
    <phoneticPr fontId="6" type="noConversion"/>
  </si>
  <si>
    <t>#컴포넌트4</t>
    <phoneticPr fontId="6" type="noConversion"/>
  </si>
  <si>
    <t>Desc</t>
    <phoneticPr fontId="6" type="noConversion"/>
  </si>
  <si>
    <t>UI</t>
    <phoneticPr fontId="6" type="noConversion"/>
  </si>
  <si>
    <t>Map</t>
  </si>
  <si>
    <t>Map</t>
    <phoneticPr fontId="6" type="noConversion"/>
  </si>
  <si>
    <t>Stat</t>
    <phoneticPr fontId="6" type="noConversion"/>
  </si>
  <si>
    <t>AtkDmg</t>
  </si>
  <si>
    <t>AtkDmg</t>
    <phoneticPr fontId="6" type="noConversion"/>
  </si>
  <si>
    <t>ChargeSpd</t>
  </si>
  <si>
    <t>ChargeSpd</t>
    <phoneticPr fontId="6" type="noConversion"/>
  </si>
  <si>
    <t>AtkLength</t>
  </si>
  <si>
    <t>AtkLength</t>
    <phoneticPr fontId="6" type="noConversion"/>
  </si>
  <si>
    <t>GoldGain</t>
    <phoneticPr fontId="6" type="noConversion"/>
  </si>
  <si>
    <t>AtkSpd</t>
  </si>
  <si>
    <t>AtkSpd</t>
    <phoneticPr fontId="6" type="noConversion"/>
  </si>
  <si>
    <t>MoveSpd</t>
  </si>
  <si>
    <t>MoveSpd</t>
    <phoneticPr fontId="6" type="noConversion"/>
  </si>
  <si>
    <t>지도</t>
    <phoneticPr fontId="6" type="noConversion"/>
  </si>
  <si>
    <t>피해량</t>
    <phoneticPr fontId="6" type="noConversion"/>
  </si>
  <si>
    <t>공격속도</t>
    <phoneticPr fontId="6" type="noConversion"/>
  </si>
  <si>
    <t>공격범위</t>
    <phoneticPr fontId="6" type="noConversion"/>
  </si>
  <si>
    <t>이동속도</t>
    <phoneticPr fontId="6" type="noConversion"/>
  </si>
  <si>
    <t>차징속도</t>
    <phoneticPr fontId="6" type="noConversion"/>
  </si>
  <si>
    <t>골드 획득량</t>
    <phoneticPr fontId="6" type="noConversion"/>
  </si>
  <si>
    <t>Start</t>
  </si>
  <si>
    <t>Start</t>
    <phoneticPr fontId="6" type="noConversion"/>
  </si>
  <si>
    <t>Tutorial</t>
  </si>
  <si>
    <t>Tutorial</t>
    <phoneticPr fontId="6" type="noConversion"/>
  </si>
  <si>
    <t>Button</t>
    <phoneticPr fontId="6" type="noConversion"/>
  </si>
  <si>
    <t>Exit</t>
  </si>
  <si>
    <t>Exit</t>
    <phoneticPr fontId="6" type="noConversion"/>
  </si>
  <si>
    <t>게임시작</t>
    <phoneticPr fontId="6" type="noConversion"/>
  </si>
  <si>
    <t>튜토리얼</t>
    <phoneticPr fontId="6" type="noConversion"/>
  </si>
  <si>
    <t>게임종료</t>
    <phoneticPr fontId="6" type="noConversion"/>
  </si>
  <si>
    <t>Tap</t>
    <phoneticPr fontId="6" type="noConversion"/>
  </si>
  <si>
    <t>Subtitle</t>
  </si>
  <si>
    <t>Title</t>
    <phoneticPr fontId="6" type="noConversion"/>
  </si>
  <si>
    <t>아이템</t>
    <phoneticPr fontId="6" type="noConversion"/>
  </si>
  <si>
    <t>#인덱스제너레이터</t>
    <phoneticPr fontId="6" type="noConversion"/>
  </si>
  <si>
    <t>Qt Powder</t>
  </si>
  <si>
    <t>A Fierce Piggy Bank</t>
  </si>
  <si>
    <t>Something In The Holy Grail</t>
  </si>
  <si>
    <t>Strange Candy</t>
  </si>
  <si>
    <t>Kerberos Pitcher</t>
  </si>
  <si>
    <t>A Bucket Of Cocoa</t>
  </si>
  <si>
    <t>Praise The Sun</t>
  </si>
  <si>
    <t>Dodge Cat</t>
  </si>
  <si>
    <t>Infinity Doughnut</t>
  </si>
  <si>
    <t>Ultra-Small Black Hole</t>
  </si>
  <si>
    <t>A Missile Backpack</t>
  </si>
  <si>
    <t>Rice Ball</t>
    <phoneticPr fontId="6" type="noConversion"/>
  </si>
  <si>
    <r>
      <t>이벤트성으로 100만봉지\n중 한 개만 들어간 ■</t>
    </r>
    <r>
      <rPr>
        <sz val="11"/>
        <rFont val="Courier New"/>
        <family val="3"/>
      </rPr>
      <t>̛̲͙̩͎͖̲̐̐̂͐ͅ</t>
    </r>
    <r>
      <rPr>
        <sz val="11"/>
        <rFont val="Segoe UI Symbol"/>
        <family val="3"/>
      </rPr>
      <t>■</t>
    </r>
    <r>
      <rPr>
        <sz val="11"/>
        <rFont val="Courier New"/>
        <family val="3"/>
      </rPr>
      <t>͓̟̦̹͚̇̓́͛͠ͅ</t>
    </r>
    <r>
      <rPr>
        <sz val="11"/>
        <rFont val="맑은 고딕"/>
        <family val="3"/>
        <charset val="129"/>
      </rPr>
      <t>맛 사탕입니다.</t>
    </r>
    <phoneticPr fontId="6" type="noConversion"/>
  </si>
  <si>
    <t>When you hang it on the bat, it makes a jingle when you swing it.</t>
    <phoneticPr fontId="6" type="noConversion"/>
  </si>
  <si>
    <t>It's a new trend here.</t>
  </si>
  <si>
    <t>If you believe in this horse's cute expression and go out for a walk, you may end up running a marathon.</t>
  </si>
  <si>
    <t>데빌불, 숨겨진 악성을 펼쳐줘요.\n불티나게 팔리고 있는 음료입니다.</t>
    <phoneticPr fontId="6" type="noConversion"/>
  </si>
  <si>
    <t>StringKey</t>
    <phoneticPr fontId="6" type="noConversion"/>
  </si>
  <si>
    <t>1. Standing in the direction of the sun.\n2. Stand in a Y-shape with open arms.\n3. Look at the sun and shout.</t>
  </si>
  <si>
    <t>I feel old memories.\n3 years ago, this guy...\nWait, is it okay if we look at this?</t>
  </si>
  <si>
    <t>it is a power obtained for the price of life and time</t>
  </si>
  <si>
    <t>We are not responsible for any damage caused by use in public.</t>
  </si>
  <si>
    <t>icon/item/Passive_Item/item_02.png</t>
    <phoneticPr fontId="6" type="noConversion"/>
  </si>
  <si>
    <t>DPS 계산</t>
    <phoneticPr fontId="6" type="noConversion"/>
  </si>
  <si>
    <t>방당 획득 골드</t>
    <phoneticPr fontId="6" type="noConversion"/>
  </si>
  <si>
    <t>층 완료 획득 골드</t>
    <phoneticPr fontId="6" type="noConversion"/>
  </si>
  <si>
    <t xml:space="preserve"> </t>
    <phoneticPr fontId="6" type="noConversion"/>
  </si>
  <si>
    <t>Excalibat. the Bat of Promised Victory</t>
    <phoneticPr fontId="6" type="noConversion"/>
  </si>
  <si>
    <t>This bat can be increased at will!</t>
  </si>
  <si>
    <t>player's shot pierces through the enemy.</t>
    <phoneticPr fontId="6" type="noConversion"/>
  </si>
  <si>
    <t>Gold acquisition +50%</t>
  </si>
  <si>
    <t>33% chance to release 3 projectiles with each attack.</t>
  </si>
  <si>
    <t>Normal attacks become charged attacks.</t>
  </si>
  <si>
    <t>Attack Power +100%</t>
  </si>
  <si>
    <t>Attack Power +60%</t>
  </si>
  <si>
    <t>Teleports to stunned enemies and attacks.</t>
  </si>
  <si>
    <t>Fires a powerful beam in the aimed direction.</t>
  </si>
  <si>
    <t>Attack Speed -30%</t>
  </si>
  <si>
    <t>Attack direction becomes reversed.</t>
  </si>
  <si>
    <t>층 적 HP</t>
    <phoneticPr fontId="6" type="noConversion"/>
  </si>
  <si>
    <t>총합</t>
    <phoneticPr fontId="6" type="noConversion"/>
  </si>
  <si>
    <t>방 별 적 개수</t>
    <phoneticPr fontId="6" type="noConversion"/>
  </si>
  <si>
    <t>일반 총 HP</t>
    <phoneticPr fontId="6" type="noConversion"/>
  </si>
  <si>
    <t>박쥐 총 HP</t>
    <phoneticPr fontId="6" type="noConversion"/>
  </si>
  <si>
    <t>박쥐 평균 개수</t>
    <phoneticPr fontId="6" type="noConversion"/>
  </si>
  <si>
    <t>일반 평균 개수</t>
    <phoneticPr fontId="6" type="noConversion"/>
  </si>
  <si>
    <t>정예 평균 개수</t>
    <phoneticPr fontId="6" type="noConversion"/>
  </si>
  <si>
    <t>정예 총 HP</t>
    <phoneticPr fontId="6" type="noConversion"/>
  </si>
  <si>
    <t>개체별 HP</t>
    <phoneticPr fontId="6" type="noConversion"/>
  </si>
  <si>
    <t>층별 전투 시간</t>
    <phoneticPr fontId="6" type="noConversion"/>
  </si>
  <si>
    <t>Setting</t>
    <phoneticPr fontId="6" type="noConversion"/>
  </si>
  <si>
    <t>MasterVolume</t>
    <phoneticPr fontId="6" type="noConversion"/>
  </si>
  <si>
    <t>BGMVolume</t>
    <phoneticPr fontId="6" type="noConversion"/>
  </si>
  <si>
    <t>SFXVolume</t>
    <phoneticPr fontId="6" type="noConversion"/>
  </si>
  <si>
    <t>Language</t>
    <phoneticPr fontId="6" type="noConversion"/>
  </si>
  <si>
    <t>환경설정</t>
    <phoneticPr fontId="6" type="noConversion"/>
  </si>
  <si>
    <t>Master Volume</t>
    <phoneticPr fontId="6" type="noConversion"/>
  </si>
  <si>
    <t>전체 음량</t>
    <phoneticPr fontId="6" type="noConversion"/>
  </si>
  <si>
    <t>배경 음량</t>
    <phoneticPr fontId="6" type="noConversion"/>
  </si>
  <si>
    <t>효과 음량</t>
    <phoneticPr fontId="6" type="noConversion"/>
  </si>
  <si>
    <t>SFX Volume</t>
    <phoneticPr fontId="6" type="noConversion"/>
  </si>
  <si>
    <t>BGM Volume</t>
    <phoneticPr fontId="6" type="noConversion"/>
  </si>
  <si>
    <t>언어</t>
    <phoneticPr fontId="6" type="noConversion"/>
  </si>
  <si>
    <t>GoToTitle</t>
    <phoneticPr fontId="6" type="noConversion"/>
  </si>
  <si>
    <t>타이틀 화면으로</t>
    <phoneticPr fontId="6" type="noConversion"/>
  </si>
  <si>
    <t>Go to Title</t>
    <phoneticPr fontId="6" type="noConversion"/>
  </si>
  <si>
    <t>도움말</t>
    <phoneticPr fontId="6" type="noConversion"/>
  </si>
  <si>
    <t>Boss</t>
    <phoneticPr fontId="6" type="noConversion"/>
  </si>
  <si>
    <t>Dulahan</t>
    <phoneticPr fontId="6" type="noConversion"/>
  </si>
  <si>
    <t>챔피언</t>
    <phoneticPr fontId="6" type="noConversion"/>
  </si>
  <si>
    <t>듀-나이트</t>
    <phoneticPr fontId="6" type="noConversion"/>
  </si>
  <si>
    <t>D-Knight</t>
    <phoneticPr fontId="6" type="noConversion"/>
  </si>
  <si>
    <t>champion</t>
    <phoneticPr fontId="6" type="noConversion"/>
  </si>
  <si>
    <t>GameOver</t>
    <phoneticPr fontId="6" type="noConversion"/>
  </si>
  <si>
    <t>Restart</t>
    <phoneticPr fontId="6" type="noConversion"/>
  </si>
  <si>
    <t>다시하기</t>
    <phoneticPr fontId="6" type="noConversion"/>
  </si>
  <si>
    <t>타이틀</t>
    <phoneticPr fontId="6" type="noConversion"/>
  </si>
  <si>
    <t>Items</t>
    <phoneticPr fontId="6" type="noConversion"/>
  </si>
  <si>
    <t>회피 쿨타임 변경</t>
    <phoneticPr fontId="6" type="noConversion"/>
  </si>
  <si>
    <t>DodgeDurationTime</t>
    <phoneticPr fontId="12" type="noConversion"/>
  </si>
  <si>
    <t>DodgeDurationTime</t>
    <phoneticPr fontId="6" type="noConversion"/>
  </si>
  <si>
    <t>회피 지속 시간 변경</t>
    <phoneticPr fontId="6" type="noConversion"/>
  </si>
  <si>
    <t>회피 이동 속도 변경</t>
    <phoneticPr fontId="6" type="noConversion"/>
  </si>
  <si>
    <t>차징속도변경</t>
    <phoneticPr fontId="6" type="noConversion"/>
  </si>
  <si>
    <t>차징 중 이동속도 변경</t>
    <phoneticPr fontId="6" type="noConversion"/>
  </si>
  <si>
    <t>#텍스트로 설명</t>
    <phoneticPr fontId="12" type="noConversion"/>
  </si>
  <si>
    <t>#변화 후 값</t>
    <phoneticPr fontId="12" type="noConversion"/>
  </si>
  <si>
    <t>#스텟의 default값</t>
    <phoneticPr fontId="12" type="noConversion"/>
  </si>
  <si>
    <t>#총 가치판단</t>
    <phoneticPr fontId="12" type="noConversion"/>
  </si>
  <si>
    <t>차징 공격 적 맞춤 데미지 추가</t>
  </si>
  <si>
    <t>차징공격 DPS</t>
  </si>
  <si>
    <t>적에게 튕김 기댓값</t>
  </si>
  <si>
    <t>튕김 속도 데미지 감쇄</t>
  </si>
  <si>
    <t>차징 공격 사용 비율</t>
  </si>
  <si>
    <t>최종 DPS</t>
  </si>
  <si>
    <t>직접 공격 DPS</t>
    <phoneticPr fontId="6" type="noConversion"/>
  </si>
  <si>
    <t>직접 차징 DPS</t>
    <phoneticPr fontId="6" type="noConversion"/>
  </si>
  <si>
    <t>차징 튕김 데미지 추가</t>
    <phoneticPr fontId="6" type="noConversion"/>
  </si>
  <si>
    <t>공격 재사용 시간 변경</t>
    <phoneticPr fontId="6" type="noConversion"/>
  </si>
  <si>
    <t>공격 공격 범위 각도 변경</t>
    <phoneticPr fontId="6" type="noConversion"/>
  </si>
  <si>
    <t>공격 공격 범위 반지름 변경</t>
    <phoneticPr fontId="6" type="noConversion"/>
  </si>
  <si>
    <t>OP계수</t>
    <phoneticPr fontId="6" type="noConversion"/>
  </si>
  <si>
    <t>가정</t>
    <phoneticPr fontId="6" type="noConversion"/>
  </si>
  <si>
    <t>1당 가치 기준</t>
    <phoneticPr fontId="6" type="noConversion"/>
  </si>
  <si>
    <t>#기초 스텟의 가치를 가정합니다. 게임의 속도감 같은 것을 고려하여 전체 적용되는 밸런스 기준임.</t>
    <phoneticPr fontId="6" type="noConversion"/>
  </si>
  <si>
    <t>#효력 가치 판단</t>
    <phoneticPr fontId="12" type="noConversion"/>
  </si>
  <si>
    <t>int</t>
    <phoneticPr fontId="12" type="noConversion"/>
  </si>
  <si>
    <t>enum</t>
    <phoneticPr fontId="6" type="noConversion"/>
  </si>
  <si>
    <t>#변화 후 값 예외처리</t>
    <phoneticPr fontId="12" type="noConversion"/>
  </si>
  <si>
    <t>(HP_Base - HP)*0.002</t>
    <phoneticPr fontId="6" type="noConversion"/>
  </si>
  <si>
    <t>잃은 체력 반칸당 공격력 +5%</t>
    <phoneticPr fontId="6" type="noConversion"/>
  </si>
  <si>
    <t>5% increased Attack Power per half health lost</t>
    <phoneticPr fontId="6" type="noConversion"/>
  </si>
  <si>
    <t>DPS 상승량</t>
    <phoneticPr fontId="6" type="noConversion"/>
  </si>
  <si>
    <t>체력 상승량</t>
    <phoneticPr fontId="6" type="noConversion"/>
  </si>
  <si>
    <t>active</t>
    <phoneticPr fontId="6" type="noConversion"/>
  </si>
  <si>
    <t>#발동율</t>
    <phoneticPr fontId="12" type="noConversion"/>
  </si>
  <si>
    <t>#트리거1</t>
    <phoneticPr fontId="12" type="noConversion"/>
  </si>
  <si>
    <t>#트리거3</t>
    <phoneticPr fontId="6" type="noConversion"/>
  </si>
  <si>
    <t>#트리거2</t>
    <phoneticPr fontId="6" type="noConversion"/>
  </si>
  <si>
    <t>Loading</t>
    <phoneticPr fontId="6" type="noConversion"/>
  </si>
  <si>
    <t>Tip</t>
    <phoneticPr fontId="6" type="noConversion"/>
  </si>
  <si>
    <t>구덩이에 떨어지지 않도록 주의하세요.</t>
    <phoneticPr fontId="6" type="noConversion"/>
  </si>
  <si>
    <t>붉은 색 테두리의 아이템은 강력한 효과를 가진 반면, 디버프를 갖고 있습니다.</t>
    <phoneticPr fontId="6" type="noConversion"/>
  </si>
  <si>
    <t>스페이스 바를 눌러 회피할 수 있습니다.</t>
    <phoneticPr fontId="6" type="noConversion"/>
  </si>
  <si>
    <t>미니맵의 아이콘으로 방들의 유형을 파악할 수 있습니다.</t>
    <phoneticPr fontId="6" type="noConversion"/>
  </si>
  <si>
    <t>이미 이동했던 방으로 이동하려면 지도UI의 텔레포트 기능을 이용하세요.</t>
    <phoneticPr fontId="6" type="noConversion"/>
  </si>
  <si>
    <t>진행할수록 적들이 더 많이 등장합니다.</t>
    <phoneticPr fontId="6" type="noConversion"/>
  </si>
  <si>
    <t>The icons on the minimap indicate the type of room you are in.</t>
  </si>
  <si>
    <t>As you progress, more enemies will appear.</t>
  </si>
  <si>
    <t>차지 공격</t>
    <phoneticPr fontId="6" type="noConversion"/>
  </si>
  <si>
    <t>차지 공격을 이용한 패링</t>
    <phoneticPr fontId="6" type="noConversion"/>
  </si>
  <si>
    <t>액티브 스킬</t>
    <phoneticPr fontId="6" type="noConversion"/>
  </si>
  <si>
    <t>기절</t>
    <phoneticPr fontId="6" type="noConversion"/>
  </si>
  <si>
    <t>인벤토리 &amp; 지도</t>
  </si>
  <si>
    <t>빠른 이동</t>
    <phoneticPr fontId="6" type="noConversion"/>
  </si>
  <si>
    <t>MainText</t>
    <phoneticPr fontId="6" type="noConversion"/>
  </si>
  <si>
    <t>적을 날리는 강력한 차지공격!</t>
  </si>
  <si>
    <t>적의 공격을 튕겨내는 차지공격!</t>
  </si>
  <si>
    <t>사망한 적은 기절합니다!</t>
  </si>
  <si>
    <t>핸드폰을 꺼내자!</t>
  </si>
  <si>
    <t>클리어한 방으로 빠른 텔레포트!</t>
  </si>
  <si>
    <t>숨어있는 상점과 화장실을 찾아라!</t>
  </si>
  <si>
    <t>SubText</t>
    <phoneticPr fontId="6" type="noConversion"/>
  </si>
  <si>
    <t>차지공격으로 적의 공격을 되받아치세요!</t>
    <phoneticPr fontId="6" type="noConversion"/>
  </si>
  <si>
    <t>TAB키를 눌러 인벤토리와 지도를 볼 수 있습니다!</t>
    <phoneticPr fontId="6" type="noConversion"/>
  </si>
  <si>
    <t>상점과 화장실을 들려 아이템을 획득하세요!</t>
    <phoneticPr fontId="6" type="noConversion"/>
  </si>
  <si>
    <t>나가기</t>
    <phoneticPr fontId="6" type="noConversion"/>
  </si>
  <si>
    <t>Charge Attack</t>
  </si>
  <si>
    <t>Active Skills</t>
    <phoneticPr fontId="6" type="noConversion"/>
  </si>
  <si>
    <t>Stun</t>
  </si>
  <si>
    <t>Inventory &amp; Map</t>
    <phoneticPr fontId="6" type="noConversion"/>
  </si>
  <si>
    <t>Dead enemies are stunned!</t>
  </si>
  <si>
    <t>Take out your cell phone!</t>
    <phoneticPr fontId="6" type="noConversion"/>
  </si>
  <si>
    <t>Quickly teleport to a cleared room!</t>
    <phoneticPr fontId="6" type="noConversion"/>
  </si>
  <si>
    <t>Find hidden shops and restrooms!</t>
  </si>
  <si>
    <t>Deflect enemy attacks with a charge attack!</t>
    <phoneticPr fontId="6" type="noConversion"/>
  </si>
  <si>
    <t>Press TAB to view your inventory and map!</t>
    <phoneticPr fontId="6" type="noConversion"/>
  </si>
  <si>
    <t>Visit shops and restrooms to get items!</t>
    <phoneticPr fontId="6" type="noConversion"/>
  </si>
  <si>
    <t>지도에서 클리어한 방 중 일부로 텔레포트할 수 있습니다!</t>
    <phoneticPr fontId="6" type="noConversion"/>
  </si>
  <si>
    <t>You can teleport to parts of rooms you've cleared on the map!</t>
    <phoneticPr fontId="6" type="noConversion"/>
  </si>
  <si>
    <t xml:space="preserve">공격버튼을 꾹 눌러 차지공격을 발동!\n강력한 데미지와 함께 적을 날려버리세요! </t>
    <phoneticPr fontId="6" type="noConversion"/>
  </si>
  <si>
    <t>Hold down the attack button to activate the charge attack!\nBlast enemies with powerful damage!</t>
    <phoneticPr fontId="6" type="noConversion"/>
  </si>
  <si>
    <t>Blast stunned enemies to hit other enemies.\nEnemies that have already been hit and killed will not be stunned!</t>
    <phoneticPr fontId="6" type="noConversion"/>
  </si>
  <si>
    <t>Right-click to unleash the power of your Active Skills!\nNote: Some Active Skills can only be used in certain situations.</t>
    <phoneticPr fontId="6" type="noConversion"/>
  </si>
  <si>
    <t>마우스 우클릭으로 액티브 스킬의 강력함을 느껴보세요!\n주의 : 어떠한 액티브 스킬은 특정 상황에만 사용할 수 있습니다.</t>
    <phoneticPr fontId="6" type="noConversion"/>
  </si>
  <si>
    <t>기절한 적을 날려 다른 적을 맞춰보세요.\n이미 날려져서 사망한 적은 기절하지 않습니다!</t>
    <phoneticPr fontId="6" type="noConversion"/>
  </si>
  <si>
    <t>Do not use it on anything other than a bat.\ncontains 0.0006% QT extract\ncontains 0.1% QT scent</t>
    <phoneticPr fontId="6" type="noConversion"/>
  </si>
  <si>
    <t>A fantastic combination of bamboo-scented white rice with black seaweed.</t>
    <phoneticPr fontId="6" type="noConversion"/>
  </si>
  <si>
    <t>Devil Bull, gives you wheels\nIt's a drink that's sell like hotcakes.</t>
    <phoneticPr fontId="6" type="noConversion"/>
  </si>
  <si>
    <t>It's a piggy bank with an ego.\nIt smells like gold!</t>
    <phoneticPr fontId="6" type="noConversion"/>
  </si>
  <si>
    <t>Dodge Dodge Dodge~\nIt's the cat that always dodges.</t>
    <phoneticPr fontId="6" type="noConversion"/>
  </si>
  <si>
    <t>How many holes are there in a doughnut?\nAt least this doughnut has infinite holes.</t>
    <phoneticPr fontId="6" type="noConversion"/>
  </si>
  <si>
    <t>it was rudimentary implant.\nIf you use too much Cyberware, you might lose yourself.</t>
    <phoneticPr fontId="6" type="noConversion"/>
  </si>
  <si>
    <t>It's the Holy Grail.\nWait, I think there's something moving inside.</t>
    <phoneticPr fontId="6" type="noConversion"/>
  </si>
  <si>
    <t>발동율</t>
    <phoneticPr fontId="6" type="noConversion"/>
  </si>
  <si>
    <t>Equip</t>
  </si>
  <si>
    <t>OnParry</t>
  </si>
  <si>
    <t>OnAttackStunEnemy</t>
  </si>
  <si>
    <t>OnSwing</t>
  </si>
  <si>
    <t>OnSwingHit</t>
  </si>
  <si>
    <t>OnDamage</t>
  </si>
  <si>
    <t>OnDodge</t>
  </si>
  <si>
    <t>OnActiveKey</t>
  </si>
  <si>
    <t>OnHeal</t>
  </si>
  <si>
    <t>트리거</t>
    <phoneticPr fontId="6" type="noConversion"/>
  </si>
  <si>
    <t>기준 전투 시간(초)</t>
    <phoneticPr fontId="6" type="noConversion"/>
  </si>
  <si>
    <t>발동 여부</t>
    <phoneticPr fontId="6" type="noConversion"/>
  </si>
  <si>
    <t>발동에 걸리는 시간</t>
    <phoneticPr fontId="6" type="noConversion"/>
  </si>
  <si>
    <t>#트리거1 발동 간격</t>
    <phoneticPr fontId="6" type="noConversion"/>
  </si>
  <si>
    <t>#트리거2 발동 간격</t>
    <phoneticPr fontId="6" type="noConversion"/>
  </si>
  <si>
    <t>#트리거3 발동 간격</t>
  </si>
  <si>
    <t>#발동율</t>
    <phoneticPr fontId="6" type="noConversion"/>
  </si>
  <si>
    <t>#지속 시간</t>
    <phoneticPr fontId="6" type="noConversion"/>
  </si>
  <si>
    <t>#쿨타임</t>
    <phoneticPr fontId="12" type="noConversion"/>
  </si>
  <si>
    <t>#발동량</t>
    <phoneticPr fontId="12" type="noConversion"/>
  </si>
  <si>
    <t>#차이값</t>
    <phoneticPr fontId="12" type="noConversion"/>
  </si>
  <si>
    <t>#기준 효력</t>
    <phoneticPr fontId="12" type="noConversion"/>
  </si>
  <si>
    <t>#아이템 효력 합산</t>
    <phoneticPr fontId="12" type="noConversion"/>
  </si>
  <si>
    <t>#아이템 명칭</t>
    <phoneticPr fontId="12" type="noConversion"/>
  </si>
  <si>
    <t>#가치판단</t>
    <phoneticPr fontId="12" type="noConversion"/>
  </si>
  <si>
    <t>#특수 효력</t>
    <phoneticPr fontId="12" type="noConversion"/>
  </si>
  <si>
    <t>특수 이펙트 명칭</t>
    <phoneticPr fontId="6" type="noConversion"/>
  </si>
  <si>
    <t>1당 가치</t>
    <phoneticPr fontId="6" type="noConversion"/>
  </si>
  <si>
    <t>열1</t>
    <phoneticPr fontId="6" type="noConversion"/>
  </si>
  <si>
    <t>설명</t>
    <phoneticPr fontId="6" type="noConversion"/>
  </si>
  <si>
    <t>#종합 효력</t>
    <phoneticPr fontId="12" type="noConversion"/>
  </si>
  <si>
    <t>#예외처리</t>
    <phoneticPr fontId="12" type="noConversion"/>
  </si>
  <si>
    <t>공격범위 +30%</t>
    <phoneticPr fontId="6" type="noConversion"/>
  </si>
  <si>
    <t>차징속도 +15%</t>
    <phoneticPr fontId="6" type="noConversion"/>
  </si>
  <si>
    <t>공격속도 +20%</t>
    <phoneticPr fontId="6" type="noConversion"/>
  </si>
  <si>
    <t>공격범위 +60%</t>
    <phoneticPr fontId="6" type="noConversion"/>
  </si>
  <si>
    <t>기절한 적을 공격할 때\n10%확률로 반칸 회복</t>
    <phoneticPr fontId="6" type="noConversion"/>
  </si>
  <si>
    <t>타격 시마다 4초간\n공격속도 +10%\n(효과는 중첩될 수 있습니다.)</t>
    <phoneticPr fontId="6" type="noConversion"/>
  </si>
  <si>
    <t>공격속도 -50%</t>
    <phoneticPr fontId="6" type="noConversion"/>
  </si>
  <si>
    <t>Attack Speed -50%</t>
    <phoneticPr fontId="6" type="noConversion"/>
  </si>
  <si>
    <t>Attack Speed +20%</t>
    <phoneticPr fontId="6" type="noConversion"/>
  </si>
  <si>
    <t>Charging Speed +15%</t>
    <phoneticPr fontId="6" type="noConversion"/>
  </si>
  <si>
    <t>Attack Range +30%</t>
    <phoneticPr fontId="6" type="noConversion"/>
  </si>
  <si>
    <t>Attack Range +60%</t>
    <phoneticPr fontId="6" type="noConversion"/>
  </si>
  <si>
    <t>튕김 기댓값</t>
    <phoneticPr fontId="6" type="noConversion"/>
  </si>
  <si>
    <t>A powerful attack that knocks enemies away!</t>
    <phoneticPr fontId="6" type="noConversion"/>
  </si>
  <si>
    <t>Charged attacks that bounce off enemy attacks</t>
  </si>
  <si>
    <t>Parrying</t>
    <phoneticPr fontId="6" type="noConversion"/>
  </si>
  <si>
    <t>Teleporting</t>
    <phoneticPr fontId="6" type="noConversion"/>
  </si>
  <si>
    <t>Controls</t>
  </si>
  <si>
    <t>Controls</t>
    <phoneticPr fontId="6" type="noConversion"/>
  </si>
  <si>
    <t>조작</t>
    <phoneticPr fontId="6" type="noConversion"/>
  </si>
  <si>
    <t>The Mature Card</t>
    <phoneticPr fontId="6" type="noConversion"/>
  </si>
  <si>
    <t>Power Pole</t>
    <phoneticPr fontId="6" type="noConversion"/>
  </si>
  <si>
    <t>최대체력 + 1칸</t>
    <phoneticPr fontId="6" type="noConversion"/>
  </si>
  <si>
    <t>최대체력 - 2칸</t>
    <phoneticPr fontId="6" type="noConversion"/>
  </si>
  <si>
    <t>Projectile collision count +3</t>
    <phoneticPr fontId="6" type="noConversion"/>
  </si>
  <si>
    <t>When attacking stunned enemies,\nhas a 10% chance to recover half of health.</t>
    <phoneticPr fontId="6" type="noConversion"/>
  </si>
  <si>
    <t>When attacking stunned enemies,\nincreases Attack Power by 30% for 4 seconds.</t>
    <phoneticPr fontId="6" type="noConversion"/>
  </si>
  <si>
    <t>When charged,\nincreases Attack Power by 20% for 5 seconds.</t>
    <phoneticPr fontId="6" type="noConversion"/>
  </si>
  <si>
    <t>Recommended for the forward-thinker in your life.\nPerfect for daily wear.</t>
    <phoneticPr fontId="6" type="noConversion"/>
  </si>
  <si>
    <t>Increases attack range by 100% for 10 seconds\n(Cooldown: 18 seconds).</t>
    <phoneticPr fontId="6" type="noConversion"/>
  </si>
  <si>
    <t>Dashes in the direction of the cursor\n(Cooldown: 8 seconds).</t>
    <phoneticPr fontId="6" type="noConversion"/>
  </si>
  <si>
    <t>Slows down time in the vicinity for 6 seconds\n(Cooldown: 12 seconds).</t>
    <phoneticPr fontId="6" type="noConversion"/>
  </si>
  <si>
    <t>Absorbs and shoots nearby projectiles\n(Cooldown: 10 seconds).</t>
    <phoneticPr fontId="6" type="noConversion"/>
  </si>
  <si>
    <t>For each hit, increases Attack Speed by 10% for 4 seconds\n(effects can stack).</t>
    <phoneticPr fontId="6" type="noConversion"/>
  </si>
  <si>
    <t>공격속도 -20%,\n공격 시 골드 -1</t>
    <phoneticPr fontId="6" type="noConversion"/>
  </si>
  <si>
    <t>하지만 이렇게 간단하게 회피했습니다.</t>
    <phoneticPr fontId="6" type="noConversion"/>
  </si>
  <si>
    <t>Shoots 4 projectiles when used Dodge</t>
    <phoneticPr fontId="6" type="noConversion"/>
  </si>
  <si>
    <t>Shoots 8 projectiles when getting hit.</t>
    <phoneticPr fontId="6" type="noConversion"/>
  </si>
  <si>
    <t>Attack Speed -20%,\nGold -1 when attack.</t>
    <phoneticPr fontId="6" type="noConversion"/>
  </si>
  <si>
    <t>Red-bordered items are powerful, but they also have debuffs.</t>
  </si>
  <si>
    <t>Be careful that you do not fall into the pit.</t>
  </si>
  <si>
    <t>Press the spacebar to dodge</t>
  </si>
  <si>
    <t>차징 공격을 제외한 모든 공격으로 적을 기절시킬 수 있습니다.</t>
    <phoneticPr fontId="6" type="noConversion"/>
  </si>
  <si>
    <t xml:space="preserve">All of your attacks can stun enemies. except Charge Attack </t>
  </si>
  <si>
    <t>Try using Teleport from the Map menu to return to a room you've already visited</t>
  </si>
  <si>
    <t>Earn gold and go shopping</t>
  </si>
  <si>
    <t>적을 처리해 얻은 골드를 모아 쇼핑을 즐겨보세요</t>
    <phoneticPr fontId="6" type="noConversion"/>
  </si>
  <si>
    <t>이동</t>
    <phoneticPr fontId="6" type="noConversion"/>
  </si>
  <si>
    <t>회피</t>
    <phoneticPr fontId="6" type="noConversion"/>
  </si>
  <si>
    <t>상호작용</t>
    <phoneticPr fontId="6" type="noConversion"/>
  </si>
  <si>
    <t>인벤토리 &amp; 지도</t>
    <phoneticPr fontId="6" type="noConversion"/>
  </si>
  <si>
    <t>공격\n&lt;i&gt;(길게 눌러)&lt;/i&gt; 차징공격</t>
    <phoneticPr fontId="6" type="noConversion"/>
  </si>
  <si>
    <t>액티브 아이템 사용</t>
    <phoneticPr fontId="6" type="noConversion"/>
  </si>
  <si>
    <t>Move</t>
    <phoneticPr fontId="6" type="noConversion"/>
  </si>
  <si>
    <t>Dodge</t>
    <phoneticPr fontId="6" type="noConversion"/>
  </si>
  <si>
    <t>Interaction</t>
    <phoneticPr fontId="6" type="noConversion"/>
  </si>
  <si>
    <t>Attack\n&lt;i&gt;(Hold)&lt;/i&gt;Charge Attack</t>
    <phoneticPr fontId="6" type="noConversion"/>
  </si>
  <si>
    <t>Use Active Item</t>
    <phoneticPr fontId="6" type="noConversion"/>
  </si>
  <si>
    <t>게임 도중 획득한 액티브 아이템의 스킬을 사용!</t>
    <phoneticPr fontId="6" type="noConversion"/>
  </si>
  <si>
    <t>Use the skills of the active item you have acquired during the game!</t>
  </si>
  <si>
    <t>UI</t>
  </si>
  <si>
    <t>Tab</t>
    <phoneticPr fontId="6" type="noConversion"/>
  </si>
  <si>
    <t>Attack</t>
    <phoneticPr fontId="6" type="noConversion"/>
  </si>
  <si>
    <t>차징 공격으로 적을 날려 다른 적을 맞춰보세요.</t>
    <phoneticPr fontId="6" type="noConversion"/>
  </si>
  <si>
    <t>Blast enemies with a charging attack to hit other enemies.</t>
    <phoneticPr fontId="6" type="noConversion"/>
  </si>
  <si>
    <t>텔레포트 가능지역</t>
    <phoneticPr fontId="6" type="noConversion"/>
  </si>
  <si>
    <t>MapInfo</t>
    <phoneticPr fontId="6" type="noConversion"/>
  </si>
  <si>
    <t>Shop</t>
    <phoneticPr fontId="6" type="noConversion"/>
  </si>
  <si>
    <t>Reward</t>
    <phoneticPr fontId="6" type="noConversion"/>
  </si>
  <si>
    <t>Next</t>
    <phoneticPr fontId="6" type="noConversion"/>
  </si>
  <si>
    <t>현재 위치</t>
    <phoneticPr fontId="6" type="noConversion"/>
  </si>
  <si>
    <t>상점</t>
    <phoneticPr fontId="6" type="noConversion"/>
  </si>
  <si>
    <t>보상</t>
    <phoneticPr fontId="6" type="noConversion"/>
  </si>
  <si>
    <t>다음 역</t>
    <phoneticPr fontId="6" type="noConversion"/>
  </si>
  <si>
    <t>보스</t>
    <phoneticPr fontId="6" type="noConversion"/>
  </si>
  <si>
    <t>Next Station</t>
    <phoneticPr fontId="6" type="noConversion"/>
  </si>
  <si>
    <t>Current Location</t>
    <phoneticPr fontId="6" type="noConversion"/>
  </si>
  <si>
    <t>Teleportable locations</t>
    <phoneticPr fontId="6" type="noConversion"/>
  </si>
  <si>
    <t>상점은 역마다 꼭 하나씩 등장합니다.</t>
    <phoneticPr fontId="6" type="noConversion"/>
  </si>
  <si>
    <t>There will be a shop at each of the stations.</t>
    <phoneticPr fontId="6" type="noConversion"/>
  </si>
  <si>
    <t>다음 역으로 이동한 후에는 돌아갈 수 없습니다.</t>
    <phoneticPr fontId="6" type="noConversion"/>
  </si>
  <si>
    <t>Once you move to the next station, you can't go back.</t>
    <phoneticPr fontId="6" type="noConversion"/>
  </si>
  <si>
    <t>체력을 회복하려면 모든 역에서 366일 25시간 영업중인 닥터 렌을 찾아주세요.</t>
    <phoneticPr fontId="6" type="noConversion"/>
  </si>
  <si>
    <t>To restore your health, visit Dr. Ren, who is open on all stations</t>
    <phoneticPr fontId="6" type="noConversion"/>
  </si>
  <si>
    <t>Prefabs/ItemProjectile3.prefab</t>
    <phoneticPr fontId="6" type="noConversion"/>
  </si>
  <si>
    <t>ItemHolder</t>
    <phoneticPr fontId="6" type="noConversion"/>
  </si>
  <si>
    <t>Buy</t>
    <phoneticPr fontId="6" type="noConversion"/>
  </si>
  <si>
    <t>Select</t>
    <phoneticPr fontId="6" type="noConversion"/>
  </si>
  <si>
    <t>구매</t>
    <phoneticPr fontId="6" type="noConversion"/>
  </si>
  <si>
    <t>획득</t>
    <phoneticPr fontId="6" type="noConversion"/>
  </si>
  <si>
    <t>#이름</t>
    <phoneticPr fontId="6" type="noConversion"/>
  </si>
  <si>
    <t>MaxStack</t>
    <phoneticPr fontId="6" type="noConversion"/>
  </si>
  <si>
    <t>AddStack</t>
    <phoneticPr fontId="12" type="noConversion"/>
  </si>
  <si>
    <t>Probably... It's not dangerous, is it?</t>
    <phoneticPr fontId="6" type="noConversion"/>
  </si>
  <si>
    <t>자아를 가진 저금통입니다.\n숨겨진 돈을 잘 찾아내는 듯 합니다.\n잠깐, 제 지갑이 어디갔죠?</t>
    <phoneticPr fontId="6" type="noConversion"/>
  </si>
  <si>
    <t>It's a rare candy that only makes it\ninto one out of every million bags.</t>
    <phoneticPr fontId="6" type="noConversion"/>
  </si>
  <si>
    <t>They are dogs who like balls.\nNo, there's only one?</t>
    <phoneticPr fontId="6" type="noConversion"/>
  </si>
  <si>
    <t>It's a powerful sweetness\nthat will melt your whole body.\nBe careful not to get sticky!</t>
    <phoneticPr fontId="6" type="noConversion"/>
  </si>
  <si>
    <t>It's a candle that keeps crying for some reason.\nyou don't want to touch it.</t>
    <phoneticPr fontId="6" type="noConversion"/>
  </si>
  <si>
    <t>#10003</t>
    <phoneticPr fontId="12" type="noConversion"/>
  </si>
  <si>
    <t>리스크는 이해하고 있습니다.\n사용할수록, 깎여나갑니다.\n당신의 삶과 시간이…</t>
    <phoneticPr fontId="6" type="noConversion"/>
  </si>
  <si>
    <t>기초적인 임플란트입니다.\n마구 사용하다간 무언가 고장날 수 있습니다.</t>
    <phoneticPr fontId="6" type="noConversion"/>
  </si>
  <si>
    <t>도넛에 구멍은 몇 개일까요?\n이 도넛은 무한한 구멍을 가졌습니다.</t>
    <phoneticPr fontId="6" type="noConversion"/>
  </si>
  <si>
    <t>보스 - 듀라한</t>
    <phoneticPr fontId="6" type="noConversion"/>
  </si>
  <si>
    <t>보스 - 새디</t>
    <phoneticPr fontId="6" type="noConversion"/>
  </si>
  <si>
    <t>보스 - 젤로</t>
    <phoneticPr fontId="6" type="noConversion"/>
  </si>
  <si>
    <t>Prefabs/SaddyProjectile.prefab</t>
    <phoneticPr fontId="6" type="noConversion"/>
  </si>
  <si>
    <t>새디 스윙</t>
    <phoneticPr fontId="6" type="noConversion"/>
  </si>
  <si>
    <t>새디 공 뿌리기</t>
    <phoneticPr fontId="6" type="noConversion"/>
  </si>
  <si>
    <t>새디 공(뿌리기)</t>
    <phoneticPr fontId="6" type="noConversion"/>
  </si>
  <si>
    <t>새디 공 (핑퐁)</t>
    <phoneticPr fontId="6" type="noConversion"/>
  </si>
  <si>
    <t>새디 구르기 공격</t>
    <phoneticPr fontId="6" type="noConversion"/>
  </si>
  <si>
    <t>새디 사이드 스텝</t>
    <phoneticPr fontId="6" type="noConversion"/>
  </si>
  <si>
    <t>새디 사이드 스텝 2 종료</t>
    <phoneticPr fontId="6" type="noConversion"/>
  </si>
  <si>
    <t>MoveDirection</t>
    <phoneticPr fontId="6" type="noConversion"/>
  </si>
  <si>
    <t>ProjectilePierce</t>
    <phoneticPr fontId="6" type="noConversion"/>
  </si>
  <si>
    <t>ProjectilePierce</t>
    <phoneticPr fontId="12" type="noConversion"/>
  </si>
  <si>
    <t>ProjectileExplosion</t>
  </si>
  <si>
    <t>ProjectileExplosion</t>
    <phoneticPr fontId="6" type="noConversion"/>
  </si>
  <si>
    <t>ProjectileGuide</t>
    <phoneticPr fontId="6" type="noConversion"/>
  </si>
  <si>
    <t>관통샷</t>
    <phoneticPr fontId="6" type="noConversion"/>
  </si>
  <si>
    <t>유도탄</t>
    <phoneticPr fontId="6" type="noConversion"/>
  </si>
  <si>
    <t>폭발탄</t>
    <phoneticPr fontId="6" type="noConversion"/>
  </si>
  <si>
    <t>새디 발버둥</t>
    <phoneticPr fontId="6" type="noConversion"/>
  </si>
  <si>
    <t>새디 발버둥1</t>
    <phoneticPr fontId="6" type="noConversion"/>
  </si>
  <si>
    <t>새디 발버둥2</t>
    <phoneticPr fontId="6" type="noConversion"/>
  </si>
  <si>
    <t>새디 발버둥3</t>
    <phoneticPr fontId="6" type="noConversion"/>
  </si>
  <si>
    <t>새디 발버둥4</t>
    <phoneticPr fontId="6" type="noConversion"/>
  </si>
  <si>
    <t>새디 발버둥5</t>
    <phoneticPr fontId="6" type="noConversion"/>
  </si>
  <si>
    <t>회피쿨타임 +100%</t>
    <phoneticPr fontId="6" type="noConversion"/>
  </si>
  <si>
    <t>Stack</t>
    <phoneticPr fontId="6" type="noConversion"/>
  </si>
  <si>
    <t>Equal</t>
    <phoneticPr fontId="6" type="noConversion"/>
  </si>
  <si>
    <t>OnClearRoom</t>
    <phoneticPr fontId="6" type="noConversion"/>
  </si>
  <si>
    <t>이동속도 -20%</t>
    <phoneticPr fontId="6" type="noConversion"/>
  </si>
  <si>
    <t>Movement Speed -20%</t>
    <phoneticPr fontId="6" type="noConversion"/>
  </si>
  <si>
    <t>Evasion cooldown +100%</t>
    <phoneticPr fontId="6" type="noConversion"/>
  </si>
  <si>
    <t>Properties</t>
    <phoneticPr fontId="6" type="noConversion"/>
  </si>
  <si>
    <t>젤로 왼손이 발사</t>
    <phoneticPr fontId="6" type="noConversion"/>
  </si>
  <si>
    <t>젤로 오른손이 발사</t>
    <phoneticPr fontId="6" type="noConversion"/>
  </si>
  <si>
    <t>젤로 왼손이 공</t>
    <phoneticPr fontId="6" type="noConversion"/>
  </si>
  <si>
    <t>젤로 오른손이 공</t>
    <phoneticPr fontId="6" type="noConversion"/>
  </si>
  <si>
    <t>Guided</t>
    <phoneticPr fontId="6" type="noConversion"/>
  </si>
  <si>
    <t>젤로 발사 패턴 방사</t>
    <phoneticPr fontId="6" type="noConversion"/>
  </si>
  <si>
    <t>젤로 돌진</t>
    <phoneticPr fontId="6" type="noConversion"/>
  </si>
  <si>
    <t>젤로 공</t>
    <phoneticPr fontId="6" type="noConversion"/>
  </si>
  <si>
    <t>보스 - 젤로 - 오른손이</t>
    <phoneticPr fontId="6" type="noConversion"/>
  </si>
  <si>
    <t>보스 - 젤로 - 왼손이</t>
    <phoneticPr fontId="6" type="noConversion"/>
  </si>
  <si>
    <t>Prefabs/Enemy/Boss/Enemy_Saddy.prefab</t>
    <phoneticPr fontId="6" type="noConversion"/>
  </si>
  <si>
    <t>Prefabs/Enemy/Boss/Enemy_Jello.prefab</t>
    <phoneticPr fontId="6" type="noConversion"/>
  </si>
  <si>
    <t>Prefabs/Enemy/Boss/Enemy_Dullahan.prefab</t>
    <phoneticPr fontId="6" type="noConversion"/>
  </si>
  <si>
    <t>Prefabs/Enemy/Boss/Enemy_Jello_RightHand.prefab</t>
    <phoneticPr fontId="6" type="noConversion"/>
  </si>
  <si>
    <t>Prefabs/Enemy/Boss/Enemy_Jello_LeftHand.prefab</t>
    <phoneticPr fontId="6" type="noConversion"/>
  </si>
  <si>
    <t>천사의 열매</t>
    <phoneticPr fontId="6" type="noConversion"/>
  </si>
  <si>
    <t>Angel's Fruit</t>
    <phoneticPr fontId="6" type="noConversion"/>
  </si>
  <si>
    <t>#설명</t>
    <phoneticPr fontId="6" type="noConversion"/>
  </si>
  <si>
    <t>#이로운효과</t>
    <phoneticPr fontId="6" type="noConversion"/>
  </si>
  <si>
    <t>#해로운효과</t>
    <phoneticPr fontId="6" type="noConversion"/>
  </si>
  <si>
    <t>icon/item/Passive_Item/Item_04_new.png</t>
    <phoneticPr fontId="6" type="noConversion"/>
  </si>
  <si>
    <t>icon/item/Passive_Item/item_20_new.png</t>
    <phoneticPr fontId="6" type="noConversion"/>
  </si>
  <si>
    <t>icon/item/Passive_Item/item_19_new.png</t>
    <phoneticPr fontId="6" type="noConversion"/>
  </si>
  <si>
    <t>icon/item/Passive_Item/item_14_new.png</t>
    <phoneticPr fontId="6" type="noConversion"/>
  </si>
  <si>
    <t>icon/item/Passive_Item/item_12_new.png</t>
    <phoneticPr fontId="6" type="noConversion"/>
  </si>
  <si>
    <t>배트리트</t>
    <phoneticPr fontId="6" type="noConversion"/>
  </si>
  <si>
    <t>Bathelit</t>
    <phoneticPr fontId="6" type="noConversion"/>
  </si>
  <si>
    <t>Nicked Gun</t>
    <phoneticPr fontId="6" type="noConversion"/>
  </si>
  <si>
    <t>발사하면 거꾸로 공이 나가는 이상한 총.\n유명한 첩보원이 썼다는데, 도저히 이해되지 않습니다.</t>
    <phoneticPr fontId="6" type="noConversion"/>
  </si>
  <si>
    <t>A strange gun that goes backwards when fired.\nI heard a famous spy uses it, but I don't understand it at all.</t>
    <phoneticPr fontId="6" type="noConversion"/>
  </si>
  <si>
    <t>청개구리 총</t>
    <phoneticPr fontId="6" type="noConversion"/>
  </si>
  <si>
    <t>Someone's Diary</t>
    <phoneticPr fontId="6" type="noConversion"/>
  </si>
  <si>
    <t>먹으면 배트가 고무처럼 늘어납니다.\n산에 올라갈 때 고산증이 잘 오는 부작용이 있습니다.</t>
    <phoneticPr fontId="6" type="noConversion"/>
  </si>
  <si>
    <t>When you eat the fruit, the bat stretches like rubber. You are prone to altitude sickness when you go up the mountain as a side effect.</t>
    <phoneticPr fontId="6" type="noConversion"/>
  </si>
  <si>
    <t>'너의 소중한 모든 것들을 바쳐라\n그러면 너의 소원이 이루어질테니'</t>
    <phoneticPr fontId="6" type="noConversion"/>
  </si>
  <si>
    <t>'Give all your precious things and your wish will come true'</t>
    <phoneticPr fontId="6" type="noConversion"/>
  </si>
  <si>
    <t>Devil's savings account</t>
    <phoneticPr fontId="6" type="noConversion"/>
  </si>
  <si>
    <t>악마의 적금통장</t>
    <phoneticPr fontId="6" type="noConversion"/>
  </si>
  <si>
    <t>MaxHP +1</t>
    <phoneticPr fontId="6" type="noConversion"/>
  </si>
  <si>
    <t>Restore all hp\nMaxHP +2</t>
    <phoneticPr fontId="6" type="noConversion"/>
  </si>
  <si>
    <t>체력을 전부 회복합니다.\n최대체력 + 2칸</t>
    <phoneticPr fontId="6" type="noConversion"/>
  </si>
  <si>
    <t>Clear 6 rooms, MaxHP +3</t>
    <phoneticPr fontId="6" type="noConversion"/>
  </si>
  <si>
    <t>최대체력 -1칸</t>
    <phoneticPr fontId="6" type="noConversion"/>
  </si>
  <si>
    <t>MaxHP -1</t>
    <phoneticPr fontId="6" type="noConversion"/>
  </si>
  <si>
    <t>MaxHp -2</t>
    <phoneticPr fontId="6" type="noConversion"/>
  </si>
  <si>
    <t>'체력이 생기면 고민도 행복해진다.'\n마계 국민 첫 재테크 적금으로 딱입니다.</t>
    <phoneticPr fontId="6" type="noConversion"/>
  </si>
  <si>
    <t>'When I get physical strength, my worries become happy.'\nIt's perfect for underworld people's first financial savings.</t>
    <phoneticPr fontId="6" type="noConversion"/>
  </si>
  <si>
    <t>GreaterThan</t>
    <phoneticPr fontId="6" type="noConversion"/>
  </si>
  <si>
    <t>6개의 방을 클리어할 경우 체력 +4칸</t>
    <phoneticPr fontId="6" type="noConversion"/>
  </si>
  <si>
    <t>시간배율</t>
    <phoneticPr fontId="12" type="noConversion"/>
  </si>
  <si>
    <t>공을 마시는 배트</t>
    <phoneticPr fontId="6" type="noConversion"/>
  </si>
  <si>
    <t>The Bat that drinks balls</t>
    <phoneticPr fontId="6" type="noConversion"/>
  </si>
  <si>
    <t>필드를 불사르던 투수의 노여움도 잊혀지고\n타자들의 배트도 잔디 속에 묻혀버린\n그리고 그런 것들에 누구도 신경쓰지 않는\n야구가 천박한 농담이 된 시대에\n한 타자가 도루하고 있었다.</t>
    <phoneticPr fontId="6" type="noConversion"/>
  </si>
  <si>
    <t>in an age which has forgotten the wrath of pitchers that scorehed the field and buried bats of hitters in sand, and in an age in which no one worries about such trivialities after baseball has become a shallow joke, a player was running in the field</t>
    <phoneticPr fontId="6" type="noConversion"/>
  </si>
  <si>
    <t>기절한 적을 공격할 때마다 공격력 0.5%씩 최대 50%까지 증가</t>
    <phoneticPr fontId="6" type="noConversion"/>
  </si>
  <si>
    <t>Each time you attack a stunned enemy, attack power increases by 0.5%, up to a maximum of 50%.</t>
    <phoneticPr fontId="6" type="noConversion"/>
  </si>
  <si>
    <t>늘릴스택량</t>
    <phoneticPr fontId="12" type="noConversion"/>
  </si>
  <si>
    <t>Stack*0.005</t>
    <phoneticPr fontId="12" type="noConversion"/>
  </si>
  <si>
    <t>#Index 참조용</t>
    <phoneticPr fontId="6" type="noConversion"/>
  </si>
  <si>
    <t>Index</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</si>
</sst>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
  </numFmts>
  <fonts count="31">
    <font>
      <sz val="11"/>
      <color rgb="FF000000"/>
      <name val="맑은 고딕"/>
    </font>
    <font>
      <sz val="11"/>
      <color rgb="FF000000"/>
      <name val="맑은 고딕"/>
      <family val="3"/>
      <charset val="129"/>
    </font>
    <font>
      <b/>
      <sz val="11"/>
      <color rgb="FF000000"/>
      <name val="맑은 고딕"/>
      <family val="3"/>
      <charset val="129"/>
    </font>
    <font>
      <b/>
      <sz val="11"/>
      <color rgb="FFFF0000"/>
      <name val="맑은 고딕"/>
      <family val="3"/>
      <charset val="129"/>
    </font>
    <font>
      <b/>
      <sz val="20"/>
      <color rgb="FFFFC000"/>
      <name val="맑은 고딕"/>
      <family val="3"/>
      <charset val="129"/>
    </font>
    <font>
      <sz val="11"/>
      <color rgb="FFFFC000"/>
      <name val="맑은 고딕"/>
      <family val="3"/>
      <charset val="129"/>
    </font>
    <font>
      <sz val="8"/>
      <name val="돋움"/>
      <family val="3"/>
      <charset val="129"/>
    </font>
    <font>
      <sz val="11"/>
      <color rgb="FFFF0000"/>
      <name val="맑은 고딕"/>
      <family val="3"/>
      <charset val="129"/>
    </font>
    <font>
      <sz val="11"/>
      <color rgb="FF000000"/>
      <name val="맑은 고딕"/>
      <family val="2"/>
      <charset val="129"/>
    </font>
    <font>
      <sz val="11"/>
      <color theme="0" tint="-0.499984740745262"/>
      <name val="맑은 고딕"/>
      <family val="3"/>
      <charset val="129"/>
    </font>
    <font>
      <sz val="11"/>
      <color theme="0" tint="-0.34998626667073579"/>
      <name val="맑은 고딕"/>
      <family val="3"/>
      <charset val="129"/>
    </font>
    <font>
      <sz val="11"/>
      <color rgb="FFFF0000"/>
      <name val="맑은 고딕"/>
      <family val="2"/>
      <charset val="129"/>
    </font>
    <font>
      <sz val="8"/>
      <name val="나눔명조"/>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name val="맑은 고딕"/>
      <family val="3"/>
      <charset val="129"/>
    </font>
    <font>
      <sz val="11"/>
      <color theme="1"/>
      <name val="맑은 고딕"/>
      <family val="2"/>
      <charset val="129"/>
    </font>
    <font>
      <sz val="11"/>
      <name val="맑은 고딕"/>
      <family val="2"/>
      <charset val="129"/>
    </font>
    <font>
      <b/>
      <sz val="11"/>
      <color theme="1"/>
      <name val="맑은 고딕"/>
      <family val="3"/>
      <charset val="129"/>
    </font>
    <font>
      <sz val="11"/>
      <color theme="1"/>
      <name val="맑은 고딕"/>
      <family val="3"/>
      <charset val="129"/>
    </font>
    <font>
      <sz val="11"/>
      <color theme="0"/>
      <name val="맑은 고딕"/>
      <family val="3"/>
      <charset val="129"/>
    </font>
    <font>
      <sz val="11"/>
      <name val="Courier New"/>
      <family val="3"/>
    </font>
    <font>
      <sz val="11"/>
      <name val="Segoe UI Symbol"/>
      <family val="3"/>
    </font>
    <font>
      <b/>
      <sz val="11"/>
      <color rgb="FF000000"/>
      <name val="맑은 고딕"/>
      <family val="2"/>
      <charset val="129"/>
    </font>
    <font>
      <sz val="11"/>
      <color rgb="FF000000"/>
      <name val="맑은 고딕"/>
      <family val="3"/>
      <charset val="129"/>
    </font>
    <font>
      <b/>
      <sz val="9"/>
      <color rgb="FF000000"/>
      <name val="Tahoma"/>
      <family val="2"/>
    </font>
    <font>
      <sz val="9"/>
      <color rgb="FF000000"/>
      <name val="Tahoma"/>
      <family val="2"/>
    </font>
    <font>
      <sz val="9"/>
      <color rgb="FF000000"/>
      <name val="돋움"/>
      <family val="2"/>
      <charset val="129"/>
    </font>
    <font>
      <b/>
      <sz val="11"/>
      <color theme="0"/>
      <name val="맑은 고딕"/>
      <family val="3"/>
      <charset val="129"/>
    </font>
  </fonts>
  <fills count="12">
    <fill>
      <patternFill patternType="none"/>
    </fill>
    <fill>
      <patternFill patternType="gray125"/>
    </fill>
    <fill>
      <patternFill patternType="solid">
        <fgColor rgb="FF262626"/>
        <bgColor indexed="64"/>
      </patternFill>
    </fill>
    <fill>
      <patternFill patternType="solid">
        <fgColor rgb="FFFFC000"/>
        <bgColor indexed="64"/>
      </patternFill>
    </fill>
    <fill>
      <patternFill patternType="solid">
        <fgColor rgb="FFFFF2CC"/>
        <bgColor indexed="64"/>
      </patternFill>
    </fill>
    <fill>
      <patternFill patternType="solid">
        <fgColor rgb="FF2E75B6"/>
        <bgColor indexed="64"/>
      </patternFill>
    </fill>
    <fill>
      <patternFill patternType="solid">
        <fgColor rgb="FFED7D31"/>
        <bgColor indexed="64"/>
      </patternFill>
    </fill>
    <fill>
      <patternFill patternType="solid">
        <fgColor theme="7" tint="0.79998168889431442"/>
        <bgColor indexed="64"/>
      </patternFill>
    </fill>
    <fill>
      <patternFill patternType="solid">
        <fgColor rgb="FFFFF2CC"/>
      </patternFill>
    </fill>
    <fill>
      <patternFill patternType="solid">
        <fgColor theme="7"/>
        <bgColor indexed="64"/>
      </patternFill>
    </fill>
    <fill>
      <patternFill patternType="solid">
        <fgColor theme="9" tint="0.59999389629810485"/>
        <bgColor indexed="64"/>
      </patternFill>
    </fill>
    <fill>
      <patternFill patternType="solid">
        <fgColor theme="9" tint="0.79998168889431442"/>
        <bgColor indexed="64"/>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2">
    <xf numFmtId="0" fontId="0" fillId="0" borderId="0">
      <alignment vertical="center"/>
    </xf>
    <xf numFmtId="9" fontId="26" fillId="0" borderId="0" applyFont="0" applyFill="0" applyBorder="0" applyAlignment="0" applyProtection="0">
      <alignment vertical="center"/>
    </xf>
  </cellStyleXfs>
  <cellXfs count="90">
    <xf numFmtId="0" fontId="0" fillId="0" borderId="0" xfId="0">
      <alignment vertical="center"/>
    </xf>
    <xf numFmtId="0" fontId="0" fillId="2" borderId="0" xfId="0" applyFill="1">
      <alignment vertical="center"/>
    </xf>
    <xf numFmtId="0" fontId="2" fillId="3" borderId="0" xfId="0" applyFont="1" applyFill="1">
      <alignment vertical="center"/>
    </xf>
    <xf numFmtId="0" fontId="0" fillId="0" borderId="0" xfId="0" applyAlignment="1">
      <alignment horizontal="center" vertical="center"/>
    </xf>
    <xf numFmtId="0" fontId="0" fillId="4" borderId="0" xfId="0" applyFill="1">
      <alignment vertical="center"/>
    </xf>
    <xf numFmtId="0" fontId="0" fillId="3" borderId="0" xfId="0" applyFill="1">
      <alignment vertical="center"/>
    </xf>
    <xf numFmtId="0" fontId="0" fillId="5" borderId="0" xfId="0" applyFill="1">
      <alignment vertical="center"/>
    </xf>
    <xf numFmtId="0" fontId="0" fillId="6" borderId="0" xfId="0" applyFill="1">
      <alignment vertical="center"/>
    </xf>
    <xf numFmtId="0" fontId="3" fillId="0" borderId="0" xfId="0" applyFont="1">
      <alignment vertical="center"/>
    </xf>
    <xf numFmtId="0" fontId="0" fillId="0" borderId="0" xfId="0" applyAlignment="1">
      <alignment vertical="center" wrapText="1"/>
    </xf>
    <xf numFmtId="0" fontId="2" fillId="0" borderId="0" xfId="0" applyFont="1" applyAlignment="1">
      <alignment vertical="center" wrapText="1"/>
    </xf>
    <xf numFmtId="0" fontId="1" fillId="0" borderId="0" xfId="0" applyFont="1">
      <alignment vertical="center"/>
    </xf>
    <xf numFmtId="0" fontId="1" fillId="3" borderId="0" xfId="0" applyFont="1" applyFill="1">
      <alignment vertical="center"/>
    </xf>
    <xf numFmtId="0" fontId="1" fillId="4" borderId="0" xfId="0" applyFont="1" applyFill="1">
      <alignment vertical="center"/>
    </xf>
    <xf numFmtId="0" fontId="1" fillId="7" borderId="0" xfId="0" applyFont="1" applyFill="1">
      <alignment vertical="center"/>
    </xf>
    <xf numFmtId="0" fontId="7" fillId="4" borderId="0" xfId="0" applyFont="1" applyFill="1">
      <alignment vertical="center"/>
    </xf>
    <xf numFmtId="0" fontId="8" fillId="0" borderId="0" xfId="0" applyFont="1">
      <alignment vertical="center"/>
    </xf>
    <xf numFmtId="0" fontId="7" fillId="7" borderId="0" xfId="0" applyFont="1" applyFill="1">
      <alignment vertical="center"/>
    </xf>
    <xf numFmtId="0" fontId="8" fillId="7" borderId="0" xfId="0" applyFont="1" applyFill="1">
      <alignment vertical="center"/>
    </xf>
    <xf numFmtId="0" fontId="0" fillId="7" borderId="0" xfId="0" applyFill="1">
      <alignment vertical="center"/>
    </xf>
    <xf numFmtId="0" fontId="9" fillId="0" borderId="0" xfId="0" applyFont="1">
      <alignment vertical="center"/>
    </xf>
    <xf numFmtId="0" fontId="9" fillId="4" borderId="0" xfId="0" applyFont="1" applyFill="1">
      <alignment vertical="center"/>
    </xf>
    <xf numFmtId="0" fontId="9" fillId="7" borderId="0" xfId="0" applyFont="1" applyFill="1">
      <alignment vertical="center"/>
    </xf>
    <xf numFmtId="0" fontId="7" fillId="0" borderId="0" xfId="0" applyFont="1">
      <alignment vertical="center"/>
    </xf>
    <xf numFmtId="0" fontId="1" fillId="4" borderId="1" xfId="0" applyFont="1" applyFill="1" applyBorder="1">
      <alignment vertical="center"/>
    </xf>
    <xf numFmtId="0" fontId="7" fillId="4" borderId="1" xfId="0" applyFont="1" applyFill="1" applyBorder="1">
      <alignment vertical="center"/>
    </xf>
    <xf numFmtId="0" fontId="10" fillId="0" borderId="0" xfId="0" applyFont="1">
      <alignment vertical="center"/>
    </xf>
    <xf numFmtId="0" fontId="10" fillId="4" borderId="1" xfId="0" applyFont="1" applyFill="1" applyBorder="1">
      <alignment vertical="center"/>
    </xf>
    <xf numFmtId="0" fontId="1" fillId="6" borderId="0" xfId="0" applyFont="1" applyFill="1">
      <alignment vertical="center"/>
    </xf>
    <xf numFmtId="0" fontId="11" fillId="7" borderId="0" xfId="0" applyFont="1" applyFill="1">
      <alignment vertical="center"/>
    </xf>
    <xf numFmtId="0" fontId="8" fillId="2" borderId="0" xfId="0" applyFont="1" applyFill="1">
      <alignment vertical="center"/>
    </xf>
    <xf numFmtId="0" fontId="8" fillId="3" borderId="0" xfId="0" applyFont="1" applyFill="1">
      <alignment vertical="center"/>
    </xf>
    <xf numFmtId="0" fontId="0" fillId="8" borderId="0" xfId="0" applyFill="1">
      <alignment vertical="center"/>
    </xf>
    <xf numFmtId="0" fontId="8" fillId="5" borderId="0" xfId="0" applyFont="1" applyFill="1">
      <alignment vertical="center"/>
    </xf>
    <xf numFmtId="0" fontId="8" fillId="9" borderId="0" xfId="0" applyFont="1" applyFill="1">
      <alignment vertical="center"/>
    </xf>
    <xf numFmtId="0" fontId="0" fillId="7" borderId="0" xfId="0" applyFill="1" applyAlignment="1">
      <alignment vertical="center" wrapText="1"/>
    </xf>
    <xf numFmtId="0" fontId="1" fillId="9" borderId="0" xfId="0" applyFont="1" applyFill="1">
      <alignment vertical="center"/>
    </xf>
    <xf numFmtId="0" fontId="1" fillId="5" borderId="0" xfId="0" applyFont="1" applyFill="1">
      <alignment vertical="center"/>
    </xf>
    <xf numFmtId="0" fontId="8" fillId="6" borderId="0" xfId="0" applyFont="1" applyFill="1">
      <alignment vertical="center"/>
    </xf>
    <xf numFmtId="0" fontId="18" fillId="0" borderId="0" xfId="0" applyFont="1">
      <alignment vertical="center"/>
    </xf>
    <xf numFmtId="0" fontId="18" fillId="4" borderId="0" xfId="0" applyFont="1" applyFill="1">
      <alignment vertical="center"/>
    </xf>
    <xf numFmtId="0" fontId="8" fillId="4" borderId="0" xfId="0" applyFont="1" applyFill="1">
      <alignment vertical="center"/>
    </xf>
    <xf numFmtId="0" fontId="17" fillId="0" borderId="0" xfId="0" applyFont="1">
      <alignment vertical="center"/>
    </xf>
    <xf numFmtId="0" fontId="7" fillId="0" borderId="0" xfId="0" applyFont="1" applyAlignment="1">
      <alignment horizontal="right" vertical="center"/>
    </xf>
    <xf numFmtId="0" fontId="3" fillId="0" borderId="0" xfId="0" applyFont="1" applyAlignment="1">
      <alignment horizontal="right" vertical="center"/>
    </xf>
    <xf numFmtId="0" fontId="18" fillId="7" borderId="0" xfId="0" applyFont="1" applyFill="1">
      <alignment vertical="center"/>
    </xf>
    <xf numFmtId="0" fontId="18" fillId="8" borderId="0" xfId="0" applyFont="1" applyFill="1">
      <alignment vertical="center"/>
    </xf>
    <xf numFmtId="0" fontId="20" fillId="0" borderId="0" xfId="0" applyFont="1" applyAlignment="1">
      <alignment horizontal="right" vertical="center"/>
    </xf>
    <xf numFmtId="0" fontId="21" fillId="0" borderId="0" xfId="0" applyFont="1">
      <alignment vertical="center"/>
    </xf>
    <xf numFmtId="0" fontId="21" fillId="7" borderId="0" xfId="0" applyFont="1" applyFill="1">
      <alignment vertical="center"/>
    </xf>
    <xf numFmtId="0" fontId="18" fillId="0" borderId="0" xfId="0" applyFont="1" applyAlignment="1">
      <alignment vertical="center" wrapText="1"/>
    </xf>
    <xf numFmtId="0" fontId="18" fillId="7" borderId="0" xfId="0" applyFont="1" applyFill="1" applyAlignment="1">
      <alignment vertical="center" wrapText="1"/>
    </xf>
    <xf numFmtId="0" fontId="17" fillId="0" borderId="0" xfId="0" applyFont="1" applyAlignment="1">
      <alignment vertical="center" wrapText="1"/>
    </xf>
    <xf numFmtId="0" fontId="19" fillId="0" borderId="0" xfId="0" applyFont="1" applyAlignment="1">
      <alignment vertical="center" wrapText="1"/>
    </xf>
    <xf numFmtId="0" fontId="17" fillId="0" borderId="0" xfId="0" quotePrefix="1" applyFont="1" applyAlignment="1">
      <alignment vertical="center" wrapText="1"/>
    </xf>
    <xf numFmtId="0" fontId="19" fillId="7" borderId="0" xfId="0" applyFont="1" applyFill="1">
      <alignment vertical="center"/>
    </xf>
    <xf numFmtId="0" fontId="17" fillId="7" borderId="0" xfId="0" applyFont="1" applyFill="1">
      <alignment vertical="center"/>
    </xf>
    <xf numFmtId="0" fontId="22" fillId="0" borderId="0" xfId="0" applyFont="1">
      <alignment vertical="center"/>
    </xf>
    <xf numFmtId="0" fontId="22" fillId="2" borderId="0" xfId="0" applyFont="1" applyFill="1">
      <alignment vertical="center"/>
    </xf>
    <xf numFmtId="0" fontId="25" fillId="3" borderId="0" xfId="0" applyFont="1" applyFill="1">
      <alignment vertical="center"/>
    </xf>
    <xf numFmtId="0" fontId="9" fillId="0" borderId="0" xfId="0" applyFont="1" applyAlignment="1">
      <alignment vertical="center" wrapText="1"/>
    </xf>
    <xf numFmtId="0" fontId="1" fillId="0" borderId="0" xfId="0" applyFont="1" applyAlignment="1">
      <alignment vertical="center" wrapText="1"/>
    </xf>
    <xf numFmtId="0" fontId="3" fillId="7" borderId="0" xfId="0" applyFont="1" applyFill="1">
      <alignment vertical="center"/>
    </xf>
    <xf numFmtId="176" fontId="0" fillId="7" borderId="0" xfId="0" applyNumberFormat="1" applyFill="1">
      <alignment vertical="center"/>
    </xf>
    <xf numFmtId="9" fontId="0" fillId="0" borderId="0" xfId="1" applyFont="1">
      <alignment vertical="center"/>
    </xf>
    <xf numFmtId="9" fontId="1" fillId="0" borderId="0" xfId="1" applyFont="1">
      <alignment vertical="center"/>
    </xf>
    <xf numFmtId="0" fontId="17" fillId="9" borderId="0" xfId="0" applyFont="1" applyFill="1">
      <alignment vertical="center"/>
    </xf>
    <xf numFmtId="0" fontId="3" fillId="9" borderId="0" xfId="0" applyFont="1" applyFill="1">
      <alignment vertical="center"/>
    </xf>
    <xf numFmtId="0" fontId="19" fillId="9" borderId="0" xfId="0" applyFont="1" applyFill="1">
      <alignment vertical="center"/>
    </xf>
    <xf numFmtId="0" fontId="17" fillId="3" borderId="0" xfId="0" applyFont="1" applyFill="1">
      <alignment vertical="center"/>
    </xf>
    <xf numFmtId="9" fontId="0" fillId="7" borderId="0" xfId="1" applyFont="1" applyFill="1">
      <alignment vertical="center"/>
    </xf>
    <xf numFmtId="0" fontId="1" fillId="2" borderId="0" xfId="0" applyFont="1" applyFill="1">
      <alignment vertical="center"/>
    </xf>
    <xf numFmtId="0" fontId="7" fillId="9" borderId="0" xfId="0" applyFont="1" applyFill="1">
      <alignment vertical="center"/>
    </xf>
    <xf numFmtId="0" fontId="17" fillId="4" borderId="0" xfId="0" applyFont="1" applyFill="1">
      <alignment vertical="center"/>
    </xf>
    <xf numFmtId="0" fontId="8" fillId="0" borderId="0" xfId="0" applyFont="1" applyAlignment="1">
      <alignment vertical="center" wrapText="1"/>
    </xf>
    <xf numFmtId="0" fontId="0" fillId="10" borderId="0" xfId="0" applyFill="1">
      <alignment vertical="center"/>
    </xf>
    <xf numFmtId="0" fontId="8" fillId="10" borderId="0" xfId="0" applyFont="1" applyFill="1">
      <alignment vertical="center"/>
    </xf>
    <xf numFmtId="0" fontId="1" fillId="10" borderId="0" xfId="0" applyFont="1" applyFill="1">
      <alignment vertical="center"/>
    </xf>
    <xf numFmtId="0" fontId="19" fillId="0" borderId="0" xfId="0" quotePrefix="1" applyFont="1" applyAlignment="1">
      <alignment vertical="center" wrapText="1"/>
    </xf>
    <xf numFmtId="0" fontId="17" fillId="0" borderId="0" xfId="0" applyFont="1" applyAlignment="1">
      <alignment horizontal="right" vertical="center"/>
    </xf>
    <xf numFmtId="0" fontId="20" fillId="9" borderId="0" xfId="0" applyFont="1" applyFill="1">
      <alignment vertical="center"/>
    </xf>
    <xf numFmtId="0" fontId="0" fillId="11" borderId="0" xfId="0" applyFill="1">
      <alignment vertical="center"/>
    </xf>
    <xf numFmtId="0" fontId="17" fillId="7" borderId="0" xfId="0" applyFont="1" applyFill="1" applyAlignment="1">
      <alignment horizontal="right" vertical="center"/>
    </xf>
    <xf numFmtId="0" fontId="17" fillId="7" borderId="0" xfId="0" applyFont="1" applyFill="1" applyAlignment="1">
      <alignment horizontal="left" vertical="center"/>
    </xf>
    <xf numFmtId="0" fontId="8" fillId="11" borderId="0" xfId="0" applyFont="1" applyFill="1">
      <alignment vertical="center"/>
    </xf>
    <xf numFmtId="0" fontId="1" fillId="11" borderId="0" xfId="0" applyFont="1" applyFill="1">
      <alignment vertical="center"/>
    </xf>
    <xf numFmtId="0" fontId="4" fillId="2" borderId="0" xfId="0" applyFont="1" applyFill="1" applyAlignment="1">
      <alignment horizontal="left" vertical="center"/>
    </xf>
    <xf numFmtId="0" fontId="5" fillId="2" borderId="0" xfId="0" applyFont="1" applyFill="1" applyAlignment="1">
      <alignment horizontal="left" vertical="center"/>
    </xf>
    <xf numFmtId="0" fontId="30" fillId="0" borderId="0" xfId="0" applyFont="1" applyFill="1">
      <alignment vertical="center"/>
    </xf>
    <xf numFmtId="0" fontId="3" fillId="7" borderId="0" xfId="0" applyFont="1" applyFill="1" applyAlignment="1">
      <alignment horizontal="right" vertical="center"/>
    </xf>
  </cellXfs>
  <cellStyles count="2">
    <cellStyle name="백분율" xfId="1" builtinId="5"/>
    <cellStyle name="표준" xfId="0" builtinId="0"/>
  </cellStyles>
  <dxfs count="187">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ill>
        <patternFill>
          <bgColor theme="7" tint="0.79998168889431442"/>
        </patternFill>
      </fill>
    </dxf>
    <dxf>
      <font>
        <b val="0"/>
        <i/>
        <color theme="0" tint="-0.499984740745262"/>
      </font>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ont>
        <strike val="0"/>
        <outline val="0"/>
        <shadow val="0"/>
        <u val="none"/>
        <vertAlign val="baseline"/>
        <sz val="11"/>
        <color auto="1"/>
        <name val="맑은 고딕"/>
        <family val="3"/>
        <charset val="129"/>
        <scheme val="none"/>
      </font>
      <fill>
        <patternFill patternType="none">
          <fgColor indexed="64"/>
          <bgColor auto="1"/>
        </patternFill>
      </fill>
      <alignment horizontal="right" vertical="center" textRotation="0" wrapText="0" indent="0" justifyLastLine="0" shrinkToFit="0" readingOrder="0"/>
    </dxf>
    <dxf>
      <numFmt numFmtId="0" formatCode="General"/>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color auto="1"/>
        <family val="3"/>
        <charset val="129"/>
      </font>
      <fill>
        <patternFill patternType="none">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fgColor rgb="FFAEBFEA"/>
          <bgColor auto="1"/>
        </patternFill>
      </fill>
    </dxf>
    <dxf>
      <fill>
        <patternFill patternType="none">
          <bgColor auto="1"/>
        </patternFill>
      </fill>
    </dxf>
    <dxf>
      <fill>
        <patternFill patternType="none">
          <bgColor auto="1"/>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ill>
        <patternFill patternType="solid">
          <bgColor rgb="FF262626"/>
        </patternFill>
      </fill>
    </dxf>
    <dxf>
      <numFmt numFmtId="0" formatCode="Genera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bgColor rgb="FF262626"/>
        </patternFill>
      </fill>
    </dxf>
    <dxf>
      <numFmt numFmtId="13" formatCode="0%"/>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font>
        <b/>
        <i val="0"/>
        <strike val="0"/>
        <condense val="0"/>
        <extend val="0"/>
        <outline val="0"/>
        <shadow val="0"/>
        <u val="none"/>
        <vertAlign val="baseline"/>
        <sz val="11"/>
        <color rgb="FFFF0000"/>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numFmt numFmtId="0" formatCode="General"/>
      <fill>
        <patternFill patternType="solid">
          <fgColor indexed="64"/>
          <bgColor theme="7" tint="0.79998168889431442"/>
        </patternFill>
      </fill>
    </dxf>
    <dxf>
      <numFmt numFmtId="0" formatCode="General"/>
      <fill>
        <patternFill patternType="solid">
          <fgColor indexed="64"/>
          <bgColor rgb="FFFFF2CC"/>
        </patternFill>
      </fill>
    </dxf>
    <dxf>
      <font>
        <strike val="0"/>
        <outline val="0"/>
        <shadow val="0"/>
        <u val="none"/>
        <vertAlign val="baseline"/>
        <sz val="11"/>
        <color auto="1"/>
        <name val="맑은 고딕"/>
        <family val="3"/>
        <charset val="129"/>
        <scheme val="none"/>
      </font>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scheme val="none"/>
      </font>
    </dxf>
    <dxf>
      <fill>
        <patternFill patternType="none">
          <fgColor indexed="64"/>
          <bgColor auto="1"/>
        </patternFill>
      </fill>
    </dxf>
    <dxf>
      <fill>
        <patternFill patternType="solid">
          <fgColor indexed="65"/>
          <bgColor rgb="FFFFF2CC"/>
        </patternFill>
      </fill>
    </dxf>
    <dxf>
      <numFmt numFmtId="0" formatCode="General"/>
      <fill>
        <patternFill patternType="solid">
          <fgColor indexed="64"/>
          <bgColor theme="7" tint="0.79998168889431442"/>
        </patternFill>
      </fill>
    </dxf>
    <dxf>
      <fill>
        <patternFill patternType="solid">
          <bgColor rgb="FF262626"/>
        </patternFill>
      </fill>
    </dxf>
    <dxf>
      <font>
        <b/>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none"/>
      </font>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1"/>
        <color auto="1"/>
        <name val="맑은 고딕"/>
        <family val="3"/>
        <charset val="129"/>
        <scheme val="none"/>
      </font>
    </dxf>
    <dxf>
      <font>
        <strike val="0"/>
        <outline val="0"/>
        <shadow val="0"/>
        <u val="none"/>
        <vertAlign val="baseline"/>
        <sz val="11"/>
        <color theme="0"/>
        <name val="맑은 고딕"/>
        <family val="3"/>
        <charset val="129"/>
        <scheme val="none"/>
      </font>
      <fill>
        <patternFill patternType="solid">
          <bgColor rgb="FF262626"/>
        </patternFill>
      </fill>
    </dxf>
    <dxf>
      <numFmt numFmtId="0" formatCode="General"/>
      <fill>
        <patternFill patternType="none">
          <fgColor auto="1"/>
          <bgColor auto="1"/>
        </patternFill>
      </fill>
    </dxf>
    <dxf>
      <fill>
        <patternFill patternType="none">
          <fgColor auto="1"/>
          <bgColor auto="1"/>
        </patternFill>
      </fill>
    </dxf>
    <dxf>
      <fill>
        <patternFill patternType="none">
          <fgColor auto="1"/>
          <bgColor auto="1"/>
        </patternFill>
      </fill>
    </dxf>
    <dxf>
      <numFmt numFmtId="0" formatCode="General"/>
    </dxf>
    <dxf>
      <numFmt numFmtId="0" formatCode="General"/>
    </dxf>
    <dxf>
      <numFmt numFmtId="0" formatCode="General"/>
      <fill>
        <patternFill patternType="none">
          <fgColor auto="1"/>
          <bgColor auto="1"/>
        </patternFill>
      </fill>
    </dxf>
    <dxf>
      <numFmt numFmtId="0" formatCode="General"/>
      <fill>
        <patternFill patternType="none">
          <fgColor auto="1"/>
          <bgColor auto="1"/>
        </patternFill>
      </fill>
    </dxf>
    <dxf>
      <numFmt numFmtId="0" formatCode="General"/>
      <fill>
        <patternFill patternType="none">
          <fgColor auto="1"/>
          <bgColor auto="1"/>
        </patternFill>
      </fill>
    </dxf>
    <dxf>
      <font>
        <b val="0"/>
        <i val="0"/>
        <strike val="0"/>
        <condense val="0"/>
        <extend val="0"/>
        <outline val="0"/>
        <shadow val="0"/>
        <u val="none"/>
        <vertAlign val="baseline"/>
        <sz val="11"/>
        <color rgb="FF000000"/>
        <name val="맑은 고딕"/>
        <scheme val="none"/>
      </font>
    </dxf>
    <dxf>
      <numFmt numFmtId="0" formatCode="General"/>
    </dxf>
    <dxf>
      <fill>
        <patternFill patternType="solid">
          <fgColor indexed="64"/>
          <bgColor rgb="FFFFF2CC"/>
        </patternFill>
      </fill>
    </dxf>
    <dxf>
      <fill>
        <patternFill patternType="none">
          <fgColor auto="1"/>
          <bgColor auto="1"/>
        </patternFill>
      </fill>
    </dxf>
    <dxf>
      <fill>
        <patternFill patternType="none">
          <fgColor auto="1"/>
          <bgColor auto="1"/>
        </patternFill>
      </fill>
    </dxf>
    <dxf>
      <fill>
        <patternFill patternType="solid">
          <bgColor rgb="FF262626"/>
        </patternFill>
      </fill>
    </dxf>
    <dxf>
      <fill>
        <patternFill patternType="none">
          <fgColor auto="1"/>
          <bgColor auto="1"/>
        </patternFill>
      </fill>
    </dxf>
    <dxf>
      <numFmt numFmtId="0" formatCode="General"/>
      <fill>
        <patternFill patternType="none">
          <fgColor auto="1"/>
          <bgColor auto="1"/>
        </patternFill>
      </fill>
    </dxf>
    <dxf>
      <fill>
        <patternFill patternType="solid">
          <fgColor indexed="65"/>
          <bgColor rgb="FF262626"/>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fill>
        <patternFill patternType="solid">
          <fgColor indexed="65"/>
          <bgColor rgb="FFFFF2CC"/>
        </patternFill>
      </fill>
    </dxf>
    <dxf>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fill>
        <patternFill patternType="none">
          <fgColor indexed="64"/>
          <bgColor indexed="65"/>
        </patternFill>
      </fill>
      <alignment horizontal="general" vertical="center" textRotation="0" wrapText="1" indent="0" justifyLastLine="0" shrinkToFit="0" readingOrder="0"/>
    </dxf>
    <dxf>
      <numFmt numFmtId="0" formatCode="General"/>
    </dxf>
    <dxf>
      <fill>
        <patternFill patternType="solid">
          <fgColor indexed="65"/>
          <bgColor rgb="FF262626"/>
        </patternFill>
      </fill>
    </dxf>
    <dxf>
      <fill>
        <patternFill patternType="solid">
          <bgColor rgb="FF262626"/>
        </patternFill>
      </fill>
    </dxf>
    <dxf>
      <numFmt numFmtId="0" formatCode="General"/>
      <fill>
        <patternFill patternType="solid">
          <fgColor indexed="65"/>
          <bgColor rgb="FFFFF2CC"/>
        </patternFill>
      </fill>
    </dxf>
    <dxf>
      <fill>
        <patternFill patternType="solid">
          <bgColor rgb="FF262626"/>
        </patternFill>
      </fill>
    </dxf>
    <dxf>
      <numFmt numFmtId="0" formatCode="General"/>
      <fill>
        <patternFill patternType="solid">
          <fgColor indexed="65"/>
          <bgColor rgb="FFFFF2CC"/>
        </patternFill>
      </fill>
    </dxf>
    <dxf>
      <numFmt numFmtId="0" formatCode="General"/>
      <fill>
        <patternFill patternType="solid">
          <fgColor indexed="65"/>
          <bgColor rgb="FFFFF2CC"/>
        </patternFill>
      </fill>
    </dxf>
    <dxf>
      <fill>
        <patternFill patternType="solid">
          <bgColor rgb="FF262626"/>
        </patternFill>
      </fill>
    </dxf>
    <dxf>
      <fill>
        <patternFill patternType="none">
          <fgColor indexed="64"/>
          <bgColor auto="1"/>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center" textRotation="0" wrapText="1" indent="0" justifyLastLine="0" shrinkToFit="0" readingOrder="0"/>
    </dxf>
    <dxf>
      <numFmt numFmtId="0" formatCode="General"/>
      <fill>
        <patternFill patternType="solid">
          <fgColor indexed="64"/>
          <bgColor theme="7" tint="0.79998168889431442"/>
        </patternFill>
      </fill>
    </dxf>
    <dxf>
      <fill>
        <patternFill patternType="solid">
          <fgColor indexed="65"/>
          <bgColor rgb="FF262626"/>
        </patternFill>
      </fill>
    </dxf>
    <dxf>
      <font>
        <b val="0"/>
        <strike val="0"/>
        <u val="none"/>
        <sz val="11"/>
        <color auto="1"/>
        <family val="3"/>
        <charset val="129"/>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fill>
        <patternFill patternType="none">
          <fgColor auto="1"/>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fgColor indexed="64"/>
          <bgColor theme="7" tint="0.79998168889431442"/>
        </patternFill>
      </fill>
    </dxf>
    <dxf>
      <fill>
        <patternFill>
          <fgColor indexed="64"/>
          <bgColor theme="7" tint="0.79998168889431442"/>
        </patternFill>
      </fill>
    </dxf>
    <dxf>
      <fill>
        <patternFill>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ill>
        <patternFill>
          <fgColor indexed="64"/>
          <bgColor theme="7" tint="0.79998168889431442"/>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numFmt numFmtId="0" formatCode="General"/>
      <fill>
        <patternFill patternType="solid">
          <fgColor indexed="65"/>
          <bgColor rgb="FFFFF2CC"/>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alignment horizontal="general" vertical="center" textRotation="0" wrapText="1" indent="0" justifyLastLine="0" shrinkToFit="0" readingOrder="0"/>
    </dxf>
    <dxf>
      <fill>
        <patternFill patternType="solid">
          <fgColor indexed="64"/>
          <bgColor theme="7" tint="0.79998168889431442"/>
        </patternFill>
      </fill>
    </dxf>
    <dxf>
      <fill>
        <patternFill patternType="solid">
          <fgColor indexed="65"/>
          <bgColor rgb="FF262626"/>
        </patternFill>
      </fill>
    </dxf>
    <dxf>
      <font>
        <b val="0"/>
        <strike val="0"/>
        <u val="none"/>
        <sz val="11"/>
        <color auto="1"/>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family val="3"/>
        <charset val="129"/>
        <scheme val="none"/>
      </font>
    </dxf>
    <dxf>
      <font>
        <b val="0"/>
        <i val="0"/>
        <strike val="0"/>
        <condense val="0"/>
        <extend val="0"/>
        <outline val="0"/>
        <shadow val="0"/>
        <u val="none"/>
        <vertAlign val="baseline"/>
        <sz val="11"/>
        <color rgb="FF000000"/>
        <name val="맑은 고딕"/>
        <scheme val="none"/>
      </font>
    </dxf>
    <dxf>
      <font>
        <b val="0"/>
        <i val="0"/>
        <strike val="0"/>
        <condense val="0"/>
        <extend val="0"/>
        <outline val="0"/>
        <shadow val="0"/>
        <u val="none"/>
        <vertAlign val="baseline"/>
        <sz val="11"/>
        <color rgb="FF000000"/>
        <name val="맑은 고딕"/>
        <scheme val="none"/>
      </font>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scheme val="none"/>
      </font>
    </dxf>
    <dxf>
      <fill>
        <patternFill patternType="none">
          <fgColor auto="1"/>
          <bgColor auto="1"/>
        </patternFill>
      </fill>
    </dxf>
    <dxf>
      <fill>
        <patternFill>
          <bgColor rgb="FFDBDBDB"/>
        </patternFill>
      </fill>
    </dxf>
    <dxf>
      <fill>
        <patternFill>
          <bgColor rgb="FFEDEDED"/>
        </patternFill>
      </fill>
    </dxf>
    <dxf>
      <font>
        <b/>
        <i val="0"/>
        <color rgb="FFFFFFFF"/>
      </font>
      <fill>
        <patternFill>
          <bgColor rgb="FF262626"/>
        </patternFill>
      </fill>
      <border>
        <left style="thin">
          <color auto="1"/>
        </left>
        <right style="thin">
          <color auto="1"/>
        </right>
        <top/>
        <bottom style="thick">
          <color rgb="FFFFFFFF"/>
        </bottom>
        <vertical style="thin">
          <color rgb="FFA6A6A6"/>
        </vertical>
        <horizontal style="thin">
          <color rgb="FFA6A6A6"/>
        </horizontal>
      </border>
    </dxf>
    <dxf>
      <border>
        <left style="thin">
          <color auto="1"/>
        </left>
        <right style="thin">
          <color auto="1"/>
        </right>
        <top style="thin">
          <color auto="1"/>
        </top>
        <bottom style="thin">
          <color auto="1"/>
        </bottom>
        <vertical style="thin">
          <color rgb="FFC9C9C9"/>
        </vertical>
        <horizontal style="thin">
          <color rgb="FFC9C9C9"/>
        </horizontal>
      </border>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3" defaultTableStyle="TableStyleMedium2" defaultPivotStyle="PivotStyleLight16">
    <tableStyle name="Normal Style 1 - Accent 1" pivot="0" count="7" xr9:uid="{00000000-0011-0000-FFFF-FFFF00000000}">
      <tableStyleElement type="wholeTable" dxfId="186"/>
      <tableStyleElement type="headerRow" dxfId="185"/>
      <tableStyleElement type="totalRow" dxfId="184"/>
      <tableStyleElement type="firstColumn" dxfId="183"/>
      <tableStyleElement type="lastColumn" dxfId="182"/>
      <tableStyleElement type="firstRowStripe" dxfId="181"/>
      <tableStyleElement type="firstColumnStripe" dxfId="180"/>
    </tableStyle>
    <tableStyle name="Light Style 1 - Accent 1" table="0" count="7" xr9:uid="{00000000-0011-0000-FFFF-FFFF01000000}">
      <tableStyleElement type="wholeTable" dxfId="179"/>
      <tableStyleElement type="headerRow" dxfId="178"/>
      <tableStyleElement type="totalRow" dxfId="177"/>
      <tableStyleElement type="firstColumn" dxfId="176"/>
      <tableStyleElement type="lastColumn" dxfId="175"/>
      <tableStyleElement type="firstRowStripe" dxfId="174"/>
      <tableStyleElement type="firstColumnStripe" dxfId="173"/>
    </tableStyle>
    <tableStyle name="표 스타일 1" pivot="0" count="4" xr9:uid="{00000000-0011-0000-FFFF-FFFF02000000}">
      <tableStyleElement type="wholeTable" dxfId="172"/>
      <tableStyleElement type="headerRow" dxfId="171"/>
      <tableStyleElement type="firstRowStripe" dxfId="170"/>
      <tableStyleElement type="secondRowStripe" dxfId="169"/>
    </tableStyle>
  </tableStyles>
  <colors>
    <mruColors>
      <color rgb="FFFFA7A7"/>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시트별 파일 분리 저장 버튼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아이템가격" displayName="아이템가격" ref="B6:H8" totalsRowShown="0" headerRowDxfId="168">
  <autoFilter ref="B6:H8" xr:uid="{00000000-0009-0000-0100-000005000000}"/>
  <tableColumns count="7">
    <tableColumn id="1" xr3:uid="{00000000-0010-0000-0000-000001000000}" name="재화"/>
    <tableColumn id="2" xr3:uid="{00000000-0010-0000-0000-000002000000}" name="Hp"/>
    <tableColumn id="3" xr3:uid="{00000000-0010-0000-0000-000003000000}" name="Gold"/>
    <tableColumn id="4" xr3:uid="{00000000-0010-0000-0000-000004000000}" name="Normal"/>
    <tableColumn id="5" xr3:uid="{00000000-0010-0000-0000-000005000000}" name="Rare"/>
    <tableColumn id="6" xr3:uid="{00000000-0010-0000-0000-000006000000}" name="Cursed"/>
    <tableColumn id="7" xr3:uid="{00000000-0010-0000-0000-000007000000}" name="Weapon"/>
  </tableColumns>
  <tableStyleInfo name="표 스타일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StageEnemyInfo" displayName="StageEnemyInfo" ref="B12:G42" headerRowDxfId="167">
  <autoFilter ref="B12:G42" xr:uid="{00000000-0009-0000-0100-00000B000000}"/>
  <tableColumns count="6">
    <tableColumn id="11" xr3:uid="{00000000-0010-0000-0100-00000B000000}" name="층" dataDxfId="166"/>
    <tableColumn id="1" xr3:uid="{00000000-0010-0000-0100-000001000000}" name="스테이지" totalsRowLabel="요약"/>
    <tableColumn id="3" xr3:uid="{00000000-0010-0000-0100-000003000000}" name="박쥐"/>
    <tableColumn id="4" xr3:uid="{00000000-0010-0000-0100-000004000000}" name="일반"/>
    <tableColumn id="5" xr3:uid="{00000000-0010-0000-0100-000005000000}" name="정예" dataDxfId="165"/>
    <tableColumn id="6" xr3:uid="{00000000-0010-0000-0100-000006000000}" name="평균획득골드" totalsRowFunction="average" dataDxfId="164">
      <calculatedColumnFormula>StageEnemyInfo[[#This Row],[박쥐]]*표20[[#Totals],[박쥐]]+
StageEnemyInfo[[#This Row],[일반]]*표20[[#Totals],[일반]]+
StageEnemyInfo[[#This Row],[정예]]*표20[[#Totals],[정예]]</calculatedColumnFormula>
    </tableColumn>
  </tableColumns>
  <tableStyleInfo name="표 스타일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표20" displayName="표20" ref="J6:M9" totalsRowCount="1" headerRowDxfId="163">
  <autoFilter ref="J6:M8" xr:uid="{00000000-0009-0000-0100-000014000000}"/>
  <tableColumns count="4">
    <tableColumn id="4" xr3:uid="{00000000-0010-0000-0200-000004000000}" name=" " totalsRowLabel="요약"/>
    <tableColumn id="1" xr3:uid="{00000000-0010-0000-0200-000001000000}" name="박쥐" totalsRowFunction="average"/>
    <tableColumn id="2" xr3:uid="{00000000-0010-0000-0200-000002000000}" name="일반" totalsRowFunction="average"/>
    <tableColumn id="3" xr3:uid="{00000000-0010-0000-0200-000003000000}" name="정예" totalsRowFunction="average"/>
  </tableColumns>
  <tableStyleInfo name="표 스타일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3000000}" name="FloorInfo" displayName="FloorInfo" ref="J12:M16" totalsRowCount="1">
  <autoFilter ref="J12:M15" xr:uid="{00000000-0009-0000-0100-000018000000}"/>
  <tableColumns count="4">
    <tableColumn id="1" xr3:uid="{00000000-0010-0000-0300-000001000000}" name="층" totalsRowLabel="요약" dataDxfId="162" totalsRowDxfId="161"/>
    <tableColumn id="2" xr3:uid="{00000000-0010-0000-0300-000002000000}" name="개수" dataDxfId="160">
      <calculatedColumnFormula>INDEX(ProductialTable[MaxRoomValue],MATCH(FloorInfo[[#This Row],[층]],ProductialTable['#이름],0))-3</calculatedColumnFormula>
    </tableColumn>
    <tableColumn id="4" xr3:uid="{00000000-0010-0000-0300-000004000000}" name="방당 획득 골드" dataDxfId="159">
      <calculatedColumnFormula>(SUMIFS(StageEnemyInfo[평균획득골드],StageEnemyInfo[층],FloorInfo[[#This Row],[층]])/_xlfn.MAXIFS(StageEnemyInfo[스테이지],StageEnemyInfo[층],FloorInfo[[#This Row],[층]]))</calculatedColumnFormula>
    </tableColumn>
    <tableColumn id="3" xr3:uid="{00000000-0010-0000-0300-000003000000}" name="층 완료 획득 골드" totalsRowFunction="sum" dataDxfId="158">
      <calculatedColumnFormula>(SUMIFS(StageEnemyInfo[평균획득골드],StageEnemyInfo[층],FloorInfo[[#This Row],[층]])/_xlfn.MAXIFS(StageEnemyInfo[스테이지],StageEnemyInfo[층],FloorInfo[[#This Row],[층]]))*
(FloorInfo[[#This Row],[개수]])</calculatedColumnFormula>
    </tableColumn>
  </tableColumns>
  <tableStyleInfo name="표 스타일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4B3CAC3-26FC-3340-9458-142ED1020D76}" name="FloorEnemyHPInfo" displayName="FloorEnemyHPInfo" ref="J19:Q22" totalsRowShown="0">
  <autoFilter ref="J19:Q22" xr:uid="{64B3CAC3-26FC-3340-9458-142ED1020D76}"/>
  <tableColumns count="8">
    <tableColumn id="1" xr3:uid="{0CCF3704-A975-9042-9A54-291E86B97059}" name="층"/>
    <tableColumn id="2" xr3:uid="{35DB366D-3B5D-DF4F-8872-BF2AE887617F}" name="박쥐 평균 개수" dataDxfId="157">
      <calculatedColumnFormula>(SUMIFS(StageEnemyInfo[박쥐],StageEnemyInfo[층],FloorEnemyHPInfo[[#This Row],[층]]) /
_xlfn.MAXIFS(StageEnemyInfo[스테이지],StageEnemyInfo[층],FloorEnemyHPInfo[[#This Row],[층]])) *
INDEX(FloorInfo[개수],MATCH(FloorEnemyHPInfo[[#This Row],[층]],FloorInfo[층]))</calculatedColumnFormula>
    </tableColumn>
    <tableColumn id="3" xr3:uid="{AC035B82-D962-6649-BA1C-AB0BE8BC4096}" name="박쥐 총 HP" dataDxfId="156">
      <calculatedColumnFormula>FloorEnemyHPInfo[[#This Row],[박쥐 평균 개수]]*INDEX(EnemyHPInfo[박쥐],MATCH(FloorEnemyHPInfo[[#This Row],[층]],EnemyHPInfo[층]))</calculatedColumnFormula>
    </tableColumn>
    <tableColumn id="4" xr3:uid="{F7032A03-5CAF-054D-9086-7D5BA7D97A4A}" name="일반 평균 개수" dataDxfId="155">
      <calculatedColumnFormula>(SUMIFS(StageEnemyInfo[일반],StageEnemyInfo[층],FloorEnemyHPInfo[[#This Row],[층]]) /
_xlfn.MAXIFS(StageEnemyInfo[스테이지],StageEnemyInfo[층],FloorEnemyHPInfo[[#This Row],[층]])) *
INDEX(FloorInfo[개수],MATCH(FloorEnemyHPInfo[[#This Row],[층]],FloorInfo[층]))</calculatedColumnFormula>
    </tableColumn>
    <tableColumn id="5" xr3:uid="{5AA55800-B8EC-2042-92D6-EC6C7DFBB64F}" name="일반 총 HP" dataDxfId="154">
      <calculatedColumnFormula>FloorEnemyHPInfo[[#This Row],[일반 평균 개수]]*INDEX(EnemyHPInfo[일반],MATCH(FloorEnemyHPInfo[[#This Row],[층]],EnemyHPInfo[층]))</calculatedColumnFormula>
    </tableColumn>
    <tableColumn id="6" xr3:uid="{F3EF0ADA-02FA-9948-8E5F-07F774644C05}" name="정예 평균 개수" dataDxfId="153">
      <calculatedColumnFormula>(SUMIFS(StageEnemyInfo[정예],StageEnemyInfo[층],FloorEnemyHPInfo[[#This Row],[층]]) /
_xlfn.MAXIFS(StageEnemyInfo[스테이지],StageEnemyInfo[층],FloorEnemyHPInfo[[#This Row],[층]])) *
INDEX(FloorInfo[개수],MATCH(FloorEnemyHPInfo[[#This Row],[층]],FloorInfo[층]))</calculatedColumnFormula>
    </tableColumn>
    <tableColumn id="7" xr3:uid="{436A325B-2B3D-8F4C-9A1B-04A60D1287E7}" name="정예 총 HP" dataDxfId="152">
      <calculatedColumnFormula>FloorEnemyHPInfo[[#This Row],[정예 평균 개수]]*INDEX(EnemyHPInfo[박쥐],MATCH(FloorEnemyHPInfo[[#This Row],[층]],EnemyHPInfo[층]))</calculatedColumnFormula>
    </tableColumn>
    <tableColumn id="8" xr3:uid="{5149A0C5-85A8-E140-B3B5-2A8889F4F101}" name="총합" dataDxfId="151">
      <calculatedColumnFormula>FloorEnemyHPInfo[[#This Row],[박쥐 총 HP]]+FloorEnemyHPInfo[[#This Row],[일반 총 HP]]+FloorEnemyHPInfo[[#This Row],[정예 총 HP]]</calculatedColumnFormula>
    </tableColumn>
  </tableColumns>
  <tableStyleInfo name="표 스타일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1D39DF-0CEA-EE46-A63D-99AF7D5C7A51}" name="EnemyHPInfo" displayName="EnemyHPInfo" ref="O6:R9" totalsRowShown="0">
  <autoFilter ref="O6:R9" xr:uid="{D01D39DF-0CEA-EE46-A63D-99AF7D5C7A51}"/>
  <tableColumns count="4">
    <tableColumn id="1" xr3:uid="{DE6CC482-C234-6C4E-AB37-77335787D0B9}" name="층"/>
    <tableColumn id="2" xr3:uid="{D30FB69F-FC89-3B46-911F-F0DF305D24E9}" name="박쥐"/>
    <tableColumn id="3" xr3:uid="{5C245E0F-A96A-BF43-B020-8BD1C7AA9F0D}" name="일반"/>
    <tableColumn id="4" xr3:uid="{66A5A191-ECB8-6845-A7B7-46A8BAA2C459}" name="정예"/>
  </tableColumns>
  <tableStyleInfo name="표 스타일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스텟별가치" displayName="스텟별가치" ref="B11:F42" totalsRowShown="0" headerRowDxfId="150" dataDxfId="149">
  <autoFilter ref="B11:F42" xr:uid="{00000000-0009-0000-0100-000008000000}"/>
  <tableColumns count="5">
    <tableColumn id="1" xr3:uid="{00000000-0010-0000-0400-000001000000}" name="스텟" dataDxfId="148"/>
    <tableColumn id="2" xr3:uid="{00000000-0010-0000-0400-000002000000}" name="참조 테이블" dataDxfId="147"/>
    <tableColumn id="3" xr3:uid="{00000000-0010-0000-0400-000003000000}" name="설명" dataDxfId="146"/>
    <tableColumn id="4" xr3:uid="{00000000-0010-0000-0400-000004000000}" name="Value 1당 가치" dataDxfId="145"/>
    <tableColumn id="5" xr3:uid="{E80FF9E0-4D51-4BB5-9D04-891CF4119D93}" name="OP계수" dataDxfId="144" dataCellStyle="백분율"/>
  </tableColumns>
  <tableStyleInfo name="표 스타일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표10" displayName="표10" ref="N6:O7" totalsRowShown="0" headerRowDxfId="143">
  <autoFilter ref="N6:O7" xr:uid="{00000000-0009-0000-0100-00000A000000}"/>
  <tableColumns count="2">
    <tableColumn id="1" xr3:uid="{00000000-0010-0000-0500-000001000000}" name="골드 가치"/>
    <tableColumn id="2" xr3:uid="{00000000-0010-0000-0500-000002000000}" name="방 평균 골드">
      <calculatedColumnFormula>StageEnemyInfo[[#Totals],[정예]]</calculatedColumnFormula>
    </tableColumn>
  </tableColumns>
  <tableStyleInfo name="표 스타일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표14" displayName="표14" ref="N14:O15" totalsRowShown="0" headerRowDxfId="142">
  <autoFilter ref="N14:O15" xr:uid="{00000000-0009-0000-0100-00000E000000}"/>
  <tableColumns count="2">
    <tableColumn id="1" xr3:uid="{00000000-0010-0000-0600-000001000000}" name="적 기준 체력"/>
    <tableColumn id="2" xr3:uid="{00000000-0010-0000-0600-000002000000}" name="적 체력 상승량"/>
  </tableColumns>
  <tableStyleInfo name="표 스타일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밸런스시트" displayName="밸런스시트" ref="H6:J9" totalsRowShown="0" headerRowDxfId="141">
  <autoFilter ref="H6:J9" xr:uid="{00000000-0009-0000-0100-00000F000000}"/>
  <tableColumns count="3">
    <tableColumn id="1" xr3:uid="{00000000-0010-0000-0700-000001000000}" name="층"/>
    <tableColumn id="9" xr3:uid="{00000000-0010-0000-0700-000009000000}" name="PC 최대 DPS" dataDxfId="140">
      <calculatedColumnFormula array="1">표27[최종 DPS]</calculatedColumnFormula>
    </tableColumn>
    <tableColumn id="10" xr3:uid="{00000000-0010-0000-0700-00000A000000}" name="예상 전투 시간" dataDxfId="139">
      <calculatedColumnFormula>INDEX(FloorEnemyHPInfo[총합], MATCH(밸런스시트[[#This Row],[층]],FloorEnemyHPInfo[층]))/밸런스시트[[#This Row],[PC 최대 DPS]]</calculatedColumnFormula>
    </tableColumn>
  </tableColumns>
  <tableStyleInfo name="표 스타일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표9" displayName="표9" ref="N10:Q11" totalsRowShown="0" headerRowDxfId="138">
  <autoFilter ref="N10:Q11" xr:uid="{00000000-0009-0000-0100-000009000000}"/>
  <tableColumns count="4">
    <tableColumn id="1" xr3:uid="{00000000-0010-0000-0800-000001000000}" name="Normal"/>
    <tableColumn id="2" xr3:uid="{00000000-0010-0000-0800-000002000000}" name="Rare"/>
    <tableColumn id="3" xr3:uid="{00000000-0010-0000-0800-000003000000}" name="Cursed"/>
    <tableColumn id="4" xr3:uid="{00000000-0010-0000-0800-000004000000}" name="active" dataDxfId="137"/>
  </tableColumns>
  <tableStyleInfo name="표 스타일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39BDA6-5227-4F3A-BB7B-457C71991C01}" name="표25" displayName="표25" ref="H12:L13" totalsRowShown="0" dataDxfId="136">
  <autoFilter ref="H12:L13" xr:uid="{1A39BDA6-5227-4F3A-BB7B-457C71991C01}"/>
  <tableColumns count="5">
    <tableColumn id="1" xr3:uid="{C2200712-B727-4558-990C-91912E8DE66E}" name="직접 공격 DPS" dataDxfId="135">
      <calculatedColumnFormula array="1">CharacterAtkTable[ChargeRigidDmg1]/CharacterAtkTable[SwingCooldown]</calculatedColumnFormula>
    </tableColumn>
    <tableColumn id="2" xr3:uid="{7A94433E-C49F-40C3-8DEB-869FEDCBFEBA}" name="직접 차징 DPS" dataDxfId="134">
      <calculatedColumnFormula array="1">CharacterAtkTable[ChargeRigidDmg2]/(CharacterAtkTable[SwingCooldown]+CharacterAtkTable[ChargeTime])</calculatedColumnFormula>
    </tableColumn>
    <tableColumn id="3" xr3:uid="{1E748811-1512-4C9D-B70A-118679081E1A}" name="차징 튕김 데미지 추가" dataDxfId="133">
      <calculatedColumnFormula array="1">CharacterAtkTable[ChargeShootSpd]*표26[튕김 기댓값]*표26[튕김 속도 데미지 감쇄]</calculatedColumnFormula>
    </tableColumn>
    <tableColumn id="4" xr3:uid="{69F6A0B8-41EE-4A6D-AC11-6561743E2068}" name="차징 공격 적 맞춤 데미지 추가" dataDxfId="132">
      <calculatedColumnFormula array="1">CharacterAtkTable[EnemyProjectileDmg]*표26[적에게 튕김 기댓값]</calculatedColumnFormula>
    </tableColumn>
    <tableColumn id="5" xr3:uid="{B8F641EE-C92E-4085-9FC5-1D7A1E85838D}" name="차징공격 DPS" dataDxfId="131">
      <calculatedColumnFormula>표25[[#This Row],[직접 차징 DPS]]+표25[[#This Row],[차징 튕김 데미지 추가]]+표25[[#This Row],[차징 공격 적 맞춤 데미지 추가]]</calculatedColumnFormula>
    </tableColumn>
  </tableColumns>
  <tableStyleInfo name="표 스타일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6159906-5C29-49F6-B0BD-414C122A03F8}" name="표26" displayName="표26" ref="H15:J16" totalsRowShown="0">
  <autoFilter ref="H15:J16" xr:uid="{96159906-5C29-49F6-B0BD-414C122A03F8}"/>
  <tableColumns count="3">
    <tableColumn id="1" xr3:uid="{1DA4F7D0-18B7-4841-B35E-432CA86C9161}" name="튕김 기댓값"/>
    <tableColumn id="2" xr3:uid="{5396ACD7-D7C0-44A6-A48B-C4662121D47D}" name="적에게 튕김 기댓값"/>
    <tableColumn id="3" xr3:uid="{D1F47981-2F0B-46C5-A8DA-6FAA1A86F013}" name="튕김 속도 데미지 감쇄"/>
  </tableColumns>
  <tableStyleInfo name="표 스타일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E951D88-EC64-470B-8197-9D7A2CC9AE91}" name="표27" displayName="표27" ref="H18:J19" totalsRowShown="0">
  <autoFilter ref="H18:J19" xr:uid="{EE951D88-EC64-470B-8197-9D7A2CC9AE91}"/>
  <tableColumns count="3">
    <tableColumn id="1" xr3:uid="{8A4503F4-D76C-4738-9A5F-9F6C309397D5}" name="차징 공격 사용 비율" dataDxfId="130"/>
    <tableColumn id="2" xr3:uid="{7BC54428-2097-4B23-ACAC-4CF6F55435E4}" name="최종 DPS" dataDxfId="129">
      <calculatedColumnFormula array="1">(표25[직접 공격 DPS]*표27[[#This Row],[차징 공격 사용 비율]])+(표25[차징공격 DPS]*(1-표27[[#This Row],[차징 공격 사용 비율]]))</calculatedColumnFormula>
    </tableColumn>
    <tableColumn id="3" xr3:uid="{F752FE16-14B9-45DE-8693-1A4E50EA6138}" name="가정" dataDxfId="128"/>
  </tableColumns>
  <tableStyleInfo name="표 스타일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1F6D87A-5B88-4C6A-9E93-64150DD023BB}" name="밸런스시트31" displayName="밸런스시트31" ref="B6:D7" totalsRowShown="0" headerRowDxfId="127">
  <autoFilter ref="B6:D7" xr:uid="{81F6D87A-5B88-4C6A-9E93-64150DD023BB}"/>
  <tableColumns count="3">
    <tableColumn id="1" xr3:uid="{194B9D5C-2233-44FE-88A7-D3D65119A0B5}" name="DPS 상승량">
      <calculatedColumnFormula>30/0.12</calculatedColumnFormula>
    </tableColumn>
    <tableColumn id="2" xr3:uid="{BA0E6431-6328-46DE-941B-661E20E92199}" name="체력 상승량">
      <calculatedColumnFormula>30/25</calculatedColumnFormula>
    </tableColumn>
    <tableColumn id="3" xr3:uid="{24B739BF-EB38-4934-83CF-0F647A58F035}" name="기준 전투 시간(초)"/>
  </tableColumns>
  <tableStyleInfo name="표 스타일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1D108-3D49-4B42-B815-0005AC0F8DFB}" name="스텟별가치29" displayName="스텟별가치29" ref="B45:F54" totalsRowShown="0" headerRowDxfId="126" dataDxfId="125">
  <autoFilter ref="B45:F54" xr:uid="{52C1D108-3D49-4B42-B815-0005AC0F8DFB}"/>
  <tableColumns count="5">
    <tableColumn id="1" xr3:uid="{97C44805-9CD2-45EA-B5DF-D65CFA5C28DC}" name="트리거" dataDxfId="124"/>
    <tableColumn id="2" xr3:uid="{0CB69347-3D8F-4363-BA6F-16EF9B4A762D}" name="발동 여부" dataDxfId="123"/>
    <tableColumn id="3" xr3:uid="{176A61E6-C094-47E3-8CBF-78EA6EEA3FB7}" name="발동에 걸리는 시간" dataDxfId="122"/>
    <tableColumn id="4" xr3:uid="{C9DEDF42-6084-4BE1-AED3-7B9E6FA248C1}" name="발동율" dataDxfId="121">
      <calculatedColumnFormula>IF(스텟별가치29[[#This Row],[발동 여부]],스텟별가치29[[#This Row],[발동에 걸리는 시간]],-1)*(1+스텟별가치29[[#This Row],[OP계수]])</calculatedColumnFormula>
    </tableColumn>
    <tableColumn id="5" xr3:uid="{D3F5DD1A-BD15-4987-9FEF-BA567ADDE35C}" name="OP계수" dataDxfId="120" dataCellStyle="백분율"/>
  </tableColumns>
  <tableStyleInfo name="표 스타일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E4A78B-5308-430C-BFB3-A3DED3312CD7}" name="표29" displayName="표29" ref="B57:F66" totalsRowShown="0" dataDxfId="119">
  <autoFilter ref="B57:F66" xr:uid="{5DE4A78B-5308-430C-BFB3-A3DED3312CD7}"/>
  <tableColumns count="5">
    <tableColumn id="1" xr3:uid="{D8664B31-C1C5-4F94-9493-0E923670269C}" name="특수 이펙트 명칭" dataDxfId="118"/>
    <tableColumn id="2" xr3:uid="{75D26A2C-66A5-4D4E-8467-00AB4551DB09}" name="열1" dataDxfId="117"/>
    <tableColumn id="3" xr3:uid="{C016E32B-6A25-4781-91D0-3F1F049AB241}" name="설명" dataDxfId="116"/>
    <tableColumn id="4" xr3:uid="{87B4D8C0-06AC-4B77-972D-B4F0F00820E7}" name="1당 가치" dataDxfId="115">
      <calculatedColumnFormula>E14</calculatedColumnFormula>
    </tableColumn>
    <tableColumn id="5" xr3:uid="{B8215913-9E5B-4616-A7FB-EBC3ED6C83CC}" name="OP계수" dataDxfId="114"/>
  </tableColumns>
  <tableStyleInfo name="표 스타일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표2" displayName="표2" ref="A2:D10" totalsRowShown="0" headerRowDxfId="113">
  <autoFilter ref="A2:D10" xr:uid="{00000000-0009-0000-0100-000002000000}"/>
  <tableColumns count="4">
    <tableColumn id="1" xr3:uid="{00000000-0010-0000-0900-000001000000}" name="Index"/>
    <tableColumn id="2" xr3:uid="{00000000-0010-0000-0900-000002000000}" name="#변수명" dataDxfId="112"/>
    <tableColumn id="3" xr3:uid="{00000000-0010-0000-0900-000003000000}" name="value"/>
    <tableColumn id="4" xr3:uid="{00000000-0010-0000-0900-000004000000}" name="#설명" dataDxfId="111"/>
  </tableColumns>
  <tableStyleInfo name="표 스타일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haracterTable" displayName="CharacterTable" ref="B2:M3" totalsRowShown="0" headerRowDxfId="110">
  <autoFilter ref="B2:M3" xr:uid="{00000000-0009-0000-0100-000006000000}"/>
  <tableColumns count="12">
    <tableColumn id="1" xr3:uid="{00000000-0010-0000-0A00-000001000000}" name="Index"/>
    <tableColumn id="2" xr3:uid="{00000000-0010-0000-0A00-000002000000}" name="#설명" dataDxfId="109"/>
    <tableColumn id="3" xr3:uid="{00000000-0010-0000-0A00-000003000000}" name="MaxHP"/>
    <tableColumn id="4" xr3:uid="{00000000-0010-0000-0A00-000004000000}" name="PCHitboxRad"/>
    <tableColumn id="5" xr3:uid="{00000000-0010-0000-0A00-000005000000}" name="MovementSpd"/>
    <tableColumn id="6" xr3:uid="{00000000-0010-0000-0A00-000006000000}" name="ChargeMovementSpd"/>
    <tableColumn id="7" xr3:uid="{00000000-0010-0000-0A00-000007000000}" name="MercyInvincibleTime"/>
    <tableColumn id="8" xr3:uid="{00000000-0010-0000-0A00-000008000000}" name="DodgeCooldown"/>
    <tableColumn id="9" xr3:uid="{00000000-0010-0000-0A00-000009000000}" name="DodgeInvincibleTime"/>
    <tableColumn id="10" xr3:uid="{00000000-0010-0000-0A00-00000A000000}" name="DodgeDurationTime"/>
    <tableColumn id="11" xr3:uid="{00000000-0010-0000-0A00-00000B000000}" name="DodgeAddForce"/>
    <tableColumn id="14" xr3:uid="{00000000-0010-0000-0A00-00000E000000}" name="GoldGain"/>
  </tableColumns>
  <tableStyleInfo name="표 스타일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CharacterAtkTable" displayName="CharacterAtkTable" ref="B2:R3" totalsRowShown="0" headerRowDxfId="108">
  <autoFilter ref="B2:R3" xr:uid="{00000000-0009-0000-0100-000007000000}"/>
  <tableColumns count="17">
    <tableColumn id="1" xr3:uid="{00000000-0010-0000-0B00-000001000000}" name="Index"/>
    <tableColumn id="2" xr3:uid="{00000000-0010-0000-0B00-000002000000}" name="#설명" dataDxfId="107"/>
    <tableColumn id="7" xr3:uid="{00000000-0010-0000-0B00-000007000000}" name="SwingCooldown" dataDxfId="106"/>
    <tableColumn id="9" xr3:uid="{00000000-0010-0000-0B00-000009000000}" name="SwingRad"/>
    <tableColumn id="10" xr3:uid="{00000000-0010-0000-0B00-00000A000000}" name="SwingCentralAngle"/>
    <tableColumn id="11" xr3:uid="{00000000-0010-0000-0B00-00000B000000}" name="ChargeTime"/>
    <tableColumn id="5" xr3:uid="{CAB518C3-B4EA-3A45-B0DB-1DD9B480BD61}" name="ProjectileExplosion"/>
    <tableColumn id="4" xr3:uid="{739E50D8-1940-024C-83F6-B039A93B6930}" name="ProjectileGuide" dataDxfId="105"/>
    <tableColumn id="12" xr3:uid="{00000000-0010-0000-0B00-00000C000000}" name="ProjectilePierce"/>
    <tableColumn id="14" xr3:uid="{00000000-0010-0000-0B00-00000E000000}" name="ChargeShootSpd"/>
    <tableColumn id="15" xr3:uid="{00000000-0010-0000-0B00-00000F000000}" name="ChargeBounceCount"/>
    <tableColumn id="17" xr3:uid="{00000000-0010-0000-0B00-000011000000}" name="ReflectCorrection"/>
    <tableColumn id="18" xr3:uid="{00000000-0010-0000-0B00-000012000000}" name="ChargeRigidDmg1"/>
    <tableColumn id="19" xr3:uid="{00000000-0010-0000-0B00-000013000000}" name="ChargeRigidDmg2"/>
    <tableColumn id="21" xr3:uid="{00000000-0010-0000-0B00-000015000000}" name="ChargeProjectileDmg"/>
    <tableColumn id="32" xr3:uid="{00000000-0010-0000-0B00-000020000000}" name="EnemyProjectileDmg"/>
    <tableColumn id="22" xr3:uid="{00000000-0010-0000-0B00-000016000000}" name="AtkDmgPer"/>
  </tableColumns>
  <tableStyleInfo name="표 스타일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ProductialTable" displayName="ProductialTable" ref="B2:S5" totalsRowShown="0" headerRowDxfId="104">
  <autoFilter ref="B2:S5" xr:uid="{00000000-0009-0000-0100-00000D000000}"/>
  <tableColumns count="18">
    <tableColumn id="1" xr3:uid="{00000000-0010-0000-0C00-000001000000}" name="Index"/>
    <tableColumn id="2" xr3:uid="{00000000-0010-0000-0C00-000002000000}" name="#이름" dataDxfId="103"/>
    <tableColumn id="3" xr3:uid="{00000000-0010-0000-0C00-000003000000}" name="MaxRoomValue"/>
    <tableColumn id="4" xr3:uid="{00000000-0010-0000-0C00-000004000000}" name="GoldShopProb"/>
    <tableColumn id="5" xr3:uid="{00000000-0010-0000-0C00-000005000000}" name="HpShopProb"/>
    <tableColumn id="6" xr3:uid="{00000000-0010-0000-0C00-000006000000}" name="EnemyHpIncreasePer"/>
    <tableColumn id="7" xr3:uid="{00000000-0010-0000-0C00-000007000000}" name="ItemDropId"/>
    <tableColumn id="8" xr3:uid="{00000000-0010-0000-0C00-000008000000}" name="HpShopDropId"/>
    <tableColumn id="9" xr3:uid="{00000000-0010-0000-0C00-000009000000}" name="GoldShopDropId"/>
    <tableColumn id="10" xr3:uid="{00000000-0010-0000-0C00-00000A000000}" name="BossDropId"/>
    <tableColumn id="11" xr3:uid="{00000000-0010-0000-0C00-00000B000000}" name="ChoiceDropId"/>
    <tableColumn id="12" xr3:uid="{00000000-0010-0000-0C00-00000C000000}" name="WeaponDropId"/>
    <tableColumn id="13" xr3:uid="{00000000-0010-0000-0C00-00000D000000}" name="#드랍테이블1" dataDxfId="102"/>
    <tableColumn id="14" xr3:uid="{00000000-0010-0000-0C00-00000E000000}" name="#드랍테이블2" dataDxfId="101"/>
    <tableColumn id="15" xr3:uid="{00000000-0010-0000-0C00-00000F000000}" name="#드랍테이블3" dataDxfId="100"/>
    <tableColumn id="16" xr3:uid="{00000000-0010-0000-0C00-000010000000}" name="#드랍테이블4" dataDxfId="99"/>
    <tableColumn id="17" xr3:uid="{00000000-0010-0000-0C00-000011000000}" name="#드랍테이블5" dataDxfId="98"/>
    <tableColumn id="18" xr3:uid="{00000000-0010-0000-0C00-000012000000}" name="#드랍테이블6" dataDxfId="97"/>
  </tableColumns>
  <tableStyleInfo name="표 스타일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DropTable" displayName="DropTable" ref="B2:I11" totalsRowShown="0" headerRowDxfId="96">
  <autoFilter ref="B2:I11" xr:uid="{00000000-0009-0000-0100-00000C000000}"/>
  <tableColumns count="8">
    <tableColumn id="1" xr3:uid="{00000000-0010-0000-0D00-000001000000}" name="Index"/>
    <tableColumn id="2" xr3:uid="{00000000-0010-0000-0D00-000002000000}" name="#메모" dataDxfId="95"/>
    <tableColumn id="3" xr3:uid="{00000000-0010-0000-0D00-000003000000}" name="Normal"/>
    <tableColumn id="4" xr3:uid="{00000000-0010-0000-0D00-000004000000}" name="Rare"/>
    <tableColumn id="5" xr3:uid="{00000000-0010-0000-0D00-000005000000}" name="Cursed"/>
    <tableColumn id="6" xr3:uid="{00000000-0010-0000-0D00-000006000000}" name="Active"/>
    <tableColumn id="7" xr3:uid="{00000000-0010-0000-0D00-000007000000}" name="Hp"/>
    <tableColumn id="8" xr3:uid="{00000000-0010-0000-0D00-000008000000}" name="Gold"/>
  </tableColumns>
  <tableStyleInfo name="표 스타일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EnemyGameData" displayName="EnemyGameData" ref="B2:V20" totalsRowShown="0">
  <autoFilter ref="B2:V20" xr:uid="{00000000-0009-0000-0100-000012000000}"/>
  <tableColumns count="21">
    <tableColumn id="1" xr3:uid="{00000000-0010-0000-0E00-000001000000}" name="Index"/>
    <tableColumn id="2" xr3:uid="{00000000-0010-0000-0E00-000002000000}" name="Name" dataDxfId="94"/>
    <tableColumn id="19" xr3:uid="{00000000-0010-0000-0E00-000013000000}" name="#" dataDxfId="93"/>
    <tableColumn id="3" xr3:uid="{00000000-0010-0000-0E00-000003000000}" name="MaxHp"/>
    <tableColumn id="21" xr3:uid="{00000000-0010-0000-0E00-000015000000}" name="AgroRange"/>
    <tableColumn id="4" xr3:uid="{00000000-0010-0000-0E00-000004000000}" name="MoveType"/>
    <tableColumn id="5" xr3:uid="{00000000-0010-0000-0E00-000005000000}" name="SpacingRad"/>
    <tableColumn id="6" xr3:uid="{00000000-0010-0000-0E00-000006000000}" name="MoveTargetUpdatePeroid"/>
    <tableColumn id="7" xr3:uid="{00000000-0010-0000-0E00-000007000000}" name="MovementSpd"/>
    <tableColumn id="22" xr3:uid="{00000000-0010-0000-0E00-000016000000}" name="BodyContactDmg"/>
    <tableColumn id="8" xr3:uid="{00000000-0010-0000-0E00-000008000000}" name="AtkCheckDelay"/>
    <tableColumn id="9" xr3:uid="{00000000-0010-0000-0E00-000009000000}" name="AtkStartType"/>
    <tableColumn id="10" xr3:uid="{00000000-0010-0000-0E00-00000A000000}" name="AtkStartParam" dataDxfId="92">
      <calculatedColumnFormula>IF(EnemyGameData[[#This Row],[SpacingRad]]&lt;3,5,EnemyGameData[[#This Row],[SpacingRad]]+1)</calculatedColumnFormula>
    </tableColumn>
    <tableColumn id="11" xr3:uid="{00000000-0010-0000-0E00-00000B000000}" name="AtkDataId"/>
    <tableColumn id="12" xr3:uid="{00000000-0010-0000-0E00-00000C000000}" name="DeadAtkDataId"/>
    <tableColumn id="13" xr3:uid="{00000000-0010-0000-0E00-00000D000000}" name="GoldDropMin"/>
    <tableColumn id="14" xr3:uid="{00000000-0010-0000-0E00-00000E000000}" name="GoldDropMax"/>
    <tableColumn id="15" xr3:uid="{00000000-0010-0000-0E00-00000F000000}" name="ProjectileDataId"/>
    <tableColumn id="16" xr3:uid="{00000000-0010-0000-0E00-000010000000}" name="PrefabPath" dataDxfId="91"/>
    <tableColumn id="17" xr3:uid="{00000000-0010-0000-0E00-000011000000}" name="#기준 적 체력 비율"/>
    <tableColumn id="18" xr3:uid="{00000000-0010-0000-0E00-000012000000}" name="#평균 드랍 골드" dataDxfId="90"/>
  </tableColumns>
  <tableStyleInfo name="표 스타일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EnemyAtkTable" displayName="EnemyAtkTable" ref="B2:I135" totalsRowShown="0">
  <autoFilter ref="B2:I135" xr:uid="{00000000-0009-0000-0100-000015000000}"/>
  <sortState xmlns:xlrd2="http://schemas.microsoft.com/office/spreadsheetml/2017/richdata2" ref="B3:I87">
    <sortCondition ref="D3:D87" customList="갑자,을축,병인,정묘,무진,기사,경오,신미,임신,계유,갑술,을해,병자,정축,무인,기묘,경진,신사,임오,계미,갑신,을유,병술,정해,무자,기축,경인,신묘,임진,계사,갑오,을미,병신,정유,무술,기해,경자,신축,임인,계묘,갑진,을사,병오,정미,무신,기유,경술,신해,임자,계축,갑인,을묘,병진,정사,무오,기미,경신,신유,임술,계해"/>
  </sortState>
  <tableColumns count="8">
    <tableColumn id="1" xr3:uid="{00000000-0010-0000-0F00-000001000000}" name="Index"/>
    <tableColumn id="2" xr3:uid="{00000000-0010-0000-0F00-000002000000}" name="#설명" dataDxfId="89"/>
    <tableColumn id="3" xr3:uid="{00000000-0010-0000-0F00-000003000000}" name="ShootDataId" dataDxfId="88"/>
    <tableColumn id="4" xr3:uid="{00000000-0010-0000-0F00-000004000000}" name="AimType"/>
    <tableColumn id="5" xr3:uid="{00000000-0010-0000-0F00-000005000000}" name="BeforeDelay"/>
    <tableColumn id="6" xr3:uid="{00000000-0010-0000-0F00-000006000000}" name="AfterDelay"/>
    <tableColumn id="7" xr3:uid="{00000000-0010-0000-0F00-000007000000}" name="#" dataDxfId="87">
      <calculatedColumnFormula>INDEX(ShootTable['#설명],MATCH(EnemyAtkTable[[#This Row],[ShootDataId]],ShootTable[Index],0))</calculatedColumnFormula>
    </tableColumn>
    <tableColumn id="9" xr3:uid="{00000000-0010-0000-0F00-000009000000}" name="#공격 프로세스 총합" dataDxfId="86">
      <calculatedColumnFormula>SUMIF(EnemyAtkTable[Index],EnemyAtkTable[[#This Row],[Index]],EnemyAtkTable[BeforeDelay])+SUMIF(EnemyAtkTable[Index],EnemyAtkTable[[#This Row],[Index]],EnemyAtkTable[AfterDelay])</calculatedColumnFormula>
    </tableColumn>
  </tableColumns>
  <tableStyleInfo name="표 스타일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ShootTable" displayName="ShootTable" ref="B2:H237" totalsRowShown="0">
  <autoFilter ref="B2:H237" xr:uid="{00000000-0009-0000-0100-000013000000}"/>
  <sortState xmlns:xlrd2="http://schemas.microsoft.com/office/spreadsheetml/2017/richdata2" ref="B3:H237">
    <sortCondition ref="B231:B237"/>
  </sortState>
  <tableColumns count="7">
    <tableColumn id="1" xr3:uid="{00000000-0010-0000-1000-000001000000}" name="Index"/>
    <tableColumn id="2" xr3:uid="{00000000-0010-0000-1000-000002000000}" name="#설명" dataDxfId="85"/>
    <tableColumn id="3" xr3:uid="{00000000-0010-0000-1000-000003000000}" name="ShootAngle"/>
    <tableColumn id="4" xr3:uid="{00000000-0010-0000-1000-000004000000}" name="ProjectileDataId"/>
    <tableColumn id="5" xr3:uid="{00000000-0010-0000-1000-000005000000}" name="MaxBounceCount"/>
    <tableColumn id="6" xr3:uid="{00000000-0010-0000-1000-000006000000}" name="InitalSpd"/>
    <tableColumn id="7" xr3:uid="{B1339A6C-14F5-421C-A945-9E9F82313020}" name="Properties"/>
  </tableColumns>
  <tableStyleInfo name="표 스타일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ProjectileTable" displayName="ProjectileTable" ref="B2:G19" totalsRowShown="0" headerRowDxfId="84">
  <autoFilter ref="B2:G19" xr:uid="{00000000-0009-0000-0100-000011000000}"/>
  <tableColumns count="6">
    <tableColumn id="1" xr3:uid="{00000000-0010-0000-1100-000001000000}" name="Index"/>
    <tableColumn id="2" xr3:uid="{00000000-0010-0000-1100-000002000000}" name="#설명" dataDxfId="83"/>
    <tableColumn id="3" xr3:uid="{00000000-0010-0000-1100-000003000000}" name="IsBounce"/>
    <tableColumn id="4" xr3:uid="{00000000-0010-0000-1100-000004000000}" name="ColliderRad"/>
    <tableColumn id="5" xr3:uid="{00000000-0010-0000-1100-000005000000}" name="DirectDmg"/>
    <tableColumn id="6" xr3:uid="{00000000-0010-0000-1100-000006000000}" name="PrefabPath"/>
  </tableColumns>
  <tableStyleInfo name="표 스타일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ItemTable" displayName="ItemTable" ref="B2:R30" totalsRowShown="0" headerRowDxfId="82" dataDxfId="81">
  <autoFilter ref="B2:R30" xr:uid="{00000000-0009-0000-0100-000004000000}"/>
  <tableColumns count="17">
    <tableColumn id="1" xr3:uid="{00000000-0010-0000-1200-000001000000}" name="#Index 참조용" dataDxfId="12">
      <calculatedColumnFormula array="1">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calculatedColumnFormula>
    </tableColumn>
    <tableColumn id="11" xr3:uid="{C2C906EC-5EEB-4ECD-9BFE-AD35439C5A42}" name="#이름" dataDxfId="80">
      <calculatedColumnFormula>INDEX(LocaleTable[LocaleKR],MATCH(ItemTable[[#This Row],[Name]],LocaleTable[StringKey],0))</calculatedColumnFormula>
    </tableColumn>
    <tableColumn id="13" xr3:uid="{0228A5D9-BA73-4AE8-96BB-B4E0516E7318}" name="#설명" dataDxfId="79">
      <calculatedColumnFormula>INDEX(LocaleTable[LocaleKR],MATCH(ItemTable[[#This Row],[Desc]],LocaleTable[StringKey],0))</calculatedColumnFormula>
    </tableColumn>
    <tableColumn id="12" xr3:uid="{E9E64980-0312-45FE-9FAE-1ACAEDBC3E20}" name="#이로운효과" dataDxfId="78">
      <calculatedColumnFormula>INDEX(LocaleTable[LocaleKR],MATCH(ItemTable[[#This Row],[PlusDesc]],LocaleTable[StringKey],0))</calculatedColumnFormula>
    </tableColumn>
    <tableColumn id="16" xr3:uid="{9E53E2C4-095F-4E9E-A0AD-42A61B1B0748}" name="#해로운효과" dataDxfId="77">
      <calculatedColumnFormula>IFERROR(INDEX(LocaleTable[LocaleKR],MATCH(ItemTable[[#This Row],[MinusDesc]],LocaleTable[StringKey],0)),"-")</calculatedColumnFormula>
    </tableColumn>
    <tableColumn id="14" xr3:uid="{7E111D60-6C5A-41E3-804E-886C6BF9CB1C}" name="Index" dataDxfId="0">
      <calculatedColumnFormula>ItemTable[[#This Row],['#Index 참조용]]</calculatedColumnFormula>
    </tableColumn>
    <tableColumn id="2" xr3:uid="{00000000-0010-0000-1200-000002000000}" name="Name" dataDxfId="76"/>
    <tableColumn id="3" xr3:uid="{00000000-0010-0000-1200-000003000000}" name="Desc" dataDxfId="75"/>
    <tableColumn id="18" xr3:uid="{00000000-0010-0000-1200-000012000000}" name="PlusDesc" dataDxfId="74"/>
    <tableColumn id="19" xr3:uid="{00000000-0010-0000-1200-000013000000}" name="MinusDesc" dataDxfId="73"/>
    <tableColumn id="4" xr3:uid="{00000000-0010-0000-1200-000004000000}" name="GradeType" dataDxfId="72"/>
    <tableColumn id="10" xr3:uid="{6DE5866A-8A04-9347-9CC2-5EDCEC20C35F}" name="MaxStack" dataDxfId="71"/>
    <tableColumn id="5" xr3:uid="{00000000-0010-0000-1200-000005000000}" name="Value" dataDxfId="70"/>
    <tableColumn id="6" xr3:uid="{00000000-0010-0000-1200-000006000000}" name="CostHp" dataDxfId="69"/>
    <tableColumn id="7" xr3:uid="{00000000-0010-0000-1200-000007000000}" name="CostGold" dataDxfId="68"/>
    <tableColumn id="8" xr3:uid="{00000000-0010-0000-1200-000008000000}" name="ItemEffectDataId" dataDxfId="67"/>
    <tableColumn id="9" xr3:uid="{00000000-0010-0000-1200-000009000000}" name="ItemIconPath" dataDxfId="66"/>
  </tableColumns>
  <tableStyleInfo name="표 스타일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3000000}" name="ItemEffectTable" displayName="ItemEffectTable" ref="B2:S38" totalsRowShown="0" headerRowDxfId="65">
  <autoFilter ref="B2:S38" xr:uid="{00000000-0009-0000-0100-000001000000}"/>
  <tableColumns count="18">
    <tableColumn id="2" xr3:uid="{00000000-0010-0000-1300-000002000000}" name="#이름" dataDxfId="64">
      <calculatedColumnFormula>INDEX(ItemTable['#이름],MATCH(ItemEffectTable[[#This Row],[Index]],ItemTable[ItemEffectDataId],0))</calculatedColumnFormula>
    </tableColumn>
    <tableColumn id="3" xr3:uid="{00000000-0010-0000-1300-000003000000}" name="#Grade" dataDxfId="63">
      <calculatedColumnFormula>INDEX(ItemTable[GradeType],MATCH(ItemEffectTable[[#This Row],[Index]],ItemTable[ItemEffectDataId],0))</calculatedColumnFormula>
    </tableColumn>
    <tableColumn id="4" xr3:uid="{00000000-0010-0000-1300-000004000000}" name="Index" dataDxfId="62"/>
    <tableColumn id="5" xr3:uid="{00000000-0010-0000-1300-000005000000}" name="ApplyBuffId"/>
    <tableColumn id="6" xr3:uid="{00000000-0010-0000-1300-000006000000}" name="ApplySpecialEffectId"/>
    <tableColumn id="15" xr3:uid="{00000000-0010-0000-1300-00000F000000}" name="CoolTime"/>
    <tableColumn id="10" xr3:uid="{00000000-0010-0000-1300-00000A000000}" name="TriggerType"/>
    <tableColumn id="9" xr3:uid="{00000000-0010-0000-1300-000009000000}" name="ConditionTarget"/>
    <tableColumn id="11" xr3:uid="{00000000-0010-0000-1300-00000B000000}" name="Condition" dataDxfId="61"/>
    <tableColumn id="12" xr3:uid="{00000000-0010-0000-1300-00000C000000}" name="ConditionValue"/>
    <tableColumn id="1" xr3:uid="{0B4ED250-DA0A-47BD-8D15-6BC486DF4AD6}" name="#트리거1" dataDxfId="60">
      <calculatedColumnFormula>IFERROR(LEFT(ItemEffectTable[[#This Row],[TriggerType]],FIND(",",ItemEffectTable[[#This Row],[TriggerType]],1)-1),ItemEffectTable[[#This Row],[TriggerType]])</calculatedColumnFormula>
    </tableColumn>
    <tableColumn id="13" xr3:uid="{9DFD0B72-F6DD-441C-A249-60E7C5627080}" name="#트리거2" dataDxfId="59">
      <calculatedColumnFormula>IFERROR(
MID(ItemEffectTable[[#This Row],[TriggerType]],
FIND(",",ItemEffectTable[[#This Row],[TriggerType]],1)+2,
FIND(",",ItemEffectTable[[#This Row],[TriggerType]],FIND(",",ItemEffectTable[[#This Row],[TriggerType]],1))
),
"")</calculatedColumnFormula>
    </tableColumn>
    <tableColumn id="8" xr3:uid="{81DEBF1A-8091-4895-847C-BA9D9EDBD863}" name="#트리거3" dataDxfId="58">
      <calculatedColumnFormula>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calculatedColumnFormula>
    </tableColumn>
    <tableColumn id="14" xr3:uid="{594989A2-D94C-4B58-A2A6-502EF81399CA}" name="#트리거1 발동 간격" dataDxfId="57">
      <calculatedColumnFormula>IFERROR(INDEX(스텟별가치29[발동율],MATCH(ItemEffectTable[[#This Row],['#트리거1]],스텟별가치29[트리거],0)),0)</calculatedColumnFormula>
    </tableColumn>
    <tableColumn id="17" xr3:uid="{42428A73-0C22-4408-89F6-B3F791C76DE9}" name="#트리거2 발동 간격" dataDxfId="56">
      <calculatedColumnFormula>IFERROR(INDEX(스텟별가치29[발동율],MATCH(ItemEffectTable[[#This Row],['#트리거2]],스텟별가치29[트리거],0)),-1)</calculatedColumnFormula>
    </tableColumn>
    <tableColumn id="18" xr3:uid="{63CC1E3C-7126-416C-B322-3980D5CA7D9B}" name="#트리거3 발동 간격" dataDxfId="55">
      <calculatedColumnFormula>IFERROR(INDEX(스텟별가치29[발동율],MATCH(ItemEffectTable[[#This Row],['#트리거3]],스텟별가치29[트리거],0)),-1)</calculatedColumnFormula>
    </tableColumn>
    <tableColumn id="19" xr3:uid="{F4C87584-0C3C-4533-B1C1-1A61E655B61E}" name="#발동율" dataDxfId="54">
      <calculatedColumnFormula>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calculatedColumnFormula>
    </tableColumn>
    <tableColumn id="20" xr3:uid="{85B127AF-9363-40DF-973D-76A95A911EAF}" name="#지속 시간" dataDxfId="53">
      <calculatedColumnFormula>IFERROR(
INDEX(ItemEffectTable23[Duration],MATCH(ItemEffectTable[[#This Row],[ApplyBuffId]],ItemEffectTable23[Index],0)),
IFERROR(INDEX(ItemEffectTable23[Duration],MATCH(ItemEffectTable[[#This Row],[ApplySpecialEffectId]],ItemEffectTable23[Index],0)),-1)
)</calculatedColumnFormula>
    </tableColumn>
  </tableColumns>
  <tableStyleInfo name="표 스타일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ItemEffectTable23" displayName="ItemEffectTable23" ref="B2:U35" totalsRowShown="0" headerRowDxfId="52">
  <autoFilter ref="B2:U35" xr:uid="{00000000-0009-0000-0100-000016000000}"/>
  <tableColumns count="20">
    <tableColumn id="3" xr3:uid="{E74DAA42-5E4A-4F89-AD3E-565200EEF3AE}" name="#아이템 명칭" dataDxfId="51">
      <calculatedColumnFormula>IFERROR(INDEX(ItemEffectTable['#이름],MATCH(ItemEffectTable23[[#This Row],[Index]],ItemEffectTable[Index],0)),INDEX(ItemEffectTable['#이름],MATCH(ItemEffectTable23[[#This Row],[Index]],ItemEffectTable[ApplyBuffId],0)))</calculatedColumnFormula>
    </tableColumn>
    <tableColumn id="7" xr3:uid="{1075694C-1377-4816-A99B-2CEA670AC05C}" name="#텍스트로 설명" dataDxfId="50">
      <calculatedColumnFormula>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calculatedColumnFormula>
    </tableColumn>
    <tableColumn id="4" xr3:uid="{00000000-0010-0000-1400-000004000000}" name="Index" dataDxfId="49"/>
    <tableColumn id="5" xr3:uid="{00000000-0010-0000-1400-000005000000}" name="ApplyStat"/>
    <tableColumn id="6" xr3:uid="{00000000-0010-0000-1400-000006000000}" name="ApplyValue"/>
    <tableColumn id="13" xr3:uid="{00000000-0010-0000-1400-00000D000000}" name="ValueOperatorType"/>
    <tableColumn id="14" xr3:uid="{00000000-0010-0000-1400-00000E000000}" name="Duration"/>
    <tableColumn id="9" xr3:uid="{F3389CE0-5BA5-467B-8F93-C558D8C433D9}" name="#스텟의 default값" dataDxfId="48">
      <calculatedColumnFormula array="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calculatedColumnFormula>
    </tableColumn>
    <tableColumn id="10" xr3:uid="{D0E5DF7D-B43B-4A60-95E3-7AF6BDCF045E}" name="#변화 후 값" dataDxfId="47">
      <calculatedColumnFormula array="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calculatedColumnFormula>
    </tableColumn>
    <tableColumn id="1" xr3:uid="{9B789B2E-4B97-4759-A9EB-2273407ED9FB}" name="#변화 후 값 예외처리" dataDxfId="46"/>
    <tableColumn id="8" xr3:uid="{27E501F3-F27A-44EE-8F20-18B66E39DD44}" name="#효력 가치 판단" dataDxfId="45">
      <calculatedColumnFormula>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calculatedColumnFormula>
    </tableColumn>
    <tableColumn id="11" xr3:uid="{91F0BDB1-57BB-44BB-B87B-6BDCAD8755D9}" name="#발동율" dataDxfId="44">
      <calculatedColumnFormula>IFERROR(
INDEX(ItemEffectTable['#발동율],MATCH(ItemEffectTable23[[#This Row],[Index]],ItemEffectTable[ApplySpecialEffectId],0)),
INDEX(ItemEffectTable['#발동율],MATCH(ItemEffectTable23[[#This Row],[Index]],ItemEffectTable[ApplyBuffId],0))
)</calculatedColumnFormula>
    </tableColumn>
    <tableColumn id="12" xr3:uid="{2B265F62-F34A-4E87-9EFD-47D27E5E97BF}" name="#쿨타임" dataDxfId="43">
      <calculatedColumnFormula>INDEX(ItemEffectTable[CoolTime],MATCH(ItemEffectTable23[[#This Row],[Index]],ItemEffectTable[ApplyBuffId],0))</calculatedColumnFormula>
    </tableColumn>
    <tableColumn id="2" xr3:uid="{823B8CD2-FD6B-4052-8604-4A74DB5CF8F0}" name="#발동량" dataDxfId="42">
      <calculatedColumnFormula>IF(ItemEffectTable23[[#This Row],['#발동율]]=-1,-1,(ItemEffectTable23[[#This Row],['#발동율]]+ItemEffectTable23[[#This Row],['#쿨타임]])/ItemEffectTable23[[#This Row],[Duration]])</calculatedColumnFormula>
    </tableColumn>
    <tableColumn id="15" xr3:uid="{B3B58D9E-B721-4B76-97A4-98C709233CA1}" name="#총 가치판단" dataDxfId="41">
      <calculatedColumnFormula>ItemEffectTable23[[#This Row],['#효력 가치 판단]]/IF(ItemEffectTable23[[#This Row],['#발동량]]=-1,1,ItemEffectTable23[[#This Row],['#발동량]])</calculatedColumnFormula>
    </tableColumn>
    <tableColumn id="18" xr3:uid="{DAE41A94-6D6C-4B30-A4EB-3BCE15F5EA05}" name="#아이템 효력 합산" dataDxfId="40">
      <calculatedColumnFormula>SUMIF(ItemEffectTable23['#아이템 명칭],ItemEffectTable23[[#This Row],['#아이템 명칭]],ItemEffectTable23['#총 가치판단])</calculatedColumnFormula>
    </tableColumn>
    <tableColumn id="19" xr3:uid="{675E3CDD-206B-437F-8932-709A25577865}" name="#특수 효력" dataDxfId="39">
      <calculatedColumnFormula>IFERROR(INDEX(ItemEffectTable2324['#가치판단],MATCH(ItemEffectTable23[[#This Row],['#아이템 명칭]],ItemEffectTable2324['#명칭],0)),0)</calculatedColumnFormula>
    </tableColumn>
    <tableColumn id="20" xr3:uid="{3094EFE3-D751-4DC0-ABE2-2BF73B378B63}" name="#종합 효력" dataDxfId="38">
      <calculatedColumnFormula>ItemEffectTable23[[#This Row],['#아이템 효력 합산]]+ItemEffectTable23[[#This Row],['#특수 효력]]/COUNTIF(ItemEffectTable23['#특수 효력],ItemEffectTable23[[#This Row],['#특수 효력]])</calculatedColumnFormula>
    </tableColumn>
    <tableColumn id="16" xr3:uid="{4843E28C-2C83-4AE2-B58A-08B5DD232E09}" name="#기준 효력" dataDxfId="37">
      <calculatedColumnFormula array="1">INDEX(표9[],0,MATCH(
INDEX(ItemTable[GradeType],MATCH(INDEX(ItemEffectTable[Index],MATCH(ItemEffectTable23[[#This Row],[Index]],ItemEffectTable[ApplyBuffId],0)),ItemTable[ItemEffectDataId],0)),표9[#Headers],0))</calculatedColumnFormula>
    </tableColumn>
    <tableColumn id="17" xr3:uid="{FE600936-A4DE-4595-9DC6-45104DF27497}" name="#차이값" dataDxfId="36" dataCellStyle="백분율">
      <calculatedColumnFormula>ItemEffectTable23[[#This Row],['#종합 효력]]/ItemEffectTable23[[#This Row],['#기준 효력]]</calculatedColumnFormula>
    </tableColumn>
  </tableColumns>
  <tableStyleInfo name="표 스타일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ItemEffectTable2324" displayName="ItemEffectTable2324" ref="B2:N20" totalsRowShown="0" headerRowDxfId="35">
  <autoFilter ref="B2:N20" xr:uid="{00000000-0009-0000-0100-000017000000}"/>
  <tableColumns count="13">
    <tableColumn id="4" xr3:uid="{00000000-0010-0000-1500-000004000000}" name="Index" dataDxfId="34"/>
    <tableColumn id="7" xr3:uid="{00000000-0010-0000-1500-000007000000}" name="#명칭" dataDxfId="33">
      <calculatedColumnFormula>IFERROR(INDEX(ItemEffectTable['#이름],MATCH(ItemEffectTable2324[[#This Row],[Index]],ItemEffectTable[Index],0)),INDEX(ItemEffectTable['#이름],MATCH(ItemEffectTable2324[[#This Row],[Index]],ItemEffectTable[ApplyBuffId],0)))</calculatedColumnFormula>
    </tableColumn>
    <tableColumn id="5" xr3:uid="{00000000-0010-0000-1500-000005000000}" name="EffectType"/>
    <tableColumn id="6" xr3:uid="{00000000-0010-0000-1500-000006000000}" name="Param1"/>
    <tableColumn id="1" xr3:uid="{00000000-0010-0000-1500-000001000000}" name="#Param1설명" dataDxfId="32"/>
    <tableColumn id="13" xr3:uid="{00000000-0010-0000-1500-00000D000000}" name="Param2"/>
    <tableColumn id="2" xr3:uid="{00000000-0010-0000-1500-000002000000}" name="#Param2설명" dataDxfId="31"/>
    <tableColumn id="14" xr3:uid="{00000000-0010-0000-1500-00000E000000}" name="Param3"/>
    <tableColumn id="3" xr3:uid="{00000000-0010-0000-1500-000003000000}" name="#Param3설명" dataDxfId="30"/>
    <tableColumn id="8" xr3:uid="{00000000-0010-0000-1500-000008000000}" name="Param4" dataDxfId="29"/>
    <tableColumn id="9" xr3:uid="{00000000-0010-0000-1500-000009000000}" name="#Param3설명3" dataDxfId="28"/>
    <tableColumn id="10" xr3:uid="{951A949B-EF34-47CE-8BAF-0E6EF248C2E8}" name="#가치판단" dataDxfId="27">
      <calculatedColumnFormula>INDEX(표29[1당 가치],MATCH(ItemEffectTable2324[[#This Row],[EffectType]],표29[특수 이펙트 명칭],0))*IF(ISBLANK(ItemEffectTable2324[[#This Row],[Param1]]),1,ItemEffectTable2324[[#This Row],[Param1]])+ItemEffectTable2324[[#This Row],['#예외처리]]</calculatedColumnFormula>
    </tableColumn>
    <tableColumn id="11" xr3:uid="{16639CEB-9AF4-4ABA-A988-F97B25CCDAF3}" name="#예외처리" dataDxfId="26">
      <calculatedColumnFormula>INDEX(표29[1당 가치],MATCH(ItemEffectTable2324[[#This Row],[EffectType]],표29[특수 이펙트 명칭],0))*IF(ISBLANK(ItemEffectTable2324[[#This Row],[Param1]]),1,ItemEffectTable2324[[#This Row],[Param1]])</calculatedColumnFormula>
    </tableColumn>
  </tableColumns>
  <tableStyleInfo name="표 스타일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ItemResourceTable" displayName="ItemResourceTable" ref="B2:F9" totalsRowShown="0" headerRowDxfId="25">
  <autoFilter ref="B2:F9" xr:uid="{00000000-0009-0000-0100-000010000000}"/>
  <tableColumns count="5">
    <tableColumn id="1" xr3:uid="{00000000-0010-0000-1600-000001000000}" name="Index"/>
    <tableColumn id="2" xr3:uid="{00000000-0010-0000-1600-000002000000}" name="#대상 아이템" dataDxfId="24"/>
    <tableColumn id="3" xr3:uid="{00000000-0010-0000-1600-000003000000}" name="#리소스 유형" dataDxfId="23"/>
    <tableColumn id="4" xr3:uid="{00000000-0010-0000-1600-000004000000}" name="ResourceType"/>
    <tableColumn id="5" xr3:uid="{00000000-0010-0000-1600-000005000000}" name="ResourcePath"/>
  </tableColumns>
  <tableStyleInfo name="표 스타일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7000000}" name="LocaleTable" displayName="LocaleTable" ref="B2:I169" totalsRowShown="0" headerRowDxfId="22" dataDxfId="21">
  <autoFilter ref="B2:I169" xr:uid="{00000000-0009-0000-0100-000003000000}"/>
  <tableColumns count="8">
    <tableColumn id="1" xr3:uid="{00000000-0010-0000-1700-000001000000}" name="StringKey" dataDxfId="20"/>
    <tableColumn id="2" xr3:uid="{00000000-0010-0000-1700-000002000000}" name="LocaleKR" dataDxfId="19"/>
    <tableColumn id="3" xr3:uid="{00000000-0010-0000-1700-000003000000}" name="LocaleUS" dataDxfId="18"/>
    <tableColumn id="6" xr3:uid="{E3862F4E-A202-4C33-8F08-0A8EE362E05D}" name="#컴포넌트1" dataDxfId="17"/>
    <tableColumn id="7" xr3:uid="{A8B25166-9EBA-45B8-A228-83468AA6119B}" name="#컴포넌트2" dataDxfId="16"/>
    <tableColumn id="8" xr3:uid="{32BD4EBA-A1BF-40F2-89E8-6AC453E97F65}" name="#컴포넌트3" dataDxfId="15"/>
    <tableColumn id="9" xr3:uid="{E4B209A1-024F-4787-87AC-CB0822188CFE}" name="#컴포넌트4" dataDxfId="14"/>
    <tableColumn id="5" xr3:uid="{E2A87673-1FFD-49A7-BA63-308B2C186E48}" name="#인덱스제너레이터" dataDxfId="13">
      <calculatedColumnFormula>_xlfn.CONCAT(LocaleTable[[#This Row],['#컴포넌트1]],
IF(ISBLANK(LocaleTable[[#This Row],['#컴포넌트2]]),"","_"),LocaleTable[[#This Row],['#컴포넌트2]],
IF(ISBLANK(LocaleTable[[#This Row],['#컴포넌트3]]),"","_"),LocaleTable[[#This Row],['#컴포넌트3]],
IF(ISBLANK(LocaleTable[[#This Row],['#컴포넌트4]]),"","_"),LocaleTable[[#This Row],['#컴포넌트4]])</calculatedColumnFormula>
    </tableColumn>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0.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E3"/>
  <sheetViews>
    <sheetView zoomScaleNormal="75" zoomScaleSheetLayoutView="100" workbookViewId="0">
      <selection activeCell="U13" sqref="U13"/>
    </sheetView>
  </sheetViews>
  <sheetFormatPr defaultColWidth="8.796875" defaultRowHeight="17.399999999999999"/>
  <sheetData>
    <row r="1" spans="2:5" s="1" customFormat="1">
      <c r="B1" s="86" t="s">
        <v>184</v>
      </c>
      <c r="C1" s="87"/>
      <c r="D1" s="87"/>
      <c r="E1" s="87"/>
    </row>
    <row r="2" spans="2:5" s="1" customFormat="1">
      <c r="B2" s="87"/>
      <c r="C2" s="87"/>
      <c r="D2" s="87"/>
      <c r="E2" s="87"/>
    </row>
    <row r="3" spans="2:5" s="1" customFormat="1">
      <c r="B3" s="87"/>
      <c r="C3" s="87"/>
      <c r="D3" s="87"/>
      <c r="E3" s="87"/>
    </row>
  </sheetData>
  <mergeCells count="1">
    <mergeCell ref="B1:E3"/>
  </mergeCells>
  <phoneticPr fontId="6" type="noConversion"/>
  <pageMargins left="0.69999998807907104" right="0.69999998807907104" top="0.75" bottom="0.75" header="0.30000001192092896" footer="0.30000001192092896"/>
  <pageSetup paperSize="9" orientation="portrait" horizontalDpi="150" verticalDpi="15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Separate_Tab">
                <anchor moveWithCells="1" sizeWithCells="1">
                  <from>
                    <xdr:col>1</xdr:col>
                    <xdr:colOff>0</xdr:colOff>
                    <xdr:row>4</xdr:row>
                    <xdr:rowOff>0</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B1:R42"/>
  <sheetViews>
    <sheetView zoomScaleNormal="75" zoomScaleSheetLayoutView="100" workbookViewId="0">
      <selection activeCell="P15" sqref="P15"/>
    </sheetView>
  </sheetViews>
  <sheetFormatPr defaultColWidth="8.796875" defaultRowHeight="17.399999999999999"/>
  <cols>
    <col min="2" max="2" width="10.19921875" customWidth="1"/>
    <col min="3" max="3" width="12.19921875" customWidth="1"/>
    <col min="4" max="4" width="12.69921875" bestFit="1" customWidth="1"/>
    <col min="5" max="5" width="10.296875" bestFit="1" customWidth="1"/>
    <col min="6" max="6" width="11.19921875" customWidth="1"/>
    <col min="7" max="7" width="15.19921875" customWidth="1"/>
    <col min="8" max="8" width="13.296875" customWidth="1"/>
    <col min="9" max="9" width="11.796875" customWidth="1"/>
    <col min="11" max="12" width="16" customWidth="1"/>
    <col min="13" max="13" width="17.19921875" customWidth="1"/>
    <col min="14" max="14" width="16.69921875" customWidth="1"/>
    <col min="15" max="15" width="16.19921875" customWidth="1"/>
    <col min="16" max="16" width="17" customWidth="1"/>
    <col min="17" max="17" width="14.796875" customWidth="1"/>
    <col min="18" max="18" width="15.69921875" customWidth="1"/>
  </cols>
  <sheetData>
    <row r="1" spans="2:18" s="1" customFormat="1">
      <c r="B1" s="86" t="s">
        <v>117</v>
      </c>
      <c r="C1" s="87"/>
      <c r="D1" s="87"/>
      <c r="E1" s="87"/>
    </row>
    <row r="2" spans="2:18" s="1" customFormat="1">
      <c r="B2" s="87"/>
      <c r="C2" s="87"/>
      <c r="D2" s="87"/>
      <c r="E2" s="87"/>
    </row>
    <row r="3" spans="2:18" s="1" customFormat="1">
      <c r="B3" s="87"/>
      <c r="C3" s="87"/>
      <c r="D3" s="87"/>
      <c r="E3" s="87"/>
    </row>
    <row r="5" spans="2:18">
      <c r="B5" s="2" t="s">
        <v>46</v>
      </c>
      <c r="J5" s="2" t="s">
        <v>287</v>
      </c>
      <c r="K5" s="2"/>
      <c r="O5" s="31" t="s">
        <v>577</v>
      </c>
      <c r="P5" s="5"/>
    </row>
    <row r="6" spans="2:18">
      <c r="B6" t="s">
        <v>23</v>
      </c>
      <c r="C6" t="s">
        <v>25</v>
      </c>
      <c r="D6" t="s">
        <v>49</v>
      </c>
      <c r="E6" t="s">
        <v>42</v>
      </c>
      <c r="F6" t="s">
        <v>43</v>
      </c>
      <c r="G6" t="s">
        <v>47</v>
      </c>
      <c r="H6" t="s">
        <v>44</v>
      </c>
      <c r="J6" s="11" t="s">
        <v>555</v>
      </c>
      <c r="K6" s="11" t="s">
        <v>286</v>
      </c>
      <c r="L6" s="11" t="s">
        <v>283</v>
      </c>
      <c r="M6" s="11" t="s">
        <v>284</v>
      </c>
      <c r="O6" s="16" t="s">
        <v>377</v>
      </c>
      <c r="P6" s="16" t="s">
        <v>286</v>
      </c>
      <c r="Q6" s="16" t="s">
        <v>283</v>
      </c>
      <c r="R6" s="16" t="s">
        <v>284</v>
      </c>
    </row>
    <row r="7" spans="2:18">
      <c r="B7" t="s">
        <v>25</v>
      </c>
      <c r="C7">
        <v>0</v>
      </c>
      <c r="D7">
        <f>1/15</f>
        <v>6.6666666666666666E-2</v>
      </c>
      <c r="E7">
        <v>1</v>
      </c>
      <c r="F7">
        <v>2</v>
      </c>
      <c r="G7">
        <v>2</v>
      </c>
      <c r="H7">
        <v>2</v>
      </c>
      <c r="J7" s="11" t="s">
        <v>288</v>
      </c>
      <c r="K7">
        <v>0</v>
      </c>
      <c r="L7">
        <v>4</v>
      </c>
      <c r="M7">
        <v>7</v>
      </c>
      <c r="O7" s="16" t="s">
        <v>379</v>
      </c>
      <c r="P7">
        <v>20</v>
      </c>
      <c r="Q7">
        <v>80</v>
      </c>
      <c r="R7">
        <v>150</v>
      </c>
    </row>
    <row r="8" spans="2:18">
      <c r="B8" t="s">
        <v>49</v>
      </c>
      <c r="C8">
        <v>10</v>
      </c>
      <c r="D8">
        <v>0</v>
      </c>
      <c r="E8">
        <v>30</v>
      </c>
      <c r="F8">
        <v>50</v>
      </c>
      <c r="G8">
        <v>50</v>
      </c>
      <c r="H8">
        <v>50</v>
      </c>
      <c r="J8" s="11" t="s">
        <v>289</v>
      </c>
      <c r="K8">
        <v>0</v>
      </c>
      <c r="L8">
        <v>6</v>
      </c>
      <c r="M8">
        <v>12</v>
      </c>
      <c r="O8" s="16" t="s">
        <v>380</v>
      </c>
      <c r="P8">
        <v>20</v>
      </c>
      <c r="Q8">
        <v>80</v>
      </c>
      <c r="R8">
        <v>150</v>
      </c>
    </row>
    <row r="9" spans="2:18">
      <c r="J9" t="s">
        <v>290</v>
      </c>
      <c r="K9">
        <f>SUBTOTAL(101,표20[박쥐])</f>
        <v>0</v>
      </c>
      <c r="L9">
        <f>SUBTOTAL(101,표20[일반])</f>
        <v>5</v>
      </c>
      <c r="M9">
        <f>SUBTOTAL(101,표20[정예])</f>
        <v>9.5</v>
      </c>
      <c r="O9" s="16" t="s">
        <v>382</v>
      </c>
      <c r="P9">
        <v>20</v>
      </c>
      <c r="Q9">
        <v>80</v>
      </c>
      <c r="R9">
        <v>150</v>
      </c>
    </row>
    <row r="11" spans="2:18">
      <c r="B11" s="2" t="s">
        <v>570</v>
      </c>
      <c r="C11" s="2"/>
      <c r="D11" s="2"/>
      <c r="J11" s="2" t="s">
        <v>378</v>
      </c>
    </row>
    <row r="12" spans="2:18">
      <c r="B12" s="11" t="s">
        <v>377</v>
      </c>
      <c r="C12" s="11" t="s">
        <v>285</v>
      </c>
      <c r="D12" s="11" t="s">
        <v>286</v>
      </c>
      <c r="E12" s="11" t="s">
        <v>283</v>
      </c>
      <c r="F12" s="11" t="s">
        <v>284</v>
      </c>
      <c r="G12" s="11" t="s">
        <v>384</v>
      </c>
      <c r="H12" s="16"/>
      <c r="J12" s="11" t="s">
        <v>377</v>
      </c>
      <c r="K12" s="11" t="s">
        <v>383</v>
      </c>
      <c r="L12" s="11" t="s">
        <v>553</v>
      </c>
      <c r="M12" s="11" t="s">
        <v>554</v>
      </c>
    </row>
    <row r="13" spans="2:18">
      <c r="B13" s="11" t="s">
        <v>379</v>
      </c>
      <c r="C13">
        <v>1</v>
      </c>
      <c r="D13">
        <v>2</v>
      </c>
      <c r="E13">
        <v>5</v>
      </c>
      <c r="F13">
        <v>0</v>
      </c>
      <c r="G13">
        <f>StageEnemyInfo[[#This Row],[박쥐]]*표20[[#Totals],[박쥐]]+
StageEnemyInfo[[#This Row],[일반]]*표20[[#Totals],[일반]]+
StageEnemyInfo[[#This Row],[정예]]*표20[[#Totals],[정예]]</f>
        <v>25</v>
      </c>
      <c r="J13" s="11" t="s">
        <v>379</v>
      </c>
      <c r="K13">
        <f>INDEX(ProductialTable[MaxRoomValue],MATCH(FloorInfo[[#This Row],[층]],ProductialTable['#이름],0))-3</f>
        <v>4</v>
      </c>
      <c r="L13">
        <f>(SUMIFS(StageEnemyInfo[평균획득골드],StageEnemyInfo[층],FloorInfo[[#This Row],[층]])/_xlfn.MAXIFS(StageEnemyInfo[스테이지],StageEnemyInfo[층],FloorInfo[[#This Row],[층]]))</f>
        <v>25</v>
      </c>
      <c r="M13">
        <f>(SUMIFS(StageEnemyInfo[평균획득골드],StageEnemyInfo[층],FloorInfo[[#This Row],[층]])/_xlfn.MAXIFS(StageEnemyInfo[스테이지],StageEnemyInfo[층],FloorInfo[[#This Row],[층]]))*
(FloorInfo[[#This Row],[개수]])</f>
        <v>100</v>
      </c>
      <c r="O13" s="11" t="s">
        <v>385</v>
      </c>
      <c r="P13" s="11">
        <f>FloorInfo[[#Totals],[층 완료 획득 골드]]/30</f>
        <v>19.716666666666665</v>
      </c>
    </row>
    <row r="14" spans="2:18">
      <c r="B14" s="11" t="s">
        <v>380</v>
      </c>
      <c r="C14">
        <v>1</v>
      </c>
      <c r="D14">
        <v>2</v>
      </c>
      <c r="E14">
        <v>6</v>
      </c>
      <c r="F14">
        <v>0</v>
      </c>
      <c r="G14">
        <f>StageEnemyInfo[[#This Row],[박쥐]]*표20[[#Totals],[박쥐]]+
StageEnemyInfo[[#This Row],[일반]]*표20[[#Totals],[일반]]+
StageEnemyInfo[[#This Row],[정예]]*표20[[#Totals],[정예]]</f>
        <v>30</v>
      </c>
      <c r="J14" s="11" t="s">
        <v>380</v>
      </c>
      <c r="K14">
        <f>INDEX(ProductialTable[MaxRoomValue],MATCH(FloorInfo[[#This Row],[층]],ProductialTable['#이름],0))-3</f>
        <v>6</v>
      </c>
      <c r="L14">
        <f>(SUMIFS(StageEnemyInfo[평균획득골드],StageEnemyInfo[층],FloorInfo[[#This Row],[층]])/_xlfn.MAXIFS(StageEnemyInfo[스테이지],StageEnemyInfo[층],FloorInfo[[#This Row],[층]]))</f>
        <v>30</v>
      </c>
      <c r="M14">
        <f>(SUMIFS(StageEnemyInfo[평균획득골드],StageEnemyInfo[층],FloorInfo[[#This Row],[층]])/_xlfn.MAXIFS(StageEnemyInfo[스테이지],StageEnemyInfo[층],FloorInfo[[#This Row],[층]]))*
(FloorInfo[[#This Row],[개수]])</f>
        <v>180</v>
      </c>
      <c r="O14" s="11" t="s">
        <v>386</v>
      </c>
      <c r="P14" s="11">
        <f>FloorInfo[[#Totals],[층 완료 획득 골드]]/50</f>
        <v>11.83</v>
      </c>
    </row>
    <row r="15" spans="2:18">
      <c r="B15" s="11" t="s">
        <v>381</v>
      </c>
      <c r="C15">
        <v>1</v>
      </c>
      <c r="D15">
        <v>2</v>
      </c>
      <c r="E15">
        <v>7</v>
      </c>
      <c r="F15">
        <v>1</v>
      </c>
      <c r="G15">
        <f>StageEnemyInfo[[#This Row],[박쥐]]*표20[[#Totals],[박쥐]]+
StageEnemyInfo[[#This Row],[일반]]*표20[[#Totals],[일반]]+
StageEnemyInfo[[#This Row],[정예]]*표20[[#Totals],[정예]]</f>
        <v>44.5</v>
      </c>
      <c r="J15" s="11" t="s">
        <v>382</v>
      </c>
      <c r="K15">
        <f>INDEX(ProductialTable[MaxRoomValue],MATCH(FloorInfo[[#This Row],[층]],ProductialTable['#이름],0))-3</f>
        <v>7</v>
      </c>
      <c r="L15">
        <f>(SUMIFS(StageEnemyInfo[평균획득골드],StageEnemyInfo[층],FloorInfo[[#This Row],[층]])/_xlfn.MAXIFS(StageEnemyInfo[스테이지],StageEnemyInfo[층],FloorInfo[[#This Row],[층]]))</f>
        <v>44.5</v>
      </c>
      <c r="M15">
        <f>(SUMIFS(StageEnemyInfo[평균획득골드],StageEnemyInfo[층],FloorInfo[[#This Row],[층]])/_xlfn.MAXIFS(StageEnemyInfo[스테이지],StageEnemyInfo[층],FloorInfo[[#This Row],[층]]))*
(FloorInfo[[#This Row],[개수]])</f>
        <v>311.5</v>
      </c>
    </row>
    <row r="16" spans="2:18">
      <c r="B16" s="11"/>
      <c r="J16" s="11" t="s">
        <v>290</v>
      </c>
      <c r="M16">
        <f>SUBTOTAL(109,FloorInfo[층 완료 획득 골드])</f>
        <v>591.5</v>
      </c>
    </row>
    <row r="17" spans="2:17">
      <c r="B17" s="11"/>
    </row>
    <row r="18" spans="2:17">
      <c r="B18" s="11"/>
      <c r="J18" s="31" t="s">
        <v>568</v>
      </c>
      <c r="K18" s="5"/>
    </row>
    <row r="19" spans="2:17">
      <c r="B19" s="11"/>
      <c r="J19" s="16" t="s">
        <v>377</v>
      </c>
      <c r="K19" s="16" t="s">
        <v>573</v>
      </c>
      <c r="L19" s="16" t="s">
        <v>572</v>
      </c>
      <c r="M19" s="16" t="s">
        <v>574</v>
      </c>
      <c r="N19" s="16" t="s">
        <v>571</v>
      </c>
      <c r="O19" s="16" t="s">
        <v>575</v>
      </c>
      <c r="P19" s="16" t="s">
        <v>576</v>
      </c>
      <c r="Q19" s="16" t="s">
        <v>569</v>
      </c>
    </row>
    <row r="20" spans="2:17">
      <c r="B20" s="11"/>
      <c r="J20" s="16" t="s">
        <v>379</v>
      </c>
      <c r="K20">
        <f>(SUMIFS(StageEnemyInfo[박쥐],StageEnemyInfo[층],FloorEnemyHPInfo[[#This Row],[층]]) /
_xlfn.MAXIFS(StageEnemyInfo[스테이지],StageEnemyInfo[층],FloorEnemyHPInfo[[#This Row],[층]])) *
INDEX(FloorInfo[개수],MATCH(FloorEnemyHPInfo[[#This Row],[층]],FloorInfo[층]))</f>
        <v>8</v>
      </c>
      <c r="L20">
        <f>FloorEnemyHPInfo[[#This Row],[박쥐 평균 개수]]*INDEX(EnemyHPInfo[박쥐],MATCH(FloorEnemyHPInfo[[#This Row],[층]],EnemyHPInfo[층]))</f>
        <v>160</v>
      </c>
      <c r="M20">
        <f>(SUMIFS(StageEnemyInfo[일반],StageEnemyInfo[층],FloorEnemyHPInfo[[#This Row],[층]]) /
_xlfn.MAXIFS(StageEnemyInfo[스테이지],StageEnemyInfo[층],FloorEnemyHPInfo[[#This Row],[층]])) *
INDEX(FloorInfo[개수],MATCH(FloorEnemyHPInfo[[#This Row],[층]],FloorInfo[층]))</f>
        <v>20</v>
      </c>
      <c r="N20">
        <f>FloorEnemyHPInfo[[#This Row],[일반 평균 개수]]*INDEX(EnemyHPInfo[일반],MATCH(FloorEnemyHPInfo[[#This Row],[층]],EnemyHPInfo[층]))</f>
        <v>1600</v>
      </c>
      <c r="O20">
        <f>(SUMIFS(StageEnemyInfo[정예],StageEnemyInfo[층],FloorEnemyHPInfo[[#This Row],[층]]) /
_xlfn.MAXIFS(StageEnemyInfo[스테이지],StageEnemyInfo[층],FloorEnemyHPInfo[[#This Row],[층]])) *
INDEX(FloorInfo[개수],MATCH(FloorEnemyHPInfo[[#This Row],[층]],FloorInfo[층]))</f>
        <v>0</v>
      </c>
      <c r="P20">
        <f>FloorEnemyHPInfo[[#This Row],[정예 평균 개수]]*INDEX(EnemyHPInfo[박쥐],MATCH(FloorEnemyHPInfo[[#This Row],[층]],EnemyHPInfo[층]))</f>
        <v>0</v>
      </c>
      <c r="Q20">
        <f>FloorEnemyHPInfo[[#This Row],[박쥐 총 HP]]+FloorEnemyHPInfo[[#This Row],[일반 총 HP]]+FloorEnemyHPInfo[[#This Row],[정예 총 HP]]</f>
        <v>1760</v>
      </c>
    </row>
    <row r="21" spans="2:17">
      <c r="B21" s="11"/>
      <c r="J21" s="16" t="s">
        <v>380</v>
      </c>
      <c r="K21">
        <f>(SUMIFS(StageEnemyInfo[박쥐],StageEnemyInfo[층],FloorEnemyHPInfo[[#This Row],[층]]) /
_xlfn.MAXIFS(StageEnemyInfo[스테이지],StageEnemyInfo[층],FloorEnemyHPInfo[[#This Row],[층]])) *
INDEX(FloorInfo[개수],MATCH(FloorEnemyHPInfo[[#This Row],[층]],FloorInfo[층]))</f>
        <v>12</v>
      </c>
      <c r="L21" s="11">
        <f>FloorEnemyHPInfo[[#This Row],[박쥐 평균 개수]]*INDEX(EnemyHPInfo[박쥐],MATCH(FloorEnemyHPInfo[[#This Row],[층]],EnemyHPInfo[층]))</f>
        <v>240</v>
      </c>
      <c r="M21">
        <f>(SUMIFS(StageEnemyInfo[일반],StageEnemyInfo[층],FloorEnemyHPInfo[[#This Row],[층]]) /
_xlfn.MAXIFS(StageEnemyInfo[스테이지],StageEnemyInfo[층],FloorEnemyHPInfo[[#This Row],[층]])) *
INDEX(FloorInfo[개수],MATCH(FloorEnemyHPInfo[[#This Row],[층]],FloorInfo[층]))</f>
        <v>36</v>
      </c>
      <c r="N21" s="11">
        <f>FloorEnemyHPInfo[[#This Row],[일반 평균 개수]]*INDEX(EnemyHPInfo[일반],MATCH(FloorEnemyHPInfo[[#This Row],[층]],EnemyHPInfo[층]))</f>
        <v>2880</v>
      </c>
      <c r="O21">
        <f>(SUMIFS(StageEnemyInfo[정예],StageEnemyInfo[층],FloorEnemyHPInfo[[#This Row],[층]]) /
_xlfn.MAXIFS(StageEnemyInfo[스테이지],StageEnemyInfo[층],FloorEnemyHPInfo[[#This Row],[층]])) *
INDEX(FloorInfo[개수],MATCH(FloorEnemyHPInfo[[#This Row],[층]],FloorInfo[층]))</f>
        <v>0</v>
      </c>
      <c r="P21" s="11">
        <f>FloorEnemyHPInfo[[#This Row],[정예 평균 개수]]*INDEX(EnemyHPInfo[박쥐],MATCH(FloorEnemyHPInfo[[#This Row],[층]],EnemyHPInfo[층]))</f>
        <v>0</v>
      </c>
      <c r="Q21">
        <f>FloorEnemyHPInfo[[#This Row],[박쥐 총 HP]]+FloorEnemyHPInfo[[#This Row],[일반 총 HP]]+FloorEnemyHPInfo[[#This Row],[정예 총 HP]]</f>
        <v>3120</v>
      </c>
    </row>
    <row r="22" spans="2:17">
      <c r="B22" s="11"/>
      <c r="J22" s="16" t="s">
        <v>382</v>
      </c>
      <c r="K22">
        <f>(SUMIFS(StageEnemyInfo[박쥐],StageEnemyInfo[층],FloorEnemyHPInfo[[#This Row],[층]]) /
_xlfn.MAXIFS(StageEnemyInfo[스테이지],StageEnemyInfo[층],FloorEnemyHPInfo[[#This Row],[층]])) *
INDEX(FloorInfo[개수],MATCH(FloorEnemyHPInfo[[#This Row],[층]],FloorInfo[층]))</f>
        <v>14</v>
      </c>
      <c r="L22">
        <f>FloorEnemyHPInfo[[#This Row],[박쥐 평균 개수]]*INDEX(EnemyHPInfo[박쥐],MATCH(FloorEnemyHPInfo[[#This Row],[층]],EnemyHPInfo[층]))</f>
        <v>280</v>
      </c>
      <c r="M22">
        <f>(SUMIFS(StageEnemyInfo[일반],StageEnemyInfo[층],FloorEnemyHPInfo[[#This Row],[층]]) /
_xlfn.MAXIFS(StageEnemyInfo[스테이지],StageEnemyInfo[층],FloorEnemyHPInfo[[#This Row],[층]])) *
INDEX(FloorInfo[개수],MATCH(FloorEnemyHPInfo[[#This Row],[층]],FloorInfo[층]))</f>
        <v>49</v>
      </c>
      <c r="N22">
        <f>FloorEnemyHPInfo[[#This Row],[일반 평균 개수]]*INDEX(EnemyHPInfo[일반],MATCH(FloorEnemyHPInfo[[#This Row],[층]],EnemyHPInfo[층]))</f>
        <v>3920</v>
      </c>
      <c r="O22">
        <f>(SUMIFS(StageEnemyInfo[정예],StageEnemyInfo[층],FloorEnemyHPInfo[[#This Row],[층]]) /
_xlfn.MAXIFS(StageEnemyInfo[스테이지],StageEnemyInfo[층],FloorEnemyHPInfo[[#This Row],[층]])) *
INDEX(FloorInfo[개수],MATCH(FloorEnemyHPInfo[[#This Row],[층]],FloorInfo[층]))</f>
        <v>7</v>
      </c>
      <c r="P22">
        <f>FloorEnemyHPInfo[[#This Row],[정예 평균 개수]]*INDEX(EnemyHPInfo[박쥐],MATCH(FloorEnemyHPInfo[[#This Row],[층]],EnemyHPInfo[층]))</f>
        <v>140</v>
      </c>
      <c r="Q22">
        <f>FloorEnemyHPInfo[[#This Row],[박쥐 총 HP]]+FloorEnemyHPInfo[[#This Row],[일반 총 HP]]+FloorEnemyHPInfo[[#This Row],[정예 총 HP]]</f>
        <v>4340</v>
      </c>
    </row>
    <row r="23" spans="2:17">
      <c r="B23" s="11"/>
    </row>
    <row r="24" spans="2:17">
      <c r="B24" s="11"/>
    </row>
    <row r="25" spans="2:17">
      <c r="B25" s="11"/>
    </row>
    <row r="26" spans="2:17">
      <c r="B26" s="11"/>
    </row>
    <row r="27" spans="2:17">
      <c r="B27" s="11"/>
    </row>
    <row r="28" spans="2:17">
      <c r="B28" s="11"/>
    </row>
    <row r="29" spans="2:17">
      <c r="B29" s="11"/>
    </row>
    <row r="30" spans="2:17">
      <c r="B30" s="11"/>
    </row>
    <row r="31" spans="2:17">
      <c r="B31" s="11"/>
    </row>
    <row r="32" spans="2:17">
      <c r="B32" s="11"/>
    </row>
    <row r="33" spans="2:2">
      <c r="B33" s="11"/>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sheetData>
  <mergeCells count="1">
    <mergeCell ref="B1:E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Q66"/>
  <sheetViews>
    <sheetView topLeftCell="A9" zoomScale="113" zoomScaleNormal="85" zoomScaleSheetLayoutView="100" workbookViewId="0">
      <selection activeCell="B25" sqref="B25"/>
    </sheetView>
  </sheetViews>
  <sheetFormatPr defaultColWidth="14.69921875" defaultRowHeight="17.399999999999999"/>
  <cols>
    <col min="1" max="1" width="2.5" customWidth="1"/>
    <col min="2" max="2" width="19.796875" customWidth="1"/>
    <col min="3" max="3" width="20.5" customWidth="1"/>
    <col min="4" max="4" width="41.19921875" customWidth="1"/>
    <col min="5" max="5" width="17" customWidth="1"/>
    <col min="6" max="6" width="13.19921875" customWidth="1"/>
    <col min="7" max="7" width="3.5" customWidth="1"/>
    <col min="8" max="12" width="16.5" customWidth="1"/>
    <col min="13" max="13" width="2.5" customWidth="1"/>
    <col min="14" max="14" width="15.69921875" customWidth="1"/>
    <col min="15" max="15" width="18.5" customWidth="1"/>
  </cols>
  <sheetData>
    <row r="1" spans="1:17" s="1" customFormat="1">
      <c r="B1" s="86" t="s">
        <v>164</v>
      </c>
      <c r="C1" s="87"/>
      <c r="D1" s="87"/>
      <c r="E1" s="87"/>
      <c r="F1" s="87"/>
      <c r="G1" s="87"/>
    </row>
    <row r="2" spans="1:17" s="1" customFormat="1">
      <c r="B2" s="87"/>
      <c r="C2" s="87"/>
      <c r="D2" s="87"/>
      <c r="E2" s="87"/>
      <c r="F2" s="87"/>
      <c r="G2" s="87"/>
    </row>
    <row r="3" spans="1:17" s="1" customFormat="1">
      <c r="B3" s="87"/>
      <c r="C3" s="87"/>
      <c r="D3" s="87"/>
      <c r="E3" s="87"/>
      <c r="F3" s="87"/>
      <c r="G3" s="87"/>
    </row>
    <row r="5" spans="1:17">
      <c r="B5" s="2" t="s">
        <v>632</v>
      </c>
      <c r="C5" s="8" t="s">
        <v>633</v>
      </c>
      <c r="H5" s="2" t="s">
        <v>578</v>
      </c>
      <c r="N5" s="2" t="s">
        <v>56</v>
      </c>
    </row>
    <row r="6" spans="1:17">
      <c r="B6" s="11" t="s">
        <v>641</v>
      </c>
      <c r="C6" s="11" t="s">
        <v>642</v>
      </c>
      <c r="D6" s="11" t="s">
        <v>714</v>
      </c>
      <c r="H6" t="s">
        <v>21</v>
      </c>
      <c r="I6" t="s">
        <v>199</v>
      </c>
      <c r="J6" t="s">
        <v>166</v>
      </c>
      <c r="N6" t="s">
        <v>52</v>
      </c>
      <c r="O6" s="11" t="s">
        <v>291</v>
      </c>
    </row>
    <row r="7" spans="1:17">
      <c r="A7" s="10"/>
      <c r="B7" s="16">
        <f>30/0.12</f>
        <v>250</v>
      </c>
      <c r="C7">
        <f>30/25</f>
        <v>1.2</v>
      </c>
      <c r="D7">
        <v>3</v>
      </c>
      <c r="H7" s="16" t="s">
        <v>379</v>
      </c>
      <c r="I7" cm="1">
        <f t="array" ref="I7">표27[최종 DPS]</f>
        <v>64.636363636363626</v>
      </c>
      <c r="J7">
        <f>INDEX(FloorEnemyHPInfo[총합], MATCH(밸런스시트[[#This Row],[층]],FloorEnemyHPInfo[층]))/밸런스시트[[#This Row],[PC 최대 DPS]]</f>
        <v>27.229254571026726</v>
      </c>
      <c r="N7">
        <f>1/15</f>
        <v>6.6666666666666666E-2</v>
      </c>
      <c r="O7" t="e">
        <f>StageEnemyInfo[[#Totals],[정예]]</f>
        <v>#REF!</v>
      </c>
    </row>
    <row r="8" spans="1:17">
      <c r="A8" s="9"/>
      <c r="B8" s="16"/>
      <c r="H8" s="16" t="s">
        <v>380</v>
      </c>
      <c r="I8" cm="1">
        <f t="array" ref="I8">표27[최종 DPS]</f>
        <v>64.636363636363626</v>
      </c>
      <c r="J8">
        <f>INDEX(FloorEnemyHPInfo[총합], MATCH(밸런스시트[[#This Row],[층]],FloorEnemyHPInfo[층]))/밸런스시트[[#This Row],[PC 최대 DPS]]</f>
        <v>48.270042194092838</v>
      </c>
    </row>
    <row r="9" spans="1:17">
      <c r="A9" s="9"/>
      <c r="B9" s="16"/>
      <c r="H9" s="16" t="s">
        <v>382</v>
      </c>
      <c r="I9" cm="1">
        <f t="array" ref="I9">표27[최종 DPS]</f>
        <v>64.636363636363626</v>
      </c>
      <c r="J9">
        <f>INDEX(FloorEnemyHPInfo[총합], MATCH(밸런스시트[[#This Row],[층]],FloorEnemyHPInfo[층]))/밸런스시트[[#This Row],[PC 최대 DPS]]</f>
        <v>67.144866385372723</v>
      </c>
      <c r="N9" s="2" t="s">
        <v>151</v>
      </c>
      <c r="O9" s="2"/>
    </row>
    <row r="10" spans="1:17">
      <c r="A10" s="9"/>
      <c r="B10" s="2" t="s">
        <v>53</v>
      </c>
      <c r="N10" t="s">
        <v>42</v>
      </c>
      <c r="O10" t="s">
        <v>43</v>
      </c>
      <c r="P10" t="s">
        <v>47</v>
      </c>
      <c r="Q10" s="11" t="s">
        <v>643</v>
      </c>
    </row>
    <row r="11" spans="1:17">
      <c r="A11" s="9"/>
      <c r="B11" t="s">
        <v>28</v>
      </c>
      <c r="C11" t="s">
        <v>81</v>
      </c>
      <c r="D11" t="s">
        <v>32</v>
      </c>
      <c r="E11" t="s">
        <v>201</v>
      </c>
      <c r="F11" s="11" t="s">
        <v>630</v>
      </c>
      <c r="H11" s="59" t="s">
        <v>552</v>
      </c>
      <c r="N11">
        <v>30</v>
      </c>
      <c r="O11">
        <v>50</v>
      </c>
      <c r="P11">
        <v>50</v>
      </c>
      <c r="Q11">
        <v>50</v>
      </c>
    </row>
    <row r="12" spans="1:17">
      <c r="A12" s="9"/>
      <c r="B12" s="9" t="s">
        <v>108</v>
      </c>
      <c r="C12" s="10" t="s">
        <v>16</v>
      </c>
      <c r="D12" t="s">
        <v>74</v>
      </c>
      <c r="E12" s="19">
        <v>0</v>
      </c>
      <c r="F12" s="64">
        <v>0</v>
      </c>
      <c r="H12" s="11" t="s">
        <v>624</v>
      </c>
      <c r="I12" s="11" t="s">
        <v>625</v>
      </c>
      <c r="J12" s="11" t="s">
        <v>626</v>
      </c>
      <c r="K12" t="s">
        <v>618</v>
      </c>
      <c r="L12" t="s">
        <v>619</v>
      </c>
    </row>
    <row r="13" spans="1:17">
      <c r="A13" s="9"/>
      <c r="B13" s="9" t="s">
        <v>0</v>
      </c>
      <c r="C13" s="9" t="s">
        <v>143</v>
      </c>
      <c r="D13" t="s">
        <v>83</v>
      </c>
      <c r="E13" s="19">
        <f>50/1</f>
        <v>50</v>
      </c>
      <c r="F13" s="64">
        <v>0</v>
      </c>
      <c r="H13" s="45" cm="1">
        <f t="array" ref="H13">CharacterAtkTable[ChargeRigidDmg1]/CharacterAtkTable[SwingCooldown]</f>
        <v>50</v>
      </c>
      <c r="I13" s="45" cm="1">
        <f t="array" ref="I13">CharacterAtkTable[ChargeRigidDmg2]/(CharacterAtkTable[SwingCooldown]+CharacterAtkTable[ChargeTime])</f>
        <v>27.27272727272727</v>
      </c>
      <c r="J13" s="19" cm="1">
        <f t="array" ref="J13">CharacterAtkTable[ChargeShootSpd]*표26[튕김 기댓값]*표26[튕김 속도 데미지 감쇄]</f>
        <v>12</v>
      </c>
      <c r="K13" s="19" cm="1">
        <f t="array" ref="K13">CharacterAtkTable[EnemyProjectileDmg]*표26[적에게 튕김 기댓값]</f>
        <v>40</v>
      </c>
      <c r="L13" s="19">
        <f>표25[[#This Row],[직접 차징 DPS]]+표25[[#This Row],[차징 튕김 데미지 추가]]+표25[[#This Row],[차징 공격 적 맞춤 데미지 추가]]</f>
        <v>79.272727272727266</v>
      </c>
      <c r="N13" s="2" t="s">
        <v>54</v>
      </c>
    </row>
    <row r="14" spans="1:17">
      <c r="A14" s="9"/>
      <c r="B14" s="9" t="s">
        <v>29</v>
      </c>
      <c r="C14" s="9" t="s">
        <v>143</v>
      </c>
      <c r="D14" t="s">
        <v>85</v>
      </c>
      <c r="E14" s="19">
        <v>0</v>
      </c>
      <c r="F14" s="64">
        <v>0</v>
      </c>
      <c r="N14" t="s">
        <v>55</v>
      </c>
      <c r="O14" t="s">
        <v>163</v>
      </c>
    </row>
    <row r="15" spans="1:17">
      <c r="A15" s="9"/>
      <c r="B15" s="60" t="s">
        <v>111</v>
      </c>
      <c r="C15" s="60" t="s">
        <v>143</v>
      </c>
      <c r="D15" s="20" t="s">
        <v>197</v>
      </c>
      <c r="E15" s="22">
        <f>50/3</f>
        <v>16.666666666666668</v>
      </c>
      <c r="F15" s="64">
        <v>0</v>
      </c>
      <c r="H15" s="11" t="s">
        <v>748</v>
      </c>
      <c r="I15" t="s">
        <v>620</v>
      </c>
      <c r="J15" t="s">
        <v>621</v>
      </c>
      <c r="N15">
        <v>100</v>
      </c>
      <c r="O15">
        <v>0.2</v>
      </c>
    </row>
    <row r="16" spans="1:17">
      <c r="A16" s="9"/>
      <c r="B16" s="9" t="s">
        <v>156</v>
      </c>
      <c r="C16" s="9" t="s">
        <v>143</v>
      </c>
      <c r="D16" t="s">
        <v>80</v>
      </c>
      <c r="E16" s="14">
        <f>50/0.5</f>
        <v>100</v>
      </c>
      <c r="F16" s="64">
        <v>0</v>
      </c>
      <c r="H16">
        <v>1</v>
      </c>
      <c r="I16">
        <v>1</v>
      </c>
      <c r="J16">
        <v>0.8</v>
      </c>
    </row>
    <row r="17" spans="1:15">
      <c r="A17" s="9"/>
      <c r="B17" s="61" t="s">
        <v>339</v>
      </c>
      <c r="C17" s="9" t="s">
        <v>143</v>
      </c>
      <c r="D17" s="11" t="s">
        <v>607</v>
      </c>
      <c r="E17" s="14">
        <f>50/0.8</f>
        <v>62.5</v>
      </c>
      <c r="F17" s="64">
        <v>0</v>
      </c>
    </row>
    <row r="18" spans="1:15">
      <c r="A18" s="9"/>
      <c r="B18" s="61" t="s">
        <v>609</v>
      </c>
      <c r="C18" s="9" t="s">
        <v>143</v>
      </c>
      <c r="D18" s="11" t="s">
        <v>610</v>
      </c>
      <c r="E18" s="19">
        <v>100</v>
      </c>
      <c r="F18" s="64">
        <v>0</v>
      </c>
      <c r="H18" t="s">
        <v>622</v>
      </c>
      <c r="I18" t="s">
        <v>623</v>
      </c>
      <c r="J18" s="11" t="s">
        <v>631</v>
      </c>
    </row>
    <row r="19" spans="1:15">
      <c r="A19" s="9"/>
      <c r="B19" t="s">
        <v>135</v>
      </c>
      <c r="C19" s="9" t="s">
        <v>133</v>
      </c>
      <c r="D19" s="11" t="s">
        <v>611</v>
      </c>
      <c r="E19" s="19">
        <v>100</v>
      </c>
      <c r="F19" s="64">
        <v>0</v>
      </c>
      <c r="H19" s="19">
        <v>0.5</v>
      </c>
      <c r="I19" s="19" cm="1">
        <f t="array" ref="I19">(표25[직접 공격 DPS]*표27[[#This Row],[차징 공격 사용 비율]])+(표25[차징공격 DPS]*(1-표27[[#This Row],[차징 공격 사용 비율]]))</f>
        <v>64.636363636363626</v>
      </c>
      <c r="J19" s="19">
        <v>100</v>
      </c>
    </row>
    <row r="20" spans="1:15">
      <c r="A20" s="9"/>
      <c r="B20" s="9" t="s">
        <v>103</v>
      </c>
      <c r="C20" s="9" t="s">
        <v>133</v>
      </c>
      <c r="D20" t="s">
        <v>84</v>
      </c>
      <c r="E20" s="19">
        <f>20/0.2</f>
        <v>100</v>
      </c>
      <c r="F20" s="64">
        <v>0</v>
      </c>
    </row>
    <row r="21" spans="1:15">
      <c r="A21" s="9"/>
      <c r="B21" s="9" t="s">
        <v>189</v>
      </c>
      <c r="C21" s="9" t="s">
        <v>9</v>
      </c>
      <c r="D21" t="s">
        <v>75</v>
      </c>
      <c r="E21" s="19" cm="1">
        <f t="array" ref="E21">밸런스시트31[DPS 상승량]</f>
        <v>250</v>
      </c>
      <c r="F21" s="64">
        <v>0</v>
      </c>
    </row>
    <row r="22" spans="1:15">
      <c r="A22" s="9"/>
      <c r="B22" s="9" t="s">
        <v>188</v>
      </c>
      <c r="C22" s="9" t="s">
        <v>9</v>
      </c>
      <c r="D22" s="11" t="s">
        <v>629</v>
      </c>
      <c r="E22" s="19">
        <f>30/0.3</f>
        <v>100</v>
      </c>
      <c r="F22" s="64">
        <v>0</v>
      </c>
    </row>
    <row r="23" spans="1:15">
      <c r="A23" s="9"/>
      <c r="B23" s="9" t="s">
        <v>8</v>
      </c>
      <c r="C23" s="9" t="s">
        <v>9</v>
      </c>
      <c r="D23" s="11" t="s">
        <v>628</v>
      </c>
      <c r="E23" s="19">
        <f>50/360</f>
        <v>0.1388888888888889</v>
      </c>
      <c r="F23" s="64">
        <v>0</v>
      </c>
    </row>
    <row r="24" spans="1:15">
      <c r="A24" s="9"/>
      <c r="B24" s="9" t="s">
        <v>129</v>
      </c>
      <c r="C24" s="9" t="s">
        <v>9</v>
      </c>
      <c r="D24" s="11" t="s">
        <v>627</v>
      </c>
      <c r="E24" s="19" cm="1">
        <f t="array" ref="E24">30/(CharacterAtkTable[SwingCooldown]*-0.08)</f>
        <v>-750</v>
      </c>
      <c r="F24" s="64">
        <v>0</v>
      </c>
    </row>
    <row r="25" spans="1:15">
      <c r="A25" s="9"/>
      <c r="B25" s="74" t="s">
        <v>854</v>
      </c>
      <c r="C25" s="9" t="s">
        <v>9</v>
      </c>
      <c r="D25" s="16" t="s">
        <v>858</v>
      </c>
      <c r="E25" s="19">
        <v>50</v>
      </c>
      <c r="F25" s="64">
        <v>0</v>
      </c>
    </row>
    <row r="26" spans="1:15">
      <c r="A26" s="9"/>
      <c r="B26" s="74" t="s">
        <v>855</v>
      </c>
      <c r="C26" s="9" t="s">
        <v>9</v>
      </c>
      <c r="D26" s="16" t="s">
        <v>857</v>
      </c>
      <c r="E26" s="19">
        <v>30</v>
      </c>
      <c r="F26" s="64">
        <v>0</v>
      </c>
    </row>
    <row r="27" spans="1:15">
      <c r="A27" s="9"/>
      <c r="B27" s="74" t="s">
        <v>851</v>
      </c>
      <c r="C27" s="9" t="s">
        <v>9</v>
      </c>
      <c r="D27" s="16" t="s">
        <v>856</v>
      </c>
      <c r="E27" s="62">
        <v>30</v>
      </c>
      <c r="F27" s="64">
        <v>0</v>
      </c>
      <c r="O27" s="11">
        <f>0.5*0.8</f>
        <v>0.4</v>
      </c>
    </row>
    <row r="28" spans="1:15">
      <c r="A28" s="9"/>
      <c r="B28" s="9" t="s">
        <v>206</v>
      </c>
      <c r="C28" s="9" t="s">
        <v>9</v>
      </c>
      <c r="D28" s="11" t="s">
        <v>612</v>
      </c>
      <c r="E28" s="63" cm="1">
        <f t="array" ref="E28">30/(CharacterAtkTable[ChargeTime]*-0.15)</f>
        <v>-333.33333333333337</v>
      </c>
      <c r="F28" s="64">
        <v>0</v>
      </c>
    </row>
    <row r="29" spans="1:15">
      <c r="A29" s="9"/>
      <c r="B29" s="61" t="s">
        <v>360</v>
      </c>
      <c r="C29" s="9" t="s">
        <v>9</v>
      </c>
      <c r="D29" s="11" t="s">
        <v>613</v>
      </c>
      <c r="E29" s="63">
        <f>30/-0.08</f>
        <v>-375</v>
      </c>
      <c r="F29" s="64">
        <v>0</v>
      </c>
    </row>
    <row r="30" spans="1:15">
      <c r="A30" s="9"/>
      <c r="B30" s="9" t="s">
        <v>122</v>
      </c>
      <c r="C30" s="9" t="s">
        <v>9</v>
      </c>
      <c r="D30" t="s">
        <v>138</v>
      </c>
      <c r="E30" s="19">
        <f>50/100</f>
        <v>0.5</v>
      </c>
      <c r="F30" s="64">
        <v>0</v>
      </c>
    </row>
    <row r="31" spans="1:15">
      <c r="A31" s="9"/>
      <c r="B31" s="9" t="s">
        <v>144</v>
      </c>
      <c r="C31" s="9" t="s">
        <v>9</v>
      </c>
      <c r="D31" t="s">
        <v>140</v>
      </c>
      <c r="E31" s="19">
        <f>50/100</f>
        <v>0.5</v>
      </c>
      <c r="F31" s="64">
        <v>0</v>
      </c>
    </row>
    <row r="32" spans="1:15">
      <c r="A32" s="9"/>
      <c r="B32" s="52" t="s">
        <v>391</v>
      </c>
      <c r="C32" s="9" t="s">
        <v>9</v>
      </c>
      <c r="D32" t="s">
        <v>150</v>
      </c>
      <c r="E32" s="19">
        <f>30/1/2</f>
        <v>15</v>
      </c>
      <c r="F32" s="64">
        <v>0</v>
      </c>
    </row>
    <row r="33" spans="1:6">
      <c r="A33" s="9"/>
      <c r="B33" s="9" t="s">
        <v>132</v>
      </c>
      <c r="C33" s="9" t="s">
        <v>9</v>
      </c>
      <c r="D33" t="s">
        <v>195</v>
      </c>
      <c r="E33" s="19">
        <f>50/25</f>
        <v>2</v>
      </c>
      <c r="F33" s="64">
        <v>0</v>
      </c>
    </row>
    <row r="34" spans="1:6">
      <c r="A34" s="9"/>
      <c r="B34" s="9" t="s">
        <v>137</v>
      </c>
      <c r="C34" s="9" t="s">
        <v>9</v>
      </c>
      <c r="D34" t="s">
        <v>196</v>
      </c>
      <c r="E34" s="19">
        <f>50/25</f>
        <v>2</v>
      </c>
      <c r="F34" s="64">
        <v>0</v>
      </c>
    </row>
    <row r="35" spans="1:6">
      <c r="A35" s="9"/>
      <c r="B35" s="9" t="s">
        <v>149</v>
      </c>
      <c r="C35" s="9" t="s">
        <v>9</v>
      </c>
      <c r="D35" t="s">
        <v>211</v>
      </c>
      <c r="E35" s="19">
        <v>2</v>
      </c>
      <c r="F35" s="64">
        <v>0</v>
      </c>
    </row>
    <row r="36" spans="1:6">
      <c r="A36" s="9"/>
      <c r="B36" s="9" t="s">
        <v>153</v>
      </c>
      <c r="C36" s="9" t="s">
        <v>9</v>
      </c>
      <c r="D36" t="s">
        <v>212</v>
      </c>
      <c r="E36" s="19">
        <v>2</v>
      </c>
      <c r="F36" s="64">
        <v>0</v>
      </c>
    </row>
    <row r="37" spans="1:6">
      <c r="B37" s="9" t="s">
        <v>109</v>
      </c>
      <c r="C37" s="9" t="s">
        <v>31</v>
      </c>
      <c r="D37" s="9" t="s">
        <v>11</v>
      </c>
      <c r="E37" s="19">
        <v>-50</v>
      </c>
      <c r="F37" s="64">
        <v>0</v>
      </c>
    </row>
    <row r="38" spans="1:6">
      <c r="B38" s="9" t="s">
        <v>82</v>
      </c>
      <c r="C38" s="9" t="s">
        <v>31</v>
      </c>
      <c r="D38" s="9" t="s">
        <v>10</v>
      </c>
      <c r="E38" s="19">
        <v>-30</v>
      </c>
      <c r="F38" s="64">
        <v>0</v>
      </c>
    </row>
    <row r="39" spans="1:6">
      <c r="B39" s="9"/>
      <c r="C39" s="9"/>
      <c r="D39" s="9"/>
      <c r="E39" s="19"/>
      <c r="F39" s="64"/>
    </row>
    <row r="40" spans="1:6">
      <c r="B40" s="9"/>
      <c r="C40" s="9"/>
      <c r="D40" s="9"/>
      <c r="E40" s="19"/>
      <c r="F40" s="64"/>
    </row>
    <row r="41" spans="1:6">
      <c r="B41" s="9"/>
      <c r="C41" s="9"/>
      <c r="D41" s="9"/>
      <c r="E41" s="19"/>
      <c r="F41" s="64"/>
    </row>
    <row r="42" spans="1:6">
      <c r="B42" s="9"/>
      <c r="C42" s="9"/>
      <c r="D42" s="9"/>
      <c r="E42" s="19"/>
      <c r="F42" s="64"/>
    </row>
    <row r="44" spans="1:6">
      <c r="B44" s="2" t="s">
        <v>703</v>
      </c>
    </row>
    <row r="45" spans="1:6">
      <c r="B45" s="11" t="s">
        <v>713</v>
      </c>
      <c r="C45" s="11" t="s">
        <v>715</v>
      </c>
      <c r="D45" s="11" t="s">
        <v>716</v>
      </c>
      <c r="E45" s="11" t="s">
        <v>703</v>
      </c>
      <c r="F45" s="11" t="s">
        <v>630</v>
      </c>
    </row>
    <row r="46" spans="1:6">
      <c r="B46" s="9" t="s">
        <v>704</v>
      </c>
      <c r="C46" s="61" t="b">
        <v>0</v>
      </c>
      <c r="D46">
        <v>0</v>
      </c>
      <c r="E46" s="19">
        <f>IF(스텟별가치29[[#This Row],[발동 여부]],스텟별가치29[[#This Row],[발동에 걸리는 시간]],-1)*(1+스텟별가치29[[#This Row],[OP계수]])</f>
        <v>-1</v>
      </c>
      <c r="F46" s="64">
        <v>0</v>
      </c>
    </row>
    <row r="47" spans="1:6">
      <c r="B47" s="9" t="s">
        <v>705</v>
      </c>
      <c r="C47" s="61" t="b">
        <v>1</v>
      </c>
      <c r="D47" s="11" cm="1">
        <f t="array" ref="D47">CharacterAtkTable[SwingCooldown]+CharacterAtkTable[ChargeTime]</f>
        <v>1.1000000000000001</v>
      </c>
      <c r="E47" s="19">
        <f>IF(스텟별가치29[[#This Row],[발동 여부]],스텟별가치29[[#This Row],[발동에 걸리는 시간]],-1)*(1+스텟별가치29[[#This Row],[OP계수]])</f>
        <v>3.3000000000000003</v>
      </c>
      <c r="F47" s="64">
        <v>2</v>
      </c>
    </row>
    <row r="48" spans="1:6">
      <c r="B48" s="9" t="s">
        <v>706</v>
      </c>
      <c r="C48" s="61" t="b">
        <v>1</v>
      </c>
      <c r="D48" s="11" cm="1">
        <f t="array" ref="D48">CharacterAtkTable[SwingCooldown]</f>
        <v>0.5</v>
      </c>
      <c r="E48" s="19">
        <f>IF(스텟별가치29[[#This Row],[발동 여부]],스텟별가치29[[#This Row],[발동에 걸리는 시간]],-1)*(1+스텟별가치29[[#This Row],[OP계수]])</f>
        <v>2</v>
      </c>
      <c r="F48" s="64">
        <v>3</v>
      </c>
    </row>
    <row r="49" spans="2:6">
      <c r="B49" t="s">
        <v>707</v>
      </c>
      <c r="C49" s="61" t="b">
        <v>1</v>
      </c>
      <c r="D49" s="11" cm="1">
        <f t="array" ref="D49">CharacterAtkTable[SwingCooldown]</f>
        <v>0.5</v>
      </c>
      <c r="E49" s="19">
        <f>IF(스텟별가치29[[#This Row],[발동 여부]],스텟별가치29[[#This Row],[발동에 걸리는 시간]],-1)*(1+스텟별가치29[[#This Row],[OP계수]])</f>
        <v>0.5</v>
      </c>
      <c r="F49" s="64">
        <v>0</v>
      </c>
    </row>
    <row r="50" spans="2:6">
      <c r="B50" t="s">
        <v>708</v>
      </c>
      <c r="C50" s="61" t="b">
        <v>1</v>
      </c>
      <c r="D50" s="11" cm="1">
        <f t="array" ref="D50">CharacterAtkTable[SwingCooldown]</f>
        <v>0.5</v>
      </c>
      <c r="E50" s="19">
        <f>IF(스텟별가치29[[#This Row],[발동 여부]],스텟별가치29[[#This Row],[발동에 걸리는 시간]],-1)*(1+스텟별가치29[[#This Row],[OP계수]])</f>
        <v>0.875</v>
      </c>
      <c r="F50" s="64">
        <v>0.75</v>
      </c>
    </row>
    <row r="51" spans="2:6">
      <c r="B51" t="s">
        <v>709</v>
      </c>
      <c r="C51" s="61" t="b">
        <v>1</v>
      </c>
      <c r="D51" s="11" cm="1">
        <f t="array" ref="D51">(CharacterTable[MaxHP]/25)+CharacterTable[MercyInvincibleTime]</f>
        <v>7.5</v>
      </c>
      <c r="E51" s="19">
        <f>IF(스텟별가치29[[#This Row],[발동 여부]],스텟별가치29[[#This Row],[발동에 걸리는 시간]],-1)*(1+스텟별가치29[[#This Row],[OP계수]])</f>
        <v>8.25</v>
      </c>
      <c r="F51" s="64">
        <v>0.1</v>
      </c>
    </row>
    <row r="52" spans="2:6">
      <c r="B52" t="s">
        <v>710</v>
      </c>
      <c r="C52" s="61" t="b">
        <v>1</v>
      </c>
      <c r="D52" s="11" cm="1">
        <f t="array" ref="D52">CharacterTable[DodgeCooldown]</f>
        <v>1.7</v>
      </c>
      <c r="E52" s="19">
        <f>IF(스텟별가치29[[#This Row],[발동 여부]],스텟별가치29[[#This Row],[발동에 걸리는 시간]],-1)*(1+스텟별가치29[[#This Row],[OP계수]])</f>
        <v>2.5499999999999998</v>
      </c>
      <c r="F52" s="64">
        <v>0.5</v>
      </c>
    </row>
    <row r="53" spans="2:6">
      <c r="B53" t="s">
        <v>711</v>
      </c>
      <c r="C53" s="61" t="b">
        <v>0</v>
      </c>
      <c r="D53" s="11">
        <v>0</v>
      </c>
      <c r="E53" s="19">
        <f>IF(스텟별가치29[[#This Row],[발동 여부]],스텟별가치29[[#This Row],[발동에 걸리는 시간]],-1)*(1+스텟별가치29[[#This Row],[OP계수]])</f>
        <v>-1</v>
      </c>
      <c r="F53" s="64">
        <v>0</v>
      </c>
    </row>
    <row r="54" spans="2:6">
      <c r="B54" t="s">
        <v>712</v>
      </c>
      <c r="C54" s="61" t="b">
        <v>0</v>
      </c>
      <c r="D54" s="11">
        <v>0</v>
      </c>
      <c r="E54" s="19">
        <f>IF(스텟별가치29[[#This Row],[발동 여부]],스텟별가치29[[#This Row],[발동에 걸리는 시간]],-1)*(1+스텟별가치29[[#This Row],[OP계수]])</f>
        <v>-1</v>
      </c>
      <c r="F54" s="64">
        <v>0</v>
      </c>
    </row>
    <row r="55" spans="2:6">
      <c r="C55" s="61"/>
      <c r="D55" s="64"/>
      <c r="E55" s="64"/>
      <c r="F55" s="64"/>
    </row>
    <row r="56" spans="2:6">
      <c r="B56" s="2" t="s">
        <v>703</v>
      </c>
    </row>
    <row r="57" spans="2:6">
      <c r="B57" s="11" t="s">
        <v>730</v>
      </c>
      <c r="C57" t="s">
        <v>732</v>
      </c>
      <c r="D57" s="11" t="s">
        <v>733</v>
      </c>
      <c r="E57" s="11" t="s">
        <v>731</v>
      </c>
      <c r="F57" s="11" t="s">
        <v>630</v>
      </c>
    </row>
    <row r="58" spans="2:6">
      <c r="B58" s="16" t="s">
        <v>427</v>
      </c>
      <c r="E58" s="19" cm="1">
        <f t="array" ref="E58">밸런스시트31[체력 상승량]</f>
        <v>1.2</v>
      </c>
    </row>
    <row r="59" spans="2:6">
      <c r="B59" s="16" t="s">
        <v>343</v>
      </c>
      <c r="E59" s="19"/>
    </row>
    <row r="60" spans="2:6">
      <c r="B60" s="16" t="s">
        <v>330</v>
      </c>
      <c r="E60" s="19"/>
    </row>
    <row r="61" spans="2:6">
      <c r="B61" s="48" t="s">
        <v>452</v>
      </c>
      <c r="E61" s="56">
        <v>1</v>
      </c>
    </row>
    <row r="62" spans="2:6">
      <c r="B62" s="16" t="s">
        <v>315</v>
      </c>
      <c r="E62" s="19"/>
    </row>
    <row r="63" spans="2:6">
      <c r="B63" s="16" t="s">
        <v>336</v>
      </c>
      <c r="E63" s="19"/>
    </row>
    <row r="64" spans="2:6">
      <c r="B64" s="16" t="s">
        <v>331</v>
      </c>
      <c r="E64" s="19"/>
    </row>
    <row r="65" spans="2:5">
      <c r="B65" s="16" t="s">
        <v>341</v>
      </c>
      <c r="E65" s="19"/>
    </row>
    <row r="66" spans="2:5">
      <c r="B66" s="20" t="s">
        <v>442</v>
      </c>
      <c r="E66" s="19"/>
    </row>
  </sheetData>
  <mergeCells count="1">
    <mergeCell ref="B1:G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D10"/>
  <sheetViews>
    <sheetView zoomScaleNormal="75" zoomScaleSheetLayoutView="100" workbookViewId="0">
      <selection activeCell="C7" sqref="C7"/>
    </sheetView>
  </sheetViews>
  <sheetFormatPr defaultColWidth="8.796875" defaultRowHeight="17.399999999999999"/>
  <cols>
    <col min="1" max="1" width="8.69921875" bestFit="1" customWidth="1"/>
    <col min="2" max="2" width="30.19921875" bestFit="1" customWidth="1"/>
    <col min="4" max="4" width="73.69921875" customWidth="1"/>
  </cols>
  <sheetData>
    <row r="1" spans="1:4">
      <c r="A1" t="s">
        <v>50</v>
      </c>
      <c r="B1" t="s">
        <v>26</v>
      </c>
      <c r="C1" t="s">
        <v>51</v>
      </c>
      <c r="D1" t="s">
        <v>26</v>
      </c>
    </row>
    <row r="2" spans="1:4">
      <c r="A2" t="s">
        <v>38</v>
      </c>
      <c r="B2" s="5" t="s">
        <v>57</v>
      </c>
      <c r="C2" t="s">
        <v>36</v>
      </c>
      <c r="D2" s="5" t="s">
        <v>22</v>
      </c>
    </row>
    <row r="3" spans="1:4">
      <c r="A3">
        <v>1</v>
      </c>
      <c r="B3" s="4" t="s">
        <v>106</v>
      </c>
      <c r="C3">
        <v>5</v>
      </c>
      <c r="D3" s="4" t="s">
        <v>119</v>
      </c>
    </row>
    <row r="4" spans="1:4">
      <c r="A4">
        <v>2</v>
      </c>
      <c r="B4" s="4" t="s">
        <v>147</v>
      </c>
      <c r="C4">
        <v>5</v>
      </c>
      <c r="D4" s="4" t="s">
        <v>105</v>
      </c>
    </row>
    <row r="5" spans="1:4">
      <c r="A5">
        <v>3</v>
      </c>
      <c r="B5" s="4" t="s">
        <v>154</v>
      </c>
      <c r="C5">
        <v>20</v>
      </c>
      <c r="D5" s="4" t="s">
        <v>1</v>
      </c>
    </row>
    <row r="6" spans="1:4">
      <c r="A6">
        <v>4</v>
      </c>
      <c r="B6" s="4" t="s">
        <v>155</v>
      </c>
      <c r="C6">
        <v>0.5</v>
      </c>
      <c r="D6" s="4" t="s">
        <v>113</v>
      </c>
    </row>
    <row r="7" spans="1:4">
      <c r="A7">
        <v>5</v>
      </c>
      <c r="B7" s="4" t="s">
        <v>191</v>
      </c>
      <c r="C7">
        <v>50</v>
      </c>
      <c r="D7" s="4" t="s">
        <v>219</v>
      </c>
    </row>
    <row r="8" spans="1:4">
      <c r="A8">
        <v>6</v>
      </c>
      <c r="B8" s="4" t="s">
        <v>194</v>
      </c>
      <c r="C8">
        <v>1</v>
      </c>
      <c r="D8" s="4" t="s">
        <v>104</v>
      </c>
    </row>
    <row r="9" spans="1:4">
      <c r="A9">
        <v>7</v>
      </c>
      <c r="B9" s="4" t="s">
        <v>218</v>
      </c>
      <c r="C9">
        <v>10</v>
      </c>
      <c r="D9" s="4" t="s">
        <v>217</v>
      </c>
    </row>
    <row r="10" spans="1:4">
      <c r="A10">
        <v>8</v>
      </c>
      <c r="B10" s="4" t="s">
        <v>12</v>
      </c>
      <c r="C10">
        <v>5</v>
      </c>
      <c r="D10" s="4" t="s">
        <v>102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BE5D7"/>
  </sheetPr>
  <dimension ref="B1:M5"/>
  <sheetViews>
    <sheetView zoomScaleNormal="75" zoomScaleSheetLayoutView="100" workbookViewId="0">
      <selection activeCell="F24" sqref="F24"/>
    </sheetView>
  </sheetViews>
  <sheetFormatPr defaultColWidth="8.796875" defaultRowHeight="17.399999999999999"/>
  <cols>
    <col min="2" max="2" width="8.69921875" bestFit="1" customWidth="1"/>
    <col min="3" max="3" width="8.69921875" customWidth="1"/>
    <col min="4" max="4" width="10.19921875" bestFit="1" customWidth="1"/>
    <col min="5" max="5" width="15.796875" bestFit="1" customWidth="1"/>
    <col min="6" max="6" width="17" bestFit="1" customWidth="1"/>
    <col min="7" max="7" width="23.796875" bestFit="1" customWidth="1"/>
    <col min="8" max="8" width="22.796875" bestFit="1" customWidth="1"/>
    <col min="9" max="9" width="19" bestFit="1" customWidth="1"/>
    <col min="10" max="10" width="23.296875" bestFit="1" customWidth="1"/>
    <col min="11" max="12" width="23.296875" customWidth="1"/>
    <col min="13" max="13" width="11.796875" bestFit="1" customWidth="1"/>
  </cols>
  <sheetData>
    <row r="1" spans="2:13">
      <c r="B1" t="s">
        <v>24</v>
      </c>
      <c r="C1" t="s">
        <v>26</v>
      </c>
      <c r="D1" t="s">
        <v>24</v>
      </c>
      <c r="E1" t="s">
        <v>51</v>
      </c>
      <c r="F1" t="s">
        <v>51</v>
      </c>
      <c r="G1" t="s">
        <v>51</v>
      </c>
      <c r="H1" t="s">
        <v>51</v>
      </c>
      <c r="I1" t="s">
        <v>51</v>
      </c>
      <c r="J1" t="s">
        <v>51</v>
      </c>
      <c r="K1" t="s">
        <v>91</v>
      </c>
      <c r="L1" t="s">
        <v>91</v>
      </c>
      <c r="M1" t="s">
        <v>24</v>
      </c>
    </row>
    <row r="2" spans="2:13">
      <c r="B2" t="s">
        <v>38</v>
      </c>
      <c r="C2" s="5" t="s">
        <v>22</v>
      </c>
      <c r="D2" t="s">
        <v>88</v>
      </c>
      <c r="E2" t="s">
        <v>161</v>
      </c>
      <c r="F2" t="s">
        <v>0</v>
      </c>
      <c r="G2" s="11" t="s">
        <v>360</v>
      </c>
      <c r="H2" t="s">
        <v>5</v>
      </c>
      <c r="I2" s="16" t="s">
        <v>339</v>
      </c>
      <c r="J2" t="s">
        <v>3</v>
      </c>
      <c r="K2" t="s">
        <v>13</v>
      </c>
      <c r="L2" t="s">
        <v>135</v>
      </c>
      <c r="M2" t="s">
        <v>156</v>
      </c>
    </row>
    <row r="3" spans="2:13">
      <c r="B3">
        <v>100</v>
      </c>
      <c r="C3" s="4" t="s">
        <v>17</v>
      </c>
      <c r="D3">
        <v>150</v>
      </c>
      <c r="E3">
        <v>5</v>
      </c>
      <c r="F3">
        <v>6.5</v>
      </c>
      <c r="G3">
        <v>4</v>
      </c>
      <c r="H3">
        <v>1.5</v>
      </c>
      <c r="I3">
        <v>1.7</v>
      </c>
      <c r="J3">
        <v>0.4</v>
      </c>
      <c r="K3">
        <v>0.3</v>
      </c>
      <c r="L3">
        <v>12</v>
      </c>
      <c r="M3">
        <v>1</v>
      </c>
    </row>
    <row r="4" spans="2:13">
      <c r="I4" s="11"/>
    </row>
    <row r="5" spans="2:13">
      <c r="I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BE5D7"/>
  </sheetPr>
  <dimension ref="B1:X15"/>
  <sheetViews>
    <sheetView topLeftCell="H1" zoomScaleNormal="100" zoomScaleSheetLayoutView="100" workbookViewId="0">
      <selection activeCell="S3" sqref="S3"/>
    </sheetView>
  </sheetViews>
  <sheetFormatPr defaultColWidth="8.796875" defaultRowHeight="17.399999999999999"/>
  <cols>
    <col min="2" max="2" width="8.69921875" bestFit="1" customWidth="1"/>
    <col min="3" max="3" width="16" bestFit="1" customWidth="1"/>
    <col min="4" max="4" width="17.296875" bestFit="1" customWidth="1"/>
    <col min="5" max="5" width="12.296875" bestFit="1" customWidth="1"/>
    <col min="6" max="6" width="20.296875" bestFit="1" customWidth="1"/>
    <col min="7" max="7" width="13.69921875" bestFit="1" customWidth="1"/>
    <col min="8" max="8" width="22.19921875" customWidth="1"/>
    <col min="9" max="9" width="17.796875" style="74" customWidth="1"/>
    <col min="10" max="10" width="18.19921875" bestFit="1" customWidth="1"/>
    <col min="11" max="11" width="19.19921875" bestFit="1" customWidth="1"/>
    <col min="12" max="12" width="22.69921875" bestFit="1" customWidth="1"/>
    <col min="13" max="13" width="18.796875" bestFit="1" customWidth="1"/>
    <col min="14" max="15" width="19.5" bestFit="1" customWidth="1"/>
    <col min="16" max="16" width="23.296875" bestFit="1" customWidth="1"/>
    <col min="17" max="17" width="23.19921875" bestFit="1" customWidth="1"/>
    <col min="18" max="18" width="13.296875" bestFit="1" customWidth="1"/>
    <col min="19" max="19" width="14.19921875" bestFit="1" customWidth="1"/>
    <col min="20" max="20" width="25.19921875" bestFit="1" customWidth="1"/>
    <col min="21" max="23" width="22.296875" bestFit="1" customWidth="1"/>
    <col min="24" max="24" width="21.19921875" customWidth="1"/>
    <col min="25" max="25" width="27.19921875" bestFit="1" customWidth="1"/>
  </cols>
  <sheetData>
    <row r="1" spans="2:24">
      <c r="B1" t="s">
        <v>24</v>
      </c>
      <c r="C1" t="s">
        <v>26</v>
      </c>
      <c r="D1" t="s">
        <v>51</v>
      </c>
      <c r="E1" t="s">
        <v>51</v>
      </c>
      <c r="F1" t="s">
        <v>24</v>
      </c>
      <c r="G1" t="s">
        <v>51</v>
      </c>
      <c r="J1" t="s">
        <v>24</v>
      </c>
      <c r="K1" t="s">
        <v>24</v>
      </c>
      <c r="L1" t="s">
        <v>24</v>
      </c>
      <c r="M1" t="s">
        <v>24</v>
      </c>
      <c r="N1" t="s">
        <v>24</v>
      </c>
      <c r="O1" t="s">
        <v>24</v>
      </c>
      <c r="P1" t="s">
        <v>24</v>
      </c>
      <c r="Q1" t="s">
        <v>24</v>
      </c>
      <c r="R1" t="s">
        <v>24</v>
      </c>
      <c r="X1" s="8"/>
    </row>
    <row r="2" spans="2:24">
      <c r="B2" t="s">
        <v>38</v>
      </c>
      <c r="C2" s="5" t="s">
        <v>22</v>
      </c>
      <c r="D2" s="33" t="s">
        <v>340</v>
      </c>
      <c r="E2" s="6" t="s">
        <v>188</v>
      </c>
      <c r="F2" s="37" t="s">
        <v>451</v>
      </c>
      <c r="G2" s="6" t="s">
        <v>206</v>
      </c>
      <c r="H2" s="33" t="s">
        <v>853</v>
      </c>
      <c r="I2" s="33" t="s">
        <v>855</v>
      </c>
      <c r="J2" s="33" t="s">
        <v>851</v>
      </c>
      <c r="K2" s="33" t="s">
        <v>406</v>
      </c>
      <c r="L2" s="37" t="s">
        <v>398</v>
      </c>
      <c r="M2" s="6" t="s">
        <v>15</v>
      </c>
      <c r="N2" s="7" t="s">
        <v>132</v>
      </c>
      <c r="O2" s="7" t="s">
        <v>137</v>
      </c>
      <c r="P2" s="38" t="s">
        <v>404</v>
      </c>
      <c r="Q2" s="28" t="s">
        <v>405</v>
      </c>
      <c r="R2" s="1" t="s">
        <v>189</v>
      </c>
    </row>
    <row r="3" spans="2:24">
      <c r="B3">
        <v>200</v>
      </c>
      <c r="C3" s="4" t="s">
        <v>167</v>
      </c>
      <c r="D3">
        <v>0.5</v>
      </c>
      <c r="E3">
        <v>2.5</v>
      </c>
      <c r="F3">
        <v>120</v>
      </c>
      <c r="G3">
        <v>0.6</v>
      </c>
      <c r="H3">
        <v>0</v>
      </c>
      <c r="I3" s="74">
        <v>0</v>
      </c>
      <c r="J3">
        <v>0</v>
      </c>
      <c r="K3">
        <v>15</v>
      </c>
      <c r="L3">
        <v>3</v>
      </c>
      <c r="M3">
        <v>0</v>
      </c>
      <c r="N3">
        <v>25</v>
      </c>
      <c r="O3">
        <v>30</v>
      </c>
      <c r="P3">
        <v>30</v>
      </c>
      <c r="Q3">
        <v>40</v>
      </c>
      <c r="R3">
        <v>1</v>
      </c>
    </row>
    <row r="5" spans="2:24">
      <c r="N5" s="11"/>
    </row>
    <row r="9" spans="2:24">
      <c r="H9" s="16"/>
    </row>
    <row r="15" spans="2:24">
      <c r="F1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2CC"/>
  </sheetPr>
  <dimension ref="B1:S5"/>
  <sheetViews>
    <sheetView zoomScaleNormal="75" zoomScaleSheetLayoutView="100" workbookViewId="0">
      <selection activeCell="D5" sqref="D5"/>
    </sheetView>
  </sheetViews>
  <sheetFormatPr defaultColWidth="8.796875" defaultRowHeight="17.399999999999999"/>
  <cols>
    <col min="2" max="2" width="8.5" bestFit="1" customWidth="1"/>
    <col min="3" max="3" width="12.796875" bestFit="1" customWidth="1"/>
    <col min="4" max="4" width="18.19921875" bestFit="1" customWidth="1"/>
    <col min="5" max="5" width="16.796875" bestFit="1" customWidth="1"/>
    <col min="6" max="6" width="15.19921875" bestFit="1" customWidth="1"/>
    <col min="7" max="7" width="23.5" bestFit="1" customWidth="1"/>
    <col min="8" max="8" width="14.19921875" bestFit="1" customWidth="1"/>
    <col min="9" max="9" width="17.296875" bestFit="1" customWidth="1"/>
    <col min="10" max="10" width="19" bestFit="1" customWidth="1"/>
    <col min="11" max="11" width="14.19921875" bestFit="1" customWidth="1"/>
    <col min="12" max="12" width="16.19921875" bestFit="1" customWidth="1"/>
    <col min="13" max="13" width="17.69921875" bestFit="1" customWidth="1"/>
    <col min="14" max="14" width="15.69921875" bestFit="1" customWidth="1"/>
    <col min="15" max="15" width="17.19921875" bestFit="1" customWidth="1"/>
    <col min="16" max="17" width="17.796875" bestFit="1" customWidth="1"/>
    <col min="18" max="18" width="15.69921875" bestFit="1" customWidth="1"/>
    <col min="19" max="19" width="17.19921875" bestFit="1" customWidth="1"/>
  </cols>
  <sheetData>
    <row r="1" spans="2:19">
      <c r="B1" t="s">
        <v>24</v>
      </c>
      <c r="C1" t="s">
        <v>26</v>
      </c>
      <c r="D1" t="s">
        <v>24</v>
      </c>
      <c r="E1" t="s">
        <v>51</v>
      </c>
      <c r="F1" t="s">
        <v>51</v>
      </c>
      <c r="G1" t="s">
        <v>51</v>
      </c>
      <c r="H1" t="s">
        <v>24</v>
      </c>
      <c r="I1" t="s">
        <v>24</v>
      </c>
      <c r="J1" t="s">
        <v>24</v>
      </c>
      <c r="K1" t="s">
        <v>24</v>
      </c>
      <c r="L1" t="s">
        <v>24</v>
      </c>
      <c r="M1" t="s">
        <v>24</v>
      </c>
      <c r="N1" t="s">
        <v>26</v>
      </c>
      <c r="O1" t="s">
        <v>26</v>
      </c>
      <c r="P1" t="s">
        <v>26</v>
      </c>
      <c r="Q1" t="s">
        <v>26</v>
      </c>
      <c r="R1" t="s">
        <v>26</v>
      </c>
      <c r="S1" t="s">
        <v>26</v>
      </c>
    </row>
    <row r="2" spans="2:19">
      <c r="B2" t="s">
        <v>38</v>
      </c>
      <c r="C2" s="5" t="s">
        <v>34</v>
      </c>
      <c r="D2" t="s">
        <v>126</v>
      </c>
      <c r="E2" s="23" t="s">
        <v>118</v>
      </c>
      <c r="F2" s="23" t="s">
        <v>162</v>
      </c>
      <c r="G2" t="s">
        <v>6</v>
      </c>
      <c r="H2" t="s">
        <v>178</v>
      </c>
      <c r="I2" t="s">
        <v>124</v>
      </c>
      <c r="J2" t="s">
        <v>123</v>
      </c>
      <c r="K2" t="s">
        <v>165</v>
      </c>
      <c r="L2" t="s">
        <v>120</v>
      </c>
      <c r="M2" t="s">
        <v>125</v>
      </c>
      <c r="N2" s="5" t="s">
        <v>70</v>
      </c>
      <c r="O2" s="5" t="s">
        <v>76</v>
      </c>
      <c r="P2" s="5" t="s">
        <v>77</v>
      </c>
      <c r="Q2" s="5" t="s">
        <v>78</v>
      </c>
      <c r="R2" s="5" t="s">
        <v>79</v>
      </c>
      <c r="S2" s="5" t="s">
        <v>73</v>
      </c>
    </row>
    <row r="3" spans="2:19">
      <c r="B3">
        <v>800</v>
      </c>
      <c r="C3" s="13" t="s">
        <v>379</v>
      </c>
      <c r="D3">
        <v>7</v>
      </c>
      <c r="E3">
        <v>0</v>
      </c>
      <c r="F3">
        <v>0</v>
      </c>
      <c r="G3">
        <v>1</v>
      </c>
      <c r="H3">
        <v>9000</v>
      </c>
      <c r="I3">
        <v>9001</v>
      </c>
      <c r="J3">
        <v>9002</v>
      </c>
      <c r="K3">
        <v>9003</v>
      </c>
      <c r="L3">
        <v>9004</v>
      </c>
      <c r="M3">
        <v>9005</v>
      </c>
      <c r="N3" s="4" t="e">
        <f>INDEX(DropTable['#메모],MATCH(ProductialTable[[#This Row],[ItemDropId]],DropTable[Index],0))</f>
        <v>#N/A</v>
      </c>
      <c r="O3" s="4" t="str">
        <f>INDEX(DropTable['#메모],MATCH(ProductialTable[[#This Row],[HpShopDropId]],DropTable[Index],0))</f>
        <v>공용_시작방</v>
      </c>
      <c r="P3" s="4" t="str">
        <f>INDEX(DropTable['#메모],MATCH(ProductialTable[[#This Row],[GoldShopDropId]],DropTable[Index],0))</f>
        <v>공용_골드상점_슬롯</v>
      </c>
      <c r="Q3" s="4" t="str">
        <f>INDEX(DropTable['#메모],MATCH(ProductialTable[[#This Row],[BossDropId]],DropTable[Index],0))</f>
        <v>공용_선택지</v>
      </c>
      <c r="R3" s="4" t="e">
        <f>INDEX(DropTable['#메모],MATCH(ProductialTable[[#This Row],[ChoiceDropId]],DropTable[Index],0))</f>
        <v>#N/A</v>
      </c>
      <c r="S3" s="4" t="e">
        <f>INDEX(DropTable['#메모],MATCH(ProductialTable[[#This Row],[WeaponDropId]],DropTable[Index],0))</f>
        <v>#N/A</v>
      </c>
    </row>
    <row r="4" spans="2:19">
      <c r="B4">
        <v>801</v>
      </c>
      <c r="C4" s="13" t="s">
        <v>380</v>
      </c>
      <c r="D4">
        <v>9</v>
      </c>
      <c r="E4">
        <v>0</v>
      </c>
      <c r="F4">
        <v>0</v>
      </c>
      <c r="G4">
        <v>1.3</v>
      </c>
      <c r="H4">
        <v>9100</v>
      </c>
      <c r="I4">
        <v>9101</v>
      </c>
      <c r="J4">
        <v>9102</v>
      </c>
      <c r="K4">
        <v>9103</v>
      </c>
      <c r="L4">
        <v>9104</v>
      </c>
      <c r="M4">
        <v>9105</v>
      </c>
      <c r="N4" s="4" t="str">
        <f>INDEX(DropTable['#메모],MATCH(ProductialTable[[#This Row],[ItemDropId]],DropTable[Index],0))</f>
        <v>1층_아이템보상</v>
      </c>
      <c r="O4" s="4" t="str">
        <f>INDEX(DropTable['#메모],MATCH(ProductialTable[[#This Row],[HpShopDropId]],DropTable[Index],0))</f>
        <v>1층_Hp상점_슬롯</v>
      </c>
      <c r="P4" s="4" t="str">
        <f>INDEX(DropTable['#메모],MATCH(ProductialTable[[#This Row],[GoldShopDropId]],DropTable[Index],0))</f>
        <v>2층_골드상점_슬롯</v>
      </c>
      <c r="Q4" s="4" t="str">
        <f>INDEX(DropTable['#메모],MATCH(ProductialTable[[#This Row],[BossDropId]],DropTable[Index],0))</f>
        <v>2층_선택지</v>
      </c>
      <c r="R4" s="4" t="str">
        <f>INDEX(DropTable['#메모],MATCH(ProductialTable[[#This Row],[ChoiceDropId]],DropTable[Index],0))</f>
        <v>2층_보스</v>
      </c>
      <c r="S4" s="4" t="str">
        <f>INDEX(DropTable['#메모],MATCH(ProductialTable[[#This Row],[WeaponDropId]],DropTable[Index],0))</f>
        <v>2층_시작무기선택</v>
      </c>
    </row>
    <row r="5" spans="2:19">
      <c r="B5">
        <v>802</v>
      </c>
      <c r="C5" s="13" t="s">
        <v>382</v>
      </c>
      <c r="D5">
        <v>10</v>
      </c>
      <c r="E5">
        <v>0</v>
      </c>
      <c r="F5">
        <v>0</v>
      </c>
      <c r="G5">
        <v>1.6</v>
      </c>
      <c r="H5">
        <v>9200</v>
      </c>
      <c r="I5">
        <v>9201</v>
      </c>
      <c r="J5">
        <v>9202</v>
      </c>
      <c r="K5">
        <v>9203</v>
      </c>
      <c r="L5">
        <v>9204</v>
      </c>
      <c r="M5">
        <v>9205</v>
      </c>
      <c r="N5" s="4" t="e">
        <f>INDEX(DropTable['#메모],MATCH(ProductialTable[[#This Row],[ItemDropId]],DropTable[Index],0))</f>
        <v>#N/A</v>
      </c>
      <c r="O5" s="4" t="e">
        <f>INDEX(DropTable['#메모],MATCH(ProductialTable[[#This Row],[HpShopDropId]],DropTable[Index],0))</f>
        <v>#N/A</v>
      </c>
      <c r="P5" s="4" t="e">
        <f>INDEX(DropTable['#메모],MATCH(ProductialTable[[#This Row],[GoldShopDropId]],DropTable[Index],0))</f>
        <v>#N/A</v>
      </c>
      <c r="Q5" s="4" t="e">
        <f>INDEX(DropTable['#메모],MATCH(ProductialTable[[#This Row],[BossDropId]],DropTable[Index],0))</f>
        <v>#N/A</v>
      </c>
      <c r="R5" s="4" t="e">
        <f>INDEX(DropTable['#메모],MATCH(ProductialTable[[#This Row],[ChoiceDropId]],DropTable[Index],0))</f>
        <v>#N/A</v>
      </c>
      <c r="S5" s="4" t="e">
        <f>INDEX(DropTable['#메모],MATCH(ProductialTable[[#This Row],[WeaponDropId]],DropTable[Index],0))</f>
        <v>#N/A</v>
      </c>
    </row>
  </sheetData>
  <phoneticPr fontId="6" type="noConversion"/>
  <pageMargins left="0.69999998807907104" right="0.69999998807907104" top="0.75" bottom="0.75" header="0.30000001192092896" footer="0.30000001192092896"/>
  <pageSetup paperSize="9" fitToWidth="0" fitToHeight="0" orientation="portrait" horizontalDpi="0"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F2CC"/>
  </sheetPr>
  <dimension ref="A1:K11"/>
  <sheetViews>
    <sheetView zoomScaleNormal="75" zoomScaleSheetLayoutView="100" workbookViewId="0">
      <selection activeCell="L35" sqref="L35"/>
    </sheetView>
  </sheetViews>
  <sheetFormatPr defaultColWidth="8.796875" defaultRowHeight="17.399999999999999"/>
  <cols>
    <col min="3" max="3" width="19.19921875" customWidth="1"/>
    <col min="4" max="4" width="10.296875" bestFit="1" customWidth="1"/>
    <col min="7" max="7" width="10.796875" customWidth="1"/>
  </cols>
  <sheetData>
    <row r="1" spans="1:11">
      <c r="B1" t="s">
        <v>24</v>
      </c>
      <c r="C1" t="s">
        <v>26</v>
      </c>
      <c r="D1" t="s">
        <v>51</v>
      </c>
      <c r="E1" t="s">
        <v>51</v>
      </c>
      <c r="F1" t="s">
        <v>51</v>
      </c>
      <c r="G1" t="s">
        <v>51</v>
      </c>
      <c r="H1" t="s">
        <v>51</v>
      </c>
      <c r="I1" t="s">
        <v>51</v>
      </c>
    </row>
    <row r="2" spans="1:11">
      <c r="B2" t="s">
        <v>38</v>
      </c>
      <c r="C2" s="5" t="s">
        <v>20</v>
      </c>
      <c r="D2" t="s">
        <v>42</v>
      </c>
      <c r="E2" t="s">
        <v>43</v>
      </c>
      <c r="F2" t="s">
        <v>47</v>
      </c>
      <c r="G2" s="16" t="s">
        <v>344</v>
      </c>
      <c r="H2" t="s">
        <v>25</v>
      </c>
      <c r="I2" t="s">
        <v>49</v>
      </c>
    </row>
    <row r="3" spans="1:11">
      <c r="B3" s="23">
        <v>9001</v>
      </c>
      <c r="C3" s="25" t="s">
        <v>300</v>
      </c>
      <c r="D3" s="23">
        <v>0</v>
      </c>
      <c r="E3" s="23">
        <v>0</v>
      </c>
      <c r="F3" s="23">
        <v>0</v>
      </c>
      <c r="G3" s="23">
        <v>10000</v>
      </c>
      <c r="H3" s="23">
        <v>0</v>
      </c>
      <c r="I3" s="23">
        <v>0</v>
      </c>
      <c r="K3">
        <f>SUM(DropTable[[#This Row],[Normal]:[Active]])</f>
        <v>10000</v>
      </c>
    </row>
    <row r="4" spans="1:11">
      <c r="B4">
        <v>9002</v>
      </c>
      <c r="C4" s="24" t="s">
        <v>299</v>
      </c>
      <c r="D4">
        <v>5400</v>
      </c>
      <c r="E4">
        <v>2200</v>
      </c>
      <c r="F4">
        <v>2200</v>
      </c>
      <c r="G4">
        <v>200</v>
      </c>
      <c r="H4">
        <v>0</v>
      </c>
      <c r="I4">
        <v>0</v>
      </c>
      <c r="K4">
        <f>SUM(DropTable[[#This Row],[Normal]:[Active]])</f>
        <v>10000</v>
      </c>
    </row>
    <row r="5" spans="1:11">
      <c r="A5" s="11"/>
      <c r="B5">
        <v>9003</v>
      </c>
      <c r="C5" s="24" t="s">
        <v>296</v>
      </c>
      <c r="D5">
        <v>5000</v>
      </c>
      <c r="E5">
        <v>2000</v>
      </c>
      <c r="F5">
        <v>2000</v>
      </c>
      <c r="G5">
        <v>1000</v>
      </c>
      <c r="H5">
        <v>0</v>
      </c>
      <c r="I5">
        <v>0</v>
      </c>
      <c r="K5">
        <f>SUM(DropTable[[#This Row],[Normal]:[Active]])</f>
        <v>10000</v>
      </c>
    </row>
    <row r="6" spans="1:11">
      <c r="A6" s="16" t="s">
        <v>231</v>
      </c>
      <c r="B6">
        <v>9100</v>
      </c>
      <c r="C6" s="13" t="s">
        <v>297</v>
      </c>
      <c r="D6">
        <v>5000</v>
      </c>
      <c r="E6">
        <v>2500</v>
      </c>
      <c r="F6">
        <v>2500</v>
      </c>
      <c r="G6">
        <v>0</v>
      </c>
      <c r="H6">
        <v>0</v>
      </c>
      <c r="I6">
        <v>0</v>
      </c>
      <c r="K6">
        <f>SUM(DropTable[[#This Row],[Normal]:[Active]])</f>
        <v>10000</v>
      </c>
    </row>
    <row r="7" spans="1:11">
      <c r="A7" t="s">
        <v>26</v>
      </c>
      <c r="B7" s="26">
        <v>9101</v>
      </c>
      <c r="C7" s="27" t="s">
        <v>298</v>
      </c>
      <c r="D7" s="26">
        <v>4000</v>
      </c>
      <c r="E7" s="26">
        <v>2000</v>
      </c>
      <c r="F7" s="26">
        <v>2000</v>
      </c>
      <c r="G7" s="26">
        <v>0</v>
      </c>
      <c r="H7" s="26">
        <v>2000</v>
      </c>
      <c r="I7" s="26">
        <v>0</v>
      </c>
      <c r="K7">
        <f>SUM(DropTable[[#This Row],[Normal]:[Active]])</f>
        <v>8000</v>
      </c>
    </row>
    <row r="8" spans="1:11">
      <c r="A8" t="s">
        <v>26</v>
      </c>
      <c r="B8" s="26">
        <v>9102</v>
      </c>
      <c r="C8" s="27" t="s">
        <v>170</v>
      </c>
      <c r="D8" s="26">
        <v>4000</v>
      </c>
      <c r="E8" s="26">
        <v>2000</v>
      </c>
      <c r="F8" s="26">
        <v>2000</v>
      </c>
      <c r="G8" s="26">
        <v>0</v>
      </c>
      <c r="H8" s="26">
        <v>0</v>
      </c>
      <c r="I8" s="26">
        <v>2000</v>
      </c>
      <c r="K8">
        <f>SUM(DropTable[[#This Row],[Normal]:[Active]])</f>
        <v>8000</v>
      </c>
    </row>
    <row r="9" spans="1:11">
      <c r="A9" t="s">
        <v>26</v>
      </c>
      <c r="B9" s="26">
        <v>9103</v>
      </c>
      <c r="C9" s="27" t="s">
        <v>62</v>
      </c>
      <c r="D9" s="26">
        <v>4000</v>
      </c>
      <c r="E9" s="26">
        <v>2000</v>
      </c>
      <c r="F9" s="26">
        <v>2000</v>
      </c>
      <c r="G9" s="26">
        <v>0</v>
      </c>
      <c r="H9" s="26">
        <v>2000</v>
      </c>
      <c r="I9" s="26">
        <v>0</v>
      </c>
      <c r="K9">
        <f>SUM(DropTable[[#This Row],[Normal]:[Active]])</f>
        <v>8000</v>
      </c>
    </row>
    <row r="10" spans="1:11">
      <c r="A10" t="s">
        <v>26</v>
      </c>
      <c r="B10" s="26">
        <v>9104</v>
      </c>
      <c r="C10" s="27" t="s">
        <v>61</v>
      </c>
      <c r="D10" s="26">
        <v>0</v>
      </c>
      <c r="E10" s="26">
        <v>7000</v>
      </c>
      <c r="F10" s="26">
        <v>3000</v>
      </c>
      <c r="G10" s="26">
        <v>0</v>
      </c>
      <c r="H10" s="26">
        <v>0</v>
      </c>
      <c r="I10" s="26">
        <v>0</v>
      </c>
      <c r="K10">
        <f>SUM(DropTable[[#This Row],[Normal]:[Active]])</f>
        <v>10000</v>
      </c>
    </row>
    <row r="11" spans="1:11">
      <c r="A11" t="s">
        <v>26</v>
      </c>
      <c r="B11" s="26">
        <v>9105</v>
      </c>
      <c r="C11" s="27" t="s">
        <v>179</v>
      </c>
      <c r="D11" s="26">
        <v>0</v>
      </c>
      <c r="E11" s="26">
        <v>0</v>
      </c>
      <c r="F11" s="26">
        <v>0</v>
      </c>
      <c r="G11" s="26">
        <v>10000</v>
      </c>
      <c r="H11" s="26">
        <v>0</v>
      </c>
      <c r="I11" s="26">
        <v>0</v>
      </c>
      <c r="K11">
        <f>SUM(DropTable[[#This Row],[Normal]:[Active]])</f>
        <v>10000</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DAE3F3"/>
  </sheetPr>
  <dimension ref="B1:V24"/>
  <sheetViews>
    <sheetView zoomScaleNormal="75" zoomScaleSheetLayoutView="100" workbookViewId="0">
      <selection activeCell="R22" sqref="R22"/>
    </sheetView>
  </sheetViews>
  <sheetFormatPr defaultColWidth="8.796875" defaultRowHeight="17.399999999999999"/>
  <cols>
    <col min="2" max="2" width="8.69921875" bestFit="1" customWidth="1"/>
    <col min="3" max="4" width="30.296875" customWidth="1"/>
    <col min="5" max="5" width="10.19921875" customWidth="1"/>
    <col min="6" max="6" width="14.5" customWidth="1"/>
    <col min="7" max="7" width="12.796875" customWidth="1"/>
    <col min="8" max="8" width="14" customWidth="1"/>
    <col min="9" max="9" width="27.796875" customWidth="1"/>
    <col min="10" max="10" width="17" customWidth="1"/>
    <col min="11" max="11" width="19.296875" customWidth="1"/>
    <col min="12" max="12" width="17.5" customWidth="1"/>
    <col min="13" max="13" width="15.69921875" customWidth="1"/>
    <col min="14" max="14" width="17.19921875" customWidth="1"/>
    <col min="15" max="15" width="12.69921875" customWidth="1"/>
    <col min="16" max="16" width="17.69921875" customWidth="1"/>
    <col min="17" max="17" width="16" customWidth="1"/>
    <col min="18" max="18" width="16.296875" bestFit="1" customWidth="1"/>
    <col min="19" max="19" width="18.296875" bestFit="1" customWidth="1"/>
    <col min="20" max="20" width="47.19921875" customWidth="1"/>
    <col min="21" max="21" width="20.69921875" bestFit="1" customWidth="1"/>
    <col min="22" max="22" width="17.796875" bestFit="1" customWidth="1"/>
  </cols>
  <sheetData>
    <row r="1" spans="2:22">
      <c r="B1" t="s">
        <v>24</v>
      </c>
      <c r="C1" s="16" t="s">
        <v>319</v>
      </c>
      <c r="D1" s="11" t="s">
        <v>231</v>
      </c>
      <c r="E1" t="s">
        <v>24</v>
      </c>
      <c r="F1" t="s">
        <v>51</v>
      </c>
      <c r="G1" t="s">
        <v>65</v>
      </c>
      <c r="H1" t="s">
        <v>24</v>
      </c>
      <c r="I1" t="s">
        <v>51</v>
      </c>
      <c r="J1" t="s">
        <v>51</v>
      </c>
      <c r="K1" s="16" t="s">
        <v>303</v>
      </c>
      <c r="L1" t="s">
        <v>51</v>
      </c>
      <c r="M1" t="s">
        <v>65</v>
      </c>
      <c r="N1" t="s">
        <v>51</v>
      </c>
      <c r="O1" t="s">
        <v>24</v>
      </c>
      <c r="P1" t="s">
        <v>24</v>
      </c>
      <c r="Q1" t="s">
        <v>24</v>
      </c>
      <c r="R1" t="s">
        <v>24</v>
      </c>
      <c r="S1" t="s">
        <v>24</v>
      </c>
      <c r="T1" t="s">
        <v>50</v>
      </c>
      <c r="U1" t="s">
        <v>26</v>
      </c>
      <c r="V1" t="s">
        <v>26</v>
      </c>
    </row>
    <row r="2" spans="2:22">
      <c r="B2" t="s">
        <v>38</v>
      </c>
      <c r="C2" s="31" t="s">
        <v>318</v>
      </c>
      <c r="D2" s="12" t="s">
        <v>231</v>
      </c>
      <c r="E2" t="s">
        <v>68</v>
      </c>
      <c r="F2" s="16" t="s">
        <v>295</v>
      </c>
      <c r="G2" t="s">
        <v>172</v>
      </c>
      <c r="H2" t="s">
        <v>174</v>
      </c>
      <c r="I2" s="16" t="s">
        <v>323</v>
      </c>
      <c r="J2" t="s">
        <v>0</v>
      </c>
      <c r="K2" s="16" t="s">
        <v>304</v>
      </c>
      <c r="L2" t="s">
        <v>116</v>
      </c>
      <c r="M2" t="s">
        <v>112</v>
      </c>
      <c r="N2" t="s">
        <v>114</v>
      </c>
      <c r="O2" t="s">
        <v>171</v>
      </c>
      <c r="P2" t="s">
        <v>121</v>
      </c>
      <c r="Q2" t="s">
        <v>177</v>
      </c>
      <c r="R2" t="s">
        <v>175</v>
      </c>
      <c r="S2" t="s">
        <v>2</v>
      </c>
      <c r="T2" t="s">
        <v>180</v>
      </c>
      <c r="U2" s="5" t="s">
        <v>182</v>
      </c>
      <c r="V2" s="5" t="s">
        <v>198</v>
      </c>
    </row>
    <row r="3" spans="2:22">
      <c r="B3">
        <v>500</v>
      </c>
      <c r="C3" s="4" t="s">
        <v>19</v>
      </c>
      <c r="D3" s="13" t="s">
        <v>232</v>
      </c>
      <c r="E3">
        <f>표14[적 기준 체력]*EnemyGameData[[#This Row],['#기준 적 체력 비율]]</f>
        <v>20</v>
      </c>
      <c r="F3">
        <v>16</v>
      </c>
      <c r="G3" t="s">
        <v>63</v>
      </c>
      <c r="H3">
        <v>0.5</v>
      </c>
      <c r="I3">
        <v>0.3</v>
      </c>
      <c r="J3">
        <v>1</v>
      </c>
      <c r="K3">
        <v>25</v>
      </c>
      <c r="L3">
        <v>0</v>
      </c>
      <c r="M3" t="s">
        <v>37</v>
      </c>
      <c r="N3">
        <f>IF(EnemyGameData[[#This Row],[SpacingRad]]&lt;3,5,EnemyGameData[[#This Row],[SpacingRad]]+1)</f>
        <v>5</v>
      </c>
      <c r="O3">
        <v>0</v>
      </c>
      <c r="P3">
        <v>0</v>
      </c>
      <c r="Q3">
        <v>0</v>
      </c>
      <c r="R3">
        <v>0</v>
      </c>
      <c r="S3">
        <v>501</v>
      </c>
      <c r="T3" s="16" t="s">
        <v>316</v>
      </c>
      <c r="U3">
        <v>0.2</v>
      </c>
      <c r="V3">
        <f>AVERAGE(EnemyGameData[[#This Row],[GoldDropMin]],EnemyGameData[[#This Row],[GoldDropMax]])</f>
        <v>0</v>
      </c>
    </row>
    <row r="4" spans="2:22">
      <c r="B4">
        <v>501</v>
      </c>
      <c r="C4" s="13" t="s">
        <v>418</v>
      </c>
      <c r="D4" s="13" t="s">
        <v>234</v>
      </c>
      <c r="E4">
        <f>표14[적 기준 체력]*EnemyGameData[[#This Row],['#기준 적 체력 비율]]</f>
        <v>80</v>
      </c>
      <c r="F4">
        <v>50</v>
      </c>
      <c r="G4" t="s">
        <v>63</v>
      </c>
      <c r="H4">
        <v>9</v>
      </c>
      <c r="I4">
        <v>2</v>
      </c>
      <c r="J4">
        <v>2</v>
      </c>
      <c r="K4">
        <v>0</v>
      </c>
      <c r="L4">
        <v>1.8</v>
      </c>
      <c r="M4" s="16" t="s">
        <v>333</v>
      </c>
      <c r="N4">
        <f>IF(EnemyGameData[[#This Row],[SpacingRad]]&lt;3,5,EnemyGameData[[#This Row],[SpacingRad]]+1)</f>
        <v>10</v>
      </c>
      <c r="O4">
        <v>600</v>
      </c>
      <c r="P4">
        <v>0</v>
      </c>
      <c r="Q4">
        <v>4</v>
      </c>
      <c r="R4">
        <v>6</v>
      </c>
      <c r="S4">
        <v>501</v>
      </c>
      <c r="T4" s="16" t="s">
        <v>408</v>
      </c>
      <c r="U4">
        <v>0.8</v>
      </c>
      <c r="V4">
        <f>AVERAGE(EnemyGameData[[#This Row],[GoldDropMin]],EnemyGameData[[#This Row],[GoldDropMax]])</f>
        <v>5</v>
      </c>
    </row>
    <row r="5" spans="2:22">
      <c r="B5">
        <v>502</v>
      </c>
      <c r="C5" s="41" t="s">
        <v>419</v>
      </c>
      <c r="D5" s="13" t="s">
        <v>235</v>
      </c>
      <c r="E5">
        <f>표14[적 기준 체력]*EnemyGameData[[#This Row],['#기준 적 체력 비율]]</f>
        <v>100</v>
      </c>
      <c r="F5">
        <v>16</v>
      </c>
      <c r="G5" t="s">
        <v>63</v>
      </c>
      <c r="H5">
        <v>5</v>
      </c>
      <c r="I5">
        <v>1.2</v>
      </c>
      <c r="J5">
        <v>2</v>
      </c>
      <c r="K5">
        <v>0</v>
      </c>
      <c r="L5">
        <v>1.5</v>
      </c>
      <c r="M5" t="s">
        <v>64</v>
      </c>
      <c r="N5">
        <f>IF(EnemyGameData[[#This Row],[SpacingRad]]&lt;3,5,EnemyGameData[[#This Row],[SpacingRad]]+1)</f>
        <v>6</v>
      </c>
      <c r="O5">
        <v>601</v>
      </c>
      <c r="P5">
        <v>0</v>
      </c>
      <c r="Q5">
        <v>4</v>
      </c>
      <c r="R5">
        <v>6</v>
      </c>
      <c r="S5">
        <v>501</v>
      </c>
      <c r="T5" s="16" t="s">
        <v>409</v>
      </c>
      <c r="U5">
        <v>1</v>
      </c>
      <c r="V5">
        <f>AVERAGE(EnemyGameData[[#This Row],[GoldDropMin]],EnemyGameData[[#This Row],[GoldDropMax]])</f>
        <v>5</v>
      </c>
    </row>
    <row r="6" spans="2:22">
      <c r="B6">
        <v>503</v>
      </c>
      <c r="C6" s="41" t="s">
        <v>420</v>
      </c>
      <c r="D6" s="13" t="s">
        <v>254</v>
      </c>
      <c r="E6">
        <f>표14[적 기준 체력]*EnemyGameData[[#This Row],['#기준 적 체력 비율]]</f>
        <v>80</v>
      </c>
      <c r="F6">
        <v>16</v>
      </c>
      <c r="G6" t="s">
        <v>181</v>
      </c>
      <c r="H6">
        <v>9</v>
      </c>
      <c r="I6">
        <v>1.2</v>
      </c>
      <c r="J6">
        <v>2</v>
      </c>
      <c r="K6">
        <v>0</v>
      </c>
      <c r="L6">
        <v>1.4</v>
      </c>
      <c r="M6" t="s">
        <v>64</v>
      </c>
      <c r="N6">
        <f>IF(EnemyGameData[[#This Row],[SpacingRad]]&lt;3,5,EnemyGameData[[#This Row],[SpacingRad]]+1)</f>
        <v>10</v>
      </c>
      <c r="O6">
        <v>602</v>
      </c>
      <c r="P6">
        <v>0</v>
      </c>
      <c r="Q6">
        <v>4</v>
      </c>
      <c r="R6">
        <v>6</v>
      </c>
      <c r="S6">
        <v>501</v>
      </c>
      <c r="T6" s="16" t="s">
        <v>410</v>
      </c>
      <c r="U6">
        <v>0.8</v>
      </c>
      <c r="V6">
        <f>AVERAGE(EnemyGameData[[#This Row],[GoldDropMin]],EnemyGameData[[#This Row],[GoldDropMax]])</f>
        <v>5</v>
      </c>
    </row>
    <row r="7" spans="2:22" s="20" customFormat="1">
      <c r="B7" s="20" t="s">
        <v>411</v>
      </c>
      <c r="C7" s="21" t="s">
        <v>141</v>
      </c>
      <c r="D7" s="21" t="s">
        <v>258</v>
      </c>
      <c r="E7" s="20">
        <f>표14[적 기준 체력]*EnemyGameData[[#This Row],['#기준 적 체력 비율]]</f>
        <v>80</v>
      </c>
      <c r="F7">
        <v>16</v>
      </c>
      <c r="G7" s="20" t="s">
        <v>181</v>
      </c>
      <c r="H7" s="20">
        <v>4</v>
      </c>
      <c r="I7" s="20">
        <v>1.5</v>
      </c>
      <c r="J7" s="20">
        <v>2</v>
      </c>
      <c r="K7">
        <v>0</v>
      </c>
      <c r="L7" s="20">
        <v>3</v>
      </c>
      <c r="M7" s="20" t="s">
        <v>64</v>
      </c>
      <c r="N7">
        <f>IF(EnemyGameData[[#This Row],[SpacingRad]]&lt;3,5,EnemyGameData[[#This Row],[SpacingRad]]+1)</f>
        <v>5</v>
      </c>
      <c r="O7" s="20">
        <v>603</v>
      </c>
      <c r="P7" s="20">
        <v>0</v>
      </c>
      <c r="Q7" s="20">
        <v>0</v>
      </c>
      <c r="R7" s="20">
        <v>0</v>
      </c>
      <c r="S7" s="20">
        <v>501</v>
      </c>
      <c r="T7" s="20" t="s">
        <v>317</v>
      </c>
      <c r="U7" s="20">
        <v>0.8</v>
      </c>
      <c r="V7" s="20">
        <f>AVERAGE(EnemyGameData[[#This Row],[GoldDropMin]],EnemyGameData[[#This Row],[GoldDropMax]])</f>
        <v>0</v>
      </c>
    </row>
    <row r="8" spans="2:22" s="20" customFormat="1">
      <c r="B8" s="20" t="s">
        <v>412</v>
      </c>
      <c r="C8" s="21" t="s">
        <v>142</v>
      </c>
      <c r="D8" s="21" t="s">
        <v>258</v>
      </c>
      <c r="E8" s="20">
        <f>표14[적 기준 체력]*EnemyGameData[[#This Row],['#기준 적 체력 비율]]</f>
        <v>100</v>
      </c>
      <c r="F8">
        <v>16</v>
      </c>
      <c r="G8" s="20" t="s">
        <v>181</v>
      </c>
      <c r="H8" s="20">
        <v>4</v>
      </c>
      <c r="I8" s="20">
        <v>1.8</v>
      </c>
      <c r="J8" s="20">
        <v>2</v>
      </c>
      <c r="K8">
        <v>0</v>
      </c>
      <c r="L8" s="20">
        <v>3</v>
      </c>
      <c r="M8" s="20" t="s">
        <v>64</v>
      </c>
      <c r="N8">
        <f>IF(EnemyGameData[[#This Row],[SpacingRad]]&lt;3,5,EnemyGameData[[#This Row],[SpacingRad]]+1)</f>
        <v>5</v>
      </c>
      <c r="O8" s="20">
        <v>604</v>
      </c>
      <c r="P8" s="20">
        <v>0</v>
      </c>
      <c r="Q8" s="20">
        <v>0</v>
      </c>
      <c r="R8" s="20">
        <v>0</v>
      </c>
      <c r="S8" s="20">
        <v>501</v>
      </c>
      <c r="T8" s="20" t="s">
        <v>317</v>
      </c>
      <c r="U8" s="20">
        <v>1</v>
      </c>
      <c r="V8" s="20">
        <f>AVERAGE(EnemyGameData[[#This Row],[GoldDropMin]],EnemyGameData[[#This Row],[GoldDropMax]])</f>
        <v>0</v>
      </c>
    </row>
    <row r="9" spans="2:22">
      <c r="B9">
        <v>506</v>
      </c>
      <c r="C9" s="41" t="s">
        <v>421</v>
      </c>
      <c r="D9" s="13" t="s">
        <v>257</v>
      </c>
      <c r="E9">
        <f>표14[적 기준 체력]*EnemyGameData[[#This Row],['#기준 적 체력 비율]]</f>
        <v>100</v>
      </c>
      <c r="F9">
        <v>16</v>
      </c>
      <c r="G9" t="s">
        <v>181</v>
      </c>
      <c r="H9">
        <v>4</v>
      </c>
      <c r="I9">
        <v>1.4</v>
      </c>
      <c r="J9">
        <v>2</v>
      </c>
      <c r="K9">
        <v>0</v>
      </c>
      <c r="L9">
        <v>1</v>
      </c>
      <c r="M9" t="s">
        <v>64</v>
      </c>
      <c r="N9">
        <f>IF(EnemyGameData[[#This Row],[SpacingRad]]&lt;3,5,EnemyGameData[[#This Row],[SpacingRad]]+1)</f>
        <v>5</v>
      </c>
      <c r="O9">
        <v>605</v>
      </c>
      <c r="P9">
        <v>0</v>
      </c>
      <c r="Q9">
        <v>4</v>
      </c>
      <c r="R9">
        <v>6</v>
      </c>
      <c r="S9">
        <v>501</v>
      </c>
      <c r="T9" s="16" t="s">
        <v>413</v>
      </c>
      <c r="U9">
        <v>1</v>
      </c>
      <c r="V9">
        <f>AVERAGE(EnemyGameData[[#This Row],[GoldDropMin]],EnemyGameData[[#This Row],[GoldDropMax]])</f>
        <v>5</v>
      </c>
    </row>
    <row r="10" spans="2:22">
      <c r="B10">
        <v>508</v>
      </c>
      <c r="C10" s="14" t="s">
        <v>422</v>
      </c>
      <c r="D10" s="13" t="s">
        <v>260</v>
      </c>
      <c r="E10">
        <f>표14[적 기준 체력]*EnemyGameData[[#This Row],['#기준 적 체력 비율]]</f>
        <v>80</v>
      </c>
      <c r="F10">
        <v>50</v>
      </c>
      <c r="G10" t="s">
        <v>181</v>
      </c>
      <c r="H10">
        <v>9</v>
      </c>
      <c r="I10">
        <v>2</v>
      </c>
      <c r="J10">
        <v>2</v>
      </c>
      <c r="K10">
        <v>0</v>
      </c>
      <c r="L10">
        <v>1.8</v>
      </c>
      <c r="M10" t="s">
        <v>127</v>
      </c>
      <c r="N10">
        <f>IF(EnemyGameData[[#This Row],[SpacingRad]]&lt;3,5,EnemyGameData[[#This Row],[SpacingRad]]+1)</f>
        <v>10</v>
      </c>
      <c r="O10">
        <v>607</v>
      </c>
      <c r="P10">
        <v>0</v>
      </c>
      <c r="Q10">
        <v>4</v>
      </c>
      <c r="R10">
        <v>6</v>
      </c>
      <c r="S10">
        <v>501</v>
      </c>
      <c r="T10" s="16" t="s">
        <v>416</v>
      </c>
      <c r="U10">
        <v>0.8</v>
      </c>
      <c r="V10">
        <f>AVERAGE(EnemyGameData[[#This Row],[GoldDropMin]],EnemyGameData[[#This Row],[GoldDropMax]])</f>
        <v>5</v>
      </c>
    </row>
    <row r="11" spans="2:22">
      <c r="B11">
        <v>550</v>
      </c>
      <c r="C11" s="13" t="s">
        <v>423</v>
      </c>
      <c r="D11" s="13" t="s">
        <v>233</v>
      </c>
      <c r="E11">
        <f>표14[적 기준 체력]*EnemyGameData[[#This Row],['#기준 적 체력 비율]]</f>
        <v>140</v>
      </c>
      <c r="F11">
        <v>50</v>
      </c>
      <c r="G11" s="16" t="s">
        <v>403</v>
      </c>
      <c r="H11">
        <v>12</v>
      </c>
      <c r="I11">
        <v>2</v>
      </c>
      <c r="J11">
        <v>3</v>
      </c>
      <c r="K11">
        <v>0</v>
      </c>
      <c r="L11">
        <v>1.3</v>
      </c>
      <c r="M11" t="s">
        <v>127</v>
      </c>
      <c r="N11">
        <f>IF(EnemyGameData[[#This Row],[SpacingRad]]&lt;3,5,EnemyGameData[[#This Row],[SpacingRad]]+1)</f>
        <v>13</v>
      </c>
      <c r="O11">
        <v>650</v>
      </c>
      <c r="P11">
        <v>0</v>
      </c>
      <c r="Q11">
        <v>7</v>
      </c>
      <c r="R11">
        <v>12</v>
      </c>
      <c r="S11">
        <v>501</v>
      </c>
      <c r="T11" s="16" t="s">
        <v>417</v>
      </c>
      <c r="U11">
        <v>1.4</v>
      </c>
      <c r="V11">
        <v>7</v>
      </c>
    </row>
    <row r="12" spans="2:22">
      <c r="B12" s="39">
        <v>551</v>
      </c>
      <c r="C12" s="40" t="s">
        <v>424</v>
      </c>
      <c r="D12" s="40" t="s">
        <v>236</v>
      </c>
      <c r="E12" s="39">
        <f>표14[적 기준 체력]*EnemyGameData[[#This Row],['#기준 적 체력 비율]]</f>
        <v>160</v>
      </c>
      <c r="F12">
        <v>16</v>
      </c>
      <c r="G12" s="39" t="s">
        <v>63</v>
      </c>
      <c r="H12" s="39">
        <v>5</v>
      </c>
      <c r="I12" s="39">
        <v>1.2</v>
      </c>
      <c r="J12" s="39">
        <v>3</v>
      </c>
      <c r="K12" s="39">
        <v>0</v>
      </c>
      <c r="L12" s="39">
        <v>1.5</v>
      </c>
      <c r="M12" s="39" t="s">
        <v>64</v>
      </c>
      <c r="N12">
        <f>IF(EnemyGameData[[#This Row],[SpacingRad]]&lt;3,5,EnemyGameData[[#This Row],[SpacingRad]]+1)</f>
        <v>6</v>
      </c>
      <c r="O12" s="39">
        <v>651</v>
      </c>
      <c r="P12" s="39">
        <v>0</v>
      </c>
      <c r="Q12" s="39">
        <v>3</v>
      </c>
      <c r="R12" s="39">
        <v>5</v>
      </c>
      <c r="S12" s="39">
        <v>501</v>
      </c>
      <c r="T12" s="39" t="s">
        <v>409</v>
      </c>
      <c r="U12" s="39">
        <v>1.6</v>
      </c>
      <c r="V12" s="39">
        <v>7</v>
      </c>
    </row>
    <row r="13" spans="2:22">
      <c r="B13">
        <v>552</v>
      </c>
      <c r="C13" s="13" t="s">
        <v>425</v>
      </c>
      <c r="D13" s="13" t="s">
        <v>255</v>
      </c>
      <c r="E13">
        <f>표14[적 기준 체력]*EnemyGameData[[#This Row],['#기준 적 체력 비율]]</f>
        <v>140</v>
      </c>
      <c r="F13">
        <v>16</v>
      </c>
      <c r="G13" t="s">
        <v>181</v>
      </c>
      <c r="H13">
        <v>8</v>
      </c>
      <c r="I13">
        <v>1.2</v>
      </c>
      <c r="J13">
        <v>3</v>
      </c>
      <c r="K13">
        <v>0</v>
      </c>
      <c r="L13">
        <v>1.2</v>
      </c>
      <c r="M13" t="s">
        <v>64</v>
      </c>
      <c r="N13">
        <f>IF(EnemyGameData[[#This Row],[SpacingRad]]&lt;3,5,EnemyGameData[[#This Row],[SpacingRad]]+1)</f>
        <v>9</v>
      </c>
      <c r="O13">
        <v>652</v>
      </c>
      <c r="P13">
        <v>0</v>
      </c>
      <c r="Q13">
        <v>7</v>
      </c>
      <c r="R13" s="11">
        <v>12</v>
      </c>
      <c r="S13">
        <v>501</v>
      </c>
      <c r="T13" s="16" t="s">
        <v>415</v>
      </c>
      <c r="U13">
        <v>1.4</v>
      </c>
      <c r="V13">
        <v>7</v>
      </c>
    </row>
    <row r="14" spans="2:22">
      <c r="B14">
        <v>553</v>
      </c>
      <c r="C14" s="14" t="s">
        <v>426</v>
      </c>
      <c r="D14" s="13" t="s">
        <v>256</v>
      </c>
      <c r="E14">
        <f>표14[적 기준 체력]*EnemyGameData[[#This Row],['#기준 적 체력 비율]]</f>
        <v>160</v>
      </c>
      <c r="F14">
        <v>16</v>
      </c>
      <c r="G14" t="s">
        <v>181</v>
      </c>
      <c r="H14">
        <v>4</v>
      </c>
      <c r="I14">
        <v>2.5</v>
      </c>
      <c r="J14">
        <v>3</v>
      </c>
      <c r="K14">
        <v>0</v>
      </c>
      <c r="L14">
        <v>1.6</v>
      </c>
      <c r="M14" t="s">
        <v>64</v>
      </c>
      <c r="N14">
        <f>IF(EnemyGameData[[#This Row],[SpacingRad]]&lt;3,5,EnemyGameData[[#This Row],[SpacingRad]]+1)</f>
        <v>5</v>
      </c>
      <c r="O14">
        <v>604</v>
      </c>
      <c r="P14">
        <v>0</v>
      </c>
      <c r="Q14">
        <v>7</v>
      </c>
      <c r="R14">
        <v>12</v>
      </c>
      <c r="S14">
        <v>501</v>
      </c>
      <c r="T14" s="16" t="s">
        <v>414</v>
      </c>
      <c r="U14">
        <v>1.6</v>
      </c>
      <c r="V14">
        <f>AVERAGE(EnemyGameData[[#This Row],[GoldDropMin]],EnemyGameData[[#This Row],[GoldDropMax]])</f>
        <v>9.5</v>
      </c>
    </row>
    <row r="15" spans="2:22">
      <c r="B15" s="20" t="s">
        <v>407</v>
      </c>
      <c r="C15" s="22" t="s">
        <v>259</v>
      </c>
      <c r="D15" s="21" t="s">
        <v>258</v>
      </c>
      <c r="E15" s="20">
        <f>표14[적 기준 체력]*EnemyGameData[[#This Row],['#기준 적 체력 비율]]</f>
        <v>20</v>
      </c>
      <c r="F15">
        <v>16</v>
      </c>
      <c r="G15" s="20" t="s">
        <v>63</v>
      </c>
      <c r="H15" s="20">
        <v>1</v>
      </c>
      <c r="I15" s="20">
        <v>0.3</v>
      </c>
      <c r="J15" s="20">
        <v>1.8</v>
      </c>
      <c r="K15">
        <v>25</v>
      </c>
      <c r="L15" s="20">
        <v>0</v>
      </c>
      <c r="M15" s="20" t="s">
        <v>37</v>
      </c>
      <c r="N15">
        <f>IF(EnemyGameData[[#This Row],[SpacingRad]]&lt;3,5,EnemyGameData[[#This Row],[SpacingRad]]+1)</f>
        <v>5</v>
      </c>
      <c r="O15" s="20">
        <v>0</v>
      </c>
      <c r="P15" s="20">
        <v>0</v>
      </c>
      <c r="Q15" s="20">
        <v>0</v>
      </c>
      <c r="R15" s="20">
        <v>0</v>
      </c>
      <c r="S15" s="20">
        <v>501</v>
      </c>
      <c r="T15" s="20" t="s">
        <v>316</v>
      </c>
      <c r="U15" s="20">
        <v>0.2</v>
      </c>
      <c r="V15" s="20">
        <f>AVERAGE(EnemyGameData[[#This Row],[GoldDropMin]],EnemyGameData[[#This Row],[GoldDropMax]])</f>
        <v>0</v>
      </c>
    </row>
    <row r="16" spans="2:22" s="39" customFormat="1">
      <c r="B16" s="39">
        <v>1001</v>
      </c>
      <c r="C16" s="45" t="s">
        <v>840</v>
      </c>
      <c r="D16" s="40"/>
      <c r="E16" s="39">
        <v>1500</v>
      </c>
      <c r="F16" s="39">
        <v>16</v>
      </c>
      <c r="G16" s="39" t="s">
        <v>181</v>
      </c>
      <c r="H16" s="39">
        <v>5</v>
      </c>
      <c r="I16" s="20">
        <v>0.3</v>
      </c>
      <c r="J16" s="39">
        <v>2.5</v>
      </c>
      <c r="K16" s="39">
        <v>0</v>
      </c>
      <c r="Q16" s="39">
        <v>25</v>
      </c>
      <c r="R16" s="39">
        <v>25</v>
      </c>
      <c r="T16" s="39" t="s">
        <v>883</v>
      </c>
      <c r="V16" s="20">
        <f>AVERAGE(EnemyGameData[[#This Row],[GoldDropMin]],EnemyGameData[[#This Row],[GoldDropMax]])</f>
        <v>25</v>
      </c>
    </row>
    <row r="17" spans="2:22" s="39" customFormat="1">
      <c r="B17" s="39">
        <v>1101</v>
      </c>
      <c r="C17" s="45" t="s">
        <v>841</v>
      </c>
      <c r="D17" s="40"/>
      <c r="E17" s="39">
        <v>1500</v>
      </c>
      <c r="F17" s="39">
        <v>16</v>
      </c>
      <c r="G17" s="39" t="s">
        <v>181</v>
      </c>
      <c r="H17" s="39">
        <v>5</v>
      </c>
      <c r="I17" s="20">
        <v>0.3</v>
      </c>
      <c r="J17" s="39">
        <v>1.5</v>
      </c>
      <c r="K17" s="39">
        <v>0</v>
      </c>
      <c r="Q17" s="39">
        <v>25</v>
      </c>
      <c r="R17" s="39">
        <v>25</v>
      </c>
      <c r="T17" s="39" t="s">
        <v>884</v>
      </c>
      <c r="V17" s="20">
        <f>AVERAGE(EnemyGameData[[#This Row],[GoldDropMin]],EnemyGameData[[#This Row],[GoldDropMax]])</f>
        <v>25</v>
      </c>
    </row>
    <row r="18" spans="2:22" s="39" customFormat="1">
      <c r="B18" s="39">
        <v>1102</v>
      </c>
      <c r="C18" s="45" t="s">
        <v>881</v>
      </c>
      <c r="D18" s="40"/>
      <c r="E18" s="39">
        <v>200</v>
      </c>
      <c r="F18" s="39">
        <v>16</v>
      </c>
      <c r="G18" s="39" t="s">
        <v>181</v>
      </c>
      <c r="H18" s="39">
        <v>5</v>
      </c>
      <c r="I18" s="20">
        <v>0.3</v>
      </c>
      <c r="J18" s="39">
        <v>2</v>
      </c>
      <c r="K18" s="39">
        <v>0</v>
      </c>
      <c r="Q18" s="39">
        <v>0</v>
      </c>
      <c r="R18" s="39">
        <v>0</v>
      </c>
      <c r="S18"/>
      <c r="T18" s="39" t="s">
        <v>886</v>
      </c>
      <c r="V18" s="20"/>
    </row>
    <row r="19" spans="2:22" s="39" customFormat="1">
      <c r="B19" s="39">
        <v>1103</v>
      </c>
      <c r="C19" s="45" t="s">
        <v>882</v>
      </c>
      <c r="D19" s="40"/>
      <c r="E19" s="39">
        <v>200</v>
      </c>
      <c r="F19" s="39">
        <v>16</v>
      </c>
      <c r="G19" s="39" t="s">
        <v>181</v>
      </c>
      <c r="H19" s="39">
        <v>5</v>
      </c>
      <c r="I19" s="20">
        <v>0.3</v>
      </c>
      <c r="J19" s="39">
        <v>2</v>
      </c>
      <c r="K19" s="39">
        <v>0</v>
      </c>
      <c r="Q19" s="39">
        <v>0</v>
      </c>
      <c r="R19" s="39">
        <v>0</v>
      </c>
      <c r="S19"/>
      <c r="T19" s="39" t="s">
        <v>887</v>
      </c>
      <c r="V19" s="20"/>
    </row>
    <row r="20" spans="2:22" s="39" customFormat="1">
      <c r="B20" s="39">
        <v>1003</v>
      </c>
      <c r="C20" s="40" t="s">
        <v>839</v>
      </c>
      <c r="D20" s="40"/>
      <c r="E20" s="39">
        <v>3000</v>
      </c>
      <c r="F20" s="39">
        <v>16</v>
      </c>
      <c r="G20" s="39" t="s">
        <v>181</v>
      </c>
      <c r="H20" s="39">
        <v>0.5</v>
      </c>
      <c r="I20" s="39">
        <v>2</v>
      </c>
      <c r="J20" s="39">
        <v>1.5</v>
      </c>
      <c r="K20" s="39">
        <v>0</v>
      </c>
      <c r="L20" s="39">
        <v>3</v>
      </c>
      <c r="M20" s="39" t="s">
        <v>64</v>
      </c>
      <c r="N20" s="39">
        <f>IF(EnemyGameData[[#This Row],[SpacingRad]]&lt;3,5,EnemyGameData[[#This Row],[SpacingRad]]+1)</f>
        <v>5</v>
      </c>
      <c r="O20" s="39">
        <v>0</v>
      </c>
      <c r="P20" s="39">
        <v>0</v>
      </c>
      <c r="Q20" s="39">
        <v>25</v>
      </c>
      <c r="R20" s="39">
        <v>25</v>
      </c>
      <c r="T20" s="39" t="s">
        <v>885</v>
      </c>
      <c r="V20" s="20">
        <f>AVERAGE(EnemyGameData[[#This Row],[GoldDropMin]],EnemyGameData[[#This Row],[GoldDropMax]])</f>
        <v>25</v>
      </c>
    </row>
    <row r="24" spans="2:22">
      <c r="S24"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DAE3F3"/>
  </sheetPr>
  <dimension ref="B1:Q135"/>
  <sheetViews>
    <sheetView topLeftCell="A94" zoomScaleNormal="75" zoomScaleSheetLayoutView="100" workbookViewId="0">
      <selection activeCell="K130" sqref="K130"/>
    </sheetView>
  </sheetViews>
  <sheetFormatPr defaultColWidth="8.796875" defaultRowHeight="17.399999999999999"/>
  <cols>
    <col min="2" max="2" width="8.69921875" bestFit="1" customWidth="1"/>
    <col min="3" max="3" width="23.5" customWidth="1"/>
    <col min="4" max="4" width="15" bestFit="1" customWidth="1"/>
    <col min="5" max="5" width="14.69921875" customWidth="1"/>
    <col min="6" max="6" width="13.296875" bestFit="1" customWidth="1"/>
    <col min="7" max="7" width="14.69921875" bestFit="1" customWidth="1"/>
    <col min="8" max="8" width="23.796875" bestFit="1" customWidth="1"/>
    <col min="9" max="9" width="22.19921875" bestFit="1" customWidth="1"/>
  </cols>
  <sheetData>
    <row r="1" spans="2:9">
      <c r="B1" t="s">
        <v>24</v>
      </c>
      <c r="C1" t="s">
        <v>26</v>
      </c>
      <c r="D1" t="s">
        <v>24</v>
      </c>
      <c r="E1" t="s">
        <v>65</v>
      </c>
      <c r="F1" t="s">
        <v>51</v>
      </c>
      <c r="G1" t="s">
        <v>51</v>
      </c>
      <c r="H1" s="11" t="s">
        <v>231</v>
      </c>
      <c r="I1" s="11" t="s">
        <v>231</v>
      </c>
    </row>
    <row r="2" spans="2:9">
      <c r="B2" t="s">
        <v>38</v>
      </c>
      <c r="C2" s="5" t="s">
        <v>22</v>
      </c>
      <c r="D2" t="s">
        <v>186</v>
      </c>
      <c r="E2" t="s">
        <v>66</v>
      </c>
      <c r="F2" t="s">
        <v>185</v>
      </c>
      <c r="G2" t="s">
        <v>183</v>
      </c>
      <c r="H2" s="11" t="s">
        <v>231</v>
      </c>
      <c r="I2" s="11" t="s">
        <v>282</v>
      </c>
    </row>
    <row r="3" spans="2:9">
      <c r="B3">
        <v>600</v>
      </c>
      <c r="C3" s="15" t="s">
        <v>274</v>
      </c>
      <c r="D3">
        <v>700</v>
      </c>
      <c r="E3" t="s">
        <v>90</v>
      </c>
      <c r="F3">
        <v>1.5</v>
      </c>
      <c r="G3">
        <v>0.6</v>
      </c>
      <c r="H3" t="str">
        <f>INDEX(ShootTable['#설명],MATCH(EnemyAtkTable[[#This Row],[ShootDataId]],ShootTable[Index],0))</f>
        <v>4발 상하좌우 뿌리기</v>
      </c>
      <c r="I3">
        <f>SUMIF(EnemyAtkTable[Index],EnemyAtkTable[[#This Row],[Index]],EnemyAtkTable[BeforeDelay])+SUMIF(EnemyAtkTable[Index],EnemyAtkTable[[#This Row],[Index]],EnemyAtkTable[AfterDelay])</f>
        <v>2.1</v>
      </c>
    </row>
    <row r="4" spans="2:9">
      <c r="B4">
        <v>607</v>
      </c>
      <c r="C4" s="17" t="s">
        <v>268</v>
      </c>
      <c r="D4">
        <v>701</v>
      </c>
      <c r="E4" t="s">
        <v>90</v>
      </c>
      <c r="F4">
        <v>1.2669999999999999</v>
      </c>
      <c r="G4">
        <v>0.33300000000000002</v>
      </c>
      <c r="H4" t="str">
        <f>INDEX(ShootTable['#설명],MATCH(EnemyAtkTable[[#This Row],[ShootDataId]],ShootTable[Index],0))</f>
        <v>4발 대각상하좌우 뿌리기</v>
      </c>
      <c r="I4">
        <f>SUMIF(EnemyAtkTable[Index],EnemyAtkTable[[#This Row],[Index]],EnemyAtkTable[BeforeDelay])+SUMIF(EnemyAtkTable[Index],EnemyAtkTable[[#This Row],[Index]],EnemyAtkTable[AfterDelay])</f>
        <v>1.5999999999999999</v>
      </c>
    </row>
    <row r="5" spans="2:9">
      <c r="B5">
        <v>601</v>
      </c>
      <c r="C5" s="13" t="s">
        <v>237</v>
      </c>
      <c r="D5">
        <v>702</v>
      </c>
      <c r="E5" t="s">
        <v>86</v>
      </c>
      <c r="F5">
        <v>1.3</v>
      </c>
      <c r="G5">
        <v>0.2</v>
      </c>
      <c r="H5" t="str">
        <f>INDEX(ShootTable['#설명],MATCH(EnemyAtkTable[[#This Row],[ShootDataId]],ShootTable[Index],0))</f>
        <v>정방향 발사</v>
      </c>
      <c r="I5">
        <f>SUMIF(EnemyAtkTable[Index],EnemyAtkTable[[#This Row],[Index]],EnemyAtkTable[BeforeDelay])+SUMIF(EnemyAtkTable[Index],EnemyAtkTable[[#This Row],[Index]],EnemyAtkTable[AfterDelay])</f>
        <v>3.5</v>
      </c>
    </row>
    <row r="6" spans="2:9">
      <c r="B6">
        <v>651</v>
      </c>
      <c r="C6" s="17" t="s">
        <v>293</v>
      </c>
      <c r="D6">
        <v>702</v>
      </c>
      <c r="E6" t="s">
        <v>86</v>
      </c>
      <c r="F6">
        <v>0</v>
      </c>
      <c r="G6">
        <v>0.2</v>
      </c>
      <c r="H6" t="str">
        <f>INDEX(ShootTable['#설명],MATCH(EnemyAtkTable[[#This Row],[ShootDataId]],ShootTable[Index],0))</f>
        <v>정방향 발사</v>
      </c>
      <c r="I6">
        <f>SUMIF(EnemyAtkTable[Index],EnemyAtkTable[[#This Row],[Index]],EnemyAtkTable[BeforeDelay])+SUMIF(EnemyAtkTable[Index],EnemyAtkTable[[#This Row],[Index]],EnemyAtkTable[AfterDelay])</f>
        <v>5.1670000000000007</v>
      </c>
    </row>
    <row r="7" spans="2:9">
      <c r="B7">
        <v>601</v>
      </c>
      <c r="C7" s="13" t="s">
        <v>237</v>
      </c>
      <c r="D7">
        <v>703</v>
      </c>
      <c r="E7" t="s">
        <v>86</v>
      </c>
      <c r="F7">
        <v>0</v>
      </c>
      <c r="G7">
        <v>0.6</v>
      </c>
      <c r="H7" t="str">
        <f>INDEX(ShootTable['#설명],MATCH(EnemyAtkTable[[#This Row],[ShootDataId]],ShootTable[Index],0))</f>
        <v>기관총 난사 5도</v>
      </c>
      <c r="I7">
        <f>SUMIF(EnemyAtkTable[Index],EnemyAtkTable[[#This Row],[Index]],EnemyAtkTable[BeforeDelay])+SUMIF(EnemyAtkTable[Index],EnemyAtkTable[[#This Row],[Index]],EnemyAtkTable[AfterDelay])</f>
        <v>3.5</v>
      </c>
    </row>
    <row r="8" spans="2:9">
      <c r="B8">
        <v>651</v>
      </c>
      <c r="C8" s="17" t="s">
        <v>293</v>
      </c>
      <c r="D8">
        <v>705</v>
      </c>
      <c r="E8" t="s">
        <v>86</v>
      </c>
      <c r="F8">
        <v>0</v>
      </c>
      <c r="G8">
        <v>0.2</v>
      </c>
      <c r="H8" t="str">
        <f>INDEX(ShootTable['#설명],MATCH(EnemyAtkTable[[#This Row],[ShootDataId]],ShootTable[Index],0))</f>
        <v>기관총 난사 15도</v>
      </c>
      <c r="I8">
        <f>SUMIF(EnemyAtkTable[Index],EnemyAtkTable[[#This Row],[Index]],EnemyAtkTable[BeforeDelay])+SUMIF(EnemyAtkTable[Index],EnemyAtkTable[[#This Row],[Index]],EnemyAtkTable[AfterDelay])</f>
        <v>5.1670000000000007</v>
      </c>
    </row>
    <row r="9" spans="2:9">
      <c r="B9">
        <v>601</v>
      </c>
      <c r="C9" s="13" t="s">
        <v>237</v>
      </c>
      <c r="D9">
        <v>706</v>
      </c>
      <c r="E9" t="s">
        <v>86</v>
      </c>
      <c r="F9">
        <v>0</v>
      </c>
      <c r="G9">
        <v>0.2</v>
      </c>
      <c r="H9" t="str">
        <f>INDEX(ShootTable['#설명],MATCH(EnemyAtkTable[[#This Row],[ShootDataId]],ShootTable[Index],0))</f>
        <v>기관총 난사 20도</v>
      </c>
      <c r="I9">
        <f>SUMIF(EnemyAtkTable[Index],EnemyAtkTable[[#This Row],[Index]],EnemyAtkTable[BeforeDelay])+SUMIF(EnemyAtkTable[Index],EnemyAtkTable[[#This Row],[Index]],EnemyAtkTable[AfterDelay])</f>
        <v>3.5</v>
      </c>
    </row>
    <row r="10" spans="2:9">
      <c r="B10">
        <v>651</v>
      </c>
      <c r="C10" s="17" t="s">
        <v>293</v>
      </c>
      <c r="D10">
        <v>706</v>
      </c>
      <c r="E10" t="s">
        <v>86</v>
      </c>
      <c r="F10">
        <v>0</v>
      </c>
      <c r="G10">
        <v>0.2</v>
      </c>
      <c r="H10" t="str">
        <f>INDEX(ShootTable['#설명],MATCH(EnemyAtkTable[[#This Row],[ShootDataId]],ShootTable[Index],0))</f>
        <v>기관총 난사 20도</v>
      </c>
      <c r="I10">
        <f>SUMIF(EnemyAtkTable[Index],EnemyAtkTable[[#This Row],[Index]],EnemyAtkTable[BeforeDelay])+SUMIF(EnemyAtkTable[Index],EnemyAtkTable[[#This Row],[Index]],EnemyAtkTable[AfterDelay])</f>
        <v>5.1670000000000007</v>
      </c>
    </row>
    <row r="11" spans="2:9">
      <c r="B11">
        <v>601</v>
      </c>
      <c r="C11" s="13" t="s">
        <v>237</v>
      </c>
      <c r="D11">
        <v>708</v>
      </c>
      <c r="E11" t="s">
        <v>86</v>
      </c>
      <c r="F11">
        <v>0</v>
      </c>
      <c r="G11">
        <v>0.2</v>
      </c>
      <c r="H11" t="str">
        <f>INDEX(ShootTable['#설명],MATCH(EnemyAtkTable[[#This Row],[ShootDataId]],ShootTable[Index],0))</f>
        <v>기관총 난사 30도</v>
      </c>
      <c r="I11">
        <f>SUMIF(EnemyAtkTable[Index],EnemyAtkTable[[#This Row],[Index]],EnemyAtkTable[BeforeDelay])+SUMIF(EnemyAtkTable[Index],EnemyAtkTable[[#This Row],[Index]],EnemyAtkTable[AfterDelay])</f>
        <v>3.5</v>
      </c>
    </row>
    <row r="12" spans="2:9">
      <c r="B12">
        <v>651</v>
      </c>
      <c r="C12" s="17" t="s">
        <v>293</v>
      </c>
      <c r="D12">
        <v>708</v>
      </c>
      <c r="E12" t="s">
        <v>86</v>
      </c>
      <c r="F12">
        <v>0</v>
      </c>
      <c r="G12">
        <v>0.2</v>
      </c>
      <c r="H12" t="str">
        <f>INDEX(ShootTable['#설명],MATCH(EnemyAtkTable[[#This Row],[ShootDataId]],ShootTable[Index],0))</f>
        <v>기관총 난사 30도</v>
      </c>
      <c r="I12">
        <f>SUMIF(EnemyAtkTable[Index],EnemyAtkTable[[#This Row],[Index]],EnemyAtkTable[BeforeDelay])+SUMIF(EnemyAtkTable[Index],EnemyAtkTable[[#This Row],[Index]],EnemyAtkTable[AfterDelay])</f>
        <v>5.1670000000000007</v>
      </c>
    </row>
    <row r="13" spans="2:9">
      <c r="B13">
        <v>651</v>
      </c>
      <c r="C13" s="17" t="s">
        <v>293</v>
      </c>
      <c r="D13">
        <v>708</v>
      </c>
      <c r="E13" t="s">
        <v>86</v>
      </c>
      <c r="F13">
        <v>0</v>
      </c>
      <c r="G13">
        <v>0.2</v>
      </c>
      <c r="H13" t="str">
        <f>INDEX(ShootTable['#설명],MATCH(EnemyAtkTable[[#This Row],[ShootDataId]],ShootTable[Index],0))</f>
        <v>기관총 난사 30도</v>
      </c>
      <c r="I13">
        <f>SUMIF(EnemyAtkTable[Index],EnemyAtkTable[[#This Row],[Index]],EnemyAtkTable[BeforeDelay])+SUMIF(EnemyAtkTable[Index],EnemyAtkTable[[#This Row],[Index]],EnemyAtkTable[AfterDelay])</f>
        <v>5.1670000000000007</v>
      </c>
    </row>
    <row r="14" spans="2:9">
      <c r="B14">
        <v>651</v>
      </c>
      <c r="C14" s="17" t="s">
        <v>293</v>
      </c>
      <c r="D14">
        <v>708</v>
      </c>
      <c r="E14" t="s">
        <v>86</v>
      </c>
      <c r="F14">
        <v>0</v>
      </c>
      <c r="G14">
        <v>0.2</v>
      </c>
      <c r="H14" t="str">
        <f>INDEX(ShootTable['#설명],MATCH(EnemyAtkTable[[#This Row],[ShootDataId]],ShootTable[Index],0))</f>
        <v>기관총 난사 30도</v>
      </c>
      <c r="I14">
        <f>SUMIF(EnemyAtkTable[Index],EnemyAtkTable[[#This Row],[Index]],EnemyAtkTable[BeforeDelay])+SUMIF(EnemyAtkTable[Index],EnemyAtkTable[[#This Row],[Index]],EnemyAtkTable[AfterDelay])</f>
        <v>5.1670000000000007</v>
      </c>
    </row>
    <row r="15" spans="2:9">
      <c r="B15">
        <v>651</v>
      </c>
      <c r="C15" s="17" t="s">
        <v>293</v>
      </c>
      <c r="D15">
        <v>708</v>
      </c>
      <c r="E15" t="s">
        <v>86</v>
      </c>
      <c r="F15">
        <v>0</v>
      </c>
      <c r="G15">
        <v>0.2</v>
      </c>
      <c r="H15" t="str">
        <f>INDEX(ShootTable['#설명],MATCH(EnemyAtkTable[[#This Row],[ShootDataId]],ShootTable[Index],0))</f>
        <v>기관총 난사 30도</v>
      </c>
      <c r="I15">
        <f>SUMIF(EnemyAtkTable[Index],EnemyAtkTable[[#This Row],[Index]],EnemyAtkTable[BeforeDelay])+SUMIF(EnemyAtkTable[Index],EnemyAtkTable[[#This Row],[Index]],EnemyAtkTable[AfterDelay])</f>
        <v>5.1670000000000007</v>
      </c>
    </row>
    <row r="16" spans="2:9">
      <c r="B16">
        <v>601</v>
      </c>
      <c r="C16" s="13" t="s">
        <v>237</v>
      </c>
      <c r="D16">
        <v>709</v>
      </c>
      <c r="E16" t="s">
        <v>86</v>
      </c>
      <c r="F16">
        <v>0</v>
      </c>
      <c r="G16">
        <v>0.2</v>
      </c>
      <c r="H16" t="str">
        <f>INDEX(ShootTable['#설명],MATCH(EnemyAtkTable[[#This Row],[ShootDataId]],ShootTable[Index],0))</f>
        <v>기관총 난사 35도</v>
      </c>
      <c r="I16">
        <f>SUMIF(EnemyAtkTable[Index],EnemyAtkTable[[#This Row],[Index]],EnemyAtkTable[BeforeDelay])+SUMIF(EnemyAtkTable[Index],EnemyAtkTable[[#This Row],[Index]],EnemyAtkTable[AfterDelay])</f>
        <v>3.5</v>
      </c>
    </row>
    <row r="17" spans="2:9">
      <c r="B17">
        <v>601</v>
      </c>
      <c r="C17" s="13" t="s">
        <v>237</v>
      </c>
      <c r="D17">
        <v>710</v>
      </c>
      <c r="E17" t="s">
        <v>86</v>
      </c>
      <c r="F17">
        <v>0</v>
      </c>
      <c r="G17">
        <v>0.2</v>
      </c>
      <c r="H17" t="str">
        <f>INDEX(ShootTable['#설명],MATCH(EnemyAtkTable[[#This Row],[ShootDataId]],ShootTable[Index],0))</f>
        <v>기관총 난사 40도</v>
      </c>
      <c r="I17">
        <f>SUMIF(EnemyAtkTable[Index],EnemyAtkTable[[#This Row],[Index]],EnemyAtkTable[BeforeDelay])+SUMIF(EnemyAtkTable[Index],EnemyAtkTable[[#This Row],[Index]],EnemyAtkTable[AfterDelay])</f>
        <v>3.5</v>
      </c>
    </row>
    <row r="18" spans="2:9">
      <c r="B18">
        <v>601</v>
      </c>
      <c r="C18" s="13" t="s">
        <v>237</v>
      </c>
      <c r="D18">
        <v>711</v>
      </c>
      <c r="E18" t="s">
        <v>86</v>
      </c>
      <c r="F18">
        <v>0</v>
      </c>
      <c r="G18">
        <v>0.2</v>
      </c>
      <c r="H18" t="str">
        <f>INDEX(ShootTable['#설명],MATCH(EnemyAtkTable[[#This Row],[ShootDataId]],ShootTable[Index],0))</f>
        <v>기관총 난사 -5도</v>
      </c>
      <c r="I18">
        <f>SUMIF(EnemyAtkTable[Index],EnemyAtkTable[[#This Row],[Index]],EnemyAtkTable[BeforeDelay])+SUMIF(EnemyAtkTable[Index],EnemyAtkTable[[#This Row],[Index]],EnemyAtkTable[AfterDelay])</f>
        <v>3.5</v>
      </c>
    </row>
    <row r="19" spans="2:9">
      <c r="B19">
        <v>651</v>
      </c>
      <c r="C19" s="17" t="s">
        <v>293</v>
      </c>
      <c r="D19">
        <v>711</v>
      </c>
      <c r="E19" t="s">
        <v>86</v>
      </c>
      <c r="F19">
        <v>0</v>
      </c>
      <c r="G19">
        <v>0.2</v>
      </c>
      <c r="H19" t="str">
        <f>INDEX(ShootTable['#설명],MATCH(EnemyAtkTable[[#This Row],[ShootDataId]],ShootTable[Index],0))</f>
        <v>기관총 난사 -5도</v>
      </c>
      <c r="I19">
        <f>SUMIF(EnemyAtkTable[Index],EnemyAtkTable[[#This Row],[Index]],EnemyAtkTable[BeforeDelay])+SUMIF(EnemyAtkTable[Index],EnemyAtkTable[[#This Row],[Index]],EnemyAtkTable[AfterDelay])</f>
        <v>5.1670000000000007</v>
      </c>
    </row>
    <row r="20" spans="2:9">
      <c r="B20">
        <v>651</v>
      </c>
      <c r="C20" s="17" t="s">
        <v>293</v>
      </c>
      <c r="D20">
        <v>711</v>
      </c>
      <c r="E20" t="s">
        <v>86</v>
      </c>
      <c r="F20">
        <v>0</v>
      </c>
      <c r="G20">
        <v>0.2</v>
      </c>
      <c r="H20" t="str">
        <f>INDEX(ShootTable['#설명],MATCH(EnemyAtkTable[[#This Row],[ShootDataId]],ShootTable[Index],0))</f>
        <v>기관총 난사 -5도</v>
      </c>
      <c r="I20">
        <f>SUMIF(EnemyAtkTable[Index],EnemyAtkTable[[#This Row],[Index]],EnemyAtkTable[BeforeDelay])+SUMIF(EnemyAtkTable[Index],EnemyAtkTable[[#This Row],[Index]],EnemyAtkTable[AfterDelay])</f>
        <v>5.1670000000000007</v>
      </c>
    </row>
    <row r="21" spans="2:9">
      <c r="B21">
        <v>601</v>
      </c>
      <c r="C21" s="13" t="s">
        <v>237</v>
      </c>
      <c r="D21">
        <v>712</v>
      </c>
      <c r="E21" t="s">
        <v>86</v>
      </c>
      <c r="F21">
        <v>0</v>
      </c>
      <c r="G21">
        <v>0.2</v>
      </c>
      <c r="H21" t="str">
        <f>INDEX(ShootTable['#설명],MATCH(EnemyAtkTable[[#This Row],[ShootDataId]],ShootTable[Index],0))</f>
        <v>기관총 난사 -10도</v>
      </c>
      <c r="I21">
        <f>SUMIF(EnemyAtkTable[Index],EnemyAtkTable[[#This Row],[Index]],EnemyAtkTable[BeforeDelay])+SUMIF(EnemyAtkTable[Index],EnemyAtkTable[[#This Row],[Index]],EnemyAtkTable[AfterDelay])</f>
        <v>3.5</v>
      </c>
    </row>
    <row r="22" spans="2:9">
      <c r="B22">
        <v>651</v>
      </c>
      <c r="C22" s="17" t="s">
        <v>293</v>
      </c>
      <c r="D22">
        <v>712</v>
      </c>
      <c r="E22" t="s">
        <v>86</v>
      </c>
      <c r="F22">
        <v>0</v>
      </c>
      <c r="G22">
        <v>0.2</v>
      </c>
      <c r="H22" t="str">
        <f>INDEX(ShootTable['#설명],MATCH(EnemyAtkTable[[#This Row],[ShootDataId]],ShootTable[Index],0))</f>
        <v>기관총 난사 -10도</v>
      </c>
      <c r="I22">
        <f>SUMIF(EnemyAtkTable[Index],EnemyAtkTable[[#This Row],[Index]],EnemyAtkTable[BeforeDelay])+SUMIF(EnemyAtkTable[Index],EnemyAtkTable[[#This Row],[Index]],EnemyAtkTable[AfterDelay])</f>
        <v>5.1670000000000007</v>
      </c>
    </row>
    <row r="23" spans="2:9">
      <c r="B23">
        <v>651</v>
      </c>
      <c r="C23" s="17" t="s">
        <v>293</v>
      </c>
      <c r="D23">
        <v>712</v>
      </c>
      <c r="E23" t="s">
        <v>86</v>
      </c>
      <c r="F23">
        <v>0</v>
      </c>
      <c r="G23">
        <v>0.2</v>
      </c>
      <c r="H23" t="str">
        <f>INDEX(ShootTable['#설명],MATCH(EnemyAtkTable[[#This Row],[ShootDataId]],ShootTable[Index],0))</f>
        <v>기관총 난사 -10도</v>
      </c>
      <c r="I23">
        <f>SUMIF(EnemyAtkTable[Index],EnemyAtkTable[[#This Row],[Index]],EnemyAtkTable[BeforeDelay])+SUMIF(EnemyAtkTable[Index],EnemyAtkTable[[#This Row],[Index]],EnemyAtkTable[AfterDelay])</f>
        <v>5.1670000000000007</v>
      </c>
    </row>
    <row r="24" spans="2:9">
      <c r="B24">
        <v>651</v>
      </c>
      <c r="C24" s="17" t="s">
        <v>293</v>
      </c>
      <c r="D24">
        <v>713</v>
      </c>
      <c r="E24" t="s">
        <v>86</v>
      </c>
      <c r="F24">
        <v>0</v>
      </c>
      <c r="G24">
        <v>0.2</v>
      </c>
      <c r="H24" t="str">
        <f>INDEX(ShootTable['#설명],MATCH(EnemyAtkTable[[#This Row],[ShootDataId]],ShootTable[Index],0))</f>
        <v>기관총 난사 -15도</v>
      </c>
      <c r="I24">
        <f>SUMIF(EnemyAtkTable[Index],EnemyAtkTable[[#This Row],[Index]],EnemyAtkTable[BeforeDelay])+SUMIF(EnemyAtkTable[Index],EnemyAtkTable[[#This Row],[Index]],EnemyAtkTable[AfterDelay])</f>
        <v>5.1670000000000007</v>
      </c>
    </row>
    <row r="25" spans="2:9">
      <c r="B25">
        <v>651</v>
      </c>
      <c r="C25" s="17" t="s">
        <v>293</v>
      </c>
      <c r="D25">
        <v>713</v>
      </c>
      <c r="E25" t="s">
        <v>86</v>
      </c>
      <c r="F25">
        <v>0</v>
      </c>
      <c r="G25">
        <v>0.2</v>
      </c>
      <c r="H25" t="str">
        <f>INDEX(ShootTable['#설명],MATCH(EnemyAtkTable[[#This Row],[ShootDataId]],ShootTable[Index],0))</f>
        <v>기관총 난사 -15도</v>
      </c>
      <c r="I25">
        <f>SUMIF(EnemyAtkTable[Index],EnemyAtkTable[[#This Row],[Index]],EnemyAtkTable[BeforeDelay])+SUMIF(EnemyAtkTable[Index],EnemyAtkTable[[#This Row],[Index]],EnemyAtkTable[AfterDelay])</f>
        <v>5.1670000000000007</v>
      </c>
    </row>
    <row r="26" spans="2:9">
      <c r="B26">
        <v>651</v>
      </c>
      <c r="C26" s="17" t="s">
        <v>293</v>
      </c>
      <c r="D26">
        <v>716</v>
      </c>
      <c r="E26" t="s">
        <v>86</v>
      </c>
      <c r="F26">
        <v>1.5669999999999999</v>
      </c>
      <c r="G26">
        <v>0.2</v>
      </c>
      <c r="H26" t="str">
        <f>INDEX(ShootTable['#설명],MATCH(EnemyAtkTable[[#This Row],[ShootDataId]],ShootTable[Index],0))</f>
        <v>기관총 난사 -30도</v>
      </c>
      <c r="I26">
        <f>SUMIF(EnemyAtkTable[Index],EnemyAtkTable[[#This Row],[Index]],EnemyAtkTable[BeforeDelay])+SUMIF(EnemyAtkTable[Index],EnemyAtkTable[[#This Row],[Index]],EnemyAtkTable[AfterDelay])</f>
        <v>5.1670000000000007</v>
      </c>
    </row>
    <row r="27" spans="2:9">
      <c r="B27">
        <v>651</v>
      </c>
      <c r="C27" s="17" t="s">
        <v>293</v>
      </c>
      <c r="D27">
        <v>717</v>
      </c>
      <c r="E27" t="s">
        <v>86</v>
      </c>
      <c r="F27">
        <v>0</v>
      </c>
      <c r="G27">
        <v>0.6</v>
      </c>
      <c r="H27" t="str">
        <f>INDEX(ShootTable['#설명],MATCH(EnemyAtkTable[[#This Row],[ShootDataId]],ShootTable[Index],0))</f>
        <v>기관총 난사 -35도</v>
      </c>
      <c r="I27">
        <f>SUMIF(EnemyAtkTable[Index],EnemyAtkTable[[#This Row],[Index]],EnemyAtkTable[BeforeDelay])+SUMIF(EnemyAtkTable[Index],EnemyAtkTable[[#This Row],[Index]],EnemyAtkTable[AfterDelay])</f>
        <v>5.1670000000000007</v>
      </c>
    </row>
    <row r="28" spans="2:9">
      <c r="B28">
        <v>601</v>
      </c>
      <c r="C28" s="13" t="s">
        <v>237</v>
      </c>
      <c r="D28">
        <v>718</v>
      </c>
      <c r="E28" t="s">
        <v>86</v>
      </c>
      <c r="F28">
        <v>0</v>
      </c>
      <c r="G28">
        <v>0.2</v>
      </c>
      <c r="H28" t="str">
        <f>INDEX(ShootTable['#설명],MATCH(EnemyAtkTable[[#This Row],[ShootDataId]],ShootTable[Index],0))</f>
        <v>기관총 난사 -40도</v>
      </c>
      <c r="I28">
        <f>SUMIF(EnemyAtkTable[Index],EnemyAtkTable[[#This Row],[Index]],EnemyAtkTable[BeforeDelay])+SUMIF(EnemyAtkTable[Index],EnemyAtkTable[[#This Row],[Index]],EnemyAtkTable[AfterDelay])</f>
        <v>3.5</v>
      </c>
    </row>
    <row r="29" spans="2:9">
      <c r="B29">
        <v>651</v>
      </c>
      <c r="C29" s="17" t="s">
        <v>293</v>
      </c>
      <c r="D29">
        <v>718</v>
      </c>
      <c r="E29" t="s">
        <v>86</v>
      </c>
      <c r="F29">
        <v>0</v>
      </c>
      <c r="G29">
        <v>0.2</v>
      </c>
      <c r="H29" t="str">
        <f>INDEX(ShootTable['#설명],MATCH(EnemyAtkTable[[#This Row],[ShootDataId]],ShootTable[Index],0))</f>
        <v>기관총 난사 -40도</v>
      </c>
      <c r="I29">
        <f>SUMIF(EnemyAtkTable[Index],EnemyAtkTable[[#This Row],[Index]],EnemyAtkTable[BeforeDelay])+SUMIF(EnemyAtkTable[Index],EnemyAtkTable[[#This Row],[Index]],EnemyAtkTable[AfterDelay])</f>
        <v>5.1670000000000007</v>
      </c>
    </row>
    <row r="30" spans="2:9">
      <c r="B30">
        <v>602</v>
      </c>
      <c r="C30" s="15" t="s">
        <v>270</v>
      </c>
      <c r="D30">
        <v>719</v>
      </c>
      <c r="E30" t="s">
        <v>86</v>
      </c>
      <c r="F30">
        <v>1.6</v>
      </c>
      <c r="G30">
        <v>0.6</v>
      </c>
      <c r="H30" t="str">
        <f>INDEX(ShootTable['#설명],MATCH(EnemyAtkTable[[#This Row],[ShootDataId]],ShootTable[Index],0))</f>
        <v>정방향 발사</v>
      </c>
      <c r="I30">
        <f>SUMIF(EnemyAtkTable[Index],EnemyAtkTable[[#This Row],[Index]],EnemyAtkTable[BeforeDelay])+SUMIF(EnemyAtkTable[Index],EnemyAtkTable[[#This Row],[Index]],EnemyAtkTable[AfterDelay])</f>
        <v>2.2000000000000002</v>
      </c>
    </row>
    <row r="31" spans="2:9">
      <c r="B31">
        <v>603</v>
      </c>
      <c r="C31" s="4" t="s">
        <v>92</v>
      </c>
      <c r="D31">
        <v>720</v>
      </c>
      <c r="E31" t="s">
        <v>86</v>
      </c>
      <c r="F31">
        <v>1.9</v>
      </c>
      <c r="G31">
        <v>0.4</v>
      </c>
      <c r="H31" t="str">
        <f>INDEX(ShootTable['#설명],MATCH(EnemyAtkTable[[#This Row],[ShootDataId]],ShootTable[Index],0))</f>
        <v>샷건 8불릿 발사</v>
      </c>
      <c r="I31">
        <f>SUMIF(EnemyAtkTable[Index],EnemyAtkTable[[#This Row],[Index]],EnemyAtkTable[BeforeDelay])+SUMIF(EnemyAtkTable[Index],EnemyAtkTable[[#This Row],[Index]],EnemyAtkTable[AfterDelay])</f>
        <v>2.2999999999999998</v>
      </c>
    </row>
    <row r="32" spans="2:9">
      <c r="B32">
        <v>604</v>
      </c>
      <c r="C32" s="15" t="s">
        <v>278</v>
      </c>
      <c r="D32">
        <v>721</v>
      </c>
      <c r="E32" t="s">
        <v>86</v>
      </c>
      <c r="F32">
        <v>1.9</v>
      </c>
      <c r="G32">
        <v>0.4</v>
      </c>
      <c r="H32" t="str">
        <f>INDEX(ShootTable['#설명],MATCH(EnemyAtkTable[[#This Row],[ShootDataId]],ShootTable[Index],0))</f>
        <v>샷건 8불릿 발사 랜덤1</v>
      </c>
      <c r="I32">
        <f>SUMIF(EnemyAtkTable[Index],EnemyAtkTable[[#This Row],[Index]],EnemyAtkTable[BeforeDelay])+SUMIF(EnemyAtkTable[Index],EnemyAtkTable[[#This Row],[Index]],EnemyAtkTable[AfterDelay])</f>
        <v>6.2</v>
      </c>
    </row>
    <row r="33" spans="2:9">
      <c r="B33">
        <v>604</v>
      </c>
      <c r="C33" s="15" t="s">
        <v>278</v>
      </c>
      <c r="D33">
        <v>722</v>
      </c>
      <c r="E33" t="s">
        <v>86</v>
      </c>
      <c r="F33">
        <v>1.5</v>
      </c>
      <c r="G33">
        <v>0.4</v>
      </c>
      <c r="H33" t="str">
        <f>INDEX(ShootTable['#설명],MATCH(EnemyAtkTable[[#This Row],[ShootDataId]],ShootTable[Index],0))</f>
        <v>샷건 8불릿 발사 랜덤2</v>
      </c>
      <c r="I33">
        <f>SUMIF(EnemyAtkTable[Index],EnemyAtkTable[[#This Row],[Index]],EnemyAtkTable[BeforeDelay])+SUMIF(EnemyAtkTable[Index],EnemyAtkTable[[#This Row],[Index]],EnemyAtkTable[AfterDelay])</f>
        <v>6.2</v>
      </c>
    </row>
    <row r="34" spans="2:9">
      <c r="B34">
        <v>604</v>
      </c>
      <c r="C34" s="15" t="s">
        <v>278</v>
      </c>
      <c r="D34">
        <v>723</v>
      </c>
      <c r="E34" t="s">
        <v>86</v>
      </c>
      <c r="F34">
        <v>1.5</v>
      </c>
      <c r="G34">
        <v>0.5</v>
      </c>
      <c r="H34" t="str">
        <f>INDEX(ShootTable['#설명],MATCH(EnemyAtkTable[[#This Row],[ShootDataId]],ShootTable[Index],0))</f>
        <v>샷건 8불릿 발사 랜덤3</v>
      </c>
      <c r="I34">
        <f>SUMIF(EnemyAtkTable[Index],EnemyAtkTable[[#This Row],[Index]],EnemyAtkTable[BeforeDelay])+SUMIF(EnemyAtkTable[Index],EnemyAtkTable[[#This Row],[Index]],EnemyAtkTable[AfterDelay])</f>
        <v>6.2</v>
      </c>
    </row>
    <row r="35" spans="2:9">
      <c r="B35">
        <v>605</v>
      </c>
      <c r="C35" s="15" t="s">
        <v>269</v>
      </c>
      <c r="D35">
        <v>724</v>
      </c>
      <c r="E35" t="s">
        <v>86</v>
      </c>
      <c r="F35">
        <v>1.9</v>
      </c>
      <c r="G35">
        <v>0.4</v>
      </c>
      <c r="H35" t="str">
        <f>INDEX(ShootTable['#설명],MATCH(EnemyAtkTable[[#This Row],[ShootDataId]],ShootTable[Index],0))</f>
        <v>3발 발사</v>
      </c>
      <c r="I35">
        <f>SUMIF(EnemyAtkTable[Index],EnemyAtkTable[[#This Row],[Index]],EnemyAtkTable[BeforeDelay])+SUMIF(EnemyAtkTable[Index],EnemyAtkTable[[#This Row],[Index]],EnemyAtkTable[AfterDelay])</f>
        <v>2.2999999999999998</v>
      </c>
    </row>
    <row r="36" spans="2:9">
      <c r="B36">
        <v>606</v>
      </c>
      <c r="C36" s="4" t="s">
        <v>208</v>
      </c>
      <c r="D36">
        <v>724</v>
      </c>
      <c r="E36" t="s">
        <v>86</v>
      </c>
      <c r="F36">
        <v>0</v>
      </c>
      <c r="G36">
        <v>1.5</v>
      </c>
      <c r="H36" t="str">
        <f>INDEX(ShootTable['#설명],MATCH(EnemyAtkTable[[#This Row],[ShootDataId]],ShootTable[Index],0))</f>
        <v>3발 발사</v>
      </c>
      <c r="I36">
        <f>SUMIF(EnemyAtkTable[Index],EnemyAtkTable[[#This Row],[Index]],EnemyAtkTable[BeforeDelay])+SUMIF(EnemyAtkTable[Index],EnemyAtkTable[[#This Row],[Index]],EnemyAtkTable[AfterDelay])</f>
        <v>3.7</v>
      </c>
    </row>
    <row r="37" spans="2:9">
      <c r="B37">
        <v>606</v>
      </c>
      <c r="C37" s="4" t="s">
        <v>208</v>
      </c>
      <c r="D37">
        <v>724</v>
      </c>
      <c r="E37" t="s">
        <v>86</v>
      </c>
      <c r="F37">
        <v>0</v>
      </c>
      <c r="G37">
        <v>1</v>
      </c>
      <c r="H37" t="str">
        <f>INDEX(ShootTable['#설명],MATCH(EnemyAtkTable[[#This Row],[ShootDataId]],ShootTable[Index],0))</f>
        <v>3발 발사</v>
      </c>
      <c r="I37">
        <f>SUMIF(EnemyAtkTable[Index],EnemyAtkTable[[#This Row],[Index]],EnemyAtkTable[BeforeDelay])+SUMIF(EnemyAtkTable[Index],EnemyAtkTable[[#This Row],[Index]],EnemyAtkTable[AfterDelay])</f>
        <v>3.7</v>
      </c>
    </row>
    <row r="38" spans="2:9">
      <c r="B38">
        <v>606</v>
      </c>
      <c r="C38" s="4" t="s">
        <v>208</v>
      </c>
      <c r="D38">
        <v>724</v>
      </c>
      <c r="E38" t="s">
        <v>86</v>
      </c>
      <c r="F38">
        <v>0.2</v>
      </c>
      <c r="G38">
        <v>1</v>
      </c>
      <c r="H38" t="str">
        <f>INDEX(ShootTable['#설명],MATCH(EnemyAtkTable[[#This Row],[ShootDataId]],ShootTable[Index],0))</f>
        <v>3발 발사</v>
      </c>
      <c r="I38">
        <f>SUMIF(EnemyAtkTable[Index],EnemyAtkTable[[#This Row],[Index]],EnemyAtkTable[BeforeDelay])+SUMIF(EnemyAtkTable[Index],EnemyAtkTable[[#This Row],[Index]],EnemyAtkTable[AfterDelay])</f>
        <v>3.7</v>
      </c>
    </row>
    <row r="39" spans="2:9">
      <c r="B39">
        <v>652</v>
      </c>
      <c r="C39" s="17" t="s">
        <v>279</v>
      </c>
      <c r="D39">
        <v>726</v>
      </c>
      <c r="E39" t="s">
        <v>86</v>
      </c>
      <c r="F39">
        <v>1.6</v>
      </c>
      <c r="G39">
        <v>0.6</v>
      </c>
      <c r="H39" t="str">
        <f>INDEX(ShootTable['#설명],MATCH(EnemyAtkTable[[#This Row],[ShootDataId]],ShootTable[Index],0))</f>
        <v>정방향 발사 튕김</v>
      </c>
      <c r="I39">
        <f>SUMIF(EnemyAtkTable[Index],EnemyAtkTable[[#This Row],[Index]],EnemyAtkTable[BeforeDelay])+SUMIF(EnemyAtkTable[Index],EnemyAtkTable[[#This Row],[Index]],EnemyAtkTable[AfterDelay])</f>
        <v>3.4</v>
      </c>
    </row>
    <row r="40" spans="2:9">
      <c r="B40">
        <v>652</v>
      </c>
      <c r="C40" s="17" t="s">
        <v>280</v>
      </c>
      <c r="D40">
        <v>726</v>
      </c>
      <c r="E40" t="s">
        <v>86</v>
      </c>
      <c r="F40">
        <v>0</v>
      </c>
      <c r="G40">
        <v>0.6</v>
      </c>
      <c r="H40" t="str">
        <f>INDEX(ShootTable['#설명],MATCH(EnemyAtkTable[[#This Row],[ShootDataId]],ShootTable[Index],0))</f>
        <v>정방향 발사 튕김</v>
      </c>
      <c r="I40">
        <f>SUMIF(EnemyAtkTable[Index],EnemyAtkTable[[#This Row],[Index]],EnemyAtkTable[BeforeDelay])+SUMIF(EnemyAtkTable[Index],EnemyAtkTable[[#This Row],[Index]],EnemyAtkTable[AfterDelay])</f>
        <v>3.4</v>
      </c>
    </row>
    <row r="41" spans="2:9">
      <c r="B41">
        <v>652</v>
      </c>
      <c r="C41" s="17" t="s">
        <v>281</v>
      </c>
      <c r="D41">
        <v>726</v>
      </c>
      <c r="E41" t="s">
        <v>86</v>
      </c>
      <c r="F41">
        <v>0</v>
      </c>
      <c r="G41">
        <v>0.6</v>
      </c>
      <c r="H41" t="str">
        <f>INDEX(ShootTable['#설명],MATCH(EnemyAtkTable[[#This Row],[ShootDataId]],ShootTable[Index],0))</f>
        <v>정방향 발사 튕김</v>
      </c>
      <c r="I41">
        <f>SUMIF(EnemyAtkTable[Index],EnemyAtkTable[[#This Row],[Index]],EnemyAtkTable[BeforeDelay])+SUMIF(EnemyAtkTable[Index],EnemyAtkTable[[#This Row],[Index]],EnemyAtkTable[AfterDelay])</f>
        <v>3.4</v>
      </c>
    </row>
    <row r="42" spans="2:9">
      <c r="B42">
        <v>650</v>
      </c>
      <c r="C42" s="15" t="s">
        <v>275</v>
      </c>
      <c r="D42">
        <v>727</v>
      </c>
      <c r="E42" t="s">
        <v>90</v>
      </c>
      <c r="F42">
        <v>1.5</v>
      </c>
      <c r="G42">
        <v>0.5</v>
      </c>
      <c r="H42" t="str">
        <f>INDEX(ShootTable['#설명],MATCH(EnemyAtkTable[[#This Row],[ShootDataId]],ShootTable[Index],0))</f>
        <v>16방향 발사</v>
      </c>
      <c r="I42">
        <f>SUMIF(EnemyAtkTable[Index],EnemyAtkTable[[#This Row],[Index]],EnemyAtkTable[BeforeDelay])+SUMIF(EnemyAtkTable[Index],EnemyAtkTable[[#This Row],[Index]],EnemyAtkTable[AfterDelay])</f>
        <v>6.1</v>
      </c>
    </row>
    <row r="43" spans="2:9">
      <c r="B43">
        <v>650</v>
      </c>
      <c r="C43" s="15" t="s">
        <v>276</v>
      </c>
      <c r="D43">
        <v>727</v>
      </c>
      <c r="E43" t="s">
        <v>90</v>
      </c>
      <c r="F43">
        <v>1.5</v>
      </c>
      <c r="G43">
        <v>0.5</v>
      </c>
      <c r="H43" t="str">
        <f>INDEX(ShootTable['#설명],MATCH(EnemyAtkTable[[#This Row],[ShootDataId]],ShootTable[Index],0))</f>
        <v>16방향 발사</v>
      </c>
      <c r="I43">
        <f>SUMIF(EnemyAtkTable[Index],EnemyAtkTable[[#This Row],[Index]],EnemyAtkTable[BeforeDelay])+SUMIF(EnemyAtkTable[Index],EnemyAtkTable[[#This Row],[Index]],EnemyAtkTable[AfterDelay])</f>
        <v>6.1</v>
      </c>
    </row>
    <row r="44" spans="2:9">
      <c r="B44">
        <v>650</v>
      </c>
      <c r="C44" s="15" t="s">
        <v>277</v>
      </c>
      <c r="D44">
        <v>727</v>
      </c>
      <c r="E44" t="s">
        <v>90</v>
      </c>
      <c r="F44">
        <v>1.5</v>
      </c>
      <c r="G44">
        <v>0.6</v>
      </c>
      <c r="H44" t="str">
        <f>INDEX(ShootTable['#설명],MATCH(EnemyAtkTable[[#This Row],[ShootDataId]],ShootTable[Index],0))</f>
        <v>16방향 발사</v>
      </c>
      <c r="I44">
        <f>SUMIF(EnemyAtkTable[Index],EnemyAtkTable[[#This Row],[Index]],EnemyAtkTable[BeforeDelay])+SUMIF(EnemyAtkTable[Index],EnemyAtkTable[[#This Row],[Index]],EnemyAtkTable[AfterDelay])</f>
        <v>6.1</v>
      </c>
    </row>
    <row r="45" spans="2:9">
      <c r="B45" s="16">
        <v>9991</v>
      </c>
      <c r="C45" s="17" t="s">
        <v>263</v>
      </c>
      <c r="D45">
        <v>727</v>
      </c>
      <c r="E45" s="16" t="s">
        <v>261</v>
      </c>
      <c r="F45">
        <v>0.7</v>
      </c>
      <c r="G45">
        <v>0.6</v>
      </c>
      <c r="H45" t="str">
        <f>INDEX(ShootTable['#설명],MATCH(EnemyAtkTable[[#This Row],[ShootDataId]],ShootTable[Index],0))</f>
        <v>16방향 발사</v>
      </c>
      <c r="I45">
        <f>SUMIF(EnemyAtkTable[Index],EnemyAtkTable[[#This Row],[Index]],EnemyAtkTable[BeforeDelay])+SUMIF(EnemyAtkTable[Index],EnemyAtkTable[[#This Row],[Index]],EnemyAtkTable[AfterDelay])</f>
        <v>5.3</v>
      </c>
    </row>
    <row r="46" spans="2:9">
      <c r="B46">
        <v>9992</v>
      </c>
      <c r="C46" s="17" t="s">
        <v>264</v>
      </c>
      <c r="D46">
        <v>727</v>
      </c>
      <c r="E46" s="16" t="s">
        <v>261</v>
      </c>
      <c r="F46">
        <v>0</v>
      </c>
      <c r="G46">
        <v>0.1</v>
      </c>
      <c r="H46" t="str">
        <f>INDEX(ShootTable['#설명],MATCH(EnemyAtkTable[[#This Row],[ShootDataId]],ShootTable[Index],0))</f>
        <v>16방향 발사</v>
      </c>
      <c r="I46">
        <f>SUMIF(EnemyAtkTable[Index],EnemyAtkTable[[#This Row],[Index]],EnemyAtkTable[BeforeDelay])+SUMIF(EnemyAtkTable[Index],EnemyAtkTable[[#This Row],[Index]],EnemyAtkTable[AfterDelay])</f>
        <v>0.1</v>
      </c>
    </row>
    <row r="47" spans="2:9">
      <c r="B47">
        <v>9993</v>
      </c>
      <c r="C47" s="17" t="s">
        <v>265</v>
      </c>
      <c r="D47">
        <v>999</v>
      </c>
      <c r="E47" s="16" t="s">
        <v>262</v>
      </c>
      <c r="F47">
        <v>0.6</v>
      </c>
      <c r="G47">
        <v>0.4</v>
      </c>
      <c r="H47" t="str">
        <f>INDEX(ShootTable['#설명],MATCH(EnemyAtkTable[[#This Row],[ShootDataId]],ShootTable[Index],0))</f>
        <v>듀라한 공 던지기</v>
      </c>
      <c r="I47">
        <f>SUMIF(EnemyAtkTable[Index],EnemyAtkTable[[#This Row],[Index]],EnemyAtkTable[BeforeDelay])+SUMIF(EnemyAtkTable[Index],EnemyAtkTable[[#This Row],[Index]],EnemyAtkTable[AfterDelay])</f>
        <v>1</v>
      </c>
    </row>
    <row r="48" spans="2:9">
      <c r="B48">
        <v>9991</v>
      </c>
      <c r="C48" s="29" t="s">
        <v>263</v>
      </c>
      <c r="D48">
        <v>1000</v>
      </c>
      <c r="E48" s="16" t="s">
        <v>261</v>
      </c>
      <c r="F48">
        <v>0.7</v>
      </c>
      <c r="G48">
        <v>0</v>
      </c>
      <c r="H48" t="str">
        <f>INDEX(ShootTable['#설명],MATCH(EnemyAtkTable[[#This Row],[ShootDataId]],ShootTable[Index],0))</f>
        <v>8방향 발사0</v>
      </c>
      <c r="I48">
        <f>SUMIF(EnemyAtkTable[Index],EnemyAtkTable[[#This Row],[Index]],EnemyAtkTable[BeforeDelay])+SUMIF(EnemyAtkTable[Index],EnemyAtkTable[[#This Row],[Index]],EnemyAtkTable[AfterDelay])</f>
        <v>5.3</v>
      </c>
    </row>
    <row r="49" spans="2:9">
      <c r="B49">
        <v>9991</v>
      </c>
      <c r="C49" s="17" t="s">
        <v>263</v>
      </c>
      <c r="D49">
        <v>1001</v>
      </c>
      <c r="E49" s="16" t="s">
        <v>261</v>
      </c>
      <c r="F49">
        <v>0.7</v>
      </c>
      <c r="G49">
        <v>0</v>
      </c>
      <c r="H49" t="str">
        <f>INDEX(ShootTable['#설명],MATCH(EnemyAtkTable[[#This Row],[ShootDataId]],ShootTable[Index],0))</f>
        <v>8방향 발사1</v>
      </c>
      <c r="I49">
        <f>SUMIF(EnemyAtkTable[Index],EnemyAtkTable[[#This Row],[Index]],EnemyAtkTable[BeforeDelay])+SUMIF(EnemyAtkTable[Index],EnemyAtkTable[[#This Row],[Index]],EnemyAtkTable[AfterDelay])</f>
        <v>5.3</v>
      </c>
    </row>
    <row r="50" spans="2:9">
      <c r="B50">
        <v>9991</v>
      </c>
      <c r="C50" s="17" t="s">
        <v>263</v>
      </c>
      <c r="D50">
        <v>1002</v>
      </c>
      <c r="E50" s="16" t="s">
        <v>261</v>
      </c>
      <c r="F50">
        <v>0.5</v>
      </c>
      <c r="G50">
        <v>0</v>
      </c>
      <c r="H50" t="str">
        <f>INDEX(ShootTable['#설명],MATCH(EnemyAtkTable[[#This Row],[ShootDataId]],ShootTable[Index],0))</f>
        <v>8방향 발사2</v>
      </c>
      <c r="I50">
        <f>SUMIF(EnemyAtkTable[Index],EnemyAtkTable[[#This Row],[Index]],EnemyAtkTable[BeforeDelay])+SUMIF(EnemyAtkTable[Index],EnemyAtkTable[[#This Row],[Index]],EnemyAtkTable[AfterDelay])</f>
        <v>5.3</v>
      </c>
    </row>
    <row r="51" spans="2:9">
      <c r="B51">
        <v>9991</v>
      </c>
      <c r="C51" s="17" t="s">
        <v>263</v>
      </c>
      <c r="D51">
        <v>1003</v>
      </c>
      <c r="E51" s="16" t="s">
        <v>261</v>
      </c>
      <c r="F51">
        <v>0.5</v>
      </c>
      <c r="G51">
        <v>0</v>
      </c>
      <c r="H51" t="str">
        <f>INDEX(ShootTable['#설명],MATCH(EnemyAtkTable[[#This Row],[ShootDataId]],ShootTable[Index],0))</f>
        <v>8방향 발사3</v>
      </c>
      <c r="I51">
        <f>SUMIF(EnemyAtkTable[Index],EnemyAtkTable[[#This Row],[Index]],EnemyAtkTable[BeforeDelay])+SUMIF(EnemyAtkTable[Index],EnemyAtkTable[[#This Row],[Index]],EnemyAtkTable[AfterDelay])</f>
        <v>5.3</v>
      </c>
    </row>
    <row r="52" spans="2:9">
      <c r="B52">
        <v>9991</v>
      </c>
      <c r="C52" s="17" t="s">
        <v>263</v>
      </c>
      <c r="D52">
        <v>1004</v>
      </c>
      <c r="E52" s="16" t="s">
        <v>261</v>
      </c>
      <c r="F52">
        <v>0.3</v>
      </c>
      <c r="G52">
        <v>0</v>
      </c>
      <c r="H52" t="str">
        <f>INDEX(ShootTable['#설명],MATCH(EnemyAtkTable[[#This Row],[ShootDataId]],ShootTable[Index],0))</f>
        <v>8방향 발사4</v>
      </c>
      <c r="I52">
        <f>SUMIF(EnemyAtkTable[Index],EnemyAtkTable[[#This Row],[Index]],EnemyAtkTable[BeforeDelay])+SUMIF(EnemyAtkTable[Index],EnemyAtkTable[[#This Row],[Index]],EnemyAtkTable[AfterDelay])</f>
        <v>5.3</v>
      </c>
    </row>
    <row r="53" spans="2:9">
      <c r="B53">
        <v>9991</v>
      </c>
      <c r="C53" s="17" t="s">
        <v>263</v>
      </c>
      <c r="D53">
        <v>1005</v>
      </c>
      <c r="E53" s="16" t="s">
        <v>261</v>
      </c>
      <c r="F53">
        <v>0.3</v>
      </c>
      <c r="G53">
        <v>0</v>
      </c>
      <c r="H53" t="str">
        <f>INDEX(ShootTable['#설명],MATCH(EnemyAtkTable[[#This Row],[ShootDataId]],ShootTable[Index],0))</f>
        <v>8방향 발사5</v>
      </c>
      <c r="I53">
        <f>SUMIF(EnemyAtkTable[Index],EnemyAtkTable[[#This Row],[Index]],EnemyAtkTable[BeforeDelay])+SUMIF(EnemyAtkTable[Index],EnemyAtkTable[[#This Row],[Index]],EnemyAtkTable[AfterDelay])</f>
        <v>5.3</v>
      </c>
    </row>
    <row r="54" spans="2:9">
      <c r="B54">
        <v>9991</v>
      </c>
      <c r="C54" s="17" t="s">
        <v>263</v>
      </c>
      <c r="D54">
        <v>1006</v>
      </c>
      <c r="E54" s="16" t="s">
        <v>261</v>
      </c>
      <c r="F54">
        <v>0.2</v>
      </c>
      <c r="G54">
        <v>0</v>
      </c>
      <c r="H54" t="str">
        <f>INDEX(ShootTable['#설명],MATCH(EnemyAtkTable[[#This Row],[ShootDataId]],ShootTable[Index],0))</f>
        <v>8방향 발사6</v>
      </c>
      <c r="I54">
        <f>SUMIF(EnemyAtkTable[Index],EnemyAtkTable[[#This Row],[Index]],EnemyAtkTable[BeforeDelay])+SUMIF(EnemyAtkTable[Index],EnemyAtkTable[[#This Row],[Index]],EnemyAtkTable[AfterDelay])</f>
        <v>5.3</v>
      </c>
    </row>
    <row r="55" spans="2:9">
      <c r="B55">
        <v>9991</v>
      </c>
      <c r="C55" s="17" t="s">
        <v>263</v>
      </c>
      <c r="D55">
        <v>1007</v>
      </c>
      <c r="E55" s="16" t="s">
        <v>261</v>
      </c>
      <c r="F55">
        <v>0.2</v>
      </c>
      <c r="G55">
        <v>0</v>
      </c>
      <c r="H55" t="str">
        <f>INDEX(ShootTable['#설명],MATCH(EnemyAtkTable[[#This Row],[ShootDataId]],ShootTable[Index],0))</f>
        <v>8방향 발사7</v>
      </c>
      <c r="I55">
        <f>SUMIF(EnemyAtkTable[Index],EnemyAtkTable[[#This Row],[Index]],EnemyAtkTable[BeforeDelay])+SUMIF(EnemyAtkTable[Index],EnemyAtkTable[[#This Row],[Index]],EnemyAtkTable[AfterDelay])</f>
        <v>5.3</v>
      </c>
    </row>
    <row r="56" spans="2:9">
      <c r="B56">
        <v>9991</v>
      </c>
      <c r="C56" s="17" t="s">
        <v>263</v>
      </c>
      <c r="D56">
        <v>1008</v>
      </c>
      <c r="E56" s="16" t="s">
        <v>261</v>
      </c>
      <c r="F56">
        <v>0.2</v>
      </c>
      <c r="G56">
        <v>0</v>
      </c>
      <c r="H56" t="str">
        <f>INDEX(ShootTable['#설명],MATCH(EnemyAtkTable[[#This Row],[ShootDataId]],ShootTable[Index],0))</f>
        <v>8방향 발사8</v>
      </c>
      <c r="I56">
        <f>SUMIF(EnemyAtkTable[Index],EnemyAtkTable[[#This Row],[Index]],EnemyAtkTable[BeforeDelay])+SUMIF(EnemyAtkTable[Index],EnemyAtkTable[[#This Row],[Index]],EnemyAtkTable[AfterDelay])</f>
        <v>5.3</v>
      </c>
    </row>
    <row r="57" spans="2:9">
      <c r="B57">
        <v>9991</v>
      </c>
      <c r="C57" s="17" t="s">
        <v>263</v>
      </c>
      <c r="D57">
        <v>1009</v>
      </c>
      <c r="E57" s="16" t="s">
        <v>261</v>
      </c>
      <c r="F57">
        <v>0.2</v>
      </c>
      <c r="G57">
        <v>0</v>
      </c>
      <c r="H57" t="str">
        <f>INDEX(ShootTable['#설명],MATCH(EnemyAtkTable[[#This Row],[ShootDataId]],ShootTable[Index],0))</f>
        <v>8방향 발사9</v>
      </c>
      <c r="I57">
        <f>SUMIF(EnemyAtkTable[Index],EnemyAtkTable[[#This Row],[Index]],EnemyAtkTable[BeforeDelay])+SUMIF(EnemyAtkTable[Index],EnemyAtkTable[[#This Row],[Index]],EnemyAtkTable[AfterDelay])</f>
        <v>5.3</v>
      </c>
    </row>
    <row r="58" spans="2:9">
      <c r="B58">
        <v>9991</v>
      </c>
      <c r="C58" s="17" t="s">
        <v>263</v>
      </c>
      <c r="D58">
        <v>1010</v>
      </c>
      <c r="E58" s="16" t="s">
        <v>261</v>
      </c>
      <c r="F58">
        <v>0.2</v>
      </c>
      <c r="G58">
        <v>0</v>
      </c>
      <c r="H58" t="str">
        <f>INDEX(ShootTable['#설명],MATCH(EnemyAtkTable[[#This Row],[ShootDataId]],ShootTable[Index],0))</f>
        <v>8방향 발사10</v>
      </c>
      <c r="I58">
        <f>SUMIF(EnemyAtkTable[Index],EnemyAtkTable[[#This Row],[Index]],EnemyAtkTable[BeforeDelay])+SUMIF(EnemyAtkTable[Index],EnemyAtkTable[[#This Row],[Index]],EnemyAtkTable[AfterDelay])</f>
        <v>5.3</v>
      </c>
    </row>
    <row r="59" spans="2:9">
      <c r="B59">
        <v>20001</v>
      </c>
      <c r="C59" s="18" t="s">
        <v>843</v>
      </c>
      <c r="D59">
        <v>2001</v>
      </c>
      <c r="E59" s="16" t="s">
        <v>262</v>
      </c>
      <c r="F59">
        <v>0</v>
      </c>
      <c r="G59">
        <v>0.34</v>
      </c>
      <c r="H59" t="str">
        <f>INDEX(ShootTable['#설명],MATCH(EnemyAtkTable[[#This Row],[ShootDataId]],ShootTable[Index],0))</f>
        <v>새디 스윙</v>
      </c>
      <c r="I59">
        <f>SUMIF(EnemyAtkTable[Index],EnemyAtkTable[[#This Row],[Index]],EnemyAtkTable[BeforeDelay])+SUMIF(EnemyAtkTable[Index],EnemyAtkTable[[#This Row],[Index]],EnemyAtkTable[AfterDelay])</f>
        <v>0.34</v>
      </c>
    </row>
    <row r="60" spans="2:9">
      <c r="B60">
        <v>20002</v>
      </c>
      <c r="C60" s="18" t="s">
        <v>847</v>
      </c>
      <c r="D60">
        <v>2002</v>
      </c>
      <c r="E60" s="16" t="s">
        <v>850</v>
      </c>
      <c r="F60">
        <v>0</v>
      </c>
      <c r="G60">
        <v>0.34</v>
      </c>
      <c r="H60" t="str">
        <f>INDEX(ShootTable['#설명],MATCH(EnemyAtkTable[[#This Row],[ShootDataId]],ShootTable[Index],0))</f>
        <v>새디 공 뿌리기</v>
      </c>
      <c r="I60">
        <f>SUMIF(EnemyAtkTable[Index],EnemyAtkTable[[#This Row],[Index]],EnemyAtkTable[BeforeDelay])+SUMIF(EnemyAtkTable[Index],EnemyAtkTable[[#This Row],[Index]],EnemyAtkTable[AfterDelay])</f>
        <v>0.34</v>
      </c>
    </row>
    <row r="61" spans="2:9">
      <c r="B61">
        <v>20003</v>
      </c>
      <c r="C61" s="18" t="s">
        <v>848</v>
      </c>
      <c r="D61">
        <v>2002</v>
      </c>
      <c r="E61" s="16" t="s">
        <v>262</v>
      </c>
      <c r="F61">
        <v>0</v>
      </c>
      <c r="G61">
        <v>0.34</v>
      </c>
      <c r="H61" t="str">
        <f>INDEX(ShootTable['#설명],MATCH(EnemyAtkTable[[#This Row],[ShootDataId]],ShootTable[Index],0))</f>
        <v>새디 공 뿌리기</v>
      </c>
      <c r="I61">
        <f>SUMIF(EnemyAtkTable[Index],EnemyAtkTable[[#This Row],[Index]],EnemyAtkTable[BeforeDelay])+SUMIF(EnemyAtkTable[Index],EnemyAtkTable[[#This Row],[Index]],EnemyAtkTable[AfterDelay])</f>
        <v>0.34</v>
      </c>
    </row>
    <row r="62" spans="2:9">
      <c r="B62">
        <v>20004</v>
      </c>
      <c r="C62" s="18" t="s">
        <v>849</v>
      </c>
      <c r="D62">
        <v>2002</v>
      </c>
      <c r="E62" s="16" t="s">
        <v>850</v>
      </c>
      <c r="F62">
        <v>0</v>
      </c>
      <c r="G62">
        <v>0.34</v>
      </c>
      <c r="H62" t="str">
        <f>INDEX(ShootTable['#설명],MATCH(EnemyAtkTable[[#This Row],[ShootDataId]],ShootTable[Index],0))</f>
        <v>새디 공 뿌리기</v>
      </c>
      <c r="I62">
        <f>SUMIF(EnemyAtkTable[Index],EnemyAtkTable[[#This Row],[Index]],EnemyAtkTable[BeforeDelay])+SUMIF(EnemyAtkTable[Index],EnemyAtkTable[[#This Row],[Index]],EnemyAtkTable[AfterDelay])</f>
        <v>0.34</v>
      </c>
    </row>
    <row r="63" spans="2:9">
      <c r="B63">
        <v>20005</v>
      </c>
      <c r="C63" s="14" t="s">
        <v>859</v>
      </c>
      <c r="D63">
        <v>2003</v>
      </c>
      <c r="E63" s="16" t="s">
        <v>262</v>
      </c>
      <c r="F63">
        <v>2</v>
      </c>
      <c r="G63">
        <v>0</v>
      </c>
      <c r="H63" t="str">
        <f>INDEX(ShootTable['#설명],MATCH(EnemyAtkTable[[#This Row],[ShootDataId]],ShootTable[Index],0))</f>
        <v>새디 발버둥1</v>
      </c>
      <c r="I63">
        <f>SUMIF(EnemyAtkTable[Index],EnemyAtkTable[[#This Row],[Index]],EnemyAtkTable[BeforeDelay])+SUMIF(EnemyAtkTable[Index],EnemyAtkTable[[#This Row],[Index]],EnemyAtkTable[AfterDelay])</f>
        <v>6</v>
      </c>
    </row>
    <row r="64" spans="2:9">
      <c r="B64">
        <v>20005</v>
      </c>
      <c r="C64" s="14" t="s">
        <v>859</v>
      </c>
      <c r="D64">
        <v>2004</v>
      </c>
      <c r="E64" s="16" t="s">
        <v>262</v>
      </c>
      <c r="F64">
        <v>0</v>
      </c>
      <c r="G64">
        <v>0.5</v>
      </c>
      <c r="H64" t="str">
        <f>INDEX(ShootTable['#설명],MATCH(EnemyAtkTable[[#This Row],[ShootDataId]],ShootTable[Index],0))</f>
        <v>새디 발버둥2</v>
      </c>
      <c r="I64">
        <f>SUMIF(EnemyAtkTable[Index],EnemyAtkTable[[#This Row],[Index]],EnemyAtkTable[BeforeDelay])+SUMIF(EnemyAtkTable[Index],EnemyAtkTable[[#This Row],[Index]],EnemyAtkTable[AfterDelay])</f>
        <v>6</v>
      </c>
    </row>
    <row r="65" spans="2:17">
      <c r="B65">
        <v>20005</v>
      </c>
      <c r="C65" s="14" t="s">
        <v>859</v>
      </c>
      <c r="D65">
        <v>2004</v>
      </c>
      <c r="E65" s="16" t="s">
        <v>262</v>
      </c>
      <c r="F65">
        <v>0</v>
      </c>
      <c r="G65">
        <v>0.5</v>
      </c>
      <c r="H65" t="str">
        <f>INDEX(ShootTable['#설명],MATCH(EnemyAtkTable[[#This Row],[ShootDataId]],ShootTable[Index],0))</f>
        <v>새디 발버둥2</v>
      </c>
      <c r="I65">
        <f>SUMIF(EnemyAtkTable[Index],EnemyAtkTable[[#This Row],[Index]],EnemyAtkTable[BeforeDelay])+SUMIF(EnemyAtkTable[Index],EnemyAtkTable[[#This Row],[Index]],EnemyAtkTable[AfterDelay])</f>
        <v>6</v>
      </c>
    </row>
    <row r="66" spans="2:17">
      <c r="B66">
        <v>20005</v>
      </c>
      <c r="C66" s="14" t="s">
        <v>859</v>
      </c>
      <c r="D66">
        <v>2005</v>
      </c>
      <c r="E66" s="16" t="s">
        <v>262</v>
      </c>
      <c r="F66">
        <v>0</v>
      </c>
      <c r="G66">
        <v>0.5</v>
      </c>
      <c r="H66" t="str">
        <f>INDEX(ShootTable['#설명],MATCH(EnemyAtkTable[[#This Row],[ShootDataId]],ShootTable[Index],0))</f>
        <v>새디 발버둥3</v>
      </c>
      <c r="I66">
        <f>SUMIF(EnemyAtkTable[Index],EnemyAtkTable[[#This Row],[Index]],EnemyAtkTable[BeforeDelay])+SUMIF(EnemyAtkTable[Index],EnemyAtkTable[[#This Row],[Index]],EnemyAtkTable[AfterDelay])</f>
        <v>6</v>
      </c>
    </row>
    <row r="67" spans="2:17">
      <c r="B67">
        <v>20005</v>
      </c>
      <c r="C67" s="14" t="s">
        <v>859</v>
      </c>
      <c r="D67">
        <v>2005</v>
      </c>
      <c r="E67" s="16" t="s">
        <v>262</v>
      </c>
      <c r="F67">
        <v>0</v>
      </c>
      <c r="G67">
        <v>0.5</v>
      </c>
      <c r="H67" t="str">
        <f>INDEX(ShootTable['#설명],MATCH(EnemyAtkTable[[#This Row],[ShootDataId]],ShootTable[Index],0))</f>
        <v>새디 발버둥3</v>
      </c>
      <c r="I67">
        <f>SUMIF(EnemyAtkTable[Index],EnemyAtkTable[[#This Row],[Index]],EnemyAtkTable[BeforeDelay])+SUMIF(EnemyAtkTable[Index],EnemyAtkTable[[#This Row],[Index]],EnemyAtkTable[AfterDelay])</f>
        <v>6</v>
      </c>
    </row>
    <row r="68" spans="2:17">
      <c r="B68">
        <v>20005</v>
      </c>
      <c r="C68" s="14" t="s">
        <v>859</v>
      </c>
      <c r="D68">
        <v>2006</v>
      </c>
      <c r="E68" s="16" t="s">
        <v>262</v>
      </c>
      <c r="F68">
        <v>0</v>
      </c>
      <c r="G68">
        <v>0.5</v>
      </c>
      <c r="H68" t="str">
        <f>INDEX(ShootTable['#설명],MATCH(EnemyAtkTable[[#This Row],[ShootDataId]],ShootTable[Index],0))</f>
        <v>새디 발버둥4</v>
      </c>
      <c r="I68">
        <f>SUMIF(EnemyAtkTable[Index],EnemyAtkTable[[#This Row],[Index]],EnemyAtkTable[BeforeDelay])+SUMIF(EnemyAtkTable[Index],EnemyAtkTable[[#This Row],[Index]],EnemyAtkTable[AfterDelay])</f>
        <v>6</v>
      </c>
    </row>
    <row r="69" spans="2:17">
      <c r="B69">
        <v>20005</v>
      </c>
      <c r="C69" s="14" t="s">
        <v>859</v>
      </c>
      <c r="D69">
        <v>2006</v>
      </c>
      <c r="E69" s="16" t="s">
        <v>262</v>
      </c>
      <c r="F69">
        <v>0</v>
      </c>
      <c r="G69">
        <v>0.5</v>
      </c>
      <c r="H69" t="str">
        <f>INDEX(ShootTable['#설명],MATCH(EnemyAtkTable[[#This Row],[ShootDataId]],ShootTable[Index],0))</f>
        <v>새디 발버둥4</v>
      </c>
      <c r="I69">
        <f>SUMIF(EnemyAtkTable[Index],EnemyAtkTable[[#This Row],[Index]],EnemyAtkTable[BeforeDelay])+SUMIF(EnemyAtkTable[Index],EnemyAtkTable[[#This Row],[Index]],EnemyAtkTable[AfterDelay])</f>
        <v>6</v>
      </c>
    </row>
    <row r="70" spans="2:17">
      <c r="B70">
        <v>20005</v>
      </c>
      <c r="C70" s="14" t="s">
        <v>859</v>
      </c>
      <c r="D70">
        <v>2007</v>
      </c>
      <c r="E70" s="16" t="s">
        <v>262</v>
      </c>
      <c r="F70">
        <v>0</v>
      </c>
      <c r="G70">
        <v>0.5</v>
      </c>
      <c r="H70" t="str">
        <f>INDEX(ShootTable['#설명],MATCH(EnemyAtkTable[[#This Row],[ShootDataId]],ShootTable[Index],0))</f>
        <v>새디 발버둥5</v>
      </c>
      <c r="I70">
        <f>SUMIF(EnemyAtkTable[Index],EnemyAtkTable[[#This Row],[Index]],EnemyAtkTable[BeforeDelay])+SUMIF(EnemyAtkTable[Index],EnemyAtkTable[[#This Row],[Index]],EnemyAtkTable[AfterDelay])</f>
        <v>6</v>
      </c>
    </row>
    <row r="71" spans="2:17">
      <c r="B71">
        <v>20005</v>
      </c>
      <c r="C71" s="14" t="s">
        <v>859</v>
      </c>
      <c r="D71">
        <v>2007</v>
      </c>
      <c r="E71" s="16" t="s">
        <v>262</v>
      </c>
      <c r="F71">
        <v>0</v>
      </c>
      <c r="G71">
        <v>0.5</v>
      </c>
      <c r="H71" t="str">
        <f>INDEX(ShootTable['#설명],MATCH(EnemyAtkTable[[#This Row],[ShootDataId]],ShootTable[Index],0))</f>
        <v>새디 발버둥5</v>
      </c>
      <c r="I71">
        <f>SUMIF(EnemyAtkTable[Index],EnemyAtkTable[[#This Row],[Index]],EnemyAtkTable[BeforeDelay])+SUMIF(EnemyAtkTable[Index],EnemyAtkTable[[#This Row],[Index]],EnemyAtkTable[AfterDelay])</f>
        <v>6</v>
      </c>
    </row>
    <row r="72" spans="2:17">
      <c r="B72">
        <v>30001</v>
      </c>
      <c r="C72" s="14" t="s">
        <v>879</v>
      </c>
      <c r="D72">
        <v>3104</v>
      </c>
      <c r="E72" s="16" t="s">
        <v>850</v>
      </c>
      <c r="F72">
        <v>0</v>
      </c>
      <c r="G72">
        <v>0.05</v>
      </c>
      <c r="H72" t="str">
        <f>INDEX(ShootTable['#설명],MATCH(EnemyAtkTable[[#This Row],[ShootDataId]],ShootTable[Index],0))</f>
        <v>젤로 돌진</v>
      </c>
      <c r="I72">
        <f>SUMIF(EnemyAtkTable[Index],EnemyAtkTable[[#This Row],[Index]],EnemyAtkTable[BeforeDelay])+SUMIF(EnemyAtkTable[Index],EnemyAtkTable[[#This Row],[Index]],EnemyAtkTable[AfterDelay])</f>
        <v>2.5599999999999987</v>
      </c>
    </row>
    <row r="73" spans="2:17">
      <c r="B73">
        <v>30001</v>
      </c>
      <c r="C73" s="14" t="s">
        <v>879</v>
      </c>
      <c r="D73">
        <v>3114</v>
      </c>
      <c r="E73" s="16" t="s">
        <v>850</v>
      </c>
      <c r="F73">
        <v>0</v>
      </c>
      <c r="G73">
        <v>0.03</v>
      </c>
      <c r="H73" t="str">
        <f>INDEX(ShootTable['#설명],MATCH(EnemyAtkTable[[#This Row],[ShootDataId]],ShootTable[Index],0))</f>
        <v>젤로 돌진</v>
      </c>
      <c r="I73">
        <f>SUMIF(EnemyAtkTable[Index],EnemyAtkTable[[#This Row],[Index]],EnemyAtkTable[BeforeDelay])+SUMIF(EnemyAtkTable[Index],EnemyAtkTable[[#This Row],[Index]],EnemyAtkTable[AfterDelay])</f>
        <v>2.5599999999999987</v>
      </c>
    </row>
    <row r="74" spans="2:17">
      <c r="B74">
        <v>30001</v>
      </c>
      <c r="C74" s="14" t="s">
        <v>879</v>
      </c>
      <c r="D74">
        <v>3109</v>
      </c>
      <c r="E74" s="16" t="s">
        <v>850</v>
      </c>
      <c r="F74">
        <v>0</v>
      </c>
      <c r="G74">
        <v>0.05</v>
      </c>
      <c r="H74" t="str">
        <f>INDEX(ShootTable['#설명],MATCH(EnemyAtkTable[[#This Row],[ShootDataId]],ShootTable[Index],0))</f>
        <v>젤로 돌진</v>
      </c>
      <c r="I74">
        <f>SUMIF(EnemyAtkTable[Index],EnemyAtkTable[[#This Row],[Index]],EnemyAtkTable[BeforeDelay])+SUMIF(EnemyAtkTable[Index],EnemyAtkTable[[#This Row],[Index]],EnemyAtkTable[AfterDelay])</f>
        <v>2.5599999999999987</v>
      </c>
    </row>
    <row r="75" spans="2:17">
      <c r="B75">
        <v>30001</v>
      </c>
      <c r="C75" s="14" t="s">
        <v>879</v>
      </c>
      <c r="D75">
        <v>3101</v>
      </c>
      <c r="E75" s="16" t="s">
        <v>850</v>
      </c>
      <c r="F75">
        <v>0</v>
      </c>
      <c r="G75">
        <v>0.03</v>
      </c>
      <c r="H75" t="str">
        <f>INDEX(ShootTable['#설명],MATCH(EnemyAtkTable[[#This Row],[ShootDataId]],ShootTable[Index],0))</f>
        <v>젤로 돌진</v>
      </c>
      <c r="I75">
        <f>SUMIF(EnemyAtkTable[Index],EnemyAtkTable[[#This Row],[Index]],EnemyAtkTable[BeforeDelay])+SUMIF(EnemyAtkTable[Index],EnemyAtkTable[[#This Row],[Index]],EnemyAtkTable[AfterDelay])</f>
        <v>2.5599999999999987</v>
      </c>
    </row>
    <row r="76" spans="2:17">
      <c r="B76">
        <v>30001</v>
      </c>
      <c r="C76" s="14" t="s">
        <v>879</v>
      </c>
      <c r="D76">
        <v>3102</v>
      </c>
      <c r="E76" s="16" t="s">
        <v>850</v>
      </c>
      <c r="F76">
        <v>0</v>
      </c>
      <c r="G76">
        <v>0.05</v>
      </c>
      <c r="H76" t="str">
        <f>INDEX(ShootTable['#설명],MATCH(EnemyAtkTable[[#This Row],[ShootDataId]],ShootTable[Index],0))</f>
        <v>젤로 돌진</v>
      </c>
      <c r="I76">
        <f>SUMIF(EnemyAtkTable[Index],EnemyAtkTable[[#This Row],[Index]],EnemyAtkTable[BeforeDelay])+SUMIF(EnemyAtkTable[Index],EnemyAtkTable[[#This Row],[Index]],EnemyAtkTable[AfterDelay])</f>
        <v>2.5599999999999987</v>
      </c>
      <c r="Q76" s="11"/>
    </row>
    <row r="77" spans="2:17">
      <c r="B77">
        <v>30001</v>
      </c>
      <c r="C77" s="14" t="s">
        <v>879</v>
      </c>
      <c r="D77">
        <v>3108</v>
      </c>
      <c r="E77" s="16" t="s">
        <v>850</v>
      </c>
      <c r="F77">
        <v>0</v>
      </c>
      <c r="G77">
        <v>0.03</v>
      </c>
      <c r="H77" t="str">
        <f>INDEX(ShootTable['#설명],MATCH(EnemyAtkTable[[#This Row],[ShootDataId]],ShootTable[Index],0))</f>
        <v>젤로 돌진</v>
      </c>
      <c r="I77">
        <f>SUMIF(EnemyAtkTable[Index],EnemyAtkTable[[#This Row],[Index]],EnemyAtkTable[BeforeDelay])+SUMIF(EnemyAtkTable[Index],EnemyAtkTable[[#This Row],[Index]],EnemyAtkTable[AfterDelay])</f>
        <v>2.5599999999999987</v>
      </c>
    </row>
    <row r="78" spans="2:17">
      <c r="B78">
        <v>30001</v>
      </c>
      <c r="C78" s="14" t="s">
        <v>879</v>
      </c>
      <c r="D78">
        <v>3111</v>
      </c>
      <c r="E78" s="16" t="s">
        <v>850</v>
      </c>
      <c r="F78">
        <v>0</v>
      </c>
      <c r="G78">
        <v>0.05</v>
      </c>
      <c r="H78" t="str">
        <f>INDEX(ShootTable['#설명],MATCH(EnemyAtkTable[[#This Row],[ShootDataId]],ShootTable[Index],0))</f>
        <v>젤로 돌진</v>
      </c>
      <c r="I78">
        <f>SUMIF(EnemyAtkTable[Index],EnemyAtkTable[[#This Row],[Index]],EnemyAtkTable[BeforeDelay])+SUMIF(EnemyAtkTable[Index],EnemyAtkTable[[#This Row],[Index]],EnemyAtkTable[AfterDelay])</f>
        <v>2.5599999999999987</v>
      </c>
    </row>
    <row r="79" spans="2:17">
      <c r="B79">
        <v>30001</v>
      </c>
      <c r="C79" s="14" t="s">
        <v>879</v>
      </c>
      <c r="D79">
        <v>3116</v>
      </c>
      <c r="E79" s="16" t="s">
        <v>850</v>
      </c>
      <c r="F79">
        <v>0</v>
      </c>
      <c r="G79">
        <v>0.03</v>
      </c>
      <c r="H79" t="str">
        <f>INDEX(ShootTable['#설명],MATCH(EnemyAtkTable[[#This Row],[ShootDataId]],ShootTable[Index],0))</f>
        <v>젤로 돌진</v>
      </c>
      <c r="I79">
        <f>SUMIF(EnemyAtkTable[Index],EnemyAtkTable[[#This Row],[Index]],EnemyAtkTable[BeforeDelay])+SUMIF(EnemyAtkTable[Index],EnemyAtkTable[[#This Row],[Index]],EnemyAtkTable[AfterDelay])</f>
        <v>2.5599999999999987</v>
      </c>
    </row>
    <row r="80" spans="2:17">
      <c r="B80">
        <v>30001</v>
      </c>
      <c r="C80" s="14" t="s">
        <v>879</v>
      </c>
      <c r="D80">
        <v>3115</v>
      </c>
      <c r="E80" s="16" t="s">
        <v>850</v>
      </c>
      <c r="F80">
        <v>0</v>
      </c>
      <c r="G80">
        <v>0.05</v>
      </c>
      <c r="H80" t="str">
        <f>INDEX(ShootTable['#설명],MATCH(EnemyAtkTable[[#This Row],[ShootDataId]],ShootTable[Index],0))</f>
        <v>젤로 돌진</v>
      </c>
      <c r="I80">
        <f>SUMIF(EnemyAtkTable[Index],EnemyAtkTable[[#This Row],[Index]],EnemyAtkTable[BeforeDelay])+SUMIF(EnemyAtkTable[Index],EnemyAtkTable[[#This Row],[Index]],EnemyAtkTable[AfterDelay])</f>
        <v>2.5599999999999987</v>
      </c>
    </row>
    <row r="81" spans="2:17">
      <c r="B81">
        <v>30001</v>
      </c>
      <c r="C81" s="14" t="s">
        <v>879</v>
      </c>
      <c r="D81">
        <v>3106</v>
      </c>
      <c r="E81" s="16" t="s">
        <v>850</v>
      </c>
      <c r="F81">
        <v>0</v>
      </c>
      <c r="G81">
        <v>0.03</v>
      </c>
      <c r="H81" t="str">
        <f>INDEX(ShootTable['#설명],MATCH(EnemyAtkTable[[#This Row],[ShootDataId]],ShootTable[Index],0))</f>
        <v>젤로 돌진</v>
      </c>
      <c r="I81">
        <f>SUMIF(EnemyAtkTable[Index],EnemyAtkTable[[#This Row],[Index]],EnemyAtkTable[BeforeDelay])+SUMIF(EnemyAtkTable[Index],EnemyAtkTable[[#This Row],[Index]],EnemyAtkTable[AfterDelay])</f>
        <v>2.5599999999999987</v>
      </c>
    </row>
    <row r="82" spans="2:17">
      <c r="B82">
        <v>30001</v>
      </c>
      <c r="C82" s="14" t="s">
        <v>879</v>
      </c>
      <c r="D82">
        <v>3103</v>
      </c>
      <c r="E82" s="16" t="s">
        <v>850</v>
      </c>
      <c r="F82">
        <v>0</v>
      </c>
      <c r="G82">
        <v>0.05</v>
      </c>
      <c r="H82" t="str">
        <f>INDEX(ShootTable['#설명],MATCH(EnemyAtkTable[[#This Row],[ShootDataId]],ShootTable[Index],0))</f>
        <v>젤로 돌진</v>
      </c>
      <c r="I82">
        <f>SUMIF(EnemyAtkTable[Index],EnemyAtkTable[[#This Row],[Index]],EnemyAtkTable[BeforeDelay])+SUMIF(EnemyAtkTable[Index],EnemyAtkTable[[#This Row],[Index]],EnemyAtkTable[AfterDelay])</f>
        <v>2.5599999999999987</v>
      </c>
    </row>
    <row r="83" spans="2:17">
      <c r="B83">
        <v>30001</v>
      </c>
      <c r="C83" s="14" t="s">
        <v>879</v>
      </c>
      <c r="D83">
        <v>3105</v>
      </c>
      <c r="E83" s="16" t="s">
        <v>850</v>
      </c>
      <c r="F83">
        <v>0</v>
      </c>
      <c r="G83">
        <v>0.03</v>
      </c>
      <c r="H83" t="str">
        <f>INDEX(ShootTable['#설명],MATCH(EnemyAtkTable[[#This Row],[ShootDataId]],ShootTable[Index],0))</f>
        <v>젤로 돌진</v>
      </c>
      <c r="I83">
        <f>SUMIF(EnemyAtkTable[Index],EnemyAtkTable[[#This Row],[Index]],EnemyAtkTable[BeforeDelay])+SUMIF(EnemyAtkTable[Index],EnemyAtkTable[[#This Row],[Index]],EnemyAtkTable[AfterDelay])</f>
        <v>2.5599999999999987</v>
      </c>
    </row>
    <row r="84" spans="2:17">
      <c r="B84">
        <v>30001</v>
      </c>
      <c r="C84" s="14" t="s">
        <v>879</v>
      </c>
      <c r="D84">
        <v>3113</v>
      </c>
      <c r="E84" s="16" t="s">
        <v>850</v>
      </c>
      <c r="F84">
        <v>0</v>
      </c>
      <c r="G84">
        <v>0.05</v>
      </c>
      <c r="H84" t="str">
        <f>INDEX(ShootTable['#설명],MATCH(EnemyAtkTable[[#This Row],[ShootDataId]],ShootTable[Index],0))</f>
        <v>젤로 돌진</v>
      </c>
      <c r="I84">
        <f>SUMIF(EnemyAtkTable[Index],EnemyAtkTable[[#This Row],[Index]],EnemyAtkTable[BeforeDelay])+SUMIF(EnemyAtkTable[Index],EnemyAtkTable[[#This Row],[Index]],EnemyAtkTable[AfterDelay])</f>
        <v>2.5599999999999987</v>
      </c>
    </row>
    <row r="85" spans="2:17">
      <c r="B85">
        <v>30001</v>
      </c>
      <c r="C85" s="14" t="s">
        <v>879</v>
      </c>
      <c r="D85">
        <v>3112</v>
      </c>
      <c r="E85" s="16" t="s">
        <v>850</v>
      </c>
      <c r="F85">
        <v>0</v>
      </c>
      <c r="G85">
        <v>0.03</v>
      </c>
      <c r="H85" t="str">
        <f>INDEX(ShootTable['#설명],MATCH(EnemyAtkTable[[#This Row],[ShootDataId]],ShootTable[Index],0))</f>
        <v>젤로 돌진</v>
      </c>
      <c r="I85">
        <f>SUMIF(EnemyAtkTable[Index],EnemyAtkTable[[#This Row],[Index]],EnemyAtkTable[BeforeDelay])+SUMIF(EnemyAtkTable[Index],EnemyAtkTable[[#This Row],[Index]],EnemyAtkTable[AfterDelay])</f>
        <v>2.5599999999999987</v>
      </c>
    </row>
    <row r="86" spans="2:17">
      <c r="B86">
        <v>30001</v>
      </c>
      <c r="C86" s="14" t="s">
        <v>879</v>
      </c>
      <c r="D86">
        <v>3110</v>
      </c>
      <c r="E86" s="16" t="s">
        <v>850</v>
      </c>
      <c r="F86">
        <v>0</v>
      </c>
      <c r="G86">
        <v>0.05</v>
      </c>
      <c r="H86" t="str">
        <f>INDEX(ShootTable['#설명],MATCH(EnemyAtkTable[[#This Row],[ShootDataId]],ShootTable[Index],0))</f>
        <v>젤로 돌진</v>
      </c>
      <c r="I86">
        <f>SUMIF(EnemyAtkTable[Index],EnemyAtkTable[[#This Row],[Index]],EnemyAtkTable[BeforeDelay])+SUMIF(EnemyAtkTable[Index],EnemyAtkTable[[#This Row],[Index]],EnemyAtkTable[AfterDelay])</f>
        <v>2.5599999999999987</v>
      </c>
    </row>
    <row r="87" spans="2:17">
      <c r="B87">
        <v>30001</v>
      </c>
      <c r="C87" s="14" t="s">
        <v>879</v>
      </c>
      <c r="D87">
        <v>3107</v>
      </c>
      <c r="E87" s="16" t="s">
        <v>850</v>
      </c>
      <c r="F87">
        <v>0</v>
      </c>
      <c r="G87">
        <v>0.03</v>
      </c>
      <c r="H87" t="str">
        <f>INDEX(ShootTable['#설명],MATCH(EnemyAtkTable[[#This Row],[ShootDataId]],ShootTable[Index],0))</f>
        <v>젤로 돌진</v>
      </c>
      <c r="I87">
        <f>SUMIF(EnemyAtkTable[Index],EnemyAtkTable[[#This Row],[Index]],EnemyAtkTable[BeforeDelay])+SUMIF(EnemyAtkTable[Index],EnemyAtkTable[[#This Row],[Index]],EnemyAtkTable[AfterDelay])</f>
        <v>2.5599999999999987</v>
      </c>
    </row>
    <row r="88" spans="2:17">
      <c r="B88">
        <v>30001</v>
      </c>
      <c r="C88" s="11" t="s">
        <v>879</v>
      </c>
      <c r="D88">
        <v>3110</v>
      </c>
      <c r="E88" s="16" t="s">
        <v>850</v>
      </c>
      <c r="F88">
        <v>0</v>
      </c>
      <c r="G88">
        <v>0.05</v>
      </c>
      <c r="H88" t="str">
        <f>INDEX(ShootTable['#설명],MATCH(EnemyAtkTable[[#This Row],[ShootDataId]],ShootTable[Index],0))</f>
        <v>젤로 돌진</v>
      </c>
      <c r="I88">
        <f>SUMIF(EnemyAtkTable[Index],EnemyAtkTable[[#This Row],[Index]],EnemyAtkTable[BeforeDelay])+SUMIF(EnemyAtkTable[Index],EnemyAtkTable[[#This Row],[Index]],EnemyAtkTable[AfterDelay])</f>
        <v>2.5599999999999987</v>
      </c>
    </row>
    <row r="89" spans="2:17">
      <c r="B89">
        <v>30001</v>
      </c>
      <c r="C89" s="11" t="s">
        <v>879</v>
      </c>
      <c r="D89">
        <v>3101</v>
      </c>
      <c r="E89" s="16" t="s">
        <v>850</v>
      </c>
      <c r="F89">
        <v>0</v>
      </c>
      <c r="G89">
        <v>0.03</v>
      </c>
      <c r="H89" t="str">
        <f>INDEX(ShootTable['#설명],MATCH(EnemyAtkTable[[#This Row],[ShootDataId]],ShootTable[Index],0))</f>
        <v>젤로 돌진</v>
      </c>
      <c r="I89">
        <f>SUMIF(EnemyAtkTable[Index],EnemyAtkTable[[#This Row],[Index]],EnemyAtkTable[BeforeDelay])+SUMIF(EnemyAtkTable[Index],EnemyAtkTable[[#This Row],[Index]],EnemyAtkTable[AfterDelay])</f>
        <v>2.5599999999999987</v>
      </c>
    </row>
    <row r="90" spans="2:17">
      <c r="B90">
        <v>30001</v>
      </c>
      <c r="C90" s="11" t="s">
        <v>879</v>
      </c>
      <c r="D90">
        <v>3116</v>
      </c>
      <c r="E90" s="16" t="s">
        <v>850</v>
      </c>
      <c r="F90">
        <v>0</v>
      </c>
      <c r="G90">
        <v>0.05</v>
      </c>
      <c r="H90" t="str">
        <f>INDEX(ShootTable['#설명],MATCH(EnemyAtkTable[[#This Row],[ShootDataId]],ShootTable[Index],0))</f>
        <v>젤로 돌진</v>
      </c>
      <c r="I90">
        <f>SUMIF(EnemyAtkTable[Index],EnemyAtkTable[[#This Row],[Index]],EnemyAtkTable[BeforeDelay])+SUMIF(EnemyAtkTable[Index],EnemyAtkTable[[#This Row],[Index]],EnemyAtkTable[AfterDelay])</f>
        <v>2.5599999999999987</v>
      </c>
    </row>
    <row r="91" spans="2:17">
      <c r="B91">
        <v>30001</v>
      </c>
      <c r="C91" s="11" t="s">
        <v>879</v>
      </c>
      <c r="D91">
        <v>3105</v>
      </c>
      <c r="E91" s="16" t="s">
        <v>850</v>
      </c>
      <c r="F91">
        <v>0</v>
      </c>
      <c r="G91">
        <v>0.03</v>
      </c>
      <c r="H91" t="str">
        <f>INDEX(ShootTable['#설명],MATCH(EnemyAtkTable[[#This Row],[ShootDataId]],ShootTable[Index],0))</f>
        <v>젤로 돌진</v>
      </c>
      <c r="I91">
        <f>SUMIF(EnemyAtkTable[Index],EnemyAtkTable[[#This Row],[Index]],EnemyAtkTable[BeforeDelay])+SUMIF(EnemyAtkTable[Index],EnemyAtkTable[[#This Row],[Index]],EnemyAtkTable[AfterDelay])</f>
        <v>2.5599999999999987</v>
      </c>
    </row>
    <row r="92" spans="2:17">
      <c r="B92">
        <v>30001</v>
      </c>
      <c r="C92" s="11" t="s">
        <v>879</v>
      </c>
      <c r="D92">
        <v>3115</v>
      </c>
      <c r="E92" s="16" t="s">
        <v>850</v>
      </c>
      <c r="F92">
        <v>0</v>
      </c>
      <c r="G92">
        <v>0.05</v>
      </c>
      <c r="H92" t="str">
        <f>INDEX(ShootTable['#설명],MATCH(EnemyAtkTable[[#This Row],[ShootDataId]],ShootTable[Index],0))</f>
        <v>젤로 돌진</v>
      </c>
      <c r="I92">
        <f>SUMIF(EnemyAtkTable[Index],EnemyAtkTable[[#This Row],[Index]],EnemyAtkTable[BeforeDelay])+SUMIF(EnemyAtkTable[Index],EnemyAtkTable[[#This Row],[Index]],EnemyAtkTable[AfterDelay])</f>
        <v>2.5599999999999987</v>
      </c>
    </row>
    <row r="93" spans="2:17">
      <c r="B93">
        <v>30001</v>
      </c>
      <c r="C93" s="11" t="s">
        <v>879</v>
      </c>
      <c r="D93">
        <v>3111</v>
      </c>
      <c r="E93" s="16" t="s">
        <v>850</v>
      </c>
      <c r="F93">
        <v>0</v>
      </c>
      <c r="G93">
        <v>0.03</v>
      </c>
      <c r="H93" t="str">
        <f>INDEX(ShootTable['#설명],MATCH(EnemyAtkTable[[#This Row],[ShootDataId]],ShootTable[Index],0))</f>
        <v>젤로 돌진</v>
      </c>
      <c r="I93">
        <f>SUMIF(EnemyAtkTable[Index],EnemyAtkTable[[#This Row],[Index]],EnemyAtkTable[BeforeDelay])+SUMIF(EnemyAtkTable[Index],EnemyAtkTable[[#This Row],[Index]],EnemyAtkTable[AfterDelay])</f>
        <v>2.5599999999999987</v>
      </c>
    </row>
    <row r="94" spans="2:17">
      <c r="B94">
        <v>30001</v>
      </c>
      <c r="C94" s="11" t="s">
        <v>879</v>
      </c>
      <c r="D94">
        <v>3112</v>
      </c>
      <c r="E94" s="16" t="s">
        <v>850</v>
      </c>
      <c r="F94">
        <v>0</v>
      </c>
      <c r="G94">
        <v>0.05</v>
      </c>
      <c r="H94" t="str">
        <f>INDEX(ShootTable['#설명],MATCH(EnemyAtkTable[[#This Row],[ShootDataId]],ShootTable[Index],0))</f>
        <v>젤로 돌진</v>
      </c>
      <c r="I94">
        <f>SUMIF(EnemyAtkTable[Index],EnemyAtkTable[[#This Row],[Index]],EnemyAtkTable[BeforeDelay])+SUMIF(EnemyAtkTable[Index],EnemyAtkTable[[#This Row],[Index]],EnemyAtkTable[AfterDelay])</f>
        <v>2.5599999999999987</v>
      </c>
      <c r="Q94" s="11"/>
    </row>
    <row r="95" spans="2:17">
      <c r="B95">
        <v>30001</v>
      </c>
      <c r="C95" s="11" t="s">
        <v>879</v>
      </c>
      <c r="D95">
        <v>3108</v>
      </c>
      <c r="E95" s="16" t="s">
        <v>850</v>
      </c>
      <c r="F95">
        <v>0</v>
      </c>
      <c r="G95">
        <v>0.03</v>
      </c>
      <c r="H95" t="str">
        <f>INDEX(ShootTable['#설명],MATCH(EnemyAtkTable[[#This Row],[ShootDataId]],ShootTable[Index],0))</f>
        <v>젤로 돌진</v>
      </c>
      <c r="I95">
        <f>SUMIF(EnemyAtkTable[Index],EnemyAtkTable[[#This Row],[Index]],EnemyAtkTable[BeforeDelay])+SUMIF(EnemyAtkTable[Index],EnemyAtkTable[[#This Row],[Index]],EnemyAtkTable[AfterDelay])</f>
        <v>2.5599999999999987</v>
      </c>
    </row>
    <row r="96" spans="2:17">
      <c r="B96">
        <v>30001</v>
      </c>
      <c r="C96" s="11" t="s">
        <v>879</v>
      </c>
      <c r="D96">
        <v>3107</v>
      </c>
      <c r="E96" s="16" t="s">
        <v>850</v>
      </c>
      <c r="F96">
        <v>0</v>
      </c>
      <c r="G96">
        <v>0.05</v>
      </c>
      <c r="H96" t="str">
        <f>INDEX(ShootTable['#설명],MATCH(EnemyAtkTable[[#This Row],[ShootDataId]],ShootTable[Index],0))</f>
        <v>젤로 돌진</v>
      </c>
      <c r="I96">
        <f>SUMIF(EnemyAtkTable[Index],EnemyAtkTable[[#This Row],[Index]],EnemyAtkTable[BeforeDelay])+SUMIF(EnemyAtkTable[Index],EnemyAtkTable[[#This Row],[Index]],EnemyAtkTable[AfterDelay])</f>
        <v>2.5599999999999987</v>
      </c>
    </row>
    <row r="97" spans="2:9">
      <c r="B97">
        <v>30001</v>
      </c>
      <c r="C97" s="11" t="s">
        <v>879</v>
      </c>
      <c r="D97">
        <v>3102</v>
      </c>
      <c r="E97" s="16" t="s">
        <v>850</v>
      </c>
      <c r="F97">
        <v>0</v>
      </c>
      <c r="G97">
        <v>0.03</v>
      </c>
      <c r="H97" t="str">
        <f>INDEX(ShootTable['#설명],MATCH(EnemyAtkTable[[#This Row],[ShootDataId]],ShootTable[Index],0))</f>
        <v>젤로 돌진</v>
      </c>
      <c r="I97">
        <f>SUMIF(EnemyAtkTable[Index],EnemyAtkTable[[#This Row],[Index]],EnemyAtkTable[BeforeDelay])+SUMIF(EnemyAtkTable[Index],EnemyAtkTable[[#This Row],[Index]],EnemyAtkTable[AfterDelay])</f>
        <v>2.5599999999999987</v>
      </c>
    </row>
    <row r="98" spans="2:9">
      <c r="B98">
        <v>30001</v>
      </c>
      <c r="C98" s="11" t="s">
        <v>879</v>
      </c>
      <c r="D98">
        <v>3106</v>
      </c>
      <c r="E98" s="16" t="s">
        <v>850</v>
      </c>
      <c r="F98">
        <v>0</v>
      </c>
      <c r="G98">
        <v>0.05</v>
      </c>
      <c r="H98" t="str">
        <f>INDEX(ShootTable['#설명],MATCH(EnemyAtkTable[[#This Row],[ShootDataId]],ShootTable[Index],0))</f>
        <v>젤로 돌진</v>
      </c>
      <c r="I98">
        <f>SUMIF(EnemyAtkTable[Index],EnemyAtkTable[[#This Row],[Index]],EnemyAtkTable[BeforeDelay])+SUMIF(EnemyAtkTable[Index],EnemyAtkTable[[#This Row],[Index]],EnemyAtkTable[AfterDelay])</f>
        <v>2.5599999999999987</v>
      </c>
    </row>
    <row r="99" spans="2:9">
      <c r="B99">
        <v>30001</v>
      </c>
      <c r="C99" s="11" t="s">
        <v>879</v>
      </c>
      <c r="D99">
        <v>3114</v>
      </c>
      <c r="E99" s="16" t="s">
        <v>850</v>
      </c>
      <c r="F99">
        <v>0</v>
      </c>
      <c r="G99">
        <v>0.03</v>
      </c>
      <c r="H99" t="str">
        <f>INDEX(ShootTable['#설명],MATCH(EnemyAtkTable[[#This Row],[ShootDataId]],ShootTable[Index],0))</f>
        <v>젤로 돌진</v>
      </c>
      <c r="I99">
        <f>SUMIF(EnemyAtkTable[Index],EnemyAtkTable[[#This Row],[Index]],EnemyAtkTable[BeforeDelay])+SUMIF(EnemyAtkTable[Index],EnemyAtkTable[[#This Row],[Index]],EnemyAtkTable[AfterDelay])</f>
        <v>2.5599999999999987</v>
      </c>
    </row>
    <row r="100" spans="2:9">
      <c r="B100">
        <v>30001</v>
      </c>
      <c r="C100" s="11" t="s">
        <v>879</v>
      </c>
      <c r="D100">
        <v>3103</v>
      </c>
      <c r="E100" s="16" t="s">
        <v>850</v>
      </c>
      <c r="F100">
        <v>0</v>
      </c>
      <c r="G100">
        <v>0.05</v>
      </c>
      <c r="H100" t="str">
        <f>INDEX(ShootTable['#설명],MATCH(EnemyAtkTable[[#This Row],[ShootDataId]],ShootTable[Index],0))</f>
        <v>젤로 돌진</v>
      </c>
      <c r="I100">
        <f>SUMIF(EnemyAtkTable[Index],EnemyAtkTable[[#This Row],[Index]],EnemyAtkTable[BeforeDelay])+SUMIF(EnemyAtkTable[Index],EnemyAtkTable[[#This Row],[Index]],EnemyAtkTable[AfterDelay])</f>
        <v>2.5599999999999987</v>
      </c>
    </row>
    <row r="101" spans="2:9">
      <c r="B101">
        <v>30001</v>
      </c>
      <c r="C101" s="11" t="s">
        <v>879</v>
      </c>
      <c r="D101">
        <v>3113</v>
      </c>
      <c r="E101" s="16" t="s">
        <v>850</v>
      </c>
      <c r="F101">
        <v>0</v>
      </c>
      <c r="G101">
        <v>0.03</v>
      </c>
      <c r="H101" t="str">
        <f>INDEX(ShootTable['#설명],MATCH(EnemyAtkTable[[#This Row],[ShootDataId]],ShootTable[Index],0))</f>
        <v>젤로 돌진</v>
      </c>
      <c r="I101">
        <f>SUMIF(EnemyAtkTable[Index],EnemyAtkTable[[#This Row],[Index]],EnemyAtkTable[BeforeDelay])+SUMIF(EnemyAtkTable[Index],EnemyAtkTable[[#This Row],[Index]],EnemyAtkTable[AfterDelay])</f>
        <v>2.5599999999999987</v>
      </c>
    </row>
    <row r="102" spans="2:9">
      <c r="B102">
        <v>30001</v>
      </c>
      <c r="C102" s="11" t="s">
        <v>879</v>
      </c>
      <c r="D102">
        <v>3104</v>
      </c>
      <c r="E102" s="16" t="s">
        <v>850</v>
      </c>
      <c r="F102">
        <v>0</v>
      </c>
      <c r="G102">
        <v>0.05</v>
      </c>
      <c r="H102" t="str">
        <f>INDEX(ShootTable['#설명],MATCH(EnemyAtkTable[[#This Row],[ShootDataId]],ShootTable[Index],0))</f>
        <v>젤로 돌진</v>
      </c>
      <c r="I102">
        <f>SUMIF(EnemyAtkTable[Index],EnemyAtkTable[[#This Row],[Index]],EnemyAtkTable[BeforeDelay])+SUMIF(EnemyAtkTable[Index],EnemyAtkTable[[#This Row],[Index]],EnemyAtkTable[AfterDelay])</f>
        <v>2.5599999999999987</v>
      </c>
    </row>
    <row r="103" spans="2:9">
      <c r="B103">
        <v>30001</v>
      </c>
      <c r="C103" s="11" t="s">
        <v>879</v>
      </c>
      <c r="D103">
        <v>3109</v>
      </c>
      <c r="E103" s="16" t="s">
        <v>850</v>
      </c>
      <c r="F103">
        <v>0</v>
      </c>
      <c r="G103">
        <v>0.03</v>
      </c>
      <c r="H103" t="str">
        <f>INDEX(ShootTable['#설명],MATCH(EnemyAtkTable[[#This Row],[ShootDataId]],ShootTable[Index],0))</f>
        <v>젤로 돌진</v>
      </c>
      <c r="I103">
        <f>SUMIF(EnemyAtkTable[Index],EnemyAtkTable[[#This Row],[Index]],EnemyAtkTable[BeforeDelay])+SUMIF(EnemyAtkTable[Index],EnemyAtkTable[[#This Row],[Index]],EnemyAtkTable[AfterDelay])</f>
        <v>2.5599999999999987</v>
      </c>
    </row>
    <row r="104" spans="2:9">
      <c r="B104">
        <v>30001</v>
      </c>
      <c r="C104" s="14" t="s">
        <v>879</v>
      </c>
      <c r="D104">
        <v>3110</v>
      </c>
      <c r="E104" s="16" t="s">
        <v>850</v>
      </c>
      <c r="F104">
        <v>0</v>
      </c>
      <c r="G104">
        <v>0.05</v>
      </c>
      <c r="H104" t="str">
        <f>INDEX(ShootTable['#설명],MATCH(EnemyAtkTable[[#This Row],[ShootDataId]],ShootTable[Index],0))</f>
        <v>젤로 돌진</v>
      </c>
      <c r="I104">
        <f>SUMIF(EnemyAtkTable[Index],EnemyAtkTable[[#This Row],[Index]],EnemyAtkTable[BeforeDelay])+SUMIF(EnemyAtkTable[Index],EnemyAtkTable[[#This Row],[Index]],EnemyAtkTable[AfterDelay])</f>
        <v>2.5599999999999987</v>
      </c>
    </row>
    <row r="105" spans="2:9">
      <c r="B105">
        <v>30001</v>
      </c>
      <c r="C105" s="14" t="s">
        <v>879</v>
      </c>
      <c r="D105">
        <v>3116</v>
      </c>
      <c r="E105" s="16" t="s">
        <v>850</v>
      </c>
      <c r="F105">
        <v>0</v>
      </c>
      <c r="G105">
        <v>0.03</v>
      </c>
      <c r="H105" t="str">
        <f>INDEX(ShootTable['#설명],MATCH(EnemyAtkTable[[#This Row],[ShootDataId]],ShootTable[Index],0))</f>
        <v>젤로 돌진</v>
      </c>
      <c r="I105">
        <f>SUMIF(EnemyAtkTable[Index],EnemyAtkTable[[#This Row],[Index]],EnemyAtkTable[BeforeDelay])+SUMIF(EnemyAtkTable[Index],EnemyAtkTable[[#This Row],[Index]],EnemyAtkTable[AfterDelay])</f>
        <v>2.5599999999999987</v>
      </c>
    </row>
    <row r="106" spans="2:9">
      <c r="B106">
        <v>30001</v>
      </c>
      <c r="C106" s="14" t="s">
        <v>879</v>
      </c>
      <c r="D106">
        <v>3108</v>
      </c>
      <c r="E106" s="16" t="s">
        <v>850</v>
      </c>
      <c r="F106">
        <v>0</v>
      </c>
      <c r="G106">
        <v>0.05</v>
      </c>
      <c r="H106" t="str">
        <f>INDEX(ShootTable['#설명],MATCH(EnemyAtkTable[[#This Row],[ShootDataId]],ShootTable[Index],0))</f>
        <v>젤로 돌진</v>
      </c>
      <c r="I106">
        <f>SUMIF(EnemyAtkTable[Index],EnemyAtkTable[[#This Row],[Index]],EnemyAtkTable[BeforeDelay])+SUMIF(EnemyAtkTable[Index],EnemyAtkTable[[#This Row],[Index]],EnemyAtkTable[AfterDelay])</f>
        <v>2.5599999999999987</v>
      </c>
    </row>
    <row r="107" spans="2:9">
      <c r="B107">
        <v>30001</v>
      </c>
      <c r="C107" s="14" t="s">
        <v>879</v>
      </c>
      <c r="D107">
        <v>3115</v>
      </c>
      <c r="E107" s="16" t="s">
        <v>850</v>
      </c>
      <c r="F107">
        <v>0</v>
      </c>
      <c r="G107">
        <v>0.03</v>
      </c>
      <c r="H107" t="str">
        <f>INDEX(ShootTable['#설명],MATCH(EnemyAtkTable[[#This Row],[ShootDataId]],ShootTable[Index],0))</f>
        <v>젤로 돌진</v>
      </c>
      <c r="I107">
        <f>SUMIF(EnemyAtkTable[Index],EnemyAtkTable[[#This Row],[Index]],EnemyAtkTable[BeforeDelay])+SUMIF(EnemyAtkTable[Index],EnemyAtkTable[[#This Row],[Index]],EnemyAtkTable[AfterDelay])</f>
        <v>2.5599999999999987</v>
      </c>
    </row>
    <row r="108" spans="2:9">
      <c r="B108">
        <v>30001</v>
      </c>
      <c r="C108" s="14" t="s">
        <v>879</v>
      </c>
      <c r="D108">
        <v>3103</v>
      </c>
      <c r="E108" s="16" t="s">
        <v>850</v>
      </c>
      <c r="F108">
        <v>0</v>
      </c>
      <c r="G108">
        <v>0.05</v>
      </c>
      <c r="H108" t="str">
        <f>INDEX(ShootTable['#설명],MATCH(EnemyAtkTable[[#This Row],[ShootDataId]],ShootTable[Index],0))</f>
        <v>젤로 돌진</v>
      </c>
      <c r="I108">
        <f>SUMIF(EnemyAtkTable[Index],EnemyAtkTable[[#This Row],[Index]],EnemyAtkTable[BeforeDelay])+SUMIF(EnemyAtkTable[Index],EnemyAtkTable[[#This Row],[Index]],EnemyAtkTable[AfterDelay])</f>
        <v>2.5599999999999987</v>
      </c>
    </row>
    <row r="109" spans="2:9">
      <c r="B109">
        <v>30001</v>
      </c>
      <c r="C109" s="14" t="s">
        <v>879</v>
      </c>
      <c r="D109">
        <v>3102</v>
      </c>
      <c r="E109" s="16" t="s">
        <v>850</v>
      </c>
      <c r="F109">
        <v>0</v>
      </c>
      <c r="G109">
        <v>0.03</v>
      </c>
      <c r="H109" t="str">
        <f>INDEX(ShootTable['#설명],MATCH(EnemyAtkTable[[#This Row],[ShootDataId]],ShootTable[Index],0))</f>
        <v>젤로 돌진</v>
      </c>
      <c r="I109">
        <f>SUMIF(EnemyAtkTable[Index],EnemyAtkTable[[#This Row],[Index]],EnemyAtkTable[BeforeDelay])+SUMIF(EnemyAtkTable[Index],EnemyAtkTable[[#This Row],[Index]],EnemyAtkTable[AfterDelay])</f>
        <v>2.5599999999999987</v>
      </c>
    </row>
    <row r="110" spans="2:9">
      <c r="B110">
        <v>30001</v>
      </c>
      <c r="C110" s="14" t="s">
        <v>879</v>
      </c>
      <c r="D110">
        <v>3114</v>
      </c>
      <c r="E110" s="16" t="s">
        <v>850</v>
      </c>
      <c r="F110">
        <v>0</v>
      </c>
      <c r="G110">
        <v>0.05</v>
      </c>
      <c r="H110" t="str">
        <f>INDEX(ShootTable['#설명],MATCH(EnemyAtkTable[[#This Row],[ShootDataId]],ShootTable[Index],0))</f>
        <v>젤로 돌진</v>
      </c>
      <c r="I110">
        <f>SUMIF(EnemyAtkTable[Index],EnemyAtkTable[[#This Row],[Index]],EnemyAtkTable[BeforeDelay])+SUMIF(EnemyAtkTable[Index],EnemyAtkTable[[#This Row],[Index]],EnemyAtkTable[AfterDelay])</f>
        <v>2.5599999999999987</v>
      </c>
    </row>
    <row r="111" spans="2:9">
      <c r="B111">
        <v>30001</v>
      </c>
      <c r="C111" s="14" t="s">
        <v>879</v>
      </c>
      <c r="D111">
        <v>3113</v>
      </c>
      <c r="E111" s="16" t="s">
        <v>850</v>
      </c>
      <c r="F111">
        <v>0</v>
      </c>
      <c r="G111">
        <v>0.03</v>
      </c>
      <c r="H111" t="str">
        <f>INDEX(ShootTable['#설명],MATCH(EnemyAtkTable[[#This Row],[ShootDataId]],ShootTable[Index],0))</f>
        <v>젤로 돌진</v>
      </c>
      <c r="I111">
        <f>SUMIF(EnemyAtkTable[Index],EnemyAtkTable[[#This Row],[Index]],EnemyAtkTable[BeforeDelay])+SUMIF(EnemyAtkTable[Index],EnemyAtkTable[[#This Row],[Index]],EnemyAtkTable[AfterDelay])</f>
        <v>2.5599999999999987</v>
      </c>
    </row>
    <row r="112" spans="2:9">
      <c r="B112">
        <v>30001</v>
      </c>
      <c r="C112" s="14" t="s">
        <v>879</v>
      </c>
      <c r="D112">
        <v>3111</v>
      </c>
      <c r="E112" s="16" t="s">
        <v>850</v>
      </c>
      <c r="F112">
        <v>0</v>
      </c>
      <c r="G112">
        <v>0.05</v>
      </c>
      <c r="H112" t="str">
        <f>INDEX(ShootTable['#설명],MATCH(EnemyAtkTable[[#This Row],[ShootDataId]],ShootTable[Index],0))</f>
        <v>젤로 돌진</v>
      </c>
      <c r="I112">
        <f>SUMIF(EnemyAtkTable[Index],EnemyAtkTable[[#This Row],[Index]],EnemyAtkTable[BeforeDelay])+SUMIF(EnemyAtkTable[Index],EnemyAtkTable[[#This Row],[Index]],EnemyAtkTable[AfterDelay])</f>
        <v>2.5599999999999987</v>
      </c>
    </row>
    <row r="113" spans="2:9">
      <c r="B113">
        <v>30001</v>
      </c>
      <c r="C113" s="14" t="s">
        <v>879</v>
      </c>
      <c r="D113">
        <v>3107</v>
      </c>
      <c r="E113" s="16" t="s">
        <v>850</v>
      </c>
      <c r="F113">
        <v>0</v>
      </c>
      <c r="G113">
        <v>0.03</v>
      </c>
      <c r="H113" t="str">
        <f>INDEX(ShootTable['#설명],MATCH(EnemyAtkTable[[#This Row],[ShootDataId]],ShootTable[Index],0))</f>
        <v>젤로 돌진</v>
      </c>
      <c r="I113">
        <f>SUMIF(EnemyAtkTable[Index],EnemyAtkTable[[#This Row],[Index]],EnemyAtkTable[BeforeDelay])+SUMIF(EnemyAtkTable[Index],EnemyAtkTable[[#This Row],[Index]],EnemyAtkTable[AfterDelay])</f>
        <v>2.5599999999999987</v>
      </c>
    </row>
    <row r="114" spans="2:9">
      <c r="B114">
        <v>30001</v>
      </c>
      <c r="C114" s="14" t="s">
        <v>879</v>
      </c>
      <c r="D114">
        <v>3106</v>
      </c>
      <c r="E114" s="16" t="s">
        <v>850</v>
      </c>
      <c r="F114">
        <v>0</v>
      </c>
      <c r="G114">
        <v>0.05</v>
      </c>
      <c r="H114" t="str">
        <f>INDEX(ShootTable['#설명],MATCH(EnemyAtkTable[[#This Row],[ShootDataId]],ShootTable[Index],0))</f>
        <v>젤로 돌진</v>
      </c>
      <c r="I114">
        <f>SUMIF(EnemyAtkTable[Index],EnemyAtkTable[[#This Row],[Index]],EnemyAtkTable[BeforeDelay])+SUMIF(EnemyAtkTable[Index],EnemyAtkTable[[#This Row],[Index]],EnemyAtkTable[AfterDelay])</f>
        <v>2.5599999999999987</v>
      </c>
    </row>
    <row r="115" spans="2:9">
      <c r="B115">
        <v>30001</v>
      </c>
      <c r="C115" s="14" t="s">
        <v>879</v>
      </c>
      <c r="D115">
        <v>3104</v>
      </c>
      <c r="E115" s="16" t="s">
        <v>850</v>
      </c>
      <c r="F115">
        <v>0</v>
      </c>
      <c r="G115">
        <v>0.03</v>
      </c>
      <c r="H115" t="str">
        <f>INDEX(ShootTable['#설명],MATCH(EnemyAtkTable[[#This Row],[ShootDataId]],ShootTable[Index],0))</f>
        <v>젤로 돌진</v>
      </c>
      <c r="I115">
        <f>SUMIF(EnemyAtkTable[Index],EnemyAtkTable[[#This Row],[Index]],EnemyAtkTable[BeforeDelay])+SUMIF(EnemyAtkTable[Index],EnemyAtkTable[[#This Row],[Index]],EnemyAtkTable[AfterDelay])</f>
        <v>2.5599999999999987</v>
      </c>
    </row>
    <row r="116" spans="2:9">
      <c r="B116">
        <v>30001</v>
      </c>
      <c r="C116" s="14" t="s">
        <v>879</v>
      </c>
      <c r="D116">
        <v>3112</v>
      </c>
      <c r="E116" s="16" t="s">
        <v>850</v>
      </c>
      <c r="F116">
        <v>0</v>
      </c>
      <c r="G116">
        <v>0.05</v>
      </c>
      <c r="H116" t="str">
        <f>INDEX(ShootTable['#설명],MATCH(EnemyAtkTable[[#This Row],[ShootDataId]],ShootTable[Index],0))</f>
        <v>젤로 돌진</v>
      </c>
      <c r="I116">
        <f>SUMIF(EnemyAtkTable[Index],EnemyAtkTable[[#This Row],[Index]],EnemyAtkTable[BeforeDelay])+SUMIF(EnemyAtkTable[Index],EnemyAtkTable[[#This Row],[Index]],EnemyAtkTable[AfterDelay])</f>
        <v>2.5599999999999987</v>
      </c>
    </row>
    <row r="117" spans="2:9">
      <c r="B117">
        <v>30001</v>
      </c>
      <c r="C117" s="14" t="s">
        <v>879</v>
      </c>
      <c r="D117">
        <v>3101</v>
      </c>
      <c r="E117" s="16" t="s">
        <v>850</v>
      </c>
      <c r="F117">
        <v>0</v>
      </c>
      <c r="G117">
        <v>0.03</v>
      </c>
      <c r="H117" t="str">
        <f>INDEX(ShootTable['#설명],MATCH(EnemyAtkTable[[#This Row],[ShootDataId]],ShootTable[Index],0))</f>
        <v>젤로 돌진</v>
      </c>
      <c r="I117">
        <f>SUMIF(EnemyAtkTable[Index],EnemyAtkTable[[#This Row],[Index]],EnemyAtkTable[BeforeDelay])+SUMIF(EnemyAtkTable[Index],EnemyAtkTable[[#This Row],[Index]],EnemyAtkTable[AfterDelay])</f>
        <v>2.5599999999999987</v>
      </c>
    </row>
    <row r="118" spans="2:9">
      <c r="B118">
        <v>30001</v>
      </c>
      <c r="C118" s="14" t="s">
        <v>879</v>
      </c>
      <c r="D118">
        <v>3105</v>
      </c>
      <c r="E118" s="16" t="s">
        <v>850</v>
      </c>
      <c r="F118">
        <v>0</v>
      </c>
      <c r="G118">
        <v>0.05</v>
      </c>
      <c r="H118" t="str">
        <f>INDEX(ShootTable['#설명],MATCH(EnemyAtkTable[[#This Row],[ShootDataId]],ShootTable[Index],0))</f>
        <v>젤로 돌진</v>
      </c>
      <c r="I118">
        <f>SUMIF(EnemyAtkTable[Index],EnemyAtkTable[[#This Row],[Index]],EnemyAtkTable[BeforeDelay])+SUMIF(EnemyAtkTable[Index],EnemyAtkTable[[#This Row],[Index]],EnemyAtkTable[AfterDelay])</f>
        <v>2.5599999999999987</v>
      </c>
    </row>
    <row r="119" spans="2:9">
      <c r="B119">
        <v>30001</v>
      </c>
      <c r="C119" s="14" t="s">
        <v>879</v>
      </c>
      <c r="D119">
        <v>3109</v>
      </c>
      <c r="E119" s="16" t="s">
        <v>850</v>
      </c>
      <c r="F119">
        <v>0</v>
      </c>
      <c r="G119">
        <v>0.03</v>
      </c>
      <c r="H119" t="str">
        <f>INDEX(ShootTable['#설명],MATCH(EnemyAtkTable[[#This Row],[ShootDataId]],ShootTable[Index],0))</f>
        <v>젤로 돌진</v>
      </c>
      <c r="I119">
        <f>SUMIF(EnemyAtkTable[Index],EnemyAtkTable[[#This Row],[Index]],EnemyAtkTable[BeforeDelay])+SUMIF(EnemyAtkTable[Index],EnemyAtkTable[[#This Row],[Index]],EnemyAtkTable[AfterDelay])</f>
        <v>2.5599999999999987</v>
      </c>
    </row>
    <row r="120" spans="2:9">
      <c r="B120">
        <v>30001</v>
      </c>
      <c r="C120" s="11" t="s">
        <v>879</v>
      </c>
      <c r="D120">
        <v>3101</v>
      </c>
      <c r="E120" s="16" t="s">
        <v>850</v>
      </c>
      <c r="F120">
        <v>0</v>
      </c>
      <c r="G120">
        <v>0.05</v>
      </c>
      <c r="H120" t="str">
        <f>INDEX(ShootTable['#설명],MATCH(EnemyAtkTable[[#This Row],[ShootDataId]],ShootTable[Index],0))</f>
        <v>젤로 돌진</v>
      </c>
      <c r="I120">
        <f>SUMIF(EnemyAtkTable[Index],EnemyAtkTable[[#This Row],[Index]],EnemyAtkTable[BeforeDelay])+SUMIF(EnemyAtkTable[Index],EnemyAtkTable[[#This Row],[Index]],EnemyAtkTable[AfterDelay])</f>
        <v>2.5599999999999987</v>
      </c>
    </row>
    <row r="121" spans="2:9">
      <c r="B121">
        <v>30001</v>
      </c>
      <c r="C121" s="11" t="s">
        <v>879</v>
      </c>
      <c r="D121">
        <v>3110</v>
      </c>
      <c r="E121" s="16" t="s">
        <v>850</v>
      </c>
      <c r="F121">
        <v>0</v>
      </c>
      <c r="G121">
        <v>0.03</v>
      </c>
      <c r="H121" t="str">
        <f>INDEX(ShootTable['#설명],MATCH(EnemyAtkTable[[#This Row],[ShootDataId]],ShootTable[Index],0))</f>
        <v>젤로 돌진</v>
      </c>
      <c r="I121">
        <f>SUMIF(EnemyAtkTable[Index],EnemyAtkTable[[#This Row],[Index]],EnemyAtkTable[BeforeDelay])+SUMIF(EnemyAtkTable[Index],EnemyAtkTable[[#This Row],[Index]],EnemyAtkTable[AfterDelay])</f>
        <v>2.5599999999999987</v>
      </c>
    </row>
    <row r="122" spans="2:9">
      <c r="B122">
        <v>30001</v>
      </c>
      <c r="C122" s="11" t="s">
        <v>879</v>
      </c>
      <c r="D122">
        <v>3103</v>
      </c>
      <c r="E122" s="16" t="s">
        <v>850</v>
      </c>
      <c r="F122">
        <v>0</v>
      </c>
      <c r="G122">
        <v>0.05</v>
      </c>
      <c r="H122" t="str">
        <f>INDEX(ShootTable['#설명],MATCH(EnemyAtkTable[[#This Row],[ShootDataId]],ShootTable[Index],0))</f>
        <v>젤로 돌진</v>
      </c>
      <c r="I122">
        <f>SUMIF(EnemyAtkTable[Index],EnemyAtkTable[[#This Row],[Index]],EnemyAtkTable[BeforeDelay])+SUMIF(EnemyAtkTable[Index],EnemyAtkTable[[#This Row],[Index]],EnemyAtkTable[AfterDelay])</f>
        <v>2.5599999999999987</v>
      </c>
    </row>
    <row r="123" spans="2:9">
      <c r="B123">
        <v>30001</v>
      </c>
      <c r="C123" s="11" t="s">
        <v>879</v>
      </c>
      <c r="D123">
        <v>3116</v>
      </c>
      <c r="E123" s="16" t="s">
        <v>850</v>
      </c>
      <c r="F123">
        <v>0</v>
      </c>
      <c r="G123">
        <v>0.03</v>
      </c>
      <c r="H123" t="str">
        <f>INDEX(ShootTable['#설명],MATCH(EnemyAtkTable[[#This Row],[ShootDataId]],ShootTable[Index],0))</f>
        <v>젤로 돌진</v>
      </c>
      <c r="I123">
        <f>SUMIF(EnemyAtkTable[Index],EnemyAtkTable[[#This Row],[Index]],EnemyAtkTable[BeforeDelay])+SUMIF(EnemyAtkTable[Index],EnemyAtkTable[[#This Row],[Index]],EnemyAtkTable[AfterDelay])</f>
        <v>2.5599999999999987</v>
      </c>
    </row>
    <row r="124" spans="2:9">
      <c r="B124">
        <v>30001</v>
      </c>
      <c r="C124" s="11" t="s">
        <v>879</v>
      </c>
      <c r="D124">
        <v>3109</v>
      </c>
      <c r="E124" s="16" t="s">
        <v>850</v>
      </c>
      <c r="F124">
        <v>0</v>
      </c>
      <c r="G124">
        <v>0.05</v>
      </c>
      <c r="H124" t="str">
        <f>INDEX(ShootTable['#설명],MATCH(EnemyAtkTable[[#This Row],[ShootDataId]],ShootTable[Index],0))</f>
        <v>젤로 돌진</v>
      </c>
      <c r="I124">
        <f>SUMIF(EnemyAtkTable[Index],EnemyAtkTable[[#This Row],[Index]],EnemyAtkTable[BeforeDelay])+SUMIF(EnemyAtkTable[Index],EnemyAtkTable[[#This Row],[Index]],EnemyAtkTable[AfterDelay])</f>
        <v>2.5599999999999987</v>
      </c>
    </row>
    <row r="125" spans="2:9">
      <c r="B125">
        <v>30001</v>
      </c>
      <c r="C125" s="11" t="s">
        <v>879</v>
      </c>
      <c r="D125">
        <v>3107</v>
      </c>
      <c r="E125" s="16" t="s">
        <v>850</v>
      </c>
      <c r="F125">
        <v>0</v>
      </c>
      <c r="G125">
        <v>0.03</v>
      </c>
      <c r="H125" t="str">
        <f>INDEX(ShootTable['#설명],MATCH(EnemyAtkTable[[#This Row],[ShootDataId]],ShootTable[Index],0))</f>
        <v>젤로 돌진</v>
      </c>
      <c r="I125">
        <f>SUMIF(EnemyAtkTable[Index],EnemyAtkTable[[#This Row],[Index]],EnemyAtkTable[BeforeDelay])+SUMIF(EnemyAtkTable[Index],EnemyAtkTable[[#This Row],[Index]],EnemyAtkTable[AfterDelay])</f>
        <v>2.5599999999999987</v>
      </c>
    </row>
    <row r="126" spans="2:9">
      <c r="B126">
        <v>30001</v>
      </c>
      <c r="C126" s="11" t="s">
        <v>879</v>
      </c>
      <c r="D126">
        <v>3113</v>
      </c>
      <c r="E126" s="16" t="s">
        <v>850</v>
      </c>
      <c r="F126">
        <v>0</v>
      </c>
      <c r="G126">
        <v>0.05</v>
      </c>
      <c r="H126" t="str">
        <f>INDEX(ShootTable['#설명],MATCH(EnemyAtkTable[[#This Row],[ShootDataId]],ShootTable[Index],0))</f>
        <v>젤로 돌진</v>
      </c>
      <c r="I126">
        <f>SUMIF(EnemyAtkTable[Index],EnemyAtkTable[[#This Row],[Index]],EnemyAtkTable[BeforeDelay])+SUMIF(EnemyAtkTable[Index],EnemyAtkTable[[#This Row],[Index]],EnemyAtkTable[AfterDelay])</f>
        <v>2.5599999999999987</v>
      </c>
    </row>
    <row r="127" spans="2:9">
      <c r="B127">
        <v>30001</v>
      </c>
      <c r="C127" s="11" t="s">
        <v>879</v>
      </c>
      <c r="D127">
        <v>3106</v>
      </c>
      <c r="E127" s="16" t="s">
        <v>850</v>
      </c>
      <c r="F127">
        <v>0</v>
      </c>
      <c r="G127">
        <v>0.03</v>
      </c>
      <c r="H127" t="str">
        <f>INDEX(ShootTable['#설명],MATCH(EnemyAtkTable[[#This Row],[ShootDataId]],ShootTable[Index],0))</f>
        <v>젤로 돌진</v>
      </c>
      <c r="I127">
        <f>SUMIF(EnemyAtkTable[Index],EnemyAtkTable[[#This Row],[Index]],EnemyAtkTable[BeforeDelay])+SUMIF(EnemyAtkTable[Index],EnemyAtkTable[[#This Row],[Index]],EnemyAtkTable[AfterDelay])</f>
        <v>2.5599999999999987</v>
      </c>
    </row>
    <row r="128" spans="2:9">
      <c r="B128">
        <v>30001</v>
      </c>
      <c r="C128" s="11" t="s">
        <v>879</v>
      </c>
      <c r="D128">
        <v>3102</v>
      </c>
      <c r="E128" s="16" t="s">
        <v>850</v>
      </c>
      <c r="F128">
        <v>0</v>
      </c>
      <c r="G128">
        <v>0.05</v>
      </c>
      <c r="H128" t="str">
        <f>INDEX(ShootTable['#설명],MATCH(EnemyAtkTable[[#This Row],[ShootDataId]],ShootTable[Index],0))</f>
        <v>젤로 돌진</v>
      </c>
      <c r="I128">
        <f>SUMIF(EnemyAtkTable[Index],EnemyAtkTable[[#This Row],[Index]],EnemyAtkTable[BeforeDelay])+SUMIF(EnemyAtkTable[Index],EnemyAtkTable[[#This Row],[Index]],EnemyAtkTable[AfterDelay])</f>
        <v>2.5599999999999987</v>
      </c>
    </row>
    <row r="129" spans="2:9">
      <c r="B129">
        <v>30001</v>
      </c>
      <c r="C129" s="11" t="s">
        <v>879</v>
      </c>
      <c r="D129">
        <v>3111</v>
      </c>
      <c r="E129" s="16" t="s">
        <v>850</v>
      </c>
      <c r="F129">
        <v>0</v>
      </c>
      <c r="G129">
        <v>0.03</v>
      </c>
      <c r="H129" t="str">
        <f>INDEX(ShootTable['#설명],MATCH(EnemyAtkTable[[#This Row],[ShootDataId]],ShootTable[Index],0))</f>
        <v>젤로 돌진</v>
      </c>
      <c r="I129">
        <f>SUMIF(EnemyAtkTable[Index],EnemyAtkTable[[#This Row],[Index]],EnemyAtkTable[BeforeDelay])+SUMIF(EnemyAtkTable[Index],EnemyAtkTable[[#This Row],[Index]],EnemyAtkTable[AfterDelay])</f>
        <v>2.5599999999999987</v>
      </c>
    </row>
    <row r="130" spans="2:9">
      <c r="B130">
        <v>30001</v>
      </c>
      <c r="C130" s="11" t="s">
        <v>879</v>
      </c>
      <c r="D130">
        <v>3115</v>
      </c>
      <c r="E130" s="16" t="s">
        <v>850</v>
      </c>
      <c r="F130">
        <v>0</v>
      </c>
      <c r="G130">
        <v>0.05</v>
      </c>
      <c r="H130" t="str">
        <f>INDEX(ShootTable['#설명],MATCH(EnemyAtkTable[[#This Row],[ShootDataId]],ShootTable[Index],0))</f>
        <v>젤로 돌진</v>
      </c>
      <c r="I130">
        <f>SUMIF(EnemyAtkTable[Index],EnemyAtkTable[[#This Row],[Index]],EnemyAtkTable[BeforeDelay])+SUMIF(EnemyAtkTable[Index],EnemyAtkTable[[#This Row],[Index]],EnemyAtkTable[AfterDelay])</f>
        <v>2.5599999999999987</v>
      </c>
    </row>
    <row r="131" spans="2:9">
      <c r="B131">
        <v>30001</v>
      </c>
      <c r="C131" s="11" t="s">
        <v>879</v>
      </c>
      <c r="D131">
        <v>3112</v>
      </c>
      <c r="E131" s="16" t="s">
        <v>850</v>
      </c>
      <c r="F131">
        <v>0</v>
      </c>
      <c r="G131">
        <v>0.03</v>
      </c>
      <c r="H131" t="str">
        <f>INDEX(ShootTable['#설명],MATCH(EnemyAtkTable[[#This Row],[ShootDataId]],ShootTable[Index],0))</f>
        <v>젤로 돌진</v>
      </c>
      <c r="I131">
        <f>SUMIF(EnemyAtkTable[Index],EnemyAtkTable[[#This Row],[Index]],EnemyAtkTable[BeforeDelay])+SUMIF(EnemyAtkTable[Index],EnemyAtkTable[[#This Row],[Index]],EnemyAtkTable[AfterDelay])</f>
        <v>2.5599999999999987</v>
      </c>
    </row>
    <row r="132" spans="2:9">
      <c r="B132">
        <v>30001</v>
      </c>
      <c r="C132" s="11" t="s">
        <v>879</v>
      </c>
      <c r="D132">
        <v>3114</v>
      </c>
      <c r="E132" s="16" t="s">
        <v>850</v>
      </c>
      <c r="F132">
        <v>0</v>
      </c>
      <c r="G132">
        <v>0.05</v>
      </c>
      <c r="H132" t="str">
        <f>INDEX(ShootTable['#설명],MATCH(EnemyAtkTable[[#This Row],[ShootDataId]],ShootTable[Index],0))</f>
        <v>젤로 돌진</v>
      </c>
      <c r="I132">
        <f>SUMIF(EnemyAtkTable[Index],EnemyAtkTable[[#This Row],[Index]],EnemyAtkTable[BeforeDelay])+SUMIF(EnemyAtkTable[Index],EnemyAtkTable[[#This Row],[Index]],EnemyAtkTable[AfterDelay])</f>
        <v>2.5599999999999987</v>
      </c>
    </row>
    <row r="133" spans="2:9">
      <c r="B133">
        <v>30001</v>
      </c>
      <c r="C133" s="11" t="s">
        <v>879</v>
      </c>
      <c r="D133">
        <v>3105</v>
      </c>
      <c r="E133" s="16" t="s">
        <v>850</v>
      </c>
      <c r="F133">
        <v>0</v>
      </c>
      <c r="G133">
        <v>0.03</v>
      </c>
      <c r="H133" t="str">
        <f>INDEX(ShootTable['#설명],MATCH(EnemyAtkTable[[#This Row],[ShootDataId]],ShootTable[Index],0))</f>
        <v>젤로 돌진</v>
      </c>
      <c r="I133">
        <f>SUMIF(EnemyAtkTable[Index],EnemyAtkTable[[#This Row],[Index]],EnemyAtkTable[BeforeDelay])+SUMIF(EnemyAtkTable[Index],EnemyAtkTable[[#This Row],[Index]],EnemyAtkTable[AfterDelay])</f>
        <v>2.5599999999999987</v>
      </c>
    </row>
    <row r="134" spans="2:9">
      <c r="B134">
        <v>30001</v>
      </c>
      <c r="C134" s="11" t="s">
        <v>879</v>
      </c>
      <c r="D134">
        <v>3104</v>
      </c>
      <c r="E134" s="16" t="s">
        <v>850</v>
      </c>
      <c r="F134">
        <v>0</v>
      </c>
      <c r="G134">
        <v>0.05</v>
      </c>
      <c r="H134" t="str">
        <f>INDEX(ShootTable['#설명],MATCH(EnemyAtkTable[[#This Row],[ShootDataId]],ShootTable[Index],0))</f>
        <v>젤로 돌진</v>
      </c>
      <c r="I134">
        <f>SUMIF(EnemyAtkTable[Index],EnemyAtkTable[[#This Row],[Index]],EnemyAtkTable[BeforeDelay])+SUMIF(EnemyAtkTable[Index],EnemyAtkTable[[#This Row],[Index]],EnemyAtkTable[AfterDelay])</f>
        <v>2.5599999999999987</v>
      </c>
    </row>
    <row r="135" spans="2:9">
      <c r="B135">
        <v>30001</v>
      </c>
      <c r="C135" s="11" t="s">
        <v>879</v>
      </c>
      <c r="D135">
        <v>3108</v>
      </c>
      <c r="E135" s="16" t="s">
        <v>850</v>
      </c>
      <c r="F135">
        <v>0</v>
      </c>
      <c r="G135">
        <v>0.03</v>
      </c>
      <c r="H135" t="str">
        <f>INDEX(ShootTable['#설명],MATCH(EnemyAtkTable[[#This Row],[ShootDataId]],ShootTable[Index],0))</f>
        <v>젤로 돌진</v>
      </c>
      <c r="I135">
        <f>SUMIF(EnemyAtkTable[Index],EnemyAtkTable[[#This Row],[Index]],EnemyAtkTable[BeforeDelay])+SUMIF(EnemyAtkTable[Index],EnemyAtkTable[[#This Row],[Index]],EnemyAtkTable[AfterDelay])</f>
        <v>2.5599999999999987</v>
      </c>
    </row>
  </sheetData>
  <sortState xmlns:xlrd2="http://schemas.microsoft.com/office/spreadsheetml/2017/richdata2" ref="O72:P89">
    <sortCondition ref="P72:P89"/>
  </sortState>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DAE3F3"/>
  </sheetPr>
  <dimension ref="B1:H237"/>
  <sheetViews>
    <sheetView topLeftCell="A113" zoomScaleNormal="75" zoomScaleSheetLayoutView="100" workbookViewId="0">
      <selection activeCell="G220" sqref="G220"/>
    </sheetView>
  </sheetViews>
  <sheetFormatPr defaultColWidth="8.796875" defaultRowHeight="17.399999999999999"/>
  <cols>
    <col min="2" max="2" width="8.69921875" bestFit="1" customWidth="1"/>
    <col min="3" max="3" width="22.5" customWidth="1"/>
    <col min="4" max="4" width="14.19921875" bestFit="1" customWidth="1"/>
    <col min="5" max="5" width="18.296875" bestFit="1" customWidth="1"/>
    <col min="6" max="6" width="20.19921875" bestFit="1" customWidth="1"/>
    <col min="7" max="7" width="11.5" bestFit="1" customWidth="1"/>
    <col min="8" max="8" width="16" customWidth="1"/>
  </cols>
  <sheetData>
    <row r="1" spans="2:8">
      <c r="B1" t="s">
        <v>24</v>
      </c>
      <c r="C1" t="s">
        <v>26</v>
      </c>
      <c r="D1" t="s">
        <v>65</v>
      </c>
      <c r="E1" t="s">
        <v>24</v>
      </c>
      <c r="F1" t="s">
        <v>24</v>
      </c>
      <c r="G1" t="s">
        <v>24</v>
      </c>
    </row>
    <row r="2" spans="2:8">
      <c r="B2" t="s">
        <v>38</v>
      </c>
      <c r="C2" s="5" t="s">
        <v>22</v>
      </c>
      <c r="D2" t="s">
        <v>187</v>
      </c>
      <c r="E2" t="s">
        <v>2</v>
      </c>
      <c r="F2" t="s">
        <v>128</v>
      </c>
      <c r="G2" t="s">
        <v>190</v>
      </c>
      <c r="H2" s="11" t="s">
        <v>872</v>
      </c>
    </row>
    <row r="3" spans="2:8">
      <c r="B3">
        <v>700</v>
      </c>
      <c r="C3" s="4" t="s">
        <v>202</v>
      </c>
      <c r="D3">
        <v>0</v>
      </c>
      <c r="E3">
        <v>400</v>
      </c>
      <c r="F3">
        <v>0</v>
      </c>
      <c r="G3">
        <v>6.5</v>
      </c>
      <c r="H3" s="11" t="s">
        <v>325</v>
      </c>
    </row>
    <row r="4" spans="2:8">
      <c r="B4">
        <v>700</v>
      </c>
      <c r="C4" s="4" t="s">
        <v>202</v>
      </c>
      <c r="D4">
        <v>90</v>
      </c>
      <c r="E4">
        <v>400</v>
      </c>
      <c r="F4">
        <v>0</v>
      </c>
      <c r="G4">
        <v>6.5</v>
      </c>
      <c r="H4" s="11" t="s">
        <v>325</v>
      </c>
    </row>
    <row r="5" spans="2:8">
      <c r="B5">
        <v>700</v>
      </c>
      <c r="C5" s="4" t="s">
        <v>202</v>
      </c>
      <c r="D5">
        <v>180</v>
      </c>
      <c r="E5">
        <v>400</v>
      </c>
      <c r="F5">
        <v>0</v>
      </c>
      <c r="G5">
        <v>6.5</v>
      </c>
      <c r="H5" s="11" t="s">
        <v>325</v>
      </c>
    </row>
    <row r="6" spans="2:8">
      <c r="B6">
        <v>700</v>
      </c>
      <c r="C6" s="4" t="s">
        <v>202</v>
      </c>
      <c r="D6">
        <v>-90</v>
      </c>
      <c r="E6">
        <v>400</v>
      </c>
      <c r="F6">
        <v>0</v>
      </c>
      <c r="G6">
        <v>6.5</v>
      </c>
      <c r="H6" s="11" t="s">
        <v>325</v>
      </c>
    </row>
    <row r="7" spans="2:8">
      <c r="B7">
        <v>701</v>
      </c>
      <c r="C7" s="4" t="s">
        <v>134</v>
      </c>
      <c r="D7">
        <v>45</v>
      </c>
      <c r="E7">
        <v>401</v>
      </c>
      <c r="F7">
        <v>0</v>
      </c>
      <c r="G7">
        <v>6.5</v>
      </c>
      <c r="H7" s="11" t="s">
        <v>325</v>
      </c>
    </row>
    <row r="8" spans="2:8">
      <c r="B8">
        <v>701</v>
      </c>
      <c r="C8" s="4" t="s">
        <v>134</v>
      </c>
      <c r="D8">
        <v>-45</v>
      </c>
      <c r="E8">
        <v>401</v>
      </c>
      <c r="F8">
        <v>0</v>
      </c>
      <c r="G8">
        <v>6.5</v>
      </c>
      <c r="H8" s="11" t="s">
        <v>325</v>
      </c>
    </row>
    <row r="9" spans="2:8">
      <c r="B9">
        <v>701</v>
      </c>
      <c r="C9" s="4" t="s">
        <v>134</v>
      </c>
      <c r="D9">
        <v>135</v>
      </c>
      <c r="E9">
        <v>401</v>
      </c>
      <c r="F9">
        <v>0</v>
      </c>
      <c r="G9">
        <v>6.5</v>
      </c>
      <c r="H9" s="11" t="s">
        <v>325</v>
      </c>
    </row>
    <row r="10" spans="2:8">
      <c r="B10">
        <v>701</v>
      </c>
      <c r="C10" s="4" t="s">
        <v>134</v>
      </c>
      <c r="D10">
        <v>-135</v>
      </c>
      <c r="E10">
        <v>401</v>
      </c>
      <c r="F10">
        <v>0</v>
      </c>
      <c r="G10">
        <v>6.5</v>
      </c>
      <c r="H10" s="11" t="s">
        <v>325</v>
      </c>
    </row>
    <row r="11" spans="2:8">
      <c r="B11">
        <v>702</v>
      </c>
      <c r="C11" s="4" t="s">
        <v>87</v>
      </c>
      <c r="D11">
        <v>0</v>
      </c>
      <c r="E11">
        <v>400</v>
      </c>
      <c r="F11">
        <v>0</v>
      </c>
      <c r="G11">
        <v>6.5</v>
      </c>
      <c r="H11" s="11" t="s">
        <v>325</v>
      </c>
    </row>
    <row r="12" spans="2:8">
      <c r="B12">
        <v>703</v>
      </c>
      <c r="C12" s="13" t="s">
        <v>240</v>
      </c>
      <c r="D12">
        <v>5</v>
      </c>
      <c r="E12">
        <v>400</v>
      </c>
      <c r="F12">
        <v>0</v>
      </c>
      <c r="G12">
        <v>5.5</v>
      </c>
      <c r="H12" s="11" t="s">
        <v>325</v>
      </c>
    </row>
    <row r="13" spans="2:8">
      <c r="B13">
        <v>704</v>
      </c>
      <c r="C13" s="13" t="s">
        <v>241</v>
      </c>
      <c r="D13">
        <v>10</v>
      </c>
      <c r="E13">
        <v>400</v>
      </c>
      <c r="F13">
        <v>0</v>
      </c>
      <c r="G13">
        <v>5.5</v>
      </c>
      <c r="H13" s="11" t="s">
        <v>325</v>
      </c>
    </row>
    <row r="14" spans="2:8">
      <c r="B14">
        <v>705</v>
      </c>
      <c r="C14" s="13" t="s">
        <v>242</v>
      </c>
      <c r="D14">
        <v>15</v>
      </c>
      <c r="E14">
        <v>400</v>
      </c>
      <c r="F14">
        <v>0</v>
      </c>
      <c r="G14">
        <v>5.5</v>
      </c>
      <c r="H14" s="11" t="s">
        <v>325</v>
      </c>
    </row>
    <row r="15" spans="2:8">
      <c r="B15">
        <v>706</v>
      </c>
      <c r="C15" s="13" t="s">
        <v>243</v>
      </c>
      <c r="D15">
        <v>20</v>
      </c>
      <c r="E15">
        <v>400</v>
      </c>
      <c r="F15">
        <v>0</v>
      </c>
      <c r="G15">
        <v>5.5</v>
      </c>
      <c r="H15" s="11" t="s">
        <v>325</v>
      </c>
    </row>
    <row r="16" spans="2:8">
      <c r="B16">
        <v>707</v>
      </c>
      <c r="C16" s="13" t="s">
        <v>244</v>
      </c>
      <c r="D16">
        <v>25</v>
      </c>
      <c r="E16">
        <v>400</v>
      </c>
      <c r="F16">
        <v>0</v>
      </c>
      <c r="G16">
        <v>5.5</v>
      </c>
      <c r="H16" s="11" t="s">
        <v>325</v>
      </c>
    </row>
    <row r="17" spans="2:8">
      <c r="B17">
        <v>708</v>
      </c>
      <c r="C17" s="13" t="s">
        <v>245</v>
      </c>
      <c r="D17" s="11">
        <v>30</v>
      </c>
      <c r="E17">
        <v>400</v>
      </c>
      <c r="F17">
        <v>0</v>
      </c>
      <c r="G17">
        <v>5.5</v>
      </c>
      <c r="H17" s="11" t="s">
        <v>325</v>
      </c>
    </row>
    <row r="18" spans="2:8">
      <c r="B18">
        <v>709</v>
      </c>
      <c r="C18" s="13" t="s">
        <v>246</v>
      </c>
      <c r="D18">
        <v>35</v>
      </c>
      <c r="E18">
        <v>400</v>
      </c>
      <c r="F18">
        <v>0</v>
      </c>
      <c r="G18">
        <v>5.5</v>
      </c>
      <c r="H18" s="11" t="s">
        <v>325</v>
      </c>
    </row>
    <row r="19" spans="2:8">
      <c r="B19">
        <v>710</v>
      </c>
      <c r="C19" s="13" t="s">
        <v>247</v>
      </c>
      <c r="D19">
        <v>40</v>
      </c>
      <c r="E19">
        <v>400</v>
      </c>
      <c r="F19">
        <v>0</v>
      </c>
      <c r="G19">
        <v>5.5</v>
      </c>
      <c r="H19" s="11" t="s">
        <v>325</v>
      </c>
    </row>
    <row r="20" spans="2:8">
      <c r="B20">
        <v>711</v>
      </c>
      <c r="C20" s="13" t="s">
        <v>248</v>
      </c>
      <c r="D20">
        <v>-5</v>
      </c>
      <c r="E20">
        <v>400</v>
      </c>
      <c r="F20">
        <v>0</v>
      </c>
      <c r="G20">
        <v>5.5</v>
      </c>
      <c r="H20" s="11" t="s">
        <v>325</v>
      </c>
    </row>
    <row r="21" spans="2:8">
      <c r="B21">
        <v>712</v>
      </c>
      <c r="C21" s="13" t="s">
        <v>249</v>
      </c>
      <c r="D21">
        <v>-10</v>
      </c>
      <c r="E21">
        <v>400</v>
      </c>
      <c r="F21">
        <v>0</v>
      </c>
      <c r="G21">
        <v>5.5</v>
      </c>
      <c r="H21" s="11" t="s">
        <v>325</v>
      </c>
    </row>
    <row r="22" spans="2:8">
      <c r="B22">
        <v>713</v>
      </c>
      <c r="C22" s="13" t="s">
        <v>250</v>
      </c>
      <c r="D22">
        <v>-15</v>
      </c>
      <c r="E22">
        <v>400</v>
      </c>
      <c r="F22">
        <v>0</v>
      </c>
      <c r="G22">
        <v>5.5</v>
      </c>
      <c r="H22" s="11" t="s">
        <v>325</v>
      </c>
    </row>
    <row r="23" spans="2:8">
      <c r="B23">
        <v>714</v>
      </c>
      <c r="C23" s="13" t="s">
        <v>238</v>
      </c>
      <c r="D23">
        <v>-20</v>
      </c>
      <c r="E23">
        <v>400</v>
      </c>
      <c r="F23">
        <v>0</v>
      </c>
      <c r="G23">
        <v>5.5</v>
      </c>
      <c r="H23" s="11" t="s">
        <v>325</v>
      </c>
    </row>
    <row r="24" spans="2:8">
      <c r="B24">
        <v>715</v>
      </c>
      <c r="C24" s="13" t="s">
        <v>251</v>
      </c>
      <c r="D24">
        <v>-25</v>
      </c>
      <c r="E24">
        <v>400</v>
      </c>
      <c r="F24">
        <v>0</v>
      </c>
      <c r="G24">
        <v>5.5</v>
      </c>
      <c r="H24" s="11" t="s">
        <v>325</v>
      </c>
    </row>
    <row r="25" spans="2:8">
      <c r="B25">
        <v>716</v>
      </c>
      <c r="C25" s="13" t="s">
        <v>239</v>
      </c>
      <c r="D25">
        <v>-30</v>
      </c>
      <c r="E25">
        <v>400</v>
      </c>
      <c r="F25">
        <v>0</v>
      </c>
      <c r="G25">
        <v>5.5</v>
      </c>
      <c r="H25" s="11" t="s">
        <v>325</v>
      </c>
    </row>
    <row r="26" spans="2:8">
      <c r="B26">
        <v>717</v>
      </c>
      <c r="C26" s="13" t="s">
        <v>252</v>
      </c>
      <c r="D26">
        <v>-35</v>
      </c>
      <c r="E26">
        <v>400</v>
      </c>
      <c r="F26">
        <v>0</v>
      </c>
      <c r="G26">
        <v>5.5</v>
      </c>
      <c r="H26" s="11" t="s">
        <v>325</v>
      </c>
    </row>
    <row r="27" spans="2:8">
      <c r="B27">
        <v>718</v>
      </c>
      <c r="C27" s="13" t="s">
        <v>253</v>
      </c>
      <c r="D27">
        <v>-40</v>
      </c>
      <c r="E27">
        <v>400</v>
      </c>
      <c r="F27">
        <v>0</v>
      </c>
      <c r="G27">
        <v>5.5</v>
      </c>
      <c r="H27" s="11" t="s">
        <v>325</v>
      </c>
    </row>
    <row r="28" spans="2:8">
      <c r="B28">
        <v>719</v>
      </c>
      <c r="C28" s="13" t="s">
        <v>271</v>
      </c>
      <c r="D28">
        <v>0</v>
      </c>
      <c r="E28">
        <v>403</v>
      </c>
      <c r="F28">
        <v>0</v>
      </c>
      <c r="G28">
        <v>6</v>
      </c>
      <c r="H28" s="11" t="s">
        <v>325</v>
      </c>
    </row>
    <row r="29" spans="2:8">
      <c r="B29">
        <v>720</v>
      </c>
      <c r="C29" s="4" t="s">
        <v>209</v>
      </c>
      <c r="D29">
        <v>-35</v>
      </c>
      <c r="E29">
        <v>400</v>
      </c>
      <c r="F29">
        <v>0</v>
      </c>
      <c r="G29">
        <v>5.5</v>
      </c>
      <c r="H29" s="11" t="s">
        <v>325</v>
      </c>
    </row>
    <row r="30" spans="2:8">
      <c r="B30">
        <v>720</v>
      </c>
      <c r="C30" s="4" t="s">
        <v>209</v>
      </c>
      <c r="D30">
        <v>-25</v>
      </c>
      <c r="E30">
        <v>400</v>
      </c>
      <c r="F30">
        <v>0</v>
      </c>
      <c r="G30">
        <v>5.5</v>
      </c>
      <c r="H30" s="11" t="s">
        <v>325</v>
      </c>
    </row>
    <row r="31" spans="2:8">
      <c r="B31">
        <v>720</v>
      </c>
      <c r="C31" s="4" t="s">
        <v>209</v>
      </c>
      <c r="D31">
        <v>-15</v>
      </c>
      <c r="E31">
        <v>400</v>
      </c>
      <c r="F31">
        <v>0</v>
      </c>
      <c r="G31">
        <v>5.5</v>
      </c>
      <c r="H31" s="11" t="s">
        <v>325</v>
      </c>
    </row>
    <row r="32" spans="2:8">
      <c r="B32">
        <v>720</v>
      </c>
      <c r="C32" s="4" t="s">
        <v>209</v>
      </c>
      <c r="D32">
        <v>-5</v>
      </c>
      <c r="E32">
        <v>400</v>
      </c>
      <c r="F32">
        <v>0</v>
      </c>
      <c r="G32">
        <v>5.5</v>
      </c>
      <c r="H32" s="11" t="s">
        <v>325</v>
      </c>
    </row>
    <row r="33" spans="2:8">
      <c r="B33">
        <v>720</v>
      </c>
      <c r="C33" s="4" t="s">
        <v>209</v>
      </c>
      <c r="D33">
        <v>5</v>
      </c>
      <c r="E33">
        <v>400</v>
      </c>
      <c r="F33">
        <v>0</v>
      </c>
      <c r="G33">
        <v>5.5</v>
      </c>
      <c r="H33" s="11" t="s">
        <v>325</v>
      </c>
    </row>
    <row r="34" spans="2:8">
      <c r="B34">
        <v>720</v>
      </c>
      <c r="C34" s="4" t="s">
        <v>209</v>
      </c>
      <c r="D34">
        <v>15</v>
      </c>
      <c r="E34">
        <v>400</v>
      </c>
      <c r="F34">
        <v>0</v>
      </c>
      <c r="G34">
        <v>5.5</v>
      </c>
      <c r="H34" s="11" t="s">
        <v>325</v>
      </c>
    </row>
    <row r="35" spans="2:8">
      <c r="B35">
        <v>720</v>
      </c>
      <c r="C35" s="4" t="s">
        <v>209</v>
      </c>
      <c r="D35">
        <v>25</v>
      </c>
      <c r="E35">
        <v>400</v>
      </c>
      <c r="F35">
        <v>0</v>
      </c>
      <c r="G35">
        <v>5.5</v>
      </c>
      <c r="H35" s="11" t="s">
        <v>325</v>
      </c>
    </row>
    <row r="36" spans="2:8">
      <c r="B36">
        <v>720</v>
      </c>
      <c r="C36" s="4" t="s">
        <v>209</v>
      </c>
      <c r="D36">
        <v>35</v>
      </c>
      <c r="E36">
        <v>400</v>
      </c>
      <c r="F36">
        <v>0</v>
      </c>
      <c r="G36">
        <v>5.5</v>
      </c>
      <c r="H36" s="11" t="s">
        <v>325</v>
      </c>
    </row>
    <row r="37" spans="2:8">
      <c r="B37">
        <v>721</v>
      </c>
      <c r="C37" s="4" t="s">
        <v>136</v>
      </c>
      <c r="D37">
        <v>-26</v>
      </c>
      <c r="E37">
        <v>402</v>
      </c>
      <c r="F37">
        <v>0</v>
      </c>
      <c r="G37">
        <v>5.5</v>
      </c>
      <c r="H37" s="11" t="s">
        <v>325</v>
      </c>
    </row>
    <row r="38" spans="2:8">
      <c r="B38">
        <v>721</v>
      </c>
      <c r="C38" s="4" t="s">
        <v>136</v>
      </c>
      <c r="D38">
        <v>-12</v>
      </c>
      <c r="E38">
        <v>402</v>
      </c>
      <c r="F38">
        <v>0</v>
      </c>
      <c r="G38">
        <v>5.5</v>
      </c>
      <c r="H38" s="11" t="s">
        <v>325</v>
      </c>
    </row>
    <row r="39" spans="2:8">
      <c r="B39">
        <v>721</v>
      </c>
      <c r="C39" s="4" t="s">
        <v>136</v>
      </c>
      <c r="D39">
        <v>-7</v>
      </c>
      <c r="E39">
        <v>402</v>
      </c>
      <c r="F39">
        <v>0</v>
      </c>
      <c r="G39">
        <v>5.5</v>
      </c>
      <c r="H39" s="11" t="s">
        <v>325</v>
      </c>
    </row>
    <row r="40" spans="2:8">
      <c r="B40">
        <v>721</v>
      </c>
      <c r="C40" s="4" t="s">
        <v>136</v>
      </c>
      <c r="D40">
        <v>1</v>
      </c>
      <c r="E40">
        <v>402</v>
      </c>
      <c r="F40">
        <v>0</v>
      </c>
      <c r="G40">
        <v>5.5</v>
      </c>
      <c r="H40" s="11" t="s">
        <v>325</v>
      </c>
    </row>
    <row r="41" spans="2:8">
      <c r="B41">
        <v>721</v>
      </c>
      <c r="C41" s="4" t="s">
        <v>136</v>
      </c>
      <c r="D41">
        <v>5</v>
      </c>
      <c r="E41">
        <v>402</v>
      </c>
      <c r="F41">
        <v>0</v>
      </c>
      <c r="G41">
        <v>5.5</v>
      </c>
      <c r="H41" s="11" t="s">
        <v>325</v>
      </c>
    </row>
    <row r="42" spans="2:8">
      <c r="B42">
        <v>721</v>
      </c>
      <c r="C42" s="4" t="s">
        <v>136</v>
      </c>
      <c r="D42">
        <v>10</v>
      </c>
      <c r="E42">
        <v>402</v>
      </c>
      <c r="F42">
        <v>0</v>
      </c>
      <c r="G42">
        <v>5.5</v>
      </c>
      <c r="H42" s="11" t="s">
        <v>325</v>
      </c>
    </row>
    <row r="43" spans="2:8">
      <c r="B43">
        <v>721</v>
      </c>
      <c r="C43" s="4" t="s">
        <v>136</v>
      </c>
      <c r="D43">
        <v>14</v>
      </c>
      <c r="E43">
        <v>402</v>
      </c>
      <c r="F43">
        <v>0</v>
      </c>
      <c r="G43">
        <v>5.5</v>
      </c>
      <c r="H43" s="11" t="s">
        <v>325</v>
      </c>
    </row>
    <row r="44" spans="2:8">
      <c r="B44">
        <v>721</v>
      </c>
      <c r="C44" s="4" t="s">
        <v>136</v>
      </c>
      <c r="D44">
        <v>22</v>
      </c>
      <c r="E44">
        <v>402</v>
      </c>
      <c r="F44">
        <v>0</v>
      </c>
      <c r="G44">
        <v>5.5</v>
      </c>
      <c r="H44" s="11" t="s">
        <v>325</v>
      </c>
    </row>
    <row r="45" spans="2:8">
      <c r="B45">
        <v>722</v>
      </c>
      <c r="C45" s="4" t="s">
        <v>145</v>
      </c>
      <c r="D45">
        <v>28</v>
      </c>
      <c r="E45">
        <v>402</v>
      </c>
      <c r="F45">
        <v>0</v>
      </c>
      <c r="G45">
        <v>5.5</v>
      </c>
      <c r="H45" s="11" t="s">
        <v>325</v>
      </c>
    </row>
    <row r="46" spans="2:8">
      <c r="B46">
        <v>722</v>
      </c>
      <c r="C46" s="4" t="s">
        <v>145</v>
      </c>
      <c r="D46">
        <v>12</v>
      </c>
      <c r="E46">
        <v>402</v>
      </c>
      <c r="F46">
        <v>0</v>
      </c>
      <c r="G46">
        <v>5.5</v>
      </c>
      <c r="H46" s="11" t="s">
        <v>325</v>
      </c>
    </row>
    <row r="47" spans="2:8">
      <c r="B47">
        <v>722</v>
      </c>
      <c r="C47" s="4" t="s">
        <v>145</v>
      </c>
      <c r="D47">
        <v>0</v>
      </c>
      <c r="E47">
        <v>402</v>
      </c>
      <c r="F47">
        <v>0</v>
      </c>
      <c r="G47">
        <v>5.5</v>
      </c>
      <c r="H47" s="11" t="s">
        <v>325</v>
      </c>
    </row>
    <row r="48" spans="2:8">
      <c r="B48">
        <v>722</v>
      </c>
      <c r="C48" s="4" t="s">
        <v>145</v>
      </c>
      <c r="D48">
        <v>-21</v>
      </c>
      <c r="E48">
        <v>402</v>
      </c>
      <c r="F48">
        <v>0</v>
      </c>
      <c r="G48">
        <v>5.5</v>
      </c>
      <c r="H48" s="11" t="s">
        <v>325</v>
      </c>
    </row>
    <row r="49" spans="2:8">
      <c r="B49">
        <v>722</v>
      </c>
      <c r="C49" s="4" t="s">
        <v>145</v>
      </c>
      <c r="D49">
        <v>24</v>
      </c>
      <c r="E49">
        <v>402</v>
      </c>
      <c r="F49">
        <v>0</v>
      </c>
      <c r="G49">
        <v>5.5</v>
      </c>
      <c r="H49" s="11" t="s">
        <v>325</v>
      </c>
    </row>
    <row r="50" spans="2:8">
      <c r="B50">
        <v>722</v>
      </c>
      <c r="C50" s="4" t="s">
        <v>145</v>
      </c>
      <c r="D50">
        <v>26</v>
      </c>
      <c r="E50">
        <v>402</v>
      </c>
      <c r="F50">
        <v>0</v>
      </c>
      <c r="G50">
        <v>5.5</v>
      </c>
      <c r="H50" s="11" t="s">
        <v>325</v>
      </c>
    </row>
    <row r="51" spans="2:8">
      <c r="B51">
        <v>722</v>
      </c>
      <c r="C51" s="4" t="s">
        <v>145</v>
      </c>
      <c r="D51">
        <v>-23</v>
      </c>
      <c r="E51">
        <v>402</v>
      </c>
      <c r="F51">
        <v>0</v>
      </c>
      <c r="G51">
        <v>5.5</v>
      </c>
      <c r="H51" s="11" t="s">
        <v>325</v>
      </c>
    </row>
    <row r="52" spans="2:8">
      <c r="B52">
        <v>722</v>
      </c>
      <c r="C52" s="4" t="s">
        <v>145</v>
      </c>
      <c r="D52">
        <v>-17</v>
      </c>
      <c r="E52">
        <v>402</v>
      </c>
      <c r="F52">
        <v>0</v>
      </c>
      <c r="G52">
        <v>5.5</v>
      </c>
      <c r="H52" s="11" t="s">
        <v>325</v>
      </c>
    </row>
    <row r="53" spans="2:8">
      <c r="B53">
        <v>723</v>
      </c>
      <c r="C53" s="4" t="s">
        <v>139</v>
      </c>
      <c r="D53">
        <v>-5</v>
      </c>
      <c r="E53">
        <v>402</v>
      </c>
      <c r="F53">
        <v>0</v>
      </c>
      <c r="G53">
        <v>5.5</v>
      </c>
      <c r="H53" s="11" t="s">
        <v>325</v>
      </c>
    </row>
    <row r="54" spans="2:8">
      <c r="B54">
        <v>723</v>
      </c>
      <c r="C54" s="4" t="s">
        <v>139</v>
      </c>
      <c r="D54">
        <v>-17</v>
      </c>
      <c r="E54">
        <v>402</v>
      </c>
      <c r="F54">
        <v>0</v>
      </c>
      <c r="G54">
        <v>5.5</v>
      </c>
      <c r="H54" s="11" t="s">
        <v>325</v>
      </c>
    </row>
    <row r="55" spans="2:8">
      <c r="B55">
        <v>723</v>
      </c>
      <c r="C55" s="4" t="s">
        <v>139</v>
      </c>
      <c r="D55">
        <v>-10</v>
      </c>
      <c r="E55">
        <v>402</v>
      </c>
      <c r="F55">
        <v>0</v>
      </c>
      <c r="G55">
        <v>5.5</v>
      </c>
      <c r="H55" s="11" t="s">
        <v>325</v>
      </c>
    </row>
    <row r="56" spans="2:8">
      <c r="B56">
        <v>723</v>
      </c>
      <c r="C56" s="4" t="s">
        <v>139</v>
      </c>
      <c r="D56">
        <v>3</v>
      </c>
      <c r="E56">
        <v>402</v>
      </c>
      <c r="F56">
        <v>0</v>
      </c>
      <c r="G56">
        <v>5.5</v>
      </c>
      <c r="H56" s="11" t="s">
        <v>325</v>
      </c>
    </row>
    <row r="57" spans="2:8">
      <c r="B57">
        <v>723</v>
      </c>
      <c r="C57" s="4" t="s">
        <v>139</v>
      </c>
      <c r="D57">
        <v>15</v>
      </c>
      <c r="E57">
        <v>402</v>
      </c>
      <c r="F57">
        <v>0</v>
      </c>
      <c r="G57">
        <v>5.5</v>
      </c>
      <c r="H57" s="11" t="s">
        <v>325</v>
      </c>
    </row>
    <row r="58" spans="2:8">
      <c r="B58">
        <v>723</v>
      </c>
      <c r="C58" s="4" t="s">
        <v>139</v>
      </c>
      <c r="D58">
        <v>23</v>
      </c>
      <c r="E58">
        <v>402</v>
      </c>
      <c r="F58">
        <v>0</v>
      </c>
      <c r="G58">
        <v>5.5</v>
      </c>
      <c r="H58" s="11" t="s">
        <v>325</v>
      </c>
    </row>
    <row r="59" spans="2:8">
      <c r="B59">
        <v>723</v>
      </c>
      <c r="C59" s="4" t="s">
        <v>139</v>
      </c>
      <c r="D59">
        <v>-4</v>
      </c>
      <c r="E59">
        <v>402</v>
      </c>
      <c r="F59">
        <v>0</v>
      </c>
      <c r="G59">
        <v>5.5</v>
      </c>
      <c r="H59" s="11" t="s">
        <v>325</v>
      </c>
    </row>
    <row r="60" spans="2:8">
      <c r="B60">
        <v>723</v>
      </c>
      <c r="C60" s="4" t="s">
        <v>139</v>
      </c>
      <c r="D60">
        <v>-8</v>
      </c>
      <c r="E60">
        <v>402</v>
      </c>
      <c r="F60">
        <v>0</v>
      </c>
      <c r="G60">
        <v>5.5</v>
      </c>
      <c r="H60" s="11" t="s">
        <v>325</v>
      </c>
    </row>
    <row r="61" spans="2:8">
      <c r="B61">
        <v>724</v>
      </c>
      <c r="C61" s="4" t="s">
        <v>95</v>
      </c>
      <c r="D61">
        <v>-30</v>
      </c>
      <c r="E61">
        <v>402</v>
      </c>
      <c r="F61">
        <v>0</v>
      </c>
      <c r="G61">
        <v>6.5</v>
      </c>
      <c r="H61" s="11" t="s">
        <v>325</v>
      </c>
    </row>
    <row r="62" spans="2:8">
      <c r="B62">
        <v>724</v>
      </c>
      <c r="C62" s="4" t="s">
        <v>95</v>
      </c>
      <c r="D62">
        <v>0</v>
      </c>
      <c r="E62">
        <v>402</v>
      </c>
      <c r="F62">
        <v>0</v>
      </c>
      <c r="G62">
        <v>6.5</v>
      </c>
      <c r="H62" s="11" t="s">
        <v>325</v>
      </c>
    </row>
    <row r="63" spans="2:8">
      <c r="B63">
        <v>724</v>
      </c>
      <c r="C63" s="4" t="s">
        <v>95</v>
      </c>
      <c r="D63">
        <v>30</v>
      </c>
      <c r="E63">
        <v>402</v>
      </c>
      <c r="F63">
        <v>0</v>
      </c>
      <c r="G63">
        <v>6.5</v>
      </c>
      <c r="H63" s="11" t="s">
        <v>325</v>
      </c>
    </row>
    <row r="64" spans="2:8">
      <c r="B64">
        <v>726</v>
      </c>
      <c r="C64" s="19" t="s">
        <v>203</v>
      </c>
      <c r="D64">
        <v>0</v>
      </c>
      <c r="E64">
        <v>404</v>
      </c>
      <c r="F64">
        <v>1</v>
      </c>
      <c r="G64">
        <v>6.5</v>
      </c>
      <c r="H64" s="11" t="s">
        <v>325</v>
      </c>
    </row>
    <row r="65" spans="2:8">
      <c r="B65">
        <v>727</v>
      </c>
      <c r="C65" s="14" t="s">
        <v>302</v>
      </c>
      <c r="D65">
        <v>22.5</v>
      </c>
      <c r="E65">
        <v>401</v>
      </c>
      <c r="F65">
        <v>0</v>
      </c>
      <c r="G65">
        <v>6.5</v>
      </c>
      <c r="H65" s="11" t="s">
        <v>325</v>
      </c>
    </row>
    <row r="66" spans="2:8">
      <c r="B66">
        <v>727</v>
      </c>
      <c r="C66" s="14" t="s">
        <v>302</v>
      </c>
      <c r="D66">
        <v>45</v>
      </c>
      <c r="E66">
        <v>401</v>
      </c>
      <c r="F66">
        <v>0</v>
      </c>
      <c r="G66">
        <v>6.5</v>
      </c>
      <c r="H66" s="11" t="s">
        <v>325</v>
      </c>
    </row>
    <row r="67" spans="2:8">
      <c r="B67">
        <v>727</v>
      </c>
      <c r="C67" s="14" t="s">
        <v>301</v>
      </c>
      <c r="D67">
        <v>67.5</v>
      </c>
      <c r="E67">
        <v>401</v>
      </c>
      <c r="F67">
        <v>0</v>
      </c>
      <c r="G67">
        <v>6.5</v>
      </c>
      <c r="H67" s="11" t="s">
        <v>325</v>
      </c>
    </row>
    <row r="68" spans="2:8">
      <c r="B68">
        <v>727</v>
      </c>
      <c r="C68" s="14" t="s">
        <v>301</v>
      </c>
      <c r="D68">
        <v>90</v>
      </c>
      <c r="E68">
        <v>401</v>
      </c>
      <c r="F68">
        <v>0</v>
      </c>
      <c r="G68">
        <v>6.5</v>
      </c>
      <c r="H68" s="11" t="s">
        <v>325</v>
      </c>
    </row>
    <row r="69" spans="2:8">
      <c r="B69">
        <v>727</v>
      </c>
      <c r="C69" s="14" t="s">
        <v>301</v>
      </c>
      <c r="D69">
        <v>112.5</v>
      </c>
      <c r="E69">
        <v>401</v>
      </c>
      <c r="F69">
        <v>0</v>
      </c>
      <c r="G69">
        <v>6.5</v>
      </c>
      <c r="H69" s="11" t="s">
        <v>325</v>
      </c>
    </row>
    <row r="70" spans="2:8">
      <c r="B70">
        <v>727</v>
      </c>
      <c r="C70" s="14" t="s">
        <v>301</v>
      </c>
      <c r="D70">
        <v>135</v>
      </c>
      <c r="E70">
        <v>401</v>
      </c>
      <c r="F70">
        <v>0</v>
      </c>
      <c r="G70">
        <v>6.5</v>
      </c>
      <c r="H70" s="11" t="s">
        <v>325</v>
      </c>
    </row>
    <row r="71" spans="2:8">
      <c r="B71">
        <v>727</v>
      </c>
      <c r="C71" s="14" t="s">
        <v>301</v>
      </c>
      <c r="D71">
        <v>157.5</v>
      </c>
      <c r="E71">
        <v>401</v>
      </c>
      <c r="F71">
        <v>0</v>
      </c>
      <c r="G71">
        <v>6.5</v>
      </c>
      <c r="H71" s="11" t="s">
        <v>325</v>
      </c>
    </row>
    <row r="72" spans="2:8">
      <c r="B72">
        <v>727</v>
      </c>
      <c r="C72" s="14" t="s">
        <v>301</v>
      </c>
      <c r="D72">
        <v>180</v>
      </c>
      <c r="E72">
        <v>401</v>
      </c>
      <c r="F72">
        <v>0</v>
      </c>
      <c r="G72">
        <v>6.5</v>
      </c>
      <c r="H72" s="11" t="s">
        <v>325</v>
      </c>
    </row>
    <row r="73" spans="2:8">
      <c r="B73">
        <v>727</v>
      </c>
      <c r="C73" s="14" t="s">
        <v>302</v>
      </c>
      <c r="D73">
        <v>202.5</v>
      </c>
      <c r="E73">
        <v>401</v>
      </c>
      <c r="F73">
        <v>0</v>
      </c>
      <c r="G73">
        <v>6.5</v>
      </c>
      <c r="H73" s="11" t="s">
        <v>325</v>
      </c>
    </row>
    <row r="74" spans="2:8">
      <c r="B74">
        <v>727</v>
      </c>
      <c r="C74" s="14" t="s">
        <v>302</v>
      </c>
      <c r="D74">
        <v>225</v>
      </c>
      <c r="E74">
        <v>401</v>
      </c>
      <c r="F74">
        <v>0</v>
      </c>
      <c r="G74">
        <v>6.5</v>
      </c>
      <c r="H74" s="11" t="s">
        <v>325</v>
      </c>
    </row>
    <row r="75" spans="2:8">
      <c r="B75">
        <v>727</v>
      </c>
      <c r="C75" s="14" t="s">
        <v>301</v>
      </c>
      <c r="D75">
        <v>247.5</v>
      </c>
      <c r="E75">
        <v>401</v>
      </c>
      <c r="F75">
        <v>0</v>
      </c>
      <c r="G75">
        <v>6.5</v>
      </c>
      <c r="H75" s="11" t="s">
        <v>325</v>
      </c>
    </row>
    <row r="76" spans="2:8">
      <c r="B76">
        <v>727</v>
      </c>
      <c r="C76" s="14" t="s">
        <v>301</v>
      </c>
      <c r="D76">
        <v>270</v>
      </c>
      <c r="E76">
        <v>401</v>
      </c>
      <c r="F76">
        <v>0</v>
      </c>
      <c r="G76">
        <v>6.5</v>
      </c>
      <c r="H76" s="11" t="s">
        <v>325</v>
      </c>
    </row>
    <row r="77" spans="2:8">
      <c r="B77">
        <v>727</v>
      </c>
      <c r="C77" s="14" t="s">
        <v>301</v>
      </c>
      <c r="D77">
        <v>292.5</v>
      </c>
      <c r="E77">
        <v>401</v>
      </c>
      <c r="F77">
        <v>0</v>
      </c>
      <c r="G77">
        <v>6.5</v>
      </c>
      <c r="H77" s="11" t="s">
        <v>325</v>
      </c>
    </row>
    <row r="78" spans="2:8">
      <c r="B78">
        <v>727</v>
      </c>
      <c r="C78" s="14" t="s">
        <v>301</v>
      </c>
      <c r="D78">
        <v>315</v>
      </c>
      <c r="E78">
        <v>401</v>
      </c>
      <c r="F78">
        <v>0</v>
      </c>
      <c r="G78">
        <v>6.5</v>
      </c>
      <c r="H78" s="11" t="s">
        <v>325</v>
      </c>
    </row>
    <row r="79" spans="2:8">
      <c r="B79">
        <v>727</v>
      </c>
      <c r="C79" s="14" t="s">
        <v>301</v>
      </c>
      <c r="D79">
        <v>337.5</v>
      </c>
      <c r="E79">
        <v>401</v>
      </c>
      <c r="F79">
        <v>0</v>
      </c>
      <c r="G79">
        <v>6.5</v>
      </c>
      <c r="H79" s="11" t="s">
        <v>325</v>
      </c>
    </row>
    <row r="80" spans="2:8">
      <c r="B80">
        <v>727</v>
      </c>
      <c r="C80" s="14" t="s">
        <v>301</v>
      </c>
      <c r="D80">
        <v>360</v>
      </c>
      <c r="E80">
        <v>401</v>
      </c>
      <c r="F80">
        <v>0</v>
      </c>
      <c r="G80">
        <v>6.5</v>
      </c>
      <c r="H80" s="11" t="s">
        <v>325</v>
      </c>
    </row>
    <row r="81" spans="2:8">
      <c r="B81">
        <v>800</v>
      </c>
      <c r="C81" s="11" t="s">
        <v>357</v>
      </c>
      <c r="D81">
        <v>30</v>
      </c>
      <c r="E81">
        <v>201</v>
      </c>
      <c r="F81">
        <v>0</v>
      </c>
      <c r="G81">
        <v>6.5</v>
      </c>
      <c r="H81" s="11" t="s">
        <v>325</v>
      </c>
    </row>
    <row r="82" spans="2:8">
      <c r="B82">
        <v>800</v>
      </c>
      <c r="C82" s="11" t="s">
        <v>357</v>
      </c>
      <c r="D82">
        <v>0</v>
      </c>
      <c r="E82">
        <v>201</v>
      </c>
      <c r="F82">
        <v>0</v>
      </c>
      <c r="G82">
        <v>6.5</v>
      </c>
      <c r="H82" s="11" t="s">
        <v>325</v>
      </c>
    </row>
    <row r="83" spans="2:8">
      <c r="B83">
        <v>800</v>
      </c>
      <c r="C83" s="11" t="s">
        <v>357</v>
      </c>
      <c r="D83">
        <v>-30</v>
      </c>
      <c r="E83">
        <v>201</v>
      </c>
      <c r="F83">
        <v>0</v>
      </c>
      <c r="G83">
        <v>6.5</v>
      </c>
      <c r="H83" s="11" t="s">
        <v>325</v>
      </c>
    </row>
    <row r="84" spans="2:8">
      <c r="B84">
        <v>804</v>
      </c>
      <c r="C84" s="11" t="s">
        <v>387</v>
      </c>
      <c r="D84">
        <v>0</v>
      </c>
      <c r="E84">
        <v>204</v>
      </c>
      <c r="F84">
        <v>2</v>
      </c>
      <c r="G84">
        <v>8</v>
      </c>
      <c r="H84" s="11" t="s">
        <v>325</v>
      </c>
    </row>
    <row r="85" spans="2:8">
      <c r="B85">
        <v>804</v>
      </c>
      <c r="C85" s="11" t="s">
        <v>387</v>
      </c>
      <c r="D85">
        <v>90</v>
      </c>
      <c r="E85">
        <v>204</v>
      </c>
      <c r="F85">
        <v>2</v>
      </c>
      <c r="G85">
        <v>8</v>
      </c>
      <c r="H85" s="11" t="s">
        <v>325</v>
      </c>
    </row>
    <row r="86" spans="2:8">
      <c r="B86">
        <v>804</v>
      </c>
      <c r="C86" s="11" t="s">
        <v>387</v>
      </c>
      <c r="D86">
        <v>180</v>
      </c>
      <c r="E86">
        <v>204</v>
      </c>
      <c r="F86">
        <v>2</v>
      </c>
      <c r="G86">
        <v>8</v>
      </c>
      <c r="H86" s="11" t="s">
        <v>325</v>
      </c>
    </row>
    <row r="87" spans="2:8">
      <c r="B87">
        <v>804</v>
      </c>
      <c r="C87" s="11" t="s">
        <v>387</v>
      </c>
      <c r="D87">
        <v>-90</v>
      </c>
      <c r="E87">
        <v>204</v>
      </c>
      <c r="F87">
        <v>2</v>
      </c>
      <c r="G87">
        <v>8</v>
      </c>
      <c r="H87" s="11" t="s">
        <v>325</v>
      </c>
    </row>
    <row r="88" spans="2:8">
      <c r="B88">
        <v>804</v>
      </c>
      <c r="C88" s="11" t="s">
        <v>387</v>
      </c>
      <c r="D88">
        <v>45</v>
      </c>
      <c r="E88">
        <v>204</v>
      </c>
      <c r="F88">
        <v>2</v>
      </c>
      <c r="G88">
        <v>8</v>
      </c>
      <c r="H88" s="11" t="s">
        <v>325</v>
      </c>
    </row>
    <row r="89" spans="2:8">
      <c r="B89">
        <v>804</v>
      </c>
      <c r="C89" s="11" t="s">
        <v>387</v>
      </c>
      <c r="D89">
        <v>-45</v>
      </c>
      <c r="E89">
        <v>204</v>
      </c>
      <c r="F89">
        <v>2</v>
      </c>
      <c r="G89">
        <v>8</v>
      </c>
      <c r="H89" s="11" t="s">
        <v>325</v>
      </c>
    </row>
    <row r="90" spans="2:8">
      <c r="B90">
        <v>804</v>
      </c>
      <c r="C90" s="11" t="s">
        <v>387</v>
      </c>
      <c r="D90">
        <v>135</v>
      </c>
      <c r="E90">
        <v>204</v>
      </c>
      <c r="F90">
        <v>2</v>
      </c>
      <c r="G90">
        <v>8</v>
      </c>
      <c r="H90" s="11" t="s">
        <v>325</v>
      </c>
    </row>
    <row r="91" spans="2:8">
      <c r="B91">
        <v>804</v>
      </c>
      <c r="C91" s="11" t="s">
        <v>387</v>
      </c>
      <c r="D91">
        <v>-135</v>
      </c>
      <c r="E91">
        <v>204</v>
      </c>
      <c r="F91">
        <v>2</v>
      </c>
      <c r="G91">
        <v>8</v>
      </c>
      <c r="H91" s="11" t="s">
        <v>325</v>
      </c>
    </row>
    <row r="92" spans="2:8">
      <c r="B92">
        <v>805</v>
      </c>
      <c r="C92" s="11" t="s">
        <v>433</v>
      </c>
      <c r="D92">
        <v>45</v>
      </c>
      <c r="E92">
        <v>205</v>
      </c>
      <c r="F92">
        <v>1</v>
      </c>
      <c r="G92">
        <v>8</v>
      </c>
      <c r="H92" s="11" t="s">
        <v>325</v>
      </c>
    </row>
    <row r="93" spans="2:8">
      <c r="B93">
        <v>805</v>
      </c>
      <c r="C93" s="11" t="s">
        <v>433</v>
      </c>
      <c r="D93">
        <v>-45</v>
      </c>
      <c r="E93">
        <v>205</v>
      </c>
      <c r="F93">
        <v>1</v>
      </c>
      <c r="G93">
        <v>8</v>
      </c>
      <c r="H93" s="11" t="s">
        <v>325</v>
      </c>
    </row>
    <row r="94" spans="2:8">
      <c r="B94">
        <v>805</v>
      </c>
      <c r="C94" s="11" t="s">
        <v>433</v>
      </c>
      <c r="D94">
        <v>225</v>
      </c>
      <c r="E94">
        <v>205</v>
      </c>
      <c r="F94">
        <v>1</v>
      </c>
      <c r="G94">
        <v>8</v>
      </c>
      <c r="H94" s="11" t="s">
        <v>325</v>
      </c>
    </row>
    <row r="95" spans="2:8">
      <c r="B95">
        <v>805</v>
      </c>
      <c r="C95" s="11" t="s">
        <v>433</v>
      </c>
      <c r="D95">
        <v>-225</v>
      </c>
      <c r="E95">
        <v>205</v>
      </c>
      <c r="F95">
        <v>1</v>
      </c>
      <c r="G95">
        <v>8</v>
      </c>
      <c r="H95" s="11" t="s">
        <v>325</v>
      </c>
    </row>
    <row r="96" spans="2:8">
      <c r="B96">
        <v>999</v>
      </c>
      <c r="C96" s="16" t="s">
        <v>266</v>
      </c>
      <c r="D96">
        <v>0</v>
      </c>
      <c r="E96">
        <v>999</v>
      </c>
      <c r="F96">
        <v>8</v>
      </c>
      <c r="G96">
        <v>15</v>
      </c>
      <c r="H96" s="11" t="s">
        <v>325</v>
      </c>
    </row>
    <row r="97" spans="2:8">
      <c r="B97">
        <v>1000</v>
      </c>
      <c r="C97" s="11" t="str">
        <f>_xlfn.CONCAT("8방향 발사",ShootTable[[#This Row],[Index]]-1000)</f>
        <v>8방향 발사0</v>
      </c>
      <c r="D97">
        <v>45</v>
      </c>
      <c r="E97">
        <v>401</v>
      </c>
      <c r="F97">
        <v>0</v>
      </c>
      <c r="G97">
        <v>6.5</v>
      </c>
      <c r="H97" s="11" t="s">
        <v>325</v>
      </c>
    </row>
    <row r="98" spans="2:8">
      <c r="B98">
        <v>1000</v>
      </c>
      <c r="C98" s="11" t="str">
        <f>_xlfn.CONCAT("8방향 발사",ShootTable[[#This Row],[Index]]-1000)</f>
        <v>8방향 발사0</v>
      </c>
      <c r="D98">
        <v>90</v>
      </c>
      <c r="E98">
        <v>401</v>
      </c>
      <c r="F98">
        <v>0</v>
      </c>
      <c r="G98">
        <v>6.5</v>
      </c>
      <c r="H98" s="11" t="s">
        <v>325</v>
      </c>
    </row>
    <row r="99" spans="2:8">
      <c r="B99">
        <v>1000</v>
      </c>
      <c r="C99" s="11" t="str">
        <f>_xlfn.CONCAT("8방향 발사",ShootTable[[#This Row],[Index]]-1000)</f>
        <v>8방향 발사0</v>
      </c>
      <c r="D99">
        <v>135</v>
      </c>
      <c r="E99">
        <v>401</v>
      </c>
      <c r="F99">
        <v>0</v>
      </c>
      <c r="G99">
        <v>6.5</v>
      </c>
      <c r="H99" s="11" t="s">
        <v>325</v>
      </c>
    </row>
    <row r="100" spans="2:8">
      <c r="B100">
        <v>1000</v>
      </c>
      <c r="C100" s="11" t="str">
        <f>_xlfn.CONCAT("8방향 발사",ShootTable[[#This Row],[Index]]-1000)</f>
        <v>8방향 발사0</v>
      </c>
      <c r="D100">
        <v>180</v>
      </c>
      <c r="E100">
        <v>401</v>
      </c>
      <c r="F100">
        <v>0</v>
      </c>
      <c r="G100">
        <v>6.5</v>
      </c>
      <c r="H100" s="11" t="s">
        <v>325</v>
      </c>
    </row>
    <row r="101" spans="2:8">
      <c r="B101">
        <v>1000</v>
      </c>
      <c r="C101" s="11" t="str">
        <f>_xlfn.CONCAT("8방향 발사",ShootTable[[#This Row],[Index]]-1000)</f>
        <v>8방향 발사0</v>
      </c>
      <c r="D101">
        <v>225</v>
      </c>
      <c r="E101">
        <v>401</v>
      </c>
      <c r="F101">
        <v>0</v>
      </c>
      <c r="G101">
        <v>6.5</v>
      </c>
      <c r="H101" s="11" t="s">
        <v>325</v>
      </c>
    </row>
    <row r="102" spans="2:8">
      <c r="B102">
        <v>1000</v>
      </c>
      <c r="C102" s="11" t="str">
        <f>_xlfn.CONCAT("8방향 발사",ShootTable[[#This Row],[Index]]-1000)</f>
        <v>8방향 발사0</v>
      </c>
      <c r="D102">
        <v>270</v>
      </c>
      <c r="E102">
        <v>401</v>
      </c>
      <c r="F102">
        <v>0</v>
      </c>
      <c r="G102">
        <v>6.5</v>
      </c>
      <c r="H102" s="11" t="s">
        <v>325</v>
      </c>
    </row>
    <row r="103" spans="2:8">
      <c r="B103">
        <v>1000</v>
      </c>
      <c r="C103" s="11" t="str">
        <f>_xlfn.CONCAT("8방향 발사",ShootTable[[#This Row],[Index]]-1000)</f>
        <v>8방향 발사0</v>
      </c>
      <c r="D103">
        <v>315</v>
      </c>
      <c r="E103">
        <v>401</v>
      </c>
      <c r="F103">
        <v>0</v>
      </c>
      <c r="G103">
        <v>6.5</v>
      </c>
      <c r="H103" s="11" t="s">
        <v>325</v>
      </c>
    </row>
    <row r="104" spans="2:8">
      <c r="B104">
        <v>1000</v>
      </c>
      <c r="C104" s="11" t="str">
        <f>_xlfn.CONCAT("8방향 발사",ShootTable[[#This Row],[Index]]-1000)</f>
        <v>8방향 발사0</v>
      </c>
      <c r="D104">
        <v>360</v>
      </c>
      <c r="E104">
        <v>401</v>
      </c>
      <c r="F104">
        <v>0</v>
      </c>
      <c r="G104">
        <v>6.5</v>
      </c>
      <c r="H104" s="11" t="s">
        <v>325</v>
      </c>
    </row>
    <row r="105" spans="2:8">
      <c r="B105">
        <f t="shared" ref="B105:B136" si="0">B97+1</f>
        <v>1001</v>
      </c>
      <c r="C105" s="11" t="str">
        <f>_xlfn.CONCAT("8방향 발사",ShootTable[[#This Row],[Index]]-1000)</f>
        <v>8방향 발사1</v>
      </c>
      <c r="D105">
        <f t="shared" ref="D105:D120" si="1">D97-25*0.7</f>
        <v>27.5</v>
      </c>
      <c r="E105">
        <v>401</v>
      </c>
      <c r="F105">
        <v>0</v>
      </c>
      <c r="G105">
        <v>6.5</v>
      </c>
      <c r="H105" s="11" t="s">
        <v>325</v>
      </c>
    </row>
    <row r="106" spans="2:8">
      <c r="B106">
        <f t="shared" si="0"/>
        <v>1001</v>
      </c>
      <c r="C106" s="11" t="str">
        <f>_xlfn.CONCAT("8방향 발사",ShootTable[[#This Row],[Index]]-1000)</f>
        <v>8방향 발사1</v>
      </c>
      <c r="D106">
        <f t="shared" si="1"/>
        <v>72.5</v>
      </c>
      <c r="E106">
        <v>401</v>
      </c>
      <c r="F106">
        <v>0</v>
      </c>
      <c r="G106">
        <v>6.5</v>
      </c>
      <c r="H106" s="11" t="s">
        <v>325</v>
      </c>
    </row>
    <row r="107" spans="2:8">
      <c r="B107">
        <f t="shared" si="0"/>
        <v>1001</v>
      </c>
      <c r="C107" s="11" t="str">
        <f>_xlfn.CONCAT("8방향 발사",ShootTable[[#This Row],[Index]]-1000)</f>
        <v>8방향 발사1</v>
      </c>
      <c r="D107">
        <f t="shared" si="1"/>
        <v>117.5</v>
      </c>
      <c r="E107">
        <v>401</v>
      </c>
      <c r="F107">
        <v>0</v>
      </c>
      <c r="G107">
        <v>6.5</v>
      </c>
      <c r="H107" s="11" t="s">
        <v>325</v>
      </c>
    </row>
    <row r="108" spans="2:8">
      <c r="B108">
        <f t="shared" si="0"/>
        <v>1001</v>
      </c>
      <c r="C108" s="11" t="str">
        <f>_xlfn.CONCAT("8방향 발사",ShootTable[[#This Row],[Index]]-1000)</f>
        <v>8방향 발사1</v>
      </c>
      <c r="D108">
        <f t="shared" si="1"/>
        <v>162.5</v>
      </c>
      <c r="E108">
        <v>401</v>
      </c>
      <c r="F108">
        <v>0</v>
      </c>
      <c r="G108">
        <v>6.5</v>
      </c>
      <c r="H108" s="11" t="s">
        <v>325</v>
      </c>
    </row>
    <row r="109" spans="2:8">
      <c r="B109">
        <f t="shared" si="0"/>
        <v>1001</v>
      </c>
      <c r="C109" s="11" t="str">
        <f>_xlfn.CONCAT("8방향 발사",ShootTable[[#This Row],[Index]]-1000)</f>
        <v>8방향 발사1</v>
      </c>
      <c r="D109">
        <f t="shared" si="1"/>
        <v>207.5</v>
      </c>
      <c r="E109">
        <v>401</v>
      </c>
      <c r="F109">
        <v>0</v>
      </c>
      <c r="G109">
        <v>6.5</v>
      </c>
      <c r="H109" s="11" t="s">
        <v>325</v>
      </c>
    </row>
    <row r="110" spans="2:8">
      <c r="B110">
        <f t="shared" si="0"/>
        <v>1001</v>
      </c>
      <c r="C110" s="11" t="str">
        <f>_xlfn.CONCAT("8방향 발사",ShootTable[[#This Row],[Index]]-1000)</f>
        <v>8방향 발사1</v>
      </c>
      <c r="D110">
        <f t="shared" si="1"/>
        <v>252.5</v>
      </c>
      <c r="E110">
        <v>401</v>
      </c>
      <c r="F110">
        <v>0</v>
      </c>
      <c r="G110">
        <v>6.5</v>
      </c>
      <c r="H110" s="11" t="s">
        <v>325</v>
      </c>
    </row>
    <row r="111" spans="2:8">
      <c r="B111">
        <f t="shared" si="0"/>
        <v>1001</v>
      </c>
      <c r="C111" s="11" t="str">
        <f>_xlfn.CONCAT("8방향 발사",ShootTable[[#This Row],[Index]]-1000)</f>
        <v>8방향 발사1</v>
      </c>
      <c r="D111">
        <f t="shared" si="1"/>
        <v>297.5</v>
      </c>
      <c r="E111">
        <v>401</v>
      </c>
      <c r="F111">
        <v>0</v>
      </c>
      <c r="G111">
        <v>6.5</v>
      </c>
      <c r="H111" s="11" t="s">
        <v>325</v>
      </c>
    </row>
    <row r="112" spans="2:8">
      <c r="B112">
        <f t="shared" si="0"/>
        <v>1001</v>
      </c>
      <c r="C112" s="11" t="str">
        <f>_xlfn.CONCAT("8방향 발사",ShootTable[[#This Row],[Index]]-1000)</f>
        <v>8방향 발사1</v>
      </c>
      <c r="D112">
        <f t="shared" si="1"/>
        <v>342.5</v>
      </c>
      <c r="E112">
        <v>401</v>
      </c>
      <c r="F112">
        <v>0</v>
      </c>
      <c r="G112">
        <v>6.5</v>
      </c>
      <c r="H112" s="11" t="s">
        <v>325</v>
      </c>
    </row>
    <row r="113" spans="2:8">
      <c r="B113">
        <f t="shared" si="0"/>
        <v>1002</v>
      </c>
      <c r="C113" s="11" t="str">
        <f>_xlfn.CONCAT("8방향 발사",ShootTable[[#This Row],[Index]]-1000)</f>
        <v>8방향 발사2</v>
      </c>
      <c r="D113">
        <f t="shared" si="1"/>
        <v>10</v>
      </c>
      <c r="E113">
        <v>401</v>
      </c>
      <c r="F113">
        <v>0</v>
      </c>
      <c r="G113">
        <v>6.5</v>
      </c>
      <c r="H113" s="11" t="s">
        <v>325</v>
      </c>
    </row>
    <row r="114" spans="2:8">
      <c r="B114">
        <f t="shared" si="0"/>
        <v>1002</v>
      </c>
      <c r="C114" s="11" t="str">
        <f>_xlfn.CONCAT("8방향 발사",ShootTable[[#This Row],[Index]]-1000)</f>
        <v>8방향 발사2</v>
      </c>
      <c r="D114">
        <f t="shared" si="1"/>
        <v>55</v>
      </c>
      <c r="E114">
        <v>401</v>
      </c>
      <c r="F114">
        <v>0</v>
      </c>
      <c r="G114">
        <v>6.5</v>
      </c>
      <c r="H114" s="11" t="s">
        <v>325</v>
      </c>
    </row>
    <row r="115" spans="2:8">
      <c r="B115">
        <f t="shared" si="0"/>
        <v>1002</v>
      </c>
      <c r="C115" s="11" t="str">
        <f>_xlfn.CONCAT("8방향 발사",ShootTable[[#This Row],[Index]]-1000)</f>
        <v>8방향 발사2</v>
      </c>
      <c r="D115">
        <f t="shared" si="1"/>
        <v>100</v>
      </c>
      <c r="E115">
        <v>401</v>
      </c>
      <c r="F115">
        <v>0</v>
      </c>
      <c r="G115">
        <v>6.5</v>
      </c>
      <c r="H115" s="11" t="s">
        <v>325</v>
      </c>
    </row>
    <row r="116" spans="2:8">
      <c r="B116">
        <f t="shared" si="0"/>
        <v>1002</v>
      </c>
      <c r="C116" s="11" t="str">
        <f>_xlfn.CONCAT("8방향 발사",ShootTable[[#This Row],[Index]]-1000)</f>
        <v>8방향 발사2</v>
      </c>
      <c r="D116">
        <f t="shared" si="1"/>
        <v>145</v>
      </c>
      <c r="E116">
        <v>401</v>
      </c>
      <c r="F116">
        <v>0</v>
      </c>
      <c r="G116">
        <v>6.5</v>
      </c>
      <c r="H116" s="11" t="s">
        <v>325</v>
      </c>
    </row>
    <row r="117" spans="2:8">
      <c r="B117">
        <f t="shared" si="0"/>
        <v>1002</v>
      </c>
      <c r="C117" s="11" t="str">
        <f>_xlfn.CONCAT("8방향 발사",ShootTable[[#This Row],[Index]]-1000)</f>
        <v>8방향 발사2</v>
      </c>
      <c r="D117">
        <f t="shared" si="1"/>
        <v>190</v>
      </c>
      <c r="E117">
        <v>401</v>
      </c>
      <c r="F117">
        <v>0</v>
      </c>
      <c r="G117">
        <v>6.5</v>
      </c>
      <c r="H117" s="11" t="s">
        <v>325</v>
      </c>
    </row>
    <row r="118" spans="2:8">
      <c r="B118">
        <f t="shared" si="0"/>
        <v>1002</v>
      </c>
      <c r="C118" s="11" t="str">
        <f>_xlfn.CONCAT("8방향 발사",ShootTable[[#This Row],[Index]]-1000)</f>
        <v>8방향 발사2</v>
      </c>
      <c r="D118">
        <f t="shared" si="1"/>
        <v>235</v>
      </c>
      <c r="E118">
        <v>401</v>
      </c>
      <c r="F118">
        <v>0</v>
      </c>
      <c r="G118">
        <v>6.5</v>
      </c>
      <c r="H118" s="11" t="s">
        <v>325</v>
      </c>
    </row>
    <row r="119" spans="2:8">
      <c r="B119">
        <f t="shared" si="0"/>
        <v>1002</v>
      </c>
      <c r="C119" s="11" t="str">
        <f>_xlfn.CONCAT("8방향 발사",ShootTable[[#This Row],[Index]]-1000)</f>
        <v>8방향 발사2</v>
      </c>
      <c r="D119">
        <f t="shared" si="1"/>
        <v>280</v>
      </c>
      <c r="E119">
        <v>401</v>
      </c>
      <c r="F119">
        <v>0</v>
      </c>
      <c r="G119">
        <v>6.5</v>
      </c>
      <c r="H119" s="11" t="s">
        <v>325</v>
      </c>
    </row>
    <row r="120" spans="2:8">
      <c r="B120">
        <f t="shared" si="0"/>
        <v>1002</v>
      </c>
      <c r="C120" s="11" t="str">
        <f>_xlfn.CONCAT("8방향 발사",ShootTable[[#This Row],[Index]]-1000)</f>
        <v>8방향 발사2</v>
      </c>
      <c r="D120">
        <f t="shared" si="1"/>
        <v>325</v>
      </c>
      <c r="E120">
        <v>401</v>
      </c>
      <c r="F120">
        <v>0</v>
      </c>
      <c r="G120">
        <v>6.5</v>
      </c>
      <c r="H120" s="11" t="s">
        <v>325</v>
      </c>
    </row>
    <row r="121" spans="2:8">
      <c r="B121">
        <f t="shared" si="0"/>
        <v>1003</v>
      </c>
      <c r="C121" s="11" t="str">
        <f>_xlfn.CONCAT("8방향 발사",ShootTable[[#This Row],[Index]]-1000)</f>
        <v>8방향 발사3</v>
      </c>
      <c r="D121">
        <f t="shared" ref="D121:D136" si="2">D113-25*0.5</f>
        <v>-2.5</v>
      </c>
      <c r="E121">
        <v>401</v>
      </c>
      <c r="F121">
        <v>0</v>
      </c>
      <c r="G121">
        <v>6.5</v>
      </c>
      <c r="H121" s="11" t="s">
        <v>325</v>
      </c>
    </row>
    <row r="122" spans="2:8">
      <c r="B122">
        <f t="shared" si="0"/>
        <v>1003</v>
      </c>
      <c r="C122" s="11" t="str">
        <f>_xlfn.CONCAT("8방향 발사",ShootTable[[#This Row],[Index]]-1000)</f>
        <v>8방향 발사3</v>
      </c>
      <c r="D122">
        <f t="shared" si="2"/>
        <v>42.5</v>
      </c>
      <c r="E122">
        <v>401</v>
      </c>
      <c r="F122">
        <v>0</v>
      </c>
      <c r="G122">
        <v>6.5</v>
      </c>
      <c r="H122" s="11" t="s">
        <v>325</v>
      </c>
    </row>
    <row r="123" spans="2:8">
      <c r="B123">
        <f t="shared" si="0"/>
        <v>1003</v>
      </c>
      <c r="C123" s="11" t="str">
        <f>_xlfn.CONCAT("8방향 발사",ShootTable[[#This Row],[Index]]-1000)</f>
        <v>8방향 발사3</v>
      </c>
      <c r="D123">
        <f t="shared" si="2"/>
        <v>87.5</v>
      </c>
      <c r="E123">
        <v>401</v>
      </c>
      <c r="F123">
        <v>0</v>
      </c>
      <c r="G123">
        <v>6.5</v>
      </c>
      <c r="H123" s="11" t="s">
        <v>325</v>
      </c>
    </row>
    <row r="124" spans="2:8">
      <c r="B124">
        <f t="shared" si="0"/>
        <v>1003</v>
      </c>
      <c r="C124" s="11" t="str">
        <f>_xlfn.CONCAT("8방향 발사",ShootTable[[#This Row],[Index]]-1000)</f>
        <v>8방향 발사3</v>
      </c>
      <c r="D124">
        <f t="shared" si="2"/>
        <v>132.5</v>
      </c>
      <c r="E124">
        <v>401</v>
      </c>
      <c r="F124">
        <v>0</v>
      </c>
      <c r="G124">
        <v>6.5</v>
      </c>
      <c r="H124" s="11" t="s">
        <v>325</v>
      </c>
    </row>
    <row r="125" spans="2:8">
      <c r="B125">
        <f t="shared" si="0"/>
        <v>1003</v>
      </c>
      <c r="C125" s="11" t="str">
        <f>_xlfn.CONCAT("8방향 발사",ShootTable[[#This Row],[Index]]-1000)</f>
        <v>8방향 발사3</v>
      </c>
      <c r="D125">
        <f t="shared" si="2"/>
        <v>177.5</v>
      </c>
      <c r="E125">
        <v>401</v>
      </c>
      <c r="F125">
        <v>0</v>
      </c>
      <c r="G125">
        <v>6.5</v>
      </c>
      <c r="H125" s="11" t="s">
        <v>325</v>
      </c>
    </row>
    <row r="126" spans="2:8">
      <c r="B126">
        <f t="shared" si="0"/>
        <v>1003</v>
      </c>
      <c r="C126" s="11" t="str">
        <f>_xlfn.CONCAT("8방향 발사",ShootTable[[#This Row],[Index]]-1000)</f>
        <v>8방향 발사3</v>
      </c>
      <c r="D126">
        <f t="shared" si="2"/>
        <v>222.5</v>
      </c>
      <c r="E126">
        <v>401</v>
      </c>
      <c r="F126">
        <v>0</v>
      </c>
      <c r="G126">
        <v>6.5</v>
      </c>
      <c r="H126" s="11" t="s">
        <v>325</v>
      </c>
    </row>
    <row r="127" spans="2:8">
      <c r="B127">
        <f t="shared" si="0"/>
        <v>1003</v>
      </c>
      <c r="C127" s="11" t="str">
        <f>_xlfn.CONCAT("8방향 발사",ShootTable[[#This Row],[Index]]-1000)</f>
        <v>8방향 발사3</v>
      </c>
      <c r="D127">
        <f t="shared" si="2"/>
        <v>267.5</v>
      </c>
      <c r="E127">
        <v>401</v>
      </c>
      <c r="F127">
        <v>0</v>
      </c>
      <c r="G127">
        <v>6.5</v>
      </c>
      <c r="H127" s="11" t="s">
        <v>325</v>
      </c>
    </row>
    <row r="128" spans="2:8">
      <c r="B128">
        <f t="shared" si="0"/>
        <v>1003</v>
      </c>
      <c r="C128" s="11" t="str">
        <f>_xlfn.CONCAT("8방향 발사",ShootTable[[#This Row],[Index]]-1000)</f>
        <v>8방향 발사3</v>
      </c>
      <c r="D128">
        <f t="shared" si="2"/>
        <v>312.5</v>
      </c>
      <c r="E128">
        <v>401</v>
      </c>
      <c r="F128">
        <v>0</v>
      </c>
      <c r="G128">
        <v>6.5</v>
      </c>
      <c r="H128" s="11" t="s">
        <v>325</v>
      </c>
    </row>
    <row r="129" spans="2:8">
      <c r="B129">
        <f t="shared" si="0"/>
        <v>1004</v>
      </c>
      <c r="C129" s="11" t="str">
        <f>_xlfn.CONCAT("8방향 발사",ShootTable[[#This Row],[Index]]-1000)</f>
        <v>8방향 발사4</v>
      </c>
      <c r="D129">
        <f t="shared" si="2"/>
        <v>-15</v>
      </c>
      <c r="E129">
        <v>401</v>
      </c>
      <c r="F129">
        <v>0</v>
      </c>
      <c r="G129">
        <v>6.5</v>
      </c>
      <c r="H129" s="11" t="s">
        <v>325</v>
      </c>
    </row>
    <row r="130" spans="2:8">
      <c r="B130">
        <f t="shared" si="0"/>
        <v>1004</v>
      </c>
      <c r="C130" s="11" t="str">
        <f>_xlfn.CONCAT("8방향 발사",ShootTable[[#This Row],[Index]]-1000)</f>
        <v>8방향 발사4</v>
      </c>
      <c r="D130">
        <f t="shared" si="2"/>
        <v>30</v>
      </c>
      <c r="E130">
        <v>401</v>
      </c>
      <c r="F130">
        <v>0</v>
      </c>
      <c r="G130">
        <v>6.5</v>
      </c>
      <c r="H130" s="11" t="s">
        <v>325</v>
      </c>
    </row>
    <row r="131" spans="2:8">
      <c r="B131">
        <f t="shared" si="0"/>
        <v>1004</v>
      </c>
      <c r="C131" s="11" t="str">
        <f>_xlfn.CONCAT("8방향 발사",ShootTable[[#This Row],[Index]]-1000)</f>
        <v>8방향 발사4</v>
      </c>
      <c r="D131">
        <f t="shared" si="2"/>
        <v>75</v>
      </c>
      <c r="E131">
        <v>401</v>
      </c>
      <c r="F131">
        <v>0</v>
      </c>
      <c r="G131">
        <v>6.5</v>
      </c>
      <c r="H131" s="11" t="s">
        <v>325</v>
      </c>
    </row>
    <row r="132" spans="2:8">
      <c r="B132">
        <f t="shared" si="0"/>
        <v>1004</v>
      </c>
      <c r="C132" s="11" t="str">
        <f>_xlfn.CONCAT("8방향 발사",ShootTable[[#This Row],[Index]]-1000)</f>
        <v>8방향 발사4</v>
      </c>
      <c r="D132">
        <f t="shared" si="2"/>
        <v>120</v>
      </c>
      <c r="E132">
        <v>401</v>
      </c>
      <c r="F132">
        <v>0</v>
      </c>
      <c r="G132">
        <v>6.5</v>
      </c>
      <c r="H132" s="11" t="s">
        <v>325</v>
      </c>
    </row>
    <row r="133" spans="2:8">
      <c r="B133">
        <f t="shared" si="0"/>
        <v>1004</v>
      </c>
      <c r="C133" s="11" t="str">
        <f>_xlfn.CONCAT("8방향 발사",ShootTable[[#This Row],[Index]]-1000)</f>
        <v>8방향 발사4</v>
      </c>
      <c r="D133">
        <f t="shared" si="2"/>
        <v>165</v>
      </c>
      <c r="E133">
        <v>401</v>
      </c>
      <c r="F133">
        <v>0</v>
      </c>
      <c r="G133">
        <v>6.5</v>
      </c>
      <c r="H133" s="11" t="s">
        <v>325</v>
      </c>
    </row>
    <row r="134" spans="2:8">
      <c r="B134">
        <f t="shared" si="0"/>
        <v>1004</v>
      </c>
      <c r="C134" s="11" t="str">
        <f>_xlfn.CONCAT("8방향 발사",ShootTable[[#This Row],[Index]]-1000)</f>
        <v>8방향 발사4</v>
      </c>
      <c r="D134">
        <f t="shared" si="2"/>
        <v>210</v>
      </c>
      <c r="E134">
        <v>401</v>
      </c>
      <c r="F134">
        <v>0</v>
      </c>
      <c r="G134">
        <v>6.5</v>
      </c>
      <c r="H134" s="11" t="s">
        <v>325</v>
      </c>
    </row>
    <row r="135" spans="2:8">
      <c r="B135">
        <f t="shared" si="0"/>
        <v>1004</v>
      </c>
      <c r="C135" s="11" t="str">
        <f>_xlfn.CONCAT("8방향 발사",ShootTable[[#This Row],[Index]]-1000)</f>
        <v>8방향 발사4</v>
      </c>
      <c r="D135">
        <f t="shared" si="2"/>
        <v>255</v>
      </c>
      <c r="E135">
        <v>401</v>
      </c>
      <c r="F135">
        <v>0</v>
      </c>
      <c r="G135">
        <v>6.5</v>
      </c>
      <c r="H135" s="11" t="s">
        <v>325</v>
      </c>
    </row>
    <row r="136" spans="2:8">
      <c r="B136">
        <f t="shared" si="0"/>
        <v>1004</v>
      </c>
      <c r="C136" s="11" t="str">
        <f>_xlfn.CONCAT("8방향 발사",ShootTable[[#This Row],[Index]]-1000)</f>
        <v>8방향 발사4</v>
      </c>
      <c r="D136">
        <f t="shared" si="2"/>
        <v>300</v>
      </c>
      <c r="E136">
        <v>401</v>
      </c>
      <c r="F136">
        <v>0</v>
      </c>
      <c r="G136">
        <v>6.5</v>
      </c>
      <c r="H136" s="11" t="s">
        <v>325</v>
      </c>
    </row>
    <row r="137" spans="2:8">
      <c r="B137">
        <f t="shared" ref="B137:B168" si="3">B129+1</f>
        <v>1005</v>
      </c>
      <c r="C137" s="11" t="str">
        <f>_xlfn.CONCAT("8방향 발사",ShootTable[[#This Row],[Index]]-1000)</f>
        <v>8방향 발사5</v>
      </c>
      <c r="D137">
        <f t="shared" ref="D137:D152" si="4">D129-25*0.3</f>
        <v>-22.5</v>
      </c>
      <c r="E137">
        <v>401</v>
      </c>
      <c r="F137">
        <v>0</v>
      </c>
      <c r="G137">
        <v>6.5</v>
      </c>
      <c r="H137" s="11" t="s">
        <v>325</v>
      </c>
    </row>
    <row r="138" spans="2:8">
      <c r="B138">
        <f t="shared" si="3"/>
        <v>1005</v>
      </c>
      <c r="C138" s="11" t="str">
        <f>_xlfn.CONCAT("8방향 발사",ShootTable[[#This Row],[Index]]-1000)</f>
        <v>8방향 발사5</v>
      </c>
      <c r="D138">
        <f t="shared" si="4"/>
        <v>22.5</v>
      </c>
      <c r="E138">
        <v>401</v>
      </c>
      <c r="F138">
        <v>0</v>
      </c>
      <c r="G138">
        <v>6.5</v>
      </c>
      <c r="H138" s="11" t="s">
        <v>325</v>
      </c>
    </row>
    <row r="139" spans="2:8">
      <c r="B139">
        <f t="shared" si="3"/>
        <v>1005</v>
      </c>
      <c r="C139" s="11" t="str">
        <f>_xlfn.CONCAT("8방향 발사",ShootTable[[#This Row],[Index]]-1000)</f>
        <v>8방향 발사5</v>
      </c>
      <c r="D139">
        <f t="shared" si="4"/>
        <v>67.5</v>
      </c>
      <c r="E139">
        <v>401</v>
      </c>
      <c r="F139">
        <v>0</v>
      </c>
      <c r="G139">
        <v>6.5</v>
      </c>
      <c r="H139" s="11" t="s">
        <v>325</v>
      </c>
    </row>
    <row r="140" spans="2:8">
      <c r="B140">
        <f t="shared" si="3"/>
        <v>1005</v>
      </c>
      <c r="C140" s="11" t="str">
        <f>_xlfn.CONCAT("8방향 발사",ShootTable[[#This Row],[Index]]-1000)</f>
        <v>8방향 발사5</v>
      </c>
      <c r="D140">
        <f t="shared" si="4"/>
        <v>112.5</v>
      </c>
      <c r="E140">
        <v>401</v>
      </c>
      <c r="F140">
        <v>0</v>
      </c>
      <c r="G140">
        <v>6.5</v>
      </c>
      <c r="H140" s="11" t="s">
        <v>325</v>
      </c>
    </row>
    <row r="141" spans="2:8">
      <c r="B141">
        <f t="shared" si="3"/>
        <v>1005</v>
      </c>
      <c r="C141" s="11" t="str">
        <f>_xlfn.CONCAT("8방향 발사",ShootTable[[#This Row],[Index]]-1000)</f>
        <v>8방향 발사5</v>
      </c>
      <c r="D141">
        <f t="shared" si="4"/>
        <v>157.5</v>
      </c>
      <c r="E141">
        <v>401</v>
      </c>
      <c r="F141">
        <v>0</v>
      </c>
      <c r="G141">
        <v>6.5</v>
      </c>
      <c r="H141" s="11" t="s">
        <v>325</v>
      </c>
    </row>
    <row r="142" spans="2:8">
      <c r="B142">
        <f t="shared" si="3"/>
        <v>1005</v>
      </c>
      <c r="C142" s="11" t="str">
        <f>_xlfn.CONCAT("8방향 발사",ShootTable[[#This Row],[Index]]-1000)</f>
        <v>8방향 발사5</v>
      </c>
      <c r="D142">
        <f t="shared" si="4"/>
        <v>202.5</v>
      </c>
      <c r="E142">
        <v>401</v>
      </c>
      <c r="F142">
        <v>0</v>
      </c>
      <c r="G142">
        <v>6.5</v>
      </c>
      <c r="H142" s="11" t="s">
        <v>325</v>
      </c>
    </row>
    <row r="143" spans="2:8">
      <c r="B143">
        <f t="shared" si="3"/>
        <v>1005</v>
      </c>
      <c r="C143" s="11" t="str">
        <f>_xlfn.CONCAT("8방향 발사",ShootTable[[#This Row],[Index]]-1000)</f>
        <v>8방향 발사5</v>
      </c>
      <c r="D143">
        <f t="shared" si="4"/>
        <v>247.5</v>
      </c>
      <c r="E143">
        <v>401</v>
      </c>
      <c r="F143">
        <v>0</v>
      </c>
      <c r="G143">
        <v>6.5</v>
      </c>
      <c r="H143" s="11" t="s">
        <v>325</v>
      </c>
    </row>
    <row r="144" spans="2:8">
      <c r="B144">
        <f t="shared" si="3"/>
        <v>1005</v>
      </c>
      <c r="C144" s="11" t="str">
        <f>_xlfn.CONCAT("8방향 발사",ShootTable[[#This Row],[Index]]-1000)</f>
        <v>8방향 발사5</v>
      </c>
      <c r="D144">
        <f t="shared" si="4"/>
        <v>292.5</v>
      </c>
      <c r="E144">
        <v>401</v>
      </c>
      <c r="F144">
        <v>0</v>
      </c>
      <c r="G144">
        <v>6.5</v>
      </c>
      <c r="H144" s="11" t="s">
        <v>325</v>
      </c>
    </row>
    <row r="145" spans="2:8">
      <c r="B145">
        <f t="shared" si="3"/>
        <v>1006</v>
      </c>
      <c r="C145" s="11" t="str">
        <f>_xlfn.CONCAT("8방향 발사",ShootTable[[#This Row],[Index]]-1000)</f>
        <v>8방향 발사6</v>
      </c>
      <c r="D145">
        <f t="shared" si="4"/>
        <v>-30</v>
      </c>
      <c r="E145">
        <v>401</v>
      </c>
      <c r="F145">
        <v>0</v>
      </c>
      <c r="G145">
        <v>6.5</v>
      </c>
      <c r="H145" s="11" t="s">
        <v>325</v>
      </c>
    </row>
    <row r="146" spans="2:8">
      <c r="B146">
        <f t="shared" si="3"/>
        <v>1006</v>
      </c>
      <c r="C146" s="11" t="str">
        <f>_xlfn.CONCAT("8방향 발사",ShootTable[[#This Row],[Index]]-1000)</f>
        <v>8방향 발사6</v>
      </c>
      <c r="D146">
        <f t="shared" si="4"/>
        <v>15</v>
      </c>
      <c r="E146">
        <v>401</v>
      </c>
      <c r="F146">
        <v>0</v>
      </c>
      <c r="G146">
        <v>6.5</v>
      </c>
      <c r="H146" s="11" t="s">
        <v>325</v>
      </c>
    </row>
    <row r="147" spans="2:8">
      <c r="B147">
        <f t="shared" si="3"/>
        <v>1006</v>
      </c>
      <c r="C147" s="11" t="str">
        <f>_xlfn.CONCAT("8방향 발사",ShootTable[[#This Row],[Index]]-1000)</f>
        <v>8방향 발사6</v>
      </c>
      <c r="D147">
        <f t="shared" si="4"/>
        <v>60</v>
      </c>
      <c r="E147">
        <v>401</v>
      </c>
      <c r="F147">
        <v>0</v>
      </c>
      <c r="G147">
        <v>6.5</v>
      </c>
      <c r="H147" s="11" t="s">
        <v>325</v>
      </c>
    </row>
    <row r="148" spans="2:8">
      <c r="B148">
        <f t="shared" si="3"/>
        <v>1006</v>
      </c>
      <c r="C148" s="11" t="str">
        <f>_xlfn.CONCAT("8방향 발사",ShootTable[[#This Row],[Index]]-1000)</f>
        <v>8방향 발사6</v>
      </c>
      <c r="D148">
        <f t="shared" si="4"/>
        <v>105</v>
      </c>
      <c r="E148">
        <v>401</v>
      </c>
      <c r="F148">
        <v>0</v>
      </c>
      <c r="G148">
        <v>6.5</v>
      </c>
      <c r="H148" s="11" t="s">
        <v>325</v>
      </c>
    </row>
    <row r="149" spans="2:8">
      <c r="B149">
        <f t="shared" si="3"/>
        <v>1006</v>
      </c>
      <c r="C149" s="11" t="str">
        <f>_xlfn.CONCAT("8방향 발사",ShootTable[[#This Row],[Index]]-1000)</f>
        <v>8방향 발사6</v>
      </c>
      <c r="D149">
        <f t="shared" si="4"/>
        <v>150</v>
      </c>
      <c r="E149">
        <v>401</v>
      </c>
      <c r="F149">
        <v>0</v>
      </c>
      <c r="G149">
        <v>6.5</v>
      </c>
      <c r="H149" s="11" t="s">
        <v>325</v>
      </c>
    </row>
    <row r="150" spans="2:8">
      <c r="B150">
        <f t="shared" si="3"/>
        <v>1006</v>
      </c>
      <c r="C150" s="11" t="str">
        <f>_xlfn.CONCAT("8방향 발사",ShootTable[[#This Row],[Index]]-1000)</f>
        <v>8방향 발사6</v>
      </c>
      <c r="D150">
        <f t="shared" si="4"/>
        <v>195</v>
      </c>
      <c r="E150">
        <v>401</v>
      </c>
      <c r="F150">
        <v>0</v>
      </c>
      <c r="G150">
        <v>6.5</v>
      </c>
      <c r="H150" s="11" t="s">
        <v>325</v>
      </c>
    </row>
    <row r="151" spans="2:8">
      <c r="B151">
        <f t="shared" si="3"/>
        <v>1006</v>
      </c>
      <c r="C151" s="11" t="str">
        <f>_xlfn.CONCAT("8방향 발사",ShootTable[[#This Row],[Index]]-1000)</f>
        <v>8방향 발사6</v>
      </c>
      <c r="D151">
        <f t="shared" si="4"/>
        <v>240</v>
      </c>
      <c r="E151">
        <v>401</v>
      </c>
      <c r="F151">
        <v>0</v>
      </c>
      <c r="G151">
        <v>6.5</v>
      </c>
      <c r="H151" s="11" t="s">
        <v>325</v>
      </c>
    </row>
    <row r="152" spans="2:8">
      <c r="B152">
        <f t="shared" si="3"/>
        <v>1006</v>
      </c>
      <c r="C152" s="11" t="str">
        <f>_xlfn.CONCAT("8방향 발사",ShootTable[[#This Row],[Index]]-1000)</f>
        <v>8방향 발사6</v>
      </c>
      <c r="D152">
        <f t="shared" si="4"/>
        <v>285</v>
      </c>
      <c r="E152">
        <v>401</v>
      </c>
      <c r="F152">
        <v>0</v>
      </c>
      <c r="G152">
        <v>6.5</v>
      </c>
      <c r="H152" s="11" t="s">
        <v>325</v>
      </c>
    </row>
    <row r="153" spans="2:8">
      <c r="B153">
        <f t="shared" si="3"/>
        <v>1007</v>
      </c>
      <c r="C153" s="11" t="str">
        <f>_xlfn.CONCAT("8방향 발사",ShootTable[[#This Row],[Index]]-1000)</f>
        <v>8방향 발사7</v>
      </c>
      <c r="D153">
        <f t="shared" ref="D153:D184" si="5">D145-25*0.2</f>
        <v>-35</v>
      </c>
      <c r="E153">
        <v>401</v>
      </c>
      <c r="F153">
        <v>0</v>
      </c>
      <c r="G153">
        <v>6.5</v>
      </c>
      <c r="H153" s="11" t="s">
        <v>325</v>
      </c>
    </row>
    <row r="154" spans="2:8">
      <c r="B154">
        <f t="shared" si="3"/>
        <v>1007</v>
      </c>
      <c r="C154" s="11" t="str">
        <f>_xlfn.CONCAT("8방향 발사",ShootTable[[#This Row],[Index]]-1000)</f>
        <v>8방향 발사7</v>
      </c>
      <c r="D154">
        <f t="shared" si="5"/>
        <v>10</v>
      </c>
      <c r="E154">
        <v>401</v>
      </c>
      <c r="F154">
        <v>0</v>
      </c>
      <c r="G154">
        <v>6.5</v>
      </c>
      <c r="H154" s="11" t="s">
        <v>325</v>
      </c>
    </row>
    <row r="155" spans="2:8">
      <c r="B155">
        <f t="shared" si="3"/>
        <v>1007</v>
      </c>
      <c r="C155" s="11" t="str">
        <f>_xlfn.CONCAT("8방향 발사",ShootTable[[#This Row],[Index]]-1000)</f>
        <v>8방향 발사7</v>
      </c>
      <c r="D155">
        <f t="shared" si="5"/>
        <v>55</v>
      </c>
      <c r="E155">
        <v>401</v>
      </c>
      <c r="F155">
        <v>0</v>
      </c>
      <c r="G155">
        <v>6.5</v>
      </c>
      <c r="H155" s="11" t="s">
        <v>325</v>
      </c>
    </row>
    <row r="156" spans="2:8">
      <c r="B156">
        <f t="shared" si="3"/>
        <v>1007</v>
      </c>
      <c r="C156" s="11" t="str">
        <f>_xlfn.CONCAT("8방향 발사",ShootTable[[#This Row],[Index]]-1000)</f>
        <v>8방향 발사7</v>
      </c>
      <c r="D156">
        <f t="shared" si="5"/>
        <v>100</v>
      </c>
      <c r="E156">
        <v>401</v>
      </c>
      <c r="F156">
        <v>0</v>
      </c>
      <c r="G156">
        <v>6.5</v>
      </c>
      <c r="H156" s="11" t="s">
        <v>325</v>
      </c>
    </row>
    <row r="157" spans="2:8">
      <c r="B157">
        <f t="shared" si="3"/>
        <v>1007</v>
      </c>
      <c r="C157" s="11" t="str">
        <f>_xlfn.CONCAT("8방향 발사",ShootTable[[#This Row],[Index]]-1000)</f>
        <v>8방향 발사7</v>
      </c>
      <c r="D157">
        <f t="shared" si="5"/>
        <v>145</v>
      </c>
      <c r="E157">
        <v>401</v>
      </c>
      <c r="F157">
        <v>0</v>
      </c>
      <c r="G157">
        <v>6.5</v>
      </c>
      <c r="H157" s="11" t="s">
        <v>325</v>
      </c>
    </row>
    <row r="158" spans="2:8">
      <c r="B158">
        <f t="shared" si="3"/>
        <v>1007</v>
      </c>
      <c r="C158" s="11" t="str">
        <f>_xlfn.CONCAT("8방향 발사",ShootTable[[#This Row],[Index]]-1000)</f>
        <v>8방향 발사7</v>
      </c>
      <c r="D158">
        <f t="shared" si="5"/>
        <v>190</v>
      </c>
      <c r="E158">
        <v>401</v>
      </c>
      <c r="F158">
        <v>0</v>
      </c>
      <c r="G158">
        <v>6.5</v>
      </c>
      <c r="H158" s="11" t="s">
        <v>325</v>
      </c>
    </row>
    <row r="159" spans="2:8">
      <c r="B159">
        <f t="shared" si="3"/>
        <v>1007</v>
      </c>
      <c r="C159" s="11" t="str">
        <f>_xlfn.CONCAT("8방향 발사",ShootTable[[#This Row],[Index]]-1000)</f>
        <v>8방향 발사7</v>
      </c>
      <c r="D159">
        <f t="shared" si="5"/>
        <v>235</v>
      </c>
      <c r="E159">
        <v>401</v>
      </c>
      <c r="F159">
        <v>0</v>
      </c>
      <c r="G159">
        <v>6.5</v>
      </c>
      <c r="H159" s="11" t="s">
        <v>325</v>
      </c>
    </row>
    <row r="160" spans="2:8">
      <c r="B160">
        <f t="shared" si="3"/>
        <v>1007</v>
      </c>
      <c r="C160" s="11" t="str">
        <f>_xlfn.CONCAT("8방향 발사",ShootTable[[#This Row],[Index]]-1000)</f>
        <v>8방향 발사7</v>
      </c>
      <c r="D160">
        <f t="shared" si="5"/>
        <v>280</v>
      </c>
      <c r="E160">
        <v>401</v>
      </c>
      <c r="F160">
        <v>0</v>
      </c>
      <c r="G160">
        <v>6.5</v>
      </c>
      <c r="H160" s="11" t="s">
        <v>325</v>
      </c>
    </row>
    <row r="161" spans="2:8">
      <c r="B161">
        <f t="shared" si="3"/>
        <v>1008</v>
      </c>
      <c r="C161" s="11" t="str">
        <f>_xlfn.CONCAT("8방향 발사",ShootTable[[#This Row],[Index]]-1000)</f>
        <v>8방향 발사8</v>
      </c>
      <c r="D161">
        <f t="shared" si="5"/>
        <v>-40</v>
      </c>
      <c r="E161">
        <v>401</v>
      </c>
      <c r="F161">
        <v>0</v>
      </c>
      <c r="G161">
        <v>6.5</v>
      </c>
      <c r="H161" s="11" t="s">
        <v>325</v>
      </c>
    </row>
    <row r="162" spans="2:8">
      <c r="B162">
        <f t="shared" si="3"/>
        <v>1008</v>
      </c>
      <c r="C162" s="11" t="str">
        <f>_xlfn.CONCAT("8방향 발사",ShootTable[[#This Row],[Index]]-1000)</f>
        <v>8방향 발사8</v>
      </c>
      <c r="D162">
        <f t="shared" si="5"/>
        <v>5</v>
      </c>
      <c r="E162">
        <v>401</v>
      </c>
      <c r="F162">
        <v>0</v>
      </c>
      <c r="G162">
        <v>6.5</v>
      </c>
      <c r="H162" s="11" t="s">
        <v>325</v>
      </c>
    </row>
    <row r="163" spans="2:8">
      <c r="B163">
        <f t="shared" si="3"/>
        <v>1008</v>
      </c>
      <c r="C163" s="11" t="str">
        <f>_xlfn.CONCAT("8방향 발사",ShootTable[[#This Row],[Index]]-1000)</f>
        <v>8방향 발사8</v>
      </c>
      <c r="D163">
        <f t="shared" si="5"/>
        <v>50</v>
      </c>
      <c r="E163">
        <v>401</v>
      </c>
      <c r="F163">
        <v>0</v>
      </c>
      <c r="G163">
        <v>6.5</v>
      </c>
      <c r="H163" s="11" t="s">
        <v>325</v>
      </c>
    </row>
    <row r="164" spans="2:8">
      <c r="B164">
        <f t="shared" si="3"/>
        <v>1008</v>
      </c>
      <c r="C164" s="11" t="str">
        <f>_xlfn.CONCAT("8방향 발사",ShootTable[[#This Row],[Index]]-1000)</f>
        <v>8방향 발사8</v>
      </c>
      <c r="D164">
        <f t="shared" si="5"/>
        <v>95</v>
      </c>
      <c r="E164">
        <v>401</v>
      </c>
      <c r="F164">
        <v>0</v>
      </c>
      <c r="G164">
        <v>6.5</v>
      </c>
      <c r="H164" s="11" t="s">
        <v>325</v>
      </c>
    </row>
    <row r="165" spans="2:8">
      <c r="B165">
        <f t="shared" si="3"/>
        <v>1008</v>
      </c>
      <c r="C165" s="11" t="str">
        <f>_xlfn.CONCAT("8방향 발사",ShootTable[[#This Row],[Index]]-1000)</f>
        <v>8방향 발사8</v>
      </c>
      <c r="D165">
        <f t="shared" si="5"/>
        <v>140</v>
      </c>
      <c r="E165">
        <v>401</v>
      </c>
      <c r="F165">
        <v>0</v>
      </c>
      <c r="G165">
        <v>6.5</v>
      </c>
      <c r="H165" s="11" t="s">
        <v>325</v>
      </c>
    </row>
    <row r="166" spans="2:8">
      <c r="B166">
        <f t="shared" si="3"/>
        <v>1008</v>
      </c>
      <c r="C166" s="11" t="str">
        <f>_xlfn.CONCAT("8방향 발사",ShootTable[[#This Row],[Index]]-1000)</f>
        <v>8방향 발사8</v>
      </c>
      <c r="D166">
        <f t="shared" si="5"/>
        <v>185</v>
      </c>
      <c r="E166">
        <v>401</v>
      </c>
      <c r="F166">
        <v>0</v>
      </c>
      <c r="G166">
        <v>6.5</v>
      </c>
      <c r="H166" s="11" t="s">
        <v>325</v>
      </c>
    </row>
    <row r="167" spans="2:8">
      <c r="B167">
        <f t="shared" si="3"/>
        <v>1008</v>
      </c>
      <c r="C167" s="11" t="str">
        <f>_xlfn.CONCAT("8방향 발사",ShootTable[[#This Row],[Index]]-1000)</f>
        <v>8방향 발사8</v>
      </c>
      <c r="D167">
        <f t="shared" si="5"/>
        <v>230</v>
      </c>
      <c r="E167">
        <v>401</v>
      </c>
      <c r="F167">
        <v>0</v>
      </c>
      <c r="G167">
        <v>6.5</v>
      </c>
      <c r="H167" s="11" t="s">
        <v>325</v>
      </c>
    </row>
    <row r="168" spans="2:8">
      <c r="B168">
        <f t="shared" si="3"/>
        <v>1008</v>
      </c>
      <c r="C168" s="11" t="str">
        <f>_xlfn.CONCAT("8방향 발사",ShootTable[[#This Row],[Index]]-1000)</f>
        <v>8방향 발사8</v>
      </c>
      <c r="D168">
        <f t="shared" si="5"/>
        <v>275</v>
      </c>
      <c r="E168">
        <v>401</v>
      </c>
      <c r="F168">
        <v>0</v>
      </c>
      <c r="G168">
        <v>6.5</v>
      </c>
      <c r="H168" s="11" t="s">
        <v>325</v>
      </c>
    </row>
    <row r="169" spans="2:8">
      <c r="B169">
        <f t="shared" ref="B169:B184" si="6">B161+1</f>
        <v>1009</v>
      </c>
      <c r="C169" s="11" t="str">
        <f>_xlfn.CONCAT("8방향 발사",ShootTable[[#This Row],[Index]]-1000)</f>
        <v>8방향 발사9</v>
      </c>
      <c r="D169">
        <f t="shared" si="5"/>
        <v>-45</v>
      </c>
      <c r="E169">
        <v>401</v>
      </c>
      <c r="F169">
        <v>0</v>
      </c>
      <c r="G169">
        <v>6.5</v>
      </c>
      <c r="H169" s="11" t="s">
        <v>325</v>
      </c>
    </row>
    <row r="170" spans="2:8">
      <c r="B170">
        <f t="shared" si="6"/>
        <v>1009</v>
      </c>
      <c r="C170" s="11" t="str">
        <f>_xlfn.CONCAT("8방향 발사",ShootTable[[#This Row],[Index]]-1000)</f>
        <v>8방향 발사9</v>
      </c>
      <c r="D170">
        <f t="shared" si="5"/>
        <v>0</v>
      </c>
      <c r="E170">
        <v>401</v>
      </c>
      <c r="F170">
        <v>0</v>
      </c>
      <c r="G170">
        <v>6.5</v>
      </c>
      <c r="H170" s="11" t="s">
        <v>325</v>
      </c>
    </row>
    <row r="171" spans="2:8">
      <c r="B171">
        <f t="shared" si="6"/>
        <v>1009</v>
      </c>
      <c r="C171" s="11" t="str">
        <f>_xlfn.CONCAT("8방향 발사",ShootTable[[#This Row],[Index]]-1000)</f>
        <v>8방향 발사9</v>
      </c>
      <c r="D171">
        <f t="shared" si="5"/>
        <v>45</v>
      </c>
      <c r="E171">
        <v>401</v>
      </c>
      <c r="F171">
        <v>0</v>
      </c>
      <c r="G171">
        <v>6.5</v>
      </c>
      <c r="H171" s="11" t="s">
        <v>325</v>
      </c>
    </row>
    <row r="172" spans="2:8">
      <c r="B172">
        <f t="shared" si="6"/>
        <v>1009</v>
      </c>
      <c r="C172" s="11" t="str">
        <f>_xlfn.CONCAT("8방향 발사",ShootTable[[#This Row],[Index]]-1000)</f>
        <v>8방향 발사9</v>
      </c>
      <c r="D172">
        <f t="shared" si="5"/>
        <v>90</v>
      </c>
      <c r="E172">
        <v>401</v>
      </c>
      <c r="F172">
        <v>0</v>
      </c>
      <c r="G172">
        <v>6.5</v>
      </c>
      <c r="H172" s="11" t="s">
        <v>325</v>
      </c>
    </row>
    <row r="173" spans="2:8">
      <c r="B173">
        <f t="shared" si="6"/>
        <v>1009</v>
      </c>
      <c r="C173" s="11" t="str">
        <f>_xlfn.CONCAT("8방향 발사",ShootTable[[#This Row],[Index]]-1000)</f>
        <v>8방향 발사9</v>
      </c>
      <c r="D173">
        <f t="shared" si="5"/>
        <v>135</v>
      </c>
      <c r="E173">
        <v>401</v>
      </c>
      <c r="F173">
        <v>0</v>
      </c>
      <c r="G173">
        <v>6.5</v>
      </c>
      <c r="H173" s="11" t="s">
        <v>325</v>
      </c>
    </row>
    <row r="174" spans="2:8">
      <c r="B174">
        <f t="shared" si="6"/>
        <v>1009</v>
      </c>
      <c r="C174" s="11" t="str">
        <f>_xlfn.CONCAT("8방향 발사",ShootTable[[#This Row],[Index]]-1000)</f>
        <v>8방향 발사9</v>
      </c>
      <c r="D174">
        <f t="shared" si="5"/>
        <v>180</v>
      </c>
      <c r="E174">
        <v>401</v>
      </c>
      <c r="F174">
        <v>0</v>
      </c>
      <c r="G174">
        <v>6.5</v>
      </c>
      <c r="H174" s="11" t="s">
        <v>325</v>
      </c>
    </row>
    <row r="175" spans="2:8">
      <c r="B175">
        <f t="shared" si="6"/>
        <v>1009</v>
      </c>
      <c r="C175" s="11" t="str">
        <f>_xlfn.CONCAT("8방향 발사",ShootTable[[#This Row],[Index]]-1000)</f>
        <v>8방향 발사9</v>
      </c>
      <c r="D175">
        <f t="shared" si="5"/>
        <v>225</v>
      </c>
      <c r="E175">
        <v>401</v>
      </c>
      <c r="F175">
        <v>0</v>
      </c>
      <c r="G175">
        <v>6.5</v>
      </c>
      <c r="H175" s="11" t="s">
        <v>325</v>
      </c>
    </row>
    <row r="176" spans="2:8">
      <c r="B176">
        <f t="shared" si="6"/>
        <v>1009</v>
      </c>
      <c r="C176" s="11" t="str">
        <f>_xlfn.CONCAT("8방향 발사",ShootTable[[#This Row],[Index]]-1000)</f>
        <v>8방향 발사9</v>
      </c>
      <c r="D176">
        <f t="shared" si="5"/>
        <v>270</v>
      </c>
      <c r="E176">
        <v>401</v>
      </c>
      <c r="F176">
        <v>0</v>
      </c>
      <c r="G176">
        <v>6.5</v>
      </c>
      <c r="H176" s="11" t="s">
        <v>325</v>
      </c>
    </row>
    <row r="177" spans="2:8">
      <c r="B177">
        <f t="shared" si="6"/>
        <v>1010</v>
      </c>
      <c r="C177" s="11" t="str">
        <f>_xlfn.CONCAT("8방향 발사",ShootTable[[#This Row],[Index]]-1000)</f>
        <v>8방향 발사10</v>
      </c>
      <c r="D177">
        <f t="shared" si="5"/>
        <v>-50</v>
      </c>
      <c r="E177">
        <v>401</v>
      </c>
      <c r="F177">
        <v>0</v>
      </c>
      <c r="G177">
        <v>6.5</v>
      </c>
      <c r="H177" s="11" t="s">
        <v>325</v>
      </c>
    </row>
    <row r="178" spans="2:8">
      <c r="B178">
        <f t="shared" si="6"/>
        <v>1010</v>
      </c>
      <c r="C178" s="11" t="str">
        <f>_xlfn.CONCAT("8방향 발사",ShootTable[[#This Row],[Index]]-1000)</f>
        <v>8방향 발사10</v>
      </c>
      <c r="D178">
        <f t="shared" si="5"/>
        <v>-5</v>
      </c>
      <c r="E178">
        <v>401</v>
      </c>
      <c r="F178">
        <v>0</v>
      </c>
      <c r="G178">
        <v>6.5</v>
      </c>
      <c r="H178" s="11" t="s">
        <v>325</v>
      </c>
    </row>
    <row r="179" spans="2:8">
      <c r="B179">
        <f t="shared" si="6"/>
        <v>1010</v>
      </c>
      <c r="C179" s="11" t="str">
        <f>_xlfn.CONCAT("8방향 발사",ShootTable[[#This Row],[Index]]-1000)</f>
        <v>8방향 발사10</v>
      </c>
      <c r="D179">
        <f t="shared" si="5"/>
        <v>40</v>
      </c>
      <c r="E179">
        <v>401</v>
      </c>
      <c r="F179">
        <v>0</v>
      </c>
      <c r="G179">
        <v>6.5</v>
      </c>
      <c r="H179" s="11" t="s">
        <v>325</v>
      </c>
    </row>
    <row r="180" spans="2:8">
      <c r="B180">
        <f t="shared" si="6"/>
        <v>1010</v>
      </c>
      <c r="C180" s="11" t="str">
        <f>_xlfn.CONCAT("8방향 발사",ShootTable[[#This Row],[Index]]-1000)</f>
        <v>8방향 발사10</v>
      </c>
      <c r="D180">
        <f t="shared" si="5"/>
        <v>85</v>
      </c>
      <c r="E180">
        <v>401</v>
      </c>
      <c r="F180">
        <v>0</v>
      </c>
      <c r="G180">
        <v>6.5</v>
      </c>
      <c r="H180" s="11" t="s">
        <v>325</v>
      </c>
    </row>
    <row r="181" spans="2:8">
      <c r="B181">
        <f t="shared" si="6"/>
        <v>1010</v>
      </c>
      <c r="C181" s="11" t="str">
        <f>_xlfn.CONCAT("8방향 발사",ShootTable[[#This Row],[Index]]-1000)</f>
        <v>8방향 발사10</v>
      </c>
      <c r="D181">
        <f t="shared" si="5"/>
        <v>130</v>
      </c>
      <c r="E181">
        <v>401</v>
      </c>
      <c r="F181">
        <v>0</v>
      </c>
      <c r="G181">
        <v>6.5</v>
      </c>
      <c r="H181" s="11" t="s">
        <v>325</v>
      </c>
    </row>
    <row r="182" spans="2:8">
      <c r="B182">
        <f t="shared" si="6"/>
        <v>1010</v>
      </c>
      <c r="C182" s="11" t="str">
        <f>_xlfn.CONCAT("8방향 발사",ShootTable[[#This Row],[Index]]-1000)</f>
        <v>8방향 발사10</v>
      </c>
      <c r="D182">
        <f t="shared" si="5"/>
        <v>175</v>
      </c>
      <c r="E182">
        <v>401</v>
      </c>
      <c r="F182">
        <v>0</v>
      </c>
      <c r="G182">
        <v>6.5</v>
      </c>
      <c r="H182" s="11" t="s">
        <v>325</v>
      </c>
    </row>
    <row r="183" spans="2:8">
      <c r="B183">
        <f t="shared" si="6"/>
        <v>1010</v>
      </c>
      <c r="C183" s="11" t="str">
        <f>_xlfn.CONCAT("8방향 발사",ShootTable[[#This Row],[Index]]-1000)</f>
        <v>8방향 발사10</v>
      </c>
      <c r="D183">
        <f t="shared" si="5"/>
        <v>220</v>
      </c>
      <c r="E183">
        <v>401</v>
      </c>
      <c r="F183">
        <v>0</v>
      </c>
      <c r="G183">
        <v>6.5</v>
      </c>
      <c r="H183" s="11" t="s">
        <v>325</v>
      </c>
    </row>
    <row r="184" spans="2:8">
      <c r="B184">
        <f t="shared" si="6"/>
        <v>1010</v>
      </c>
      <c r="C184" s="11" t="str">
        <f>_xlfn.CONCAT("8방향 발사",ShootTable[[#This Row],[Index]]-1000)</f>
        <v>8방향 발사10</v>
      </c>
      <c r="D184">
        <f t="shared" si="5"/>
        <v>265</v>
      </c>
      <c r="E184">
        <v>401</v>
      </c>
      <c r="F184">
        <v>0</v>
      </c>
      <c r="G184">
        <v>6.5</v>
      </c>
      <c r="H184" s="11" t="s">
        <v>325</v>
      </c>
    </row>
    <row r="185" spans="2:8">
      <c r="B185">
        <v>2001</v>
      </c>
      <c r="C185" s="16" t="s">
        <v>843</v>
      </c>
      <c r="D185">
        <v>0</v>
      </c>
      <c r="E185">
        <v>2001</v>
      </c>
      <c r="F185">
        <v>1</v>
      </c>
      <c r="G185">
        <v>5</v>
      </c>
      <c r="H185" s="11" t="s">
        <v>325</v>
      </c>
    </row>
    <row r="186" spans="2:8">
      <c r="B186">
        <v>2002</v>
      </c>
      <c r="C186" s="16" t="s">
        <v>844</v>
      </c>
      <c r="D186">
        <v>25</v>
      </c>
      <c r="E186">
        <v>2001</v>
      </c>
      <c r="F186">
        <v>2</v>
      </c>
      <c r="G186">
        <v>7</v>
      </c>
      <c r="H186" s="11" t="s">
        <v>325</v>
      </c>
    </row>
    <row r="187" spans="2:8">
      <c r="B187">
        <v>2002</v>
      </c>
      <c r="C187" s="16" t="s">
        <v>844</v>
      </c>
      <c r="D187">
        <v>0</v>
      </c>
      <c r="E187">
        <v>2001</v>
      </c>
      <c r="F187">
        <v>2</v>
      </c>
      <c r="G187">
        <v>7</v>
      </c>
      <c r="H187" s="11" t="s">
        <v>325</v>
      </c>
    </row>
    <row r="188" spans="2:8">
      <c r="B188">
        <v>2002</v>
      </c>
      <c r="C188" s="16" t="s">
        <v>844</v>
      </c>
      <c r="D188">
        <v>-25</v>
      </c>
      <c r="E188">
        <v>2001</v>
      </c>
      <c r="F188">
        <v>2</v>
      </c>
      <c r="G188">
        <v>7</v>
      </c>
      <c r="H188" s="11" t="s">
        <v>325</v>
      </c>
    </row>
    <row r="189" spans="2:8">
      <c r="B189">
        <v>2003</v>
      </c>
      <c r="C189" s="11" t="s">
        <v>860</v>
      </c>
      <c r="D189">
        <v>96</v>
      </c>
      <c r="E189">
        <v>2001</v>
      </c>
      <c r="F189">
        <v>0</v>
      </c>
      <c r="G189">
        <v>5</v>
      </c>
      <c r="H189" s="11" t="s">
        <v>325</v>
      </c>
    </row>
    <row r="190" spans="2:8">
      <c r="B190">
        <v>2003</v>
      </c>
      <c r="C190" s="11" t="s">
        <v>860</v>
      </c>
      <c r="D190">
        <v>213</v>
      </c>
      <c r="E190">
        <v>2001</v>
      </c>
      <c r="F190">
        <v>0</v>
      </c>
      <c r="G190">
        <v>5</v>
      </c>
      <c r="H190" s="11" t="s">
        <v>325</v>
      </c>
    </row>
    <row r="191" spans="2:8">
      <c r="B191">
        <v>2003</v>
      </c>
      <c r="C191" s="11" t="s">
        <v>860</v>
      </c>
      <c r="D191">
        <v>153</v>
      </c>
      <c r="E191">
        <v>2001</v>
      </c>
      <c r="F191">
        <v>0</v>
      </c>
      <c r="G191">
        <v>5</v>
      </c>
      <c r="H191" s="11" t="s">
        <v>325</v>
      </c>
    </row>
    <row r="192" spans="2:8">
      <c r="B192">
        <v>2004</v>
      </c>
      <c r="C192" s="11" t="s">
        <v>861</v>
      </c>
      <c r="D192">
        <v>264</v>
      </c>
      <c r="E192">
        <v>2001</v>
      </c>
      <c r="F192">
        <v>0</v>
      </c>
      <c r="G192">
        <v>5</v>
      </c>
      <c r="H192" s="11" t="s">
        <v>325</v>
      </c>
    </row>
    <row r="193" spans="2:8">
      <c r="B193">
        <v>2004</v>
      </c>
      <c r="C193" s="11" t="s">
        <v>861</v>
      </c>
      <c r="D193">
        <v>124</v>
      </c>
      <c r="E193">
        <v>2001</v>
      </c>
      <c r="F193">
        <v>0</v>
      </c>
      <c r="G193">
        <v>5</v>
      </c>
      <c r="H193" s="11" t="s">
        <v>325</v>
      </c>
    </row>
    <row r="194" spans="2:8">
      <c r="B194">
        <v>2004</v>
      </c>
      <c r="C194" s="11" t="s">
        <v>861</v>
      </c>
      <c r="D194">
        <v>188</v>
      </c>
      <c r="E194">
        <v>2001</v>
      </c>
      <c r="F194">
        <v>0</v>
      </c>
      <c r="G194">
        <v>5</v>
      </c>
      <c r="H194" s="11" t="s">
        <v>325</v>
      </c>
    </row>
    <row r="195" spans="2:8">
      <c r="B195">
        <v>2005</v>
      </c>
      <c r="C195" s="11" t="s">
        <v>862</v>
      </c>
      <c r="D195">
        <v>59</v>
      </c>
      <c r="E195">
        <v>2001</v>
      </c>
      <c r="F195">
        <v>0</v>
      </c>
      <c r="G195">
        <v>5</v>
      </c>
      <c r="H195" s="11" t="s">
        <v>325</v>
      </c>
    </row>
    <row r="196" spans="2:8">
      <c r="B196">
        <v>2005</v>
      </c>
      <c r="C196" s="11" t="s">
        <v>862</v>
      </c>
      <c r="D196">
        <v>30</v>
      </c>
      <c r="E196">
        <v>2001</v>
      </c>
      <c r="F196">
        <v>0</v>
      </c>
      <c r="G196">
        <v>5</v>
      </c>
      <c r="H196" s="11" t="s">
        <v>325</v>
      </c>
    </row>
    <row r="197" spans="2:8">
      <c r="B197">
        <v>2005</v>
      </c>
      <c r="C197" s="11" t="s">
        <v>862</v>
      </c>
      <c r="D197">
        <v>120</v>
      </c>
      <c r="E197">
        <v>2001</v>
      </c>
      <c r="F197">
        <v>0</v>
      </c>
      <c r="G197">
        <v>5</v>
      </c>
      <c r="H197" s="11" t="s">
        <v>325</v>
      </c>
    </row>
    <row r="198" spans="2:8">
      <c r="B198">
        <v>2006</v>
      </c>
      <c r="C198" s="11" t="s">
        <v>863</v>
      </c>
      <c r="D198">
        <v>90</v>
      </c>
      <c r="E198">
        <v>2001</v>
      </c>
      <c r="F198">
        <v>0</v>
      </c>
      <c r="G198">
        <v>5</v>
      </c>
      <c r="H198" s="11" t="s">
        <v>325</v>
      </c>
    </row>
    <row r="199" spans="2:8">
      <c r="B199">
        <v>2006</v>
      </c>
      <c r="C199" s="11" t="s">
        <v>863</v>
      </c>
      <c r="D199">
        <v>350</v>
      </c>
      <c r="E199">
        <v>2001</v>
      </c>
      <c r="F199">
        <v>0</v>
      </c>
      <c r="G199">
        <v>5</v>
      </c>
      <c r="H199" s="11" t="s">
        <v>325</v>
      </c>
    </row>
    <row r="200" spans="2:8">
      <c r="B200">
        <v>2006</v>
      </c>
      <c r="C200" s="11" t="s">
        <v>863</v>
      </c>
      <c r="D200">
        <v>72</v>
      </c>
      <c r="E200">
        <v>2001</v>
      </c>
      <c r="F200">
        <v>0</v>
      </c>
      <c r="G200">
        <v>5</v>
      </c>
      <c r="H200" s="11" t="s">
        <v>325</v>
      </c>
    </row>
    <row r="201" spans="2:8">
      <c r="B201">
        <v>2007</v>
      </c>
      <c r="C201" s="11" t="s">
        <v>864</v>
      </c>
      <c r="D201">
        <v>255</v>
      </c>
      <c r="E201">
        <v>2001</v>
      </c>
      <c r="F201">
        <v>0</v>
      </c>
      <c r="G201">
        <v>5</v>
      </c>
      <c r="H201" s="11" t="s">
        <v>325</v>
      </c>
    </row>
    <row r="202" spans="2:8">
      <c r="B202">
        <v>2007</v>
      </c>
      <c r="C202" s="11" t="s">
        <v>864</v>
      </c>
      <c r="D202">
        <v>25</v>
      </c>
      <c r="E202">
        <v>2001</v>
      </c>
      <c r="F202">
        <v>0</v>
      </c>
      <c r="G202">
        <v>5</v>
      </c>
      <c r="H202" s="11" t="s">
        <v>325</v>
      </c>
    </row>
    <row r="203" spans="2:8">
      <c r="B203">
        <v>2007</v>
      </c>
      <c r="C203" s="11" t="s">
        <v>864</v>
      </c>
      <c r="D203">
        <v>105</v>
      </c>
      <c r="E203">
        <v>2001</v>
      </c>
      <c r="F203">
        <v>0</v>
      </c>
      <c r="G203">
        <v>5</v>
      </c>
      <c r="H203" s="11" t="s">
        <v>325</v>
      </c>
    </row>
    <row r="204" spans="2:8">
      <c r="B204">
        <v>3001</v>
      </c>
      <c r="C204" s="11" t="s">
        <v>874</v>
      </c>
      <c r="D204">
        <v>-90</v>
      </c>
      <c r="E204">
        <v>3001</v>
      </c>
      <c r="F204">
        <v>1</v>
      </c>
      <c r="G204">
        <v>5.5</v>
      </c>
      <c r="H204" s="11" t="s">
        <v>877</v>
      </c>
    </row>
    <row r="205" spans="2:8">
      <c r="B205">
        <v>3002</v>
      </c>
      <c r="C205" s="11" t="s">
        <v>873</v>
      </c>
      <c r="D205">
        <v>-90</v>
      </c>
      <c r="E205">
        <v>3002</v>
      </c>
      <c r="F205">
        <v>1</v>
      </c>
      <c r="G205">
        <v>5</v>
      </c>
      <c r="H205" s="11" t="s">
        <v>877</v>
      </c>
    </row>
    <row r="206" spans="2:8">
      <c r="B206">
        <v>3101</v>
      </c>
      <c r="C206" s="11" t="s">
        <v>879</v>
      </c>
      <c r="D206">
        <v>185</v>
      </c>
      <c r="E206">
        <v>3003</v>
      </c>
      <c r="F206">
        <v>0</v>
      </c>
      <c r="G206">
        <v>3</v>
      </c>
      <c r="H206" s="11" t="s">
        <v>325</v>
      </c>
    </row>
    <row r="207" spans="2:8">
      <c r="B207">
        <v>3102</v>
      </c>
      <c r="C207" s="11" t="s">
        <v>879</v>
      </c>
      <c r="D207">
        <v>190</v>
      </c>
      <c r="E207">
        <v>3003</v>
      </c>
      <c r="F207">
        <v>0</v>
      </c>
      <c r="G207">
        <v>3.5</v>
      </c>
      <c r="H207" s="11" t="s">
        <v>325</v>
      </c>
    </row>
    <row r="208" spans="2:8">
      <c r="B208">
        <v>3103</v>
      </c>
      <c r="C208" s="11" t="s">
        <v>879</v>
      </c>
      <c r="D208">
        <v>195</v>
      </c>
      <c r="E208">
        <v>3003</v>
      </c>
      <c r="F208">
        <v>0</v>
      </c>
      <c r="G208">
        <v>3</v>
      </c>
      <c r="H208" s="11" t="s">
        <v>325</v>
      </c>
    </row>
    <row r="209" spans="2:8">
      <c r="B209">
        <v>3104</v>
      </c>
      <c r="C209" s="11" t="s">
        <v>879</v>
      </c>
      <c r="D209">
        <v>200</v>
      </c>
      <c r="E209">
        <v>3003</v>
      </c>
      <c r="F209">
        <v>0</v>
      </c>
      <c r="G209">
        <v>3.5</v>
      </c>
      <c r="H209" s="11" t="s">
        <v>325</v>
      </c>
    </row>
    <row r="210" spans="2:8">
      <c r="B210">
        <v>3105</v>
      </c>
      <c r="C210" s="11" t="s">
        <v>879</v>
      </c>
      <c r="D210">
        <v>205</v>
      </c>
      <c r="E210">
        <v>3003</v>
      </c>
      <c r="F210">
        <v>0</v>
      </c>
      <c r="G210">
        <v>3</v>
      </c>
      <c r="H210" s="11" t="s">
        <v>325</v>
      </c>
    </row>
    <row r="211" spans="2:8">
      <c r="B211">
        <v>3106</v>
      </c>
      <c r="C211" s="11" t="s">
        <v>879</v>
      </c>
      <c r="D211" s="11">
        <v>210</v>
      </c>
      <c r="E211">
        <v>3003</v>
      </c>
      <c r="F211">
        <v>0</v>
      </c>
      <c r="G211">
        <v>3.5</v>
      </c>
      <c r="H211" s="11" t="s">
        <v>325</v>
      </c>
    </row>
    <row r="212" spans="2:8">
      <c r="B212">
        <v>3107</v>
      </c>
      <c r="C212" s="11" t="s">
        <v>879</v>
      </c>
      <c r="D212">
        <v>215</v>
      </c>
      <c r="E212">
        <v>3003</v>
      </c>
      <c r="F212">
        <v>0</v>
      </c>
      <c r="G212">
        <v>3</v>
      </c>
      <c r="H212" s="11" t="s">
        <v>325</v>
      </c>
    </row>
    <row r="213" spans="2:8">
      <c r="B213">
        <v>3108</v>
      </c>
      <c r="C213" s="11" t="s">
        <v>879</v>
      </c>
      <c r="D213">
        <v>220</v>
      </c>
      <c r="E213">
        <v>3003</v>
      </c>
      <c r="F213">
        <v>0</v>
      </c>
      <c r="G213">
        <v>3.5</v>
      </c>
      <c r="H213" s="11" t="s">
        <v>325</v>
      </c>
    </row>
    <row r="214" spans="2:8">
      <c r="B214">
        <v>3109</v>
      </c>
      <c r="C214" s="11" t="s">
        <v>879</v>
      </c>
      <c r="D214">
        <v>-185</v>
      </c>
      <c r="E214">
        <v>3003</v>
      </c>
      <c r="F214">
        <v>0</v>
      </c>
      <c r="G214">
        <v>3</v>
      </c>
      <c r="H214" s="11" t="s">
        <v>325</v>
      </c>
    </row>
    <row r="215" spans="2:8">
      <c r="B215">
        <v>3110</v>
      </c>
      <c r="C215" s="11" t="s">
        <v>879</v>
      </c>
      <c r="D215">
        <v>-190</v>
      </c>
      <c r="E215">
        <v>3003</v>
      </c>
      <c r="F215">
        <v>0</v>
      </c>
      <c r="G215">
        <v>3.5</v>
      </c>
      <c r="H215" s="11" t="s">
        <v>325</v>
      </c>
    </row>
    <row r="216" spans="2:8">
      <c r="B216">
        <v>3111</v>
      </c>
      <c r="C216" s="11" t="s">
        <v>879</v>
      </c>
      <c r="D216">
        <v>-195</v>
      </c>
      <c r="E216">
        <v>3003</v>
      </c>
      <c r="F216">
        <v>0</v>
      </c>
      <c r="G216">
        <v>3</v>
      </c>
      <c r="H216" s="11" t="s">
        <v>325</v>
      </c>
    </row>
    <row r="217" spans="2:8">
      <c r="B217">
        <v>3112</v>
      </c>
      <c r="C217" s="11" t="s">
        <v>879</v>
      </c>
      <c r="D217">
        <v>-200</v>
      </c>
      <c r="E217">
        <v>3003</v>
      </c>
      <c r="F217">
        <v>0</v>
      </c>
      <c r="G217">
        <v>3.5</v>
      </c>
      <c r="H217" s="11" t="s">
        <v>325</v>
      </c>
    </row>
    <row r="218" spans="2:8">
      <c r="B218">
        <v>3113</v>
      </c>
      <c r="C218" s="11" t="s">
        <v>879</v>
      </c>
      <c r="D218">
        <v>-205</v>
      </c>
      <c r="E218">
        <v>3003</v>
      </c>
      <c r="F218">
        <v>0</v>
      </c>
      <c r="G218">
        <v>3</v>
      </c>
      <c r="H218" s="11" t="s">
        <v>325</v>
      </c>
    </row>
    <row r="219" spans="2:8">
      <c r="B219">
        <v>3114</v>
      </c>
      <c r="C219" s="11" t="s">
        <v>879</v>
      </c>
      <c r="D219" s="11">
        <v>-210</v>
      </c>
      <c r="E219">
        <v>3003</v>
      </c>
      <c r="F219">
        <v>0</v>
      </c>
      <c r="G219">
        <v>3.5</v>
      </c>
      <c r="H219" s="11" t="s">
        <v>325</v>
      </c>
    </row>
    <row r="220" spans="2:8">
      <c r="B220">
        <v>3115</v>
      </c>
      <c r="C220" s="11" t="s">
        <v>879</v>
      </c>
      <c r="D220">
        <v>-215</v>
      </c>
      <c r="E220">
        <v>3003</v>
      </c>
      <c r="F220">
        <v>0</v>
      </c>
      <c r="G220">
        <v>3</v>
      </c>
      <c r="H220" s="11" t="s">
        <v>325</v>
      </c>
    </row>
    <row r="221" spans="2:8">
      <c r="B221">
        <v>3116</v>
      </c>
      <c r="C221" s="11" t="s">
        <v>879</v>
      </c>
      <c r="D221">
        <v>-220</v>
      </c>
      <c r="E221">
        <v>3003</v>
      </c>
      <c r="F221">
        <v>0</v>
      </c>
      <c r="G221">
        <v>3.5</v>
      </c>
      <c r="H221" s="11" t="s">
        <v>325</v>
      </c>
    </row>
    <row r="222" spans="2:8">
      <c r="B222">
        <v>3201</v>
      </c>
      <c r="C222" s="11" t="s">
        <v>878</v>
      </c>
      <c r="D222">
        <v>22.5</v>
      </c>
      <c r="E222">
        <v>3003</v>
      </c>
      <c r="F222">
        <v>0</v>
      </c>
      <c r="G222">
        <v>6</v>
      </c>
      <c r="H222" s="11" t="s">
        <v>325</v>
      </c>
    </row>
    <row r="223" spans="2:8">
      <c r="B223">
        <v>3201</v>
      </c>
      <c r="C223" s="11" t="s">
        <v>878</v>
      </c>
      <c r="D223">
        <v>67.5</v>
      </c>
      <c r="E223">
        <v>3003</v>
      </c>
      <c r="F223">
        <v>0</v>
      </c>
      <c r="G223">
        <v>6</v>
      </c>
      <c r="H223" s="11" t="s">
        <v>325</v>
      </c>
    </row>
    <row r="224" spans="2:8">
      <c r="B224">
        <v>3201</v>
      </c>
      <c r="C224" s="11" t="s">
        <v>878</v>
      </c>
      <c r="D224">
        <v>112.5</v>
      </c>
      <c r="E224">
        <v>3003</v>
      </c>
      <c r="F224">
        <v>0</v>
      </c>
      <c r="G224">
        <v>6</v>
      </c>
      <c r="H224" s="11" t="s">
        <v>325</v>
      </c>
    </row>
    <row r="225" spans="2:8">
      <c r="B225">
        <v>3201</v>
      </c>
      <c r="C225" s="11" t="s">
        <v>878</v>
      </c>
      <c r="D225">
        <v>157.5</v>
      </c>
      <c r="E225">
        <v>3003</v>
      </c>
      <c r="F225">
        <v>0</v>
      </c>
      <c r="G225">
        <v>6</v>
      </c>
      <c r="H225" s="11" t="s">
        <v>325</v>
      </c>
    </row>
    <row r="226" spans="2:8">
      <c r="B226">
        <v>3201</v>
      </c>
      <c r="C226" s="11" t="s">
        <v>878</v>
      </c>
      <c r="D226">
        <v>202.5</v>
      </c>
      <c r="E226">
        <v>3003</v>
      </c>
      <c r="F226">
        <v>0</v>
      </c>
      <c r="G226">
        <v>6</v>
      </c>
      <c r="H226" s="11" t="s">
        <v>325</v>
      </c>
    </row>
    <row r="227" spans="2:8">
      <c r="B227">
        <v>3201</v>
      </c>
      <c r="C227" s="11" t="s">
        <v>878</v>
      </c>
      <c r="D227">
        <v>247.5</v>
      </c>
      <c r="E227">
        <v>3003</v>
      </c>
      <c r="F227">
        <v>0</v>
      </c>
      <c r="G227">
        <v>6</v>
      </c>
      <c r="H227" s="11" t="s">
        <v>325</v>
      </c>
    </row>
    <row r="228" spans="2:8">
      <c r="B228">
        <v>3201</v>
      </c>
      <c r="C228" s="11" t="s">
        <v>878</v>
      </c>
      <c r="D228">
        <v>292.5</v>
      </c>
      <c r="E228">
        <v>3003</v>
      </c>
      <c r="F228">
        <v>0</v>
      </c>
      <c r="G228">
        <v>6</v>
      </c>
      <c r="H228" s="11" t="s">
        <v>325</v>
      </c>
    </row>
    <row r="229" spans="2:8">
      <c r="B229">
        <v>3201</v>
      </c>
      <c r="C229" s="11" t="s">
        <v>878</v>
      </c>
      <c r="D229">
        <v>337.5</v>
      </c>
      <c r="E229">
        <v>3003</v>
      </c>
      <c r="F229">
        <v>0</v>
      </c>
      <c r="G229">
        <v>6</v>
      </c>
      <c r="H229" s="11" t="s">
        <v>325</v>
      </c>
    </row>
    <row r="230" spans="2:8">
      <c r="B230">
        <v>3202</v>
      </c>
      <c r="C230" s="11" t="s">
        <v>878</v>
      </c>
      <c r="D230">
        <v>45</v>
      </c>
      <c r="E230">
        <v>3003</v>
      </c>
      <c r="F230">
        <v>0</v>
      </c>
      <c r="G230">
        <v>7</v>
      </c>
      <c r="H230" s="11" t="s">
        <v>325</v>
      </c>
    </row>
    <row r="231" spans="2:8">
      <c r="B231">
        <v>3202</v>
      </c>
      <c r="C231" s="11" t="s">
        <v>878</v>
      </c>
      <c r="D231">
        <v>90</v>
      </c>
      <c r="E231">
        <v>3003</v>
      </c>
      <c r="F231">
        <v>0</v>
      </c>
      <c r="G231">
        <v>7</v>
      </c>
      <c r="H231" s="11" t="s">
        <v>325</v>
      </c>
    </row>
    <row r="232" spans="2:8">
      <c r="B232">
        <v>3202</v>
      </c>
      <c r="C232" s="11" t="s">
        <v>878</v>
      </c>
      <c r="D232">
        <v>135</v>
      </c>
      <c r="E232">
        <v>3003</v>
      </c>
      <c r="F232">
        <v>0</v>
      </c>
      <c r="G232">
        <v>7</v>
      </c>
      <c r="H232" s="11" t="s">
        <v>325</v>
      </c>
    </row>
    <row r="233" spans="2:8">
      <c r="B233">
        <v>3202</v>
      </c>
      <c r="C233" s="11" t="s">
        <v>878</v>
      </c>
      <c r="D233">
        <v>180</v>
      </c>
      <c r="E233">
        <v>3003</v>
      </c>
      <c r="F233">
        <v>0</v>
      </c>
      <c r="G233">
        <v>7</v>
      </c>
      <c r="H233" s="11" t="s">
        <v>325</v>
      </c>
    </row>
    <row r="234" spans="2:8">
      <c r="B234">
        <v>3202</v>
      </c>
      <c r="C234" s="11" t="s">
        <v>878</v>
      </c>
      <c r="D234">
        <v>225</v>
      </c>
      <c r="E234">
        <v>3003</v>
      </c>
      <c r="F234">
        <v>0</v>
      </c>
      <c r="G234">
        <v>7</v>
      </c>
      <c r="H234" s="11" t="s">
        <v>325</v>
      </c>
    </row>
    <row r="235" spans="2:8">
      <c r="B235">
        <v>3202</v>
      </c>
      <c r="C235" s="11" t="s">
        <v>878</v>
      </c>
      <c r="D235">
        <v>270</v>
      </c>
      <c r="E235">
        <v>3003</v>
      </c>
      <c r="F235">
        <v>0</v>
      </c>
      <c r="G235">
        <v>7</v>
      </c>
      <c r="H235" s="11" t="s">
        <v>325</v>
      </c>
    </row>
    <row r="236" spans="2:8">
      <c r="B236">
        <v>3202</v>
      </c>
      <c r="C236" s="11" t="s">
        <v>878</v>
      </c>
      <c r="D236">
        <v>315</v>
      </c>
      <c r="E236">
        <v>3003</v>
      </c>
      <c r="F236">
        <v>0</v>
      </c>
      <c r="G236">
        <v>7</v>
      </c>
      <c r="H236" s="11" t="s">
        <v>325</v>
      </c>
    </row>
    <row r="237" spans="2:8">
      <c r="B237">
        <v>3202</v>
      </c>
      <c r="C237" s="11" t="s">
        <v>878</v>
      </c>
      <c r="D237">
        <v>360</v>
      </c>
      <c r="E237">
        <v>3003</v>
      </c>
      <c r="F237">
        <v>0</v>
      </c>
      <c r="G237">
        <v>7</v>
      </c>
      <c r="H237" s="11" t="s">
        <v>325</v>
      </c>
    </row>
  </sheetData>
  <phoneticPr fontId="6" type="noConversion"/>
  <pageMargins left="0.69999998807907104" right="0.69999998807907104" top="0.75" bottom="0.75" header="0.30000001192092896" footer="0.30000001192092896"/>
  <pageSetup paperSize="9" fitToWidth="0"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DAE3F3"/>
  </sheetPr>
  <dimension ref="B1:G19"/>
  <sheetViews>
    <sheetView zoomScaleNormal="75" zoomScaleSheetLayoutView="100" workbookViewId="0">
      <selection activeCell="G5" sqref="G5"/>
    </sheetView>
  </sheetViews>
  <sheetFormatPr defaultColWidth="8.796875" defaultRowHeight="17.399999999999999"/>
  <cols>
    <col min="2" max="2" width="8.69921875" bestFit="1" customWidth="1"/>
    <col min="3" max="3" width="16" customWidth="1"/>
    <col min="4" max="4" width="11.69921875" bestFit="1" customWidth="1"/>
    <col min="5" max="5" width="14" bestFit="1" customWidth="1"/>
    <col min="6" max="6" width="13.296875" bestFit="1" customWidth="1"/>
    <col min="7" max="7" width="29.69921875" customWidth="1"/>
  </cols>
  <sheetData>
    <row r="1" spans="2:7">
      <c r="B1" t="s">
        <v>24</v>
      </c>
      <c r="C1" t="s">
        <v>26</v>
      </c>
      <c r="D1" t="s">
        <v>71</v>
      </c>
      <c r="E1" t="s">
        <v>51</v>
      </c>
      <c r="F1" t="s">
        <v>24</v>
      </c>
      <c r="G1" t="s">
        <v>50</v>
      </c>
    </row>
    <row r="2" spans="2:7">
      <c r="B2" t="s">
        <v>38</v>
      </c>
      <c r="C2" s="5" t="s">
        <v>22</v>
      </c>
      <c r="D2" t="s">
        <v>200</v>
      </c>
      <c r="E2" t="s">
        <v>103</v>
      </c>
      <c r="F2" t="s">
        <v>173</v>
      </c>
      <c r="G2" t="s">
        <v>180</v>
      </c>
    </row>
    <row r="3" spans="2:7">
      <c r="B3">
        <v>200</v>
      </c>
      <c r="C3" s="19" t="s">
        <v>18</v>
      </c>
      <c r="D3" t="b">
        <v>1</v>
      </c>
      <c r="E3">
        <v>0.8</v>
      </c>
      <c r="F3">
        <v>25</v>
      </c>
      <c r="G3" t="s">
        <v>216</v>
      </c>
    </row>
    <row r="4" spans="2:7">
      <c r="B4">
        <v>201</v>
      </c>
      <c r="C4" s="14" t="s">
        <v>358</v>
      </c>
      <c r="D4" t="b">
        <v>1</v>
      </c>
      <c r="E4">
        <v>0.8</v>
      </c>
      <c r="F4">
        <v>15</v>
      </c>
      <c r="G4" s="11" t="s">
        <v>389</v>
      </c>
    </row>
    <row r="5" spans="2:7">
      <c r="B5">
        <v>204</v>
      </c>
      <c r="C5" s="14" t="s">
        <v>388</v>
      </c>
      <c r="D5" t="b">
        <v>1</v>
      </c>
      <c r="E5">
        <v>1.5</v>
      </c>
      <c r="F5">
        <v>15</v>
      </c>
      <c r="G5" s="11" t="s">
        <v>820</v>
      </c>
    </row>
    <row r="6" spans="2:7">
      <c r="B6">
        <v>205</v>
      </c>
      <c r="C6" s="14" t="s">
        <v>434</v>
      </c>
      <c r="D6" t="b">
        <v>1</v>
      </c>
      <c r="E6">
        <v>1.2</v>
      </c>
      <c r="F6">
        <v>10</v>
      </c>
      <c r="G6" s="11" t="s">
        <v>400</v>
      </c>
    </row>
    <row r="7" spans="2:7">
      <c r="B7">
        <v>500</v>
      </c>
      <c r="C7" s="19" t="s">
        <v>19</v>
      </c>
      <c r="D7" s="3" t="b">
        <v>0</v>
      </c>
      <c r="E7">
        <v>1</v>
      </c>
      <c r="F7">
        <v>60</v>
      </c>
      <c r="G7" t="s">
        <v>215</v>
      </c>
    </row>
    <row r="8" spans="2:7">
      <c r="B8">
        <v>501</v>
      </c>
      <c r="C8" s="19" t="s">
        <v>89</v>
      </c>
      <c r="D8" s="3" t="b">
        <v>0</v>
      </c>
      <c r="E8">
        <v>1</v>
      </c>
      <c r="F8">
        <v>60</v>
      </c>
      <c r="G8" t="s">
        <v>215</v>
      </c>
    </row>
    <row r="9" spans="2:7">
      <c r="B9">
        <v>400</v>
      </c>
      <c r="C9" s="19" t="s">
        <v>72</v>
      </c>
      <c r="D9" s="3" t="b">
        <v>0</v>
      </c>
      <c r="E9">
        <v>0.25</v>
      </c>
      <c r="F9">
        <v>25</v>
      </c>
      <c r="G9" t="s">
        <v>215</v>
      </c>
    </row>
    <row r="10" spans="2:7">
      <c r="B10">
        <v>401</v>
      </c>
      <c r="C10" s="19" t="s">
        <v>210</v>
      </c>
      <c r="D10" s="3" t="b">
        <v>1</v>
      </c>
      <c r="E10">
        <v>0.25</v>
      </c>
      <c r="F10">
        <v>25</v>
      </c>
      <c r="G10" t="s">
        <v>215</v>
      </c>
    </row>
    <row r="11" spans="2:7">
      <c r="B11">
        <v>402</v>
      </c>
      <c r="C11" s="19" t="s">
        <v>69</v>
      </c>
      <c r="D11" s="3" t="b">
        <v>0</v>
      </c>
      <c r="E11">
        <v>0.4</v>
      </c>
      <c r="F11">
        <v>25</v>
      </c>
      <c r="G11" t="s">
        <v>215</v>
      </c>
    </row>
    <row r="12" spans="2:7">
      <c r="B12">
        <v>403</v>
      </c>
      <c r="C12" s="13" t="s">
        <v>272</v>
      </c>
      <c r="D12" s="3" t="b">
        <v>0</v>
      </c>
      <c r="E12">
        <v>0.8</v>
      </c>
      <c r="F12">
        <v>25</v>
      </c>
      <c r="G12" t="s">
        <v>215</v>
      </c>
    </row>
    <row r="13" spans="2:7">
      <c r="B13">
        <v>404</v>
      </c>
      <c r="C13" s="13" t="s">
        <v>273</v>
      </c>
      <c r="D13" s="3" t="b">
        <v>1</v>
      </c>
      <c r="E13">
        <v>0.8</v>
      </c>
      <c r="F13">
        <v>25</v>
      </c>
      <c r="G13" t="s">
        <v>215</v>
      </c>
    </row>
    <row r="14" spans="2:7">
      <c r="B14">
        <v>999</v>
      </c>
      <c r="C14" s="18" t="s">
        <v>267</v>
      </c>
      <c r="D14" t="b">
        <v>1</v>
      </c>
      <c r="E14">
        <v>1</v>
      </c>
      <c r="F14">
        <v>25</v>
      </c>
      <c r="G14" s="16" t="s">
        <v>294</v>
      </c>
    </row>
    <row r="15" spans="2:7">
      <c r="B15">
        <v>2000</v>
      </c>
      <c r="C15" s="18" t="s">
        <v>846</v>
      </c>
      <c r="D15" t="b">
        <v>1</v>
      </c>
      <c r="E15">
        <v>2</v>
      </c>
      <c r="F15">
        <v>25</v>
      </c>
      <c r="G15" s="16" t="s">
        <v>842</v>
      </c>
    </row>
    <row r="16" spans="2:7">
      <c r="B16">
        <v>2001</v>
      </c>
      <c r="C16" s="18" t="s">
        <v>845</v>
      </c>
      <c r="D16" t="b">
        <v>1</v>
      </c>
      <c r="E16">
        <v>0.8</v>
      </c>
      <c r="F16">
        <v>25</v>
      </c>
      <c r="G16" t="s">
        <v>215</v>
      </c>
    </row>
    <row r="17" spans="2:7">
      <c r="B17">
        <v>3001</v>
      </c>
      <c r="C17" s="14" t="s">
        <v>876</v>
      </c>
      <c r="D17" t="b">
        <v>1</v>
      </c>
      <c r="E17">
        <v>2</v>
      </c>
      <c r="F17">
        <v>25</v>
      </c>
      <c r="G17" s="16" t="s">
        <v>842</v>
      </c>
    </row>
    <row r="18" spans="2:7">
      <c r="B18">
        <v>3002</v>
      </c>
      <c r="C18" s="14" t="s">
        <v>875</v>
      </c>
      <c r="D18" t="b">
        <v>1</v>
      </c>
      <c r="E18">
        <v>2</v>
      </c>
      <c r="F18">
        <v>25</v>
      </c>
      <c r="G18" s="16" t="s">
        <v>842</v>
      </c>
    </row>
    <row r="19" spans="2:7">
      <c r="B19">
        <v>3003</v>
      </c>
      <c r="C19" s="14" t="s">
        <v>880</v>
      </c>
      <c r="D19" t="b">
        <v>1</v>
      </c>
      <c r="E19">
        <v>0.8</v>
      </c>
      <c r="F19">
        <v>25</v>
      </c>
      <c r="G19" t="s">
        <v>215</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BE5D7"/>
  </sheetPr>
  <dimension ref="A1:R30"/>
  <sheetViews>
    <sheetView tabSelected="1" topLeftCell="A9" zoomScaleNormal="100" zoomScaleSheetLayoutView="100" workbookViewId="0">
      <pane xSplit="3" topLeftCell="D1" activePane="topRight" state="frozen"/>
      <selection pane="topRight" activeCell="G30" sqref="G30"/>
    </sheetView>
  </sheetViews>
  <sheetFormatPr defaultColWidth="8.796875" defaultRowHeight="17.399999999999999"/>
  <cols>
    <col min="1" max="1" width="8.796875" style="79"/>
    <col min="2" max="2" width="11.5" style="42" customWidth="1"/>
    <col min="3" max="3" width="17.69921875" style="42" customWidth="1"/>
    <col min="4" max="4" width="30.296875" style="42" customWidth="1"/>
    <col min="5" max="5" width="14.69921875" style="42" customWidth="1"/>
    <col min="6" max="7" width="8.3984375" style="42" customWidth="1"/>
    <col min="8" max="8" width="3.19921875" style="42" customWidth="1"/>
    <col min="9" max="9" width="3.69921875" style="42" customWidth="1"/>
    <col min="10" max="10" width="3.09765625" style="42" customWidth="1"/>
    <col min="11" max="11" width="3.69921875" style="42" customWidth="1"/>
    <col min="12" max="12" width="14.69921875" style="42" customWidth="1"/>
    <col min="13" max="13" width="9.796875" style="42" customWidth="1"/>
    <col min="14" max="14" width="8.19921875" style="42" bestFit="1" customWidth="1"/>
    <col min="15" max="15" width="9.59765625" style="42" customWidth="1"/>
    <col min="16" max="16" width="11.09765625" style="42" bestFit="1" customWidth="1"/>
    <col min="17" max="17" width="18.59765625" style="42" bestFit="1" customWidth="1"/>
    <col min="18" max="18" width="36.296875" style="42" customWidth="1"/>
    <col min="19" max="16384" width="8.796875" style="42"/>
  </cols>
  <sheetData>
    <row r="1" spans="1:18">
      <c r="E1" s="42" t="s">
        <v>39</v>
      </c>
      <c r="H1" s="42" t="s">
        <v>24</v>
      </c>
      <c r="I1" s="42" t="s">
        <v>24</v>
      </c>
      <c r="J1" s="42" t="s">
        <v>24</v>
      </c>
      <c r="K1" s="42" t="s">
        <v>24</v>
      </c>
      <c r="M1" s="42" t="s">
        <v>50</v>
      </c>
      <c r="N1" s="42" t="s">
        <v>26</v>
      </c>
    </row>
    <row r="2" spans="1:18" ht="18" customHeight="1">
      <c r="B2" s="66" t="s">
        <v>931</v>
      </c>
      <c r="C2" s="80" t="s">
        <v>826</v>
      </c>
      <c r="D2" s="80" t="s">
        <v>890</v>
      </c>
      <c r="E2" s="80" t="s">
        <v>891</v>
      </c>
      <c r="F2" s="80" t="s">
        <v>892</v>
      </c>
      <c r="G2" s="88" t="s">
        <v>932</v>
      </c>
      <c r="H2" s="57" t="s">
        <v>41</v>
      </c>
      <c r="I2" s="57" t="s">
        <v>100</v>
      </c>
      <c r="J2" s="57" t="s">
        <v>345</v>
      </c>
      <c r="K2" s="57" t="s">
        <v>346</v>
      </c>
      <c r="L2" s="57" t="s">
        <v>157</v>
      </c>
      <c r="M2" s="57" t="s">
        <v>827</v>
      </c>
      <c r="N2" s="57" t="s">
        <v>45</v>
      </c>
      <c r="O2" s="57" t="s">
        <v>48</v>
      </c>
      <c r="P2" s="57" t="s">
        <v>158</v>
      </c>
      <c r="Q2" s="57" t="s">
        <v>7</v>
      </c>
      <c r="R2" s="57" t="s">
        <v>110</v>
      </c>
    </row>
    <row r="3" spans="1:18">
      <c r="B3" s="42" cm="1">
        <f t="array" ref="B3">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f>
        <v>2000</v>
      </c>
      <c r="C3" s="83" t="str">
        <f>INDEX(LocaleTable[LocaleKR],MATCH(ItemTable[[#This Row],[Name]],LocaleTable[StringKey],0))</f>
        <v>메탈유니콘 키링</v>
      </c>
      <c r="D3" s="83" t="str">
        <f>INDEX(LocaleTable[LocaleKR],MATCH(ItemTable[[#This Row],[Desc]],LocaleTable[StringKey],0))</f>
        <v>배트에 달아놓으면 휘두를 때\n짤랑짤랑 소리가 납니다.</v>
      </c>
      <c r="E3" s="83" t="str">
        <f>INDEX(LocaleTable[LocaleKR],MATCH(ItemTable[[#This Row],[PlusDesc]],LocaleTable[StringKey],0))</f>
        <v>플레이어의 공이\n적을 관통합니다.</v>
      </c>
      <c r="F3" s="56" t="str">
        <f>IFERROR(INDEX(LocaleTable[LocaleKR],MATCH(ItemTable[[#This Row],[MinusDesc]],LocaleTable[StringKey],0)),"-")</f>
        <v>-</v>
      </c>
      <c r="G3" s="56">
        <f>ItemTable[[#This Row],['#Index 참조용]]</f>
        <v>2000</v>
      </c>
      <c r="H3" s="42" t="str">
        <f>_xlfn.CONCAT("Item_Name_",ItemTable[[#This Row],['#Index 참조용]])</f>
        <v>Item_Name_2000</v>
      </c>
      <c r="I3" s="42" t="str">
        <f>_xlfn.CONCAT("Item_Desc_",ItemTable[[#This Row],['#Index 참조용]])</f>
        <v>Item_Desc_2000</v>
      </c>
      <c r="J3" s="42" t="str">
        <f>_xlfn.CONCAT("Item_PlusDesc_",ItemTable[[#This Row],['#Index 참조용]])</f>
        <v>Item_PlusDesc_2000</v>
      </c>
      <c r="L3" s="42" t="s">
        <v>42</v>
      </c>
      <c r="M3" s="48">
        <v>0</v>
      </c>
      <c r="N3" s="42">
        <v>1</v>
      </c>
      <c r="O3" s="42">
        <f t="array" ref="O3">_xlfn.IFS(ItemTable[[#This Row],[GradeType]]="Normal",25,ItemTable[[#This Row],[GradeType]]="Cursed",50,ItemTable[[#This Row],[GradeType]]="Rare",50)</f>
        <v>25</v>
      </c>
      <c r="P3" s="42">
        <v>30</v>
      </c>
      <c r="Q3" s="42">
        <f t="array" ref="Q3">_xlfn.IFS(OR(ItemTable[[#This Row],[GradeType]]="Hp",ItemTable[[#This Row],[GradeType]]="Gold"),0,TRUE,5000+ItemTable[[#This Row],['#Index 참조용]])</f>
        <v>7000</v>
      </c>
      <c r="R3" s="42" t="s">
        <v>551</v>
      </c>
    </row>
    <row r="4" spans="1:18">
      <c r="B4" s="42" cm="1">
        <f t="array" ref="B4">_xlfn.IFS(ItemTable[[#This Row],[GradeType]]="Hp",IF(L3=ItemTable[[#This Row],[GradeType]],B3+1,10),
ItemTable[[#This Row],[GradeType]]="Gold",IF(L3=ItemTable[[#This Row],[GradeType]],B3+1,20),
ItemTable[[#This Row],[GradeType]]="Weapon",IF(L3=ItemTable[[#This Row],[GradeType]],B3+1,1000),
ItemTable[[#This Row],[GradeType]]="Normal",IF(L3=ItemTable[[#This Row],[GradeType]],B3+1,2000),
ItemTable[[#This Row],[GradeType]]="Rare",IF(L3=ItemTable[[#This Row],[GradeType]],B3+1,3000),
ItemTable[[#This Row],[GradeType]]="Cursed",IF(L3=ItemTable[[#This Row],[GradeType]],B3+1,4000),
ItemTable[[#This Row],[GradeType]]="Active",IF(L3=ItemTable[[#This Row],[GradeType]],B3+1,10000))</f>
        <v>2001</v>
      </c>
      <c r="C4" s="83" t="str">
        <f>INDEX(LocaleTable[LocaleKR],MATCH(ItemTable[[#This Row],[Name]],LocaleTable[StringKey],0))</f>
        <v>천사의 열매</v>
      </c>
      <c r="D4" s="83" t="str">
        <f>INDEX(LocaleTable[LocaleKR],MATCH(ItemTable[[#This Row],[Desc]],LocaleTable[StringKey],0))</f>
        <v>먹으면 배트가 고무처럼 늘어납니다.\n산에 올라갈 때 고산증이 잘 오는 부작용이 있습니다.</v>
      </c>
      <c r="E4" s="83" t="str">
        <f>INDEX(LocaleTable[LocaleKR],MATCH(ItemTable[[#This Row],[PlusDesc]],LocaleTable[StringKey],0))</f>
        <v>공격범위 +30%</v>
      </c>
      <c r="F4" s="56" t="str">
        <f>IFERROR(INDEX(LocaleTable[LocaleKR],MATCH(ItemTable[[#This Row],[MinusDesc]],LocaleTable[StringKey],0)),"-")</f>
        <v>-</v>
      </c>
      <c r="G4" s="56">
        <f>ItemTable[[#This Row],['#Index 참조용]]</f>
        <v>2001</v>
      </c>
      <c r="H4" s="42" t="str">
        <f>_xlfn.CONCAT("Item_Name_",ItemTable[[#This Row],['#Index 참조용]])</f>
        <v>Item_Name_2001</v>
      </c>
      <c r="I4" s="42" t="str">
        <f>_xlfn.CONCAT("Item_Desc_",ItemTable[[#This Row],['#Index 참조용]])</f>
        <v>Item_Desc_2001</v>
      </c>
      <c r="J4" s="42" t="str">
        <f>_xlfn.CONCAT("Item_PlusDesc_",ItemTable[[#This Row],['#Index 참조용]])</f>
        <v>Item_PlusDesc_2001</v>
      </c>
      <c r="L4" s="42" t="s">
        <v>42</v>
      </c>
      <c r="M4" s="48">
        <v>0</v>
      </c>
      <c r="N4" s="42">
        <v>1</v>
      </c>
      <c r="O4" s="42">
        <f t="array" ref="O4">_xlfn.IFS(ItemTable[[#This Row],[GradeType]]="Normal",25,ItemTable[[#This Row],[GradeType]]="Cursed",50,ItemTable[[#This Row],[GradeType]]="Rare",50)</f>
        <v>25</v>
      </c>
      <c r="P4" s="42">
        <v>30</v>
      </c>
      <c r="Q4" s="42">
        <f t="array" ref="Q4">_xlfn.IFS(OR(ItemTable[[#This Row],[GradeType]]="Hp",ItemTable[[#This Row],[GradeType]]="Gold"),0,TRUE,5000+ItemTable[[#This Row],['#Index 참조용]])</f>
        <v>7001</v>
      </c>
      <c r="R4" s="42" t="s">
        <v>893</v>
      </c>
    </row>
    <row r="5" spans="1:18">
      <c r="B5" s="42" cm="1">
        <f t="array" ref="B5">_xlfn.IFS(ItemTable[[#This Row],[GradeType]]="Hp",IF(L4=ItemTable[[#This Row],[GradeType]],B4+1,10),
ItemTable[[#This Row],[GradeType]]="Gold",IF(L4=ItemTable[[#This Row],[GradeType]],B4+1,20),
ItemTable[[#This Row],[GradeType]]="Weapon",IF(L4=ItemTable[[#This Row],[GradeType]],B4+1,1000),
ItemTable[[#This Row],[GradeType]]="Normal",IF(L4=ItemTable[[#This Row],[GradeType]],B4+1,2000),
ItemTable[[#This Row],[GradeType]]="Rare",IF(L4=ItemTable[[#This Row],[GradeType]],B4+1,3000),
ItemTable[[#This Row],[GradeType]]="Cursed",IF(L4=ItemTable[[#This Row],[GradeType]],B4+1,4000),
ItemTable[[#This Row],[GradeType]]="Active",IF(L4=ItemTable[[#This Row],[GradeType]],B4+1,10000))</f>
        <v>2002</v>
      </c>
      <c r="C5" s="83" t="str">
        <f>INDEX(LocaleTable[LocaleKR],MATCH(ItemTable[[#This Row],[Name]],LocaleTable[StringKey],0))</f>
        <v>쿨 - 도그</v>
      </c>
      <c r="D5" s="83" t="str">
        <f>INDEX(LocaleTable[LocaleKR],MATCH(ItemTable[[#This Row],[Desc]],LocaleTable[StringKey],0))</f>
        <v>얼.죽.아 클럽의 새로운 유행입니다.</v>
      </c>
      <c r="E5" s="83" t="str">
        <f>INDEX(LocaleTable[LocaleKR],MATCH(ItemTable[[#This Row],[PlusDesc]],LocaleTable[StringKey],0))</f>
        <v>차징속도 +15%</v>
      </c>
      <c r="F5" s="56" t="str">
        <f>IFERROR(INDEX(LocaleTable[LocaleKR],MATCH(ItemTable[[#This Row],[MinusDesc]],LocaleTable[StringKey],0)),"-")</f>
        <v>-</v>
      </c>
      <c r="G5" s="56">
        <f>ItemTable[[#This Row],['#Index 참조용]]</f>
        <v>2002</v>
      </c>
      <c r="H5" s="42" t="str">
        <f>_xlfn.CONCAT("Item_Name_",ItemTable[[#This Row],['#Index 참조용]])</f>
        <v>Item_Name_2002</v>
      </c>
      <c r="I5" s="42" t="str">
        <f>_xlfn.CONCAT("Item_Desc_",ItemTable[[#This Row],['#Index 참조용]])</f>
        <v>Item_Desc_2002</v>
      </c>
      <c r="J5" s="42" t="str">
        <f>_xlfn.CONCAT("Item_PlusDesc_",ItemTable[[#This Row],['#Index 참조용]])</f>
        <v>Item_PlusDesc_2002</v>
      </c>
      <c r="L5" s="42" t="s">
        <v>42</v>
      </c>
      <c r="M5" s="48">
        <v>0</v>
      </c>
      <c r="N5" s="42">
        <v>1</v>
      </c>
      <c r="O5" s="42">
        <f t="array" ref="O5">_xlfn.IFS(ItemTable[[#This Row],[GradeType]]="Normal",25,ItemTable[[#This Row],[GradeType]]="Cursed",50,ItemTable[[#This Row],[GradeType]]="Rare",50)</f>
        <v>25</v>
      </c>
      <c r="P5" s="42">
        <v>30</v>
      </c>
      <c r="Q5" s="42">
        <f t="array" ref="Q5">_xlfn.IFS(OR(ItemTable[[#This Row],[GradeType]]="Hp",ItemTable[[#This Row],[GradeType]]="Gold"),0,TRUE,5000+ItemTable[[#This Row],['#Index 참조용]])</f>
        <v>7002</v>
      </c>
      <c r="R5" s="42" t="s">
        <v>453</v>
      </c>
    </row>
    <row r="6" spans="1:18">
      <c r="B6" s="42" cm="1">
        <f t="array" ref="B6">_xlfn.IFS(ItemTable[[#This Row],[GradeType]]="Hp",IF(L5=ItemTable[[#This Row],[GradeType]],B5+1,10),
ItemTable[[#This Row],[GradeType]]="Gold",IF(L5=ItemTable[[#This Row],[GradeType]],B5+1,20),
ItemTable[[#This Row],[GradeType]]="Weapon",IF(L5=ItemTable[[#This Row],[GradeType]],B5+1,1000),
ItemTable[[#This Row],[GradeType]]="Normal",IF(L5=ItemTable[[#This Row],[GradeType]],B5+1,2000),
ItemTable[[#This Row],[GradeType]]="Rare",IF(L5=ItemTable[[#This Row],[GradeType]],B5+1,3000),
ItemTable[[#This Row],[GradeType]]="Cursed",IF(L5=ItemTable[[#This Row],[GradeType]],B5+1,4000),
ItemTable[[#This Row],[GradeType]]="Active",IF(L5=ItemTable[[#This Row],[GradeType]],B5+1,10000))</f>
        <v>2003</v>
      </c>
      <c r="C6" s="83" t="str">
        <f>INDEX(LocaleTable[LocaleKR],MATCH(ItemTable[[#This Row],[Name]],LocaleTable[StringKey],0))</f>
        <v>QT 파우더</v>
      </c>
      <c r="D6" s="83" t="str">
        <f>INDEX(LocaleTable[LocaleKR],MATCH(ItemTable[[#This Row],[Desc]],LocaleTable[StringKey],0))</f>
        <v>배트 이외의 물건에 사용하지 마시오\nQT추출물 0.0006% 함유\nQT향 0.1%함유</v>
      </c>
      <c r="E6" s="83" t="str">
        <f>INDEX(LocaleTable[LocaleKR],MATCH(ItemTable[[#This Row],[PlusDesc]],LocaleTable[StringKey],0))</f>
        <v>차징 타격 시 5초간\n공격력 +20%</v>
      </c>
      <c r="F6" s="56" t="str">
        <f>IFERROR(INDEX(LocaleTable[LocaleKR],MATCH(ItemTable[[#This Row],[MinusDesc]],LocaleTable[StringKey],0)),"-")</f>
        <v>-</v>
      </c>
      <c r="G6" s="56">
        <f>ItemTable[[#This Row],['#Index 참조용]]</f>
        <v>2003</v>
      </c>
      <c r="H6" s="42" t="str">
        <f>_xlfn.CONCAT("Item_Name_",ItemTable[[#This Row],['#Index 참조용]])</f>
        <v>Item_Name_2003</v>
      </c>
      <c r="I6" s="42" t="str">
        <f>_xlfn.CONCAT("Item_Desc_",ItemTable[[#This Row],['#Index 참조용]])</f>
        <v>Item_Desc_2003</v>
      </c>
      <c r="J6" s="42" t="str">
        <f>_xlfn.CONCAT("Item_PlusDesc_",ItemTable[[#This Row],['#Index 참조용]])</f>
        <v>Item_PlusDesc_2003</v>
      </c>
      <c r="L6" s="42" t="s">
        <v>42</v>
      </c>
      <c r="M6" s="48">
        <v>0</v>
      </c>
      <c r="N6" s="42">
        <v>1</v>
      </c>
      <c r="O6" s="42">
        <f t="array" ref="O6">_xlfn.IFS(ItemTable[[#This Row],[GradeType]]="Normal",25,ItemTable[[#This Row],[GradeType]]="Cursed",50,ItemTable[[#This Row],[GradeType]]="Rare",50)</f>
        <v>25</v>
      </c>
      <c r="P6" s="42">
        <v>30</v>
      </c>
      <c r="Q6" s="42">
        <f t="array" ref="Q6">_xlfn.IFS(OR(ItemTable[[#This Row],[GradeType]]="Hp",ItemTable[[#This Row],[GradeType]]="Gold"),0,TRUE,5000+ItemTable[[#This Row],['#Index 참조용]])</f>
        <v>7003</v>
      </c>
      <c r="R6" s="42" t="s">
        <v>454</v>
      </c>
    </row>
    <row r="7" spans="1:18">
      <c r="B7" s="42" cm="1">
        <f t="array" ref="B7">_xlfn.IFS(ItemTable[[#This Row],[GradeType]]="Hp",IF(L6=ItemTable[[#This Row],[GradeType]],B6+1,10),
ItemTable[[#This Row],[GradeType]]="Gold",IF(L6=ItemTable[[#This Row],[GradeType]],B6+1,20),
ItemTable[[#This Row],[GradeType]]="Weapon",IF(L6=ItemTable[[#This Row],[GradeType]],B6+1,1000),
ItemTable[[#This Row],[GradeType]]="Normal",IF(L6=ItemTable[[#This Row],[GradeType]],B6+1,2000),
ItemTable[[#This Row],[GradeType]]="Rare",IF(L6=ItemTable[[#This Row],[GradeType]],B6+1,3000),
ItemTable[[#This Row],[GradeType]]="Cursed",IF(L6=ItemTable[[#This Row],[GradeType]],B6+1,4000),
ItemTable[[#This Row],[GradeType]]="Active",IF(L6=ItemTable[[#This Row],[GradeType]],B6+1,10000))</f>
        <v>2004</v>
      </c>
      <c r="C7" s="83" t="str">
        <f>INDEX(LocaleTable[LocaleKR],MATCH(ItemTable[[#This Row],[Name]],LocaleTable[StringKey],0))</f>
        <v>적토목마</v>
      </c>
      <c r="D7" s="83" t="str">
        <f>INDEX(LocaleTable[LocaleKR],MATCH(ItemTable[[#This Row],[Desc]],LocaleTable[StringKey],0))</f>
        <v>시크한 표정을 믿고 산책에 나갔다가는\n마라톤을 하게 될 수 있습니다.</v>
      </c>
      <c r="E7" s="83" t="str">
        <f>INDEX(LocaleTable[LocaleKR],MATCH(ItemTable[[#This Row],[PlusDesc]],LocaleTable[StringKey],0))</f>
        <v>공격속도 +20%</v>
      </c>
      <c r="F7" s="56" t="str">
        <f>IFERROR(INDEX(LocaleTable[LocaleKR],MATCH(ItemTable[[#This Row],[MinusDesc]],LocaleTable[StringKey],0)),"-")</f>
        <v>-</v>
      </c>
      <c r="G7" s="56">
        <f>ItemTable[[#This Row],['#Index 참조용]]</f>
        <v>2004</v>
      </c>
      <c r="H7" s="42" t="str">
        <f>_xlfn.CONCAT("Item_Name_",ItemTable[[#This Row],['#Index 참조용]])</f>
        <v>Item_Name_2004</v>
      </c>
      <c r="I7" s="42" t="str">
        <f>_xlfn.CONCAT("Item_Desc_",ItemTable[[#This Row],['#Index 참조용]])</f>
        <v>Item_Desc_2004</v>
      </c>
      <c r="J7" s="42" t="str">
        <f>_xlfn.CONCAT("Item_PlusDesc_",ItemTable[[#This Row],['#Index 참조용]])</f>
        <v>Item_PlusDesc_2004</v>
      </c>
      <c r="L7" s="42" t="s">
        <v>42</v>
      </c>
      <c r="M7" s="48">
        <v>0</v>
      </c>
      <c r="N7" s="42">
        <v>1</v>
      </c>
      <c r="O7" s="42">
        <f t="array" ref="O7">_xlfn.IFS(ItemTable[[#This Row],[GradeType]]="Normal",25,ItemTable[[#This Row],[GradeType]]="Cursed",50,ItemTable[[#This Row],[GradeType]]="Rare",50)</f>
        <v>25</v>
      </c>
      <c r="P7" s="42">
        <v>30</v>
      </c>
      <c r="Q7" s="42">
        <f t="array" ref="Q7">_xlfn.IFS(OR(ItemTable[[#This Row],[GradeType]]="Hp",ItemTable[[#This Row],[GradeType]]="Gold"),0,TRUE,5000+ItemTable[[#This Row],['#Index 참조용]])</f>
        <v>7004</v>
      </c>
      <c r="R7" s="42" t="s">
        <v>455</v>
      </c>
    </row>
    <row r="8" spans="1:18">
      <c r="B8" s="42" cm="1">
        <f t="array" ref="B8">_xlfn.IFS(ItemTable[[#This Row],[GradeType]]="Hp",IF(L7=ItemTable[[#This Row],[GradeType]],B7+1,10),
ItemTable[[#This Row],[GradeType]]="Gold",IF(L7=ItemTable[[#This Row],[GradeType]],B7+1,20),
ItemTable[[#This Row],[GradeType]]="Weapon",IF(L7=ItemTable[[#This Row],[GradeType]],B7+1,1000),
ItemTable[[#This Row],[GradeType]]="Normal",IF(L7=ItemTable[[#This Row],[GradeType]],B7+1,2000),
ItemTable[[#This Row],[GradeType]]="Rare",IF(L7=ItemTable[[#This Row],[GradeType]],B7+1,3000),
ItemTable[[#This Row],[GradeType]]="Cursed",IF(L7=ItemTable[[#This Row],[GradeType]],B7+1,4000),
ItemTable[[#This Row],[GradeType]]="Active",IF(L7=ItemTable[[#This Row],[GradeType]],B7+1,10000))</f>
        <v>2005</v>
      </c>
      <c r="C8" s="83" t="str">
        <f>INDEX(LocaleTable[LocaleKR],MATCH(ItemTable[[#This Row],[Name]],LocaleTable[StringKey],0))</f>
        <v>삼각김곰</v>
      </c>
      <c r="D8" s="83" t="str">
        <f>INDEX(LocaleTable[LocaleKR],MATCH(ItemTable[[#This Row],[Desc]],LocaleTable[StringKey],0))</f>
        <v>대나무 향을 머금은 흰 밥이\n까만 김을 만나 완성된 환상적인 조합.</v>
      </c>
      <c r="E8" s="83" t="str">
        <f>INDEX(LocaleTable[LocaleKR],MATCH(ItemTable[[#This Row],[PlusDesc]],LocaleTable[StringKey],0))</f>
        <v>최대체력 + 1칸</v>
      </c>
      <c r="F8" s="56" t="str">
        <f>IFERROR(INDEX(LocaleTable[LocaleKR],MATCH(ItemTable[[#This Row],[MinusDesc]],LocaleTable[StringKey],0)),"-")</f>
        <v>-</v>
      </c>
      <c r="G8" s="56">
        <f>ItemTable[[#This Row],['#Index 참조용]]</f>
        <v>2005</v>
      </c>
      <c r="H8" s="42" t="str">
        <f>_xlfn.CONCAT("Item_Name_",ItemTable[[#This Row],['#Index 참조용]])</f>
        <v>Item_Name_2005</v>
      </c>
      <c r="I8" s="42" t="str">
        <f>_xlfn.CONCAT("Item_Desc_",ItemTable[[#This Row],['#Index 참조용]])</f>
        <v>Item_Desc_2005</v>
      </c>
      <c r="J8" s="42" t="str">
        <f>_xlfn.CONCAT("Item_PlusDesc_",ItemTable[[#This Row],['#Index 참조용]])</f>
        <v>Item_PlusDesc_2005</v>
      </c>
      <c r="L8" s="42" t="s">
        <v>42</v>
      </c>
      <c r="M8" s="48">
        <v>0</v>
      </c>
      <c r="N8" s="42">
        <v>1</v>
      </c>
      <c r="O8" s="42">
        <f t="array" ref="O8">_xlfn.IFS(ItemTable[[#This Row],[GradeType]]="Normal",25,ItemTable[[#This Row],[GradeType]]="Cursed",50,ItemTable[[#This Row],[GradeType]]="Rare",50)</f>
        <v>25</v>
      </c>
      <c r="P8" s="42">
        <v>30</v>
      </c>
      <c r="Q8" s="42">
        <f t="array" ref="Q8">_xlfn.IFS(OR(ItemTable[[#This Row],[GradeType]]="Hp",ItemTable[[#This Row],[GradeType]]="Gold"),0,TRUE,5000+ItemTable[[#This Row],['#Index 참조용]])</f>
        <v>7005</v>
      </c>
      <c r="R8" s="42" t="s">
        <v>456</v>
      </c>
    </row>
    <row r="9" spans="1:18">
      <c r="B9" s="42" cm="1">
        <f t="array" ref="B9">_xlfn.IFS(ItemTable[[#This Row],[GradeType]]="Hp",IF(L8=ItemTable[[#This Row],[GradeType]],B8+1,10),
ItemTable[[#This Row],[GradeType]]="Gold",IF(L8=ItemTable[[#This Row],[GradeType]],B8+1,20),
ItemTable[[#This Row],[GradeType]]="Weapon",IF(L8=ItemTable[[#This Row],[GradeType]],B8+1,1000),
ItemTable[[#This Row],[GradeType]]="Normal",IF(L8=ItemTable[[#This Row],[GradeType]],B8+1,2000),
ItemTable[[#This Row],[GradeType]]="Rare",IF(L8=ItemTable[[#This Row],[GradeType]],B8+1,3000),
ItemTable[[#This Row],[GradeType]]="Cursed",IF(L8=ItemTable[[#This Row],[GradeType]],B8+1,4000),
ItemTable[[#This Row],[GradeType]]="Active",IF(L8=ItemTable[[#This Row],[GradeType]],B8+1,10000))</f>
        <v>3000</v>
      </c>
      <c r="C9" s="83" t="str">
        <f>INDEX(LocaleTable[LocaleKR],MATCH(ItemTable[[#This Row],[Name]],LocaleTable[StringKey],0))</f>
        <v>데빌불</v>
      </c>
      <c r="D9" s="83" t="str">
        <f>INDEX(LocaleTable[LocaleKR],MATCH(ItemTable[[#This Row],[Desc]],LocaleTable[StringKey],0))</f>
        <v>데빌불, 숨겨진 악성을 펼쳐줘요.\n불티나게 팔리고 있는 음료입니다.</v>
      </c>
      <c r="E9" s="83" t="str">
        <f>INDEX(LocaleTable[LocaleKR],MATCH(ItemTable[[#This Row],[PlusDesc]],LocaleTable[StringKey],0))</f>
        <v>기절한 적을 공격할 때\n4초간 공격력 +30%</v>
      </c>
      <c r="F9" s="56" t="str">
        <f>IFERROR(INDEX(LocaleTable[LocaleKR],MATCH(ItemTable[[#This Row],[MinusDesc]],LocaleTable[StringKey],0)),"-")</f>
        <v>-</v>
      </c>
      <c r="G9" s="56">
        <f>ItemTable[[#This Row],['#Index 참조용]]</f>
        <v>3000</v>
      </c>
      <c r="H9" s="42" t="str">
        <f>_xlfn.CONCAT("Item_Name_",ItemTable[[#This Row],['#Index 참조용]])</f>
        <v>Item_Name_3000</v>
      </c>
      <c r="I9" s="42" t="str">
        <f>_xlfn.CONCAT("Item_Desc_",ItemTable[[#This Row],['#Index 참조용]])</f>
        <v>Item_Desc_3000</v>
      </c>
      <c r="J9" s="42" t="str">
        <f>_xlfn.CONCAT("Item_PlusDesc_",ItemTable[[#This Row],['#Index 참조용]])</f>
        <v>Item_PlusDesc_3000</v>
      </c>
      <c r="L9" s="42" t="s">
        <v>428</v>
      </c>
      <c r="M9" s="48">
        <v>0</v>
      </c>
      <c r="N9" s="42">
        <v>1</v>
      </c>
      <c r="O9" s="42">
        <f t="array" ref="O9">_xlfn.IFS(ItemTable[[#This Row],[GradeType]]="Normal",25,ItemTable[[#This Row],[GradeType]]="Cursed",50,ItemTable[[#This Row],[GradeType]]="Rare",50)</f>
        <v>50</v>
      </c>
      <c r="P9" s="42">
        <v>50</v>
      </c>
      <c r="Q9" s="42">
        <f t="array" ref="Q9">_xlfn.IFS(OR(ItemTable[[#This Row],[GradeType]]="Hp",ItemTable[[#This Row],[GradeType]]="Gold"),0,TRUE,5000+ItemTable[[#This Row],['#Index 참조용]])</f>
        <v>8000</v>
      </c>
      <c r="R9" s="42" t="s">
        <v>457</v>
      </c>
    </row>
    <row r="10" spans="1:18">
      <c r="B10" s="42" cm="1">
        <f t="array" ref="B10">_xlfn.IFS(ItemTable[[#This Row],[GradeType]]="Hp",IF(L9=ItemTable[[#This Row],[GradeType]],B9+1,10),
ItemTable[[#This Row],[GradeType]]="Gold",IF(L9=ItemTable[[#This Row],[GradeType]],B9+1,20),
ItemTable[[#This Row],[GradeType]]="Weapon",IF(L9=ItemTable[[#This Row],[GradeType]],B9+1,1000),
ItemTable[[#This Row],[GradeType]]="Normal",IF(L9=ItemTable[[#This Row],[GradeType]],B9+1,2000),
ItemTable[[#This Row],[GradeType]]="Rare",IF(L9=ItemTable[[#This Row],[GradeType]],B9+1,3000),
ItemTable[[#This Row],[GradeType]]="Cursed",IF(L9=ItemTable[[#This Row],[GradeType]],B9+1,4000),
ItemTable[[#This Row],[GradeType]]="Active",IF(L9=ItemTable[[#This Row],[GradeType]],B9+1,10000))</f>
        <v>3001</v>
      </c>
      <c r="C10" s="83" t="str">
        <f>INDEX(LocaleTable[LocaleKR],MATCH(ItemTable[[#This Row],[Name]],LocaleTable[StringKey],0))</f>
        <v>배트리트</v>
      </c>
      <c r="D10" s="83" t="str">
        <f>INDEX(LocaleTable[LocaleKR],MATCH(ItemTable[[#This Row],[Desc]],LocaleTable[StringKey],0))</f>
        <v>'너의 소중한 모든 것들을 바쳐라\n그러면 너의 소원이 이루어질테니'</v>
      </c>
      <c r="E10" s="83" t="str">
        <f>INDEX(LocaleTable[LocaleKR],MATCH(ItemTable[[#This Row],[PlusDesc]],LocaleTable[StringKey],0))</f>
        <v>잃은 체력 반칸당 공격력 +5%</v>
      </c>
      <c r="F10" s="56" t="str">
        <f>IFERROR(INDEX(LocaleTable[LocaleKR],MATCH(ItemTable[[#This Row],[MinusDesc]],LocaleTable[StringKey],0)),"-")</f>
        <v>-</v>
      </c>
      <c r="G10" s="56">
        <f>ItemTable[[#This Row],['#Index 참조용]]</f>
        <v>3001</v>
      </c>
      <c r="H10" s="42" t="str">
        <f>_xlfn.CONCAT("Item_Name_",ItemTable[[#This Row],['#Index 참조용]])</f>
        <v>Item_Name_3001</v>
      </c>
      <c r="I10" s="42" t="str">
        <f>_xlfn.CONCAT("Item_Desc_",ItemTable[[#This Row],['#Index 참조용]])</f>
        <v>Item_Desc_3001</v>
      </c>
      <c r="J10" s="42" t="str">
        <f>_xlfn.CONCAT("Item_PlusDesc_",ItemTable[[#This Row],['#Index 참조용]])</f>
        <v>Item_PlusDesc_3001</v>
      </c>
      <c r="L10" s="42" t="s">
        <v>43</v>
      </c>
      <c r="M10" s="48">
        <v>0</v>
      </c>
      <c r="N10" s="42">
        <v>1</v>
      </c>
      <c r="O10" s="42">
        <f t="array" ref="O10">_xlfn.IFS(ItemTable[[#This Row],[GradeType]]="Normal",25,ItemTable[[#This Row],[GradeType]]="Cursed",50,ItemTable[[#This Row],[GradeType]]="Rare",50)</f>
        <v>50</v>
      </c>
      <c r="P10" s="42">
        <v>50</v>
      </c>
      <c r="Q10" s="42">
        <f t="array" ref="Q10">_xlfn.IFS(OR(ItemTable[[#This Row],[GradeType]]="Hp",ItemTable[[#This Row],[GradeType]]="Gold"),0,TRUE,5000+ItemTable[[#This Row],['#Index 참조용]])</f>
        <v>8001</v>
      </c>
      <c r="R10" s="42" t="s">
        <v>897</v>
      </c>
    </row>
    <row r="11" spans="1:18">
      <c r="B11" s="42" cm="1">
        <f t="array" ref="B11">_xlfn.IFS(ItemTable[[#This Row],[GradeType]]="Hp",IF(L10=ItemTable[[#This Row],[GradeType]],B10+1,10),
ItemTable[[#This Row],[GradeType]]="Gold",IF(L10=ItemTable[[#This Row],[GradeType]],B10+1,20),
ItemTable[[#This Row],[GradeType]]="Weapon",IF(L10=ItemTable[[#This Row],[GradeType]],B10+1,1000),
ItemTable[[#This Row],[GradeType]]="Normal",IF(L10=ItemTable[[#This Row],[GradeType]],B10+1,2000),
ItemTable[[#This Row],[GradeType]]="Rare",IF(L10=ItemTable[[#This Row],[GradeType]],B10+1,3000),
ItemTable[[#This Row],[GradeType]]="Cursed",IF(L10=ItemTable[[#This Row],[GradeType]],B10+1,4000),
ItemTable[[#This Row],[GradeType]]="Active",IF(L10=ItemTable[[#This Row],[GradeType]],B10+1,10000))</f>
        <v>3002</v>
      </c>
      <c r="C11" s="83" t="str">
        <f>INDEX(LocaleTable[LocaleKR],MATCH(ItemTable[[#This Row],[Name]],LocaleTable[StringKey],0))</f>
        <v>돌가면</v>
      </c>
      <c r="D11" s="83" t="str">
        <f>INDEX(LocaleTable[LocaleKR],MATCH(ItemTable[[#This Row],[Desc]],LocaleTable[StringKey],0))</f>
        <v>꽤 무게가 나가는 돌가면.\n안쪽에 숨겨진 침들이 보이는데...\n위험하진 않겠죠?</v>
      </c>
      <c r="E11" s="83" t="str">
        <f>INDEX(LocaleTable[LocaleKR],MATCH(ItemTable[[#This Row],[PlusDesc]],LocaleTable[StringKey],0))</f>
        <v>기절한 적을 공격할 때\n10%확률로 반칸 회복</v>
      </c>
      <c r="F11" s="56" t="str">
        <f>IFERROR(INDEX(LocaleTable[LocaleKR],MATCH(ItemTable[[#This Row],[MinusDesc]],LocaleTable[StringKey],0)),"-")</f>
        <v>-</v>
      </c>
      <c r="G11" s="56">
        <f>ItemTable[[#This Row],['#Index 참조용]]</f>
        <v>3002</v>
      </c>
      <c r="H11" s="42" t="str">
        <f>_xlfn.CONCAT("Item_Name_",ItemTable[[#This Row],['#Index 참조용]])</f>
        <v>Item_Name_3002</v>
      </c>
      <c r="I11" s="42" t="str">
        <f>_xlfn.CONCAT("Item_Desc_",ItemTable[[#This Row],['#Index 참조용]])</f>
        <v>Item_Desc_3002</v>
      </c>
      <c r="J11" s="42" t="str">
        <f>_xlfn.CONCAT("Item_PlusDesc_",ItemTable[[#This Row],['#Index 참조용]])</f>
        <v>Item_PlusDesc_3002</v>
      </c>
      <c r="L11" s="42" t="s">
        <v>43</v>
      </c>
      <c r="M11" s="48">
        <v>0</v>
      </c>
      <c r="N11" s="42">
        <v>1</v>
      </c>
      <c r="O11" s="42">
        <f t="array" ref="O11">_xlfn.IFS(ItemTable[[#This Row],[GradeType]]="Normal",25,ItemTable[[#This Row],[GradeType]]="Cursed",50,ItemTable[[#This Row],[GradeType]]="Rare",50)</f>
        <v>50</v>
      </c>
      <c r="P11" s="42">
        <v>50</v>
      </c>
      <c r="Q11" s="42">
        <f t="array" ref="Q11">_xlfn.IFS(OR(ItemTable[[#This Row],[GradeType]]="Hp",ItemTable[[#This Row],[GradeType]]="Gold"),0,TRUE,5000+ItemTable[[#This Row],['#Index 참조용]])</f>
        <v>8002</v>
      </c>
      <c r="R11" s="42" t="s">
        <v>458</v>
      </c>
    </row>
    <row r="12" spans="1:18">
      <c r="B12" s="42" cm="1">
        <f t="array" ref="B12">_xlfn.IFS(ItemTable[[#This Row],[GradeType]]="Hp",IF(L11=ItemTable[[#This Row],[GradeType]],B11+1,10),
ItemTable[[#This Row],[GradeType]]="Gold",IF(L11=ItemTable[[#This Row],[GradeType]],B11+1,20),
ItemTable[[#This Row],[GradeType]]="Weapon",IF(L11=ItemTable[[#This Row],[GradeType]],B11+1,1000),
ItemTable[[#This Row],[GradeType]]="Normal",IF(L11=ItemTable[[#This Row],[GradeType]],B11+1,2000),
ItemTable[[#This Row],[GradeType]]="Rare",IF(L11=ItemTable[[#This Row],[GradeType]],B11+1,3000),
ItemTable[[#This Row],[GradeType]]="Cursed",IF(L11=ItemTable[[#This Row],[GradeType]],B11+1,4000),
ItemTable[[#This Row],[GradeType]]="Active",IF(L11=ItemTable[[#This Row],[GradeType]],B11+1,10000))</f>
        <v>3003</v>
      </c>
      <c r="C12" s="83" t="str">
        <f>INDEX(LocaleTable[LocaleKR],MATCH(ItemTable[[#This Row],[Name]],LocaleTable[StringKey],0))</f>
        <v>사나운 돼지저금통</v>
      </c>
      <c r="D12" s="83" t="str">
        <f>INDEX(LocaleTable[LocaleKR],MATCH(ItemTable[[#This Row],[Desc]],LocaleTable[StringKey],0))</f>
        <v>자아를 가진 저금통입니다.\n숨겨진 돈을 잘 찾아내는 듯 합니다.\n잠깐, 제 지갑이 어디갔죠?</v>
      </c>
      <c r="E12" s="83" t="str">
        <f>INDEX(LocaleTable[LocaleKR],MATCH(ItemTable[[#This Row],[PlusDesc]],LocaleTable[StringKey],0))</f>
        <v>골드획득량 +50%</v>
      </c>
      <c r="F12" s="56" t="str">
        <f>IFERROR(INDEX(LocaleTable[LocaleKR],MATCH(ItemTable[[#This Row],[MinusDesc]],LocaleTable[StringKey],0)),"-")</f>
        <v>-</v>
      </c>
      <c r="G12" s="56">
        <f>ItemTable[[#This Row],['#Index 참조용]]</f>
        <v>3003</v>
      </c>
      <c r="H12" s="42" t="str">
        <f>_xlfn.CONCAT("Item_Name_",ItemTable[[#This Row],['#Index 참조용]])</f>
        <v>Item_Name_3003</v>
      </c>
      <c r="I12" s="42" t="str">
        <f>_xlfn.CONCAT("Item_Desc_",ItemTable[[#This Row],['#Index 참조용]])</f>
        <v>Item_Desc_3003</v>
      </c>
      <c r="J12" s="42" t="str">
        <f>_xlfn.CONCAT("Item_PlusDesc_",ItemTable[[#This Row],['#Index 참조용]])</f>
        <v>Item_PlusDesc_3003</v>
      </c>
      <c r="L12" s="42" t="s">
        <v>43</v>
      </c>
      <c r="M12" s="48">
        <v>0</v>
      </c>
      <c r="N12" s="42">
        <v>1</v>
      </c>
      <c r="O12" s="42">
        <f t="array" ref="O12">_xlfn.IFS(ItemTable[[#This Row],[GradeType]]="Normal",25,ItemTable[[#This Row],[GradeType]]="Cursed",50,ItemTable[[#This Row],[GradeType]]="Rare",50)</f>
        <v>50</v>
      </c>
      <c r="P12" s="42">
        <v>50</v>
      </c>
      <c r="Q12" s="42">
        <f t="array" ref="Q12">_xlfn.IFS(OR(ItemTable[[#This Row],[GradeType]]="Hp",ItemTable[[#This Row],[GradeType]]="Gold"),0,TRUE,5000+ItemTable[[#This Row],['#Index 참조용]])</f>
        <v>8003</v>
      </c>
      <c r="R12" s="42" t="s">
        <v>459</v>
      </c>
    </row>
    <row r="13" spans="1:18">
      <c r="B13" s="42" cm="1">
        <f t="array" ref="B13">_xlfn.IFS(ItemTable[[#This Row],[GradeType]]="Hp",IF(L12=ItemTable[[#This Row],[GradeType]],B12+1,10),
ItemTable[[#This Row],[GradeType]]="Gold",IF(L12=ItemTable[[#This Row],[GradeType]],B12+1,20),
ItemTable[[#This Row],[GradeType]]="Weapon",IF(L12=ItemTable[[#This Row],[GradeType]],B12+1,1000),
ItemTable[[#This Row],[GradeType]]="Normal",IF(L12=ItemTable[[#This Row],[GradeType]],B12+1,2000),
ItemTable[[#This Row],[GradeType]]="Rare",IF(L12=ItemTable[[#This Row],[GradeType]],B12+1,3000),
ItemTable[[#This Row],[GradeType]]="Cursed",IF(L12=ItemTable[[#This Row],[GradeType]],B12+1,4000),
ItemTable[[#This Row],[GradeType]]="Active",IF(L12=ItemTable[[#This Row],[GradeType]],B12+1,10000))</f>
        <v>3004</v>
      </c>
      <c r="C13" s="83" t="str">
        <f>INDEX(LocaleTable[LocaleKR],MATCH(ItemTable[[#This Row],[Name]],LocaleTable[StringKey],0))</f>
        <v>성배 속 무언가</v>
      </c>
      <c r="D13" s="83" t="str">
        <f>INDEX(LocaleTable[LocaleKR],MATCH(ItemTable[[#This Row],[Desc]],LocaleTable[StringKey],0))</f>
        <v>종교적인 용도로 보이는 컵입니다.\n잠깐, 방금 조금 움직인 것 같은데요?</v>
      </c>
      <c r="E13" s="83" t="str">
        <f>INDEX(LocaleTable[LocaleKR],MATCH(ItemTable[[#This Row],[PlusDesc]],LocaleTable[StringKey],0))</f>
        <v>공 충돌횟수 +3</v>
      </c>
      <c r="F13" s="56" t="str">
        <f>IFERROR(INDEX(LocaleTable[LocaleKR],MATCH(ItemTable[[#This Row],[MinusDesc]],LocaleTable[StringKey],0)),"-")</f>
        <v>-</v>
      </c>
      <c r="G13" s="56">
        <f>ItemTable[[#This Row],['#Index 참조용]]</f>
        <v>3004</v>
      </c>
      <c r="H13" s="42" t="str">
        <f>_xlfn.CONCAT("Item_Name_",ItemTable[[#This Row],['#Index 참조용]])</f>
        <v>Item_Name_3004</v>
      </c>
      <c r="I13" s="42" t="str">
        <f>_xlfn.CONCAT("Item_Desc_",ItemTable[[#This Row],['#Index 참조용]])</f>
        <v>Item_Desc_3004</v>
      </c>
      <c r="J13" s="42" t="str">
        <f>_xlfn.CONCAT("Item_PlusDesc_",ItemTable[[#This Row],['#Index 참조용]])</f>
        <v>Item_PlusDesc_3004</v>
      </c>
      <c r="L13" s="42" t="s">
        <v>43</v>
      </c>
      <c r="M13" s="48">
        <v>0</v>
      </c>
      <c r="N13" s="42">
        <v>1</v>
      </c>
      <c r="O13" s="42">
        <f t="array" ref="O13">_xlfn.IFS(ItemTable[[#This Row],[GradeType]]="Normal",25,ItemTable[[#This Row],[GradeType]]="Cursed",50,ItemTable[[#This Row],[GradeType]]="Rare",50)</f>
        <v>50</v>
      </c>
      <c r="P13" s="42">
        <v>50</v>
      </c>
      <c r="Q13" s="42">
        <f t="array" ref="Q13">_xlfn.IFS(OR(ItemTable[[#This Row],[GradeType]]="Hp",ItemTable[[#This Row],[GradeType]]="Gold"),0,TRUE,5000+ItemTable[[#This Row],['#Index 참조용]])</f>
        <v>8004</v>
      </c>
      <c r="R13" s="42" t="s">
        <v>460</v>
      </c>
    </row>
    <row r="14" spans="1:18">
      <c r="B14" s="42" cm="1">
        <f t="array" ref="B14">_xlfn.IFS(ItemTable[[#This Row],[GradeType]]="Hp",IF(L13=ItemTable[[#This Row],[GradeType]],B13+1,10),
ItemTable[[#This Row],[GradeType]]="Gold",IF(L13=ItemTable[[#This Row],[GradeType]],B13+1,20),
ItemTable[[#This Row],[GradeType]]="Weapon",IF(L13=ItemTable[[#This Row],[GradeType]],B13+1,1000),
ItemTable[[#This Row],[GradeType]]="Normal",IF(L13=ItemTable[[#This Row],[GradeType]],B13+1,2000),
ItemTable[[#This Row],[GradeType]]="Rare",IF(L13=ItemTable[[#This Row],[GradeType]],B13+1,3000),
ItemTable[[#This Row],[GradeType]]="Cursed",IF(L13=ItemTable[[#This Row],[GradeType]],B13+1,4000),
ItemTable[[#This Row],[GradeType]]="Active",IF(L13=ItemTable[[#This Row],[GradeType]],B13+1,10000))</f>
        <v>3005</v>
      </c>
      <c r="C14" s="83" t="str">
        <f>INDEX(LocaleTable[LocaleKR],MATCH(ItemTable[[#This Row],[Name]],LocaleTable[StringKey],0))</f>
        <v>이상한 사탕</v>
      </c>
      <c r="D14" s="83" t="str">
        <f>INDEX(LocaleTable[LocaleKR],MATCH(ItemTable[[#This Row],[Desc]],LocaleTable[StringKey],0))</f>
        <v>이벤트성으로 100만봉지\n중 한 개만 들어간 ■̛̲͙̩͎͖̲̐̐̂͐ͅ■͓̟̦̹͚̇̓́͛͠ͅ맛 사탕입니다.</v>
      </c>
      <c r="E14" s="83" t="str">
        <f>INDEX(LocaleTable[LocaleKR],MATCH(ItemTable[[#This Row],[PlusDesc]],LocaleTable[StringKey],0))</f>
        <v>체력을 전부 회복합니다.\n최대체력 + 2칸</v>
      </c>
      <c r="F14" s="56" t="str">
        <f>IFERROR(INDEX(LocaleTable[LocaleKR],MATCH(ItemTable[[#This Row],[MinusDesc]],LocaleTable[StringKey],0)),"-")</f>
        <v>-</v>
      </c>
      <c r="G14" s="56">
        <f>ItemTable[[#This Row],['#Index 참조용]]</f>
        <v>3005</v>
      </c>
      <c r="H14" s="42" t="str">
        <f>_xlfn.CONCAT("Item_Name_",ItemTable[[#This Row],['#Index 참조용]])</f>
        <v>Item_Name_3005</v>
      </c>
      <c r="I14" s="42" t="str">
        <f>_xlfn.CONCAT("Item_Desc_",ItemTable[[#This Row],['#Index 참조용]])</f>
        <v>Item_Desc_3005</v>
      </c>
      <c r="J14" s="42" t="str">
        <f>_xlfn.CONCAT("Item_PlusDesc_",ItemTable[[#This Row],['#Index 참조용]])</f>
        <v>Item_PlusDesc_3005</v>
      </c>
      <c r="L14" s="42" t="s">
        <v>43</v>
      </c>
      <c r="M14" s="48">
        <v>0</v>
      </c>
      <c r="N14" s="42">
        <v>1</v>
      </c>
      <c r="O14" s="42">
        <f t="array" ref="O14">_xlfn.IFS(ItemTable[[#This Row],[GradeType]]="Normal",25,ItemTable[[#This Row],[GradeType]]="Cursed",50,ItemTable[[#This Row],[GradeType]]="Rare",50)</f>
        <v>50</v>
      </c>
      <c r="P14" s="42">
        <v>50</v>
      </c>
      <c r="Q14" s="42">
        <f t="array" ref="Q14">_xlfn.IFS(OR(ItemTable[[#This Row],[GradeType]]="Hp",ItemTable[[#This Row],[GradeType]]="Gold"),0,TRUE,5000+ItemTable[[#This Row],['#Index 참조용]])</f>
        <v>8005</v>
      </c>
      <c r="R14" s="42" t="s">
        <v>461</v>
      </c>
    </row>
    <row r="15" spans="1:18">
      <c r="B15" s="42" cm="1">
        <f t="array" ref="B15">_xlfn.IFS(ItemTable[[#This Row],[GradeType]]="Hp",IF(L14=ItemTable[[#This Row],[GradeType]],B14+1,10),
ItemTable[[#This Row],[GradeType]]="Gold",IF(L14=ItemTable[[#This Row],[GradeType]],B14+1,20),
ItemTable[[#This Row],[GradeType]]="Weapon",IF(L14=ItemTable[[#This Row],[GradeType]],B14+1,1000),
ItemTable[[#This Row],[GradeType]]="Normal",IF(L14=ItemTable[[#This Row],[GradeType]],B14+1,2000),
ItemTable[[#This Row],[GradeType]]="Rare",IF(L14=ItemTable[[#This Row],[GradeType]],B14+1,3000),
ItemTable[[#This Row],[GradeType]]="Cursed",IF(L14=ItemTable[[#This Row],[GradeType]],B14+1,4000),
ItemTable[[#This Row],[GradeType]]="Active",IF(L14=ItemTable[[#This Row],[GradeType]],B14+1,10000))</f>
        <v>3006</v>
      </c>
      <c r="C15" s="83" t="str">
        <f>INDEX(LocaleTable[LocaleKR],MATCH(ItemTable[[#This Row],[Name]],LocaleTable[StringKey],0))</f>
        <v>투수 케르베로스</v>
      </c>
      <c r="D15" s="83" t="str">
        <f>INDEX(LocaleTable[LocaleKR],MATCH(ItemTable[[#This Row],[Desc]],LocaleTable[StringKey],0))</f>
        <v>공을 좋아하는 개들입니다.\n자세히보니 한마리였네요…</v>
      </c>
      <c r="E15" s="83" t="str">
        <f>INDEX(LocaleTable[LocaleKR],MATCH(ItemTable[[#This Row],[PlusDesc]],LocaleTable[StringKey],0))</f>
        <v>공격 시 33%확률로 공 3개 발사</v>
      </c>
      <c r="F15" s="56" t="str">
        <f>IFERROR(INDEX(LocaleTable[LocaleKR],MATCH(ItemTable[[#This Row],[MinusDesc]],LocaleTable[StringKey],0)),"-")</f>
        <v>-</v>
      </c>
      <c r="G15" s="56">
        <f>ItemTable[[#This Row],['#Index 참조용]]</f>
        <v>3006</v>
      </c>
      <c r="H15" s="42" t="str">
        <f>_xlfn.CONCAT("Item_Name_",ItemTable[[#This Row],['#Index 참조용]])</f>
        <v>Item_Name_3006</v>
      </c>
      <c r="I15" s="42" t="str">
        <f>_xlfn.CONCAT("Item_Desc_",ItemTable[[#This Row],['#Index 참조용]])</f>
        <v>Item_Desc_3006</v>
      </c>
      <c r="J15" s="42" t="str">
        <f>_xlfn.CONCAT("Item_PlusDesc_",ItemTable[[#This Row],['#Index 참조용]])</f>
        <v>Item_PlusDesc_3006</v>
      </c>
      <c r="L15" s="42" t="s">
        <v>43</v>
      </c>
      <c r="M15" s="48">
        <v>0</v>
      </c>
      <c r="N15" s="42">
        <v>1</v>
      </c>
      <c r="O15" s="42">
        <f t="array" ref="O15">_xlfn.IFS(ItemTable[[#This Row],[GradeType]]="Normal",25,ItemTable[[#This Row],[GradeType]]="Cursed",50,ItemTable[[#This Row],[GradeType]]="Rare",50)</f>
        <v>50</v>
      </c>
      <c r="P15" s="42">
        <v>50</v>
      </c>
      <c r="Q15" s="42">
        <f t="array" ref="Q15">_xlfn.IFS(OR(ItemTable[[#This Row],[GradeType]]="Hp",ItemTable[[#This Row],[GradeType]]="Gold"),0,TRUE,5000+ItemTable[[#This Row],['#Index 참조용]])</f>
        <v>8006</v>
      </c>
      <c r="R15" s="42" t="s">
        <v>462</v>
      </c>
    </row>
    <row r="16" spans="1:18">
      <c r="A16" s="79" t="s">
        <v>231</v>
      </c>
      <c r="B16" s="42" cm="1">
        <f t="array" ref="B16">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3007</v>
      </c>
      <c r="C16" s="83" t="str">
        <f>INDEX(LocaleTable[LocaleKR],MATCH(ItemTable[[#This Row],[Name]],LocaleTable[StringKey],0))</f>
        <v>공을 마시는 배트</v>
      </c>
      <c r="D16" s="83" t="str">
        <f>INDEX(LocaleTable[LocaleKR],MATCH(ItemTable[[#This Row],[Desc]],LocaleTable[StringKey],0))</f>
        <v>필드를 불사르던 투수의 노여움도 잊혀지고\n타자들의 배트도 잔디 속에 묻혀버린\n그리고 그런 것들에 누구도 신경쓰지 않는\n야구가 천박한 농담이 된 시대에\n한 타자가 도루하고 있었다.</v>
      </c>
      <c r="E16" s="83" t="str">
        <f>INDEX(LocaleTable[LocaleKR],MATCH(ItemTable[[#This Row],[PlusDesc]],LocaleTable[StringKey],0))</f>
        <v>기절한 적을 공격할 때마다 공격력 0.5%씩 최대 50%까지 증가</v>
      </c>
      <c r="F16" s="82" t="str">
        <f>IFERROR(INDEX(LocaleTable[LocaleKR],MATCH(ItemTable[[#This Row],[MinusDesc]],LocaleTable[StringKey],0)),"-")</f>
        <v>-</v>
      </c>
      <c r="G16" s="89" t="s">
        <v>231</v>
      </c>
      <c r="H16" s="42" t="str">
        <f>_xlfn.CONCAT("Item_Name_",ItemTable[[#This Row],['#Index 참조용]])</f>
        <v>Item_Name_3007</v>
      </c>
      <c r="I16" s="42" t="str">
        <f>_xlfn.CONCAT("Item_Desc_",ItemTable[[#This Row],['#Index 참조용]])</f>
        <v>Item_Desc_3007</v>
      </c>
      <c r="J16" s="42" t="str">
        <f>_xlfn.CONCAT("Item_PlusDesc_",ItemTable[[#This Row],['#Index 참조용]])</f>
        <v>Item_PlusDesc_3007</v>
      </c>
      <c r="L16" s="42" t="s">
        <v>43</v>
      </c>
      <c r="M16" s="48">
        <v>100</v>
      </c>
      <c r="N16" s="42">
        <v>1</v>
      </c>
      <c r="O16" s="42">
        <f t="array" ref="O16">_xlfn.IFS(ItemTable[[#This Row],[GradeType]]="Normal",25,ItemTable[[#This Row],[GradeType]]="Cursed",50,ItemTable[[#This Row],[GradeType]]="Rare",50)</f>
        <v>50</v>
      </c>
      <c r="P16" s="42">
        <v>50</v>
      </c>
      <c r="Q16" s="42">
        <f t="array" ref="Q16">_xlfn.IFS(OR(ItemTable[[#This Row],[GradeType]]="Hp",ItemTable[[#This Row],[GradeType]]="Gold"),0,TRUE,5000+ItemTable[[#This Row],['#Index 참조용]])</f>
        <v>8007</v>
      </c>
      <c r="R16" s="42" t="s">
        <v>465</v>
      </c>
    </row>
    <row r="17" spans="1:18">
      <c r="B17" s="42" cm="1">
        <f t="array" ref="B17">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4000</v>
      </c>
      <c r="C17" s="83" t="str">
        <f>INDEX(LocaleTable[LocaleKR],MATCH(ItemTable[[#This Row],[Name]],LocaleTable[StringKey],0))</f>
        <v>코코아 한통</v>
      </c>
      <c r="D17" s="83" t="str">
        <f>INDEX(LocaleTable[LocaleKR],MATCH(ItemTable[[#This Row],[Desc]],LocaleTable[StringKey],0))</f>
        <v>온 몸이 녹는 듯 한 강력한 단맛입니다.\n끈적해지지 않게 조심하세요!</v>
      </c>
      <c r="E17" s="83" t="str">
        <f>INDEX(LocaleTable[LocaleKR],MATCH(ItemTable[[#This Row],[PlusDesc]],LocaleTable[StringKey],0))</f>
        <v>일반 공격이\n차징 공격이 됩니다.</v>
      </c>
      <c r="F17" s="56" t="str">
        <f>IFERROR(INDEX(LocaleTable[LocaleKR],MATCH(ItemTable[[#This Row],[MinusDesc]],LocaleTable[StringKey],0)),"-")</f>
        <v>공격속도 -50%</v>
      </c>
      <c r="G17" s="56">
        <f>ItemTable[[#This Row],['#Index 참조용]]</f>
        <v>4000</v>
      </c>
      <c r="H17" s="42" t="str">
        <f>_xlfn.CONCAT("Item_Name_",ItemTable[[#This Row],['#Index 참조용]])</f>
        <v>Item_Name_4000</v>
      </c>
      <c r="I17" s="42" t="str">
        <f>_xlfn.CONCAT("Item_Desc_",ItemTable[[#This Row],['#Index 참조용]])</f>
        <v>Item_Desc_4000</v>
      </c>
      <c r="J17" s="42" t="str">
        <f>_xlfn.CONCAT("Item_PlusDesc_",ItemTable[[#This Row],['#Index 참조용]])</f>
        <v>Item_PlusDesc_4000</v>
      </c>
      <c r="K17" s="42" t="str">
        <f>_xlfn.CONCAT("Item_MinusDesc_",ItemTable[[#This Row],['#Index 참조용]])</f>
        <v>Item_MinusDesc_4000</v>
      </c>
      <c r="L17" s="42" t="s">
        <v>47</v>
      </c>
      <c r="M17" s="48">
        <v>0</v>
      </c>
      <c r="N17" s="42">
        <v>1</v>
      </c>
      <c r="O17" s="42">
        <f t="array" ref="O17">_xlfn.IFS(ItemTable[[#This Row],[GradeType]]="Normal",25,ItemTable[[#This Row],[GradeType]]="Cursed",50,ItemTable[[#This Row],[GradeType]]="Rare",50)</f>
        <v>50</v>
      </c>
      <c r="P17" s="42">
        <v>60</v>
      </c>
      <c r="Q17" s="42">
        <f t="array" ref="Q17">_xlfn.IFS(OR(ItemTable[[#This Row],[GradeType]]="Hp",ItemTable[[#This Row],[GradeType]]="Gold"),0,TRUE,5000+ItemTable[[#This Row],['#Index 참조용]])</f>
        <v>9000</v>
      </c>
      <c r="R17" s="42" t="s">
        <v>463</v>
      </c>
    </row>
    <row r="18" spans="1:18">
      <c r="B18" s="42" cm="1">
        <f t="array" ref="B18">_xlfn.IFS(ItemTable[[#This Row],[GradeType]]="Hp",IF(L17=ItemTable[[#This Row],[GradeType]],B17+1,10),
ItemTable[[#This Row],[GradeType]]="Gold",IF(L17=ItemTable[[#This Row],[GradeType]],B17+1,20),
ItemTable[[#This Row],[GradeType]]="Weapon",IF(L17=ItemTable[[#This Row],[GradeType]],B17+1,1000),
ItemTable[[#This Row],[GradeType]]="Normal",IF(L17=ItemTable[[#This Row],[GradeType]],B17+1,2000),
ItemTable[[#This Row],[GradeType]]="Rare",IF(L17=ItemTable[[#This Row],[GradeType]],B17+1,3000),
ItemTable[[#This Row],[GradeType]]="Cursed",IF(L17=ItemTable[[#This Row],[GradeType]],B17+1,4000),
ItemTable[[#This Row],[GradeType]]="Active",IF(L17=ItemTable[[#This Row],[GradeType]],B17+1,10000))</f>
        <v>4001</v>
      </c>
      <c r="C18" s="83" t="str">
        <f>INDEX(LocaleTable[LocaleKR],MATCH(ItemTable[[#This Row],[Name]],LocaleTable[StringKey],0))</f>
        <v>슬픈 캔리오</v>
      </c>
      <c r="D18" s="83" t="str">
        <f>INDEX(LocaleTable[LocaleKR],MATCH(ItemTable[[#This Row],[Desc]],LocaleTable[StringKey],0))</f>
        <v>어째선지 계속해서 울고 있는 양초입니다.\n건드리고 싶지 않네요.</v>
      </c>
      <c r="E18" s="83" t="str">
        <f>INDEX(LocaleTable[LocaleKR],MATCH(ItemTable[[#This Row],[PlusDesc]],LocaleTable[StringKey],0))</f>
        <v>타격 시마다 4초간\n공격속도 +10%\n(효과는 중첩될 수 있습니다.)</v>
      </c>
      <c r="F18" s="56" t="str">
        <f>IFERROR(INDEX(LocaleTable[LocaleKR],MATCH(ItemTable[[#This Row],[MinusDesc]],LocaleTable[StringKey],0)),"-")</f>
        <v>공격속도 -30%</v>
      </c>
      <c r="G18" s="56">
        <f>ItemTable[[#This Row],['#Index 참조용]]</f>
        <v>4001</v>
      </c>
      <c r="H18" s="42" t="str">
        <f>_xlfn.CONCAT("Item_Name_",ItemTable[[#This Row],['#Index 참조용]])</f>
        <v>Item_Name_4001</v>
      </c>
      <c r="I18" s="42" t="str">
        <f>_xlfn.CONCAT("Item_Desc_",ItemTable[[#This Row],['#Index 참조용]])</f>
        <v>Item_Desc_4001</v>
      </c>
      <c r="J18" s="42" t="str">
        <f>_xlfn.CONCAT("Item_PlusDesc_",ItemTable[[#This Row],['#Index 참조용]])</f>
        <v>Item_PlusDesc_4001</v>
      </c>
      <c r="K18" s="42" t="str">
        <f>_xlfn.CONCAT("Item_MinusDesc_",ItemTable[[#This Row],['#Index 참조용]])</f>
        <v>Item_MinusDesc_4001</v>
      </c>
      <c r="L18" s="42" t="s">
        <v>47</v>
      </c>
      <c r="M18" s="48">
        <v>0</v>
      </c>
      <c r="N18" s="42">
        <v>1</v>
      </c>
      <c r="O18" s="42">
        <f t="array" ref="O18">_xlfn.IFS(ItemTable[[#This Row],[GradeType]]="Normal",25,ItemTable[[#This Row],[GradeType]]="Cursed",50,ItemTable[[#This Row],[GradeType]]="Rare",50)</f>
        <v>50</v>
      </c>
      <c r="P18" s="42">
        <v>60</v>
      </c>
      <c r="Q18" s="42">
        <f t="array" ref="Q18">_xlfn.IFS(OR(ItemTable[[#This Row],[GradeType]]="Hp",ItemTable[[#This Row],[GradeType]]="Gold"),0,TRUE,5000+ItemTable[[#This Row],['#Index 참조용]])</f>
        <v>9001</v>
      </c>
      <c r="R18" s="42" t="s">
        <v>464</v>
      </c>
    </row>
    <row r="19" spans="1:18">
      <c r="B19" s="42" cm="1">
        <f t="array" ref="B19">_xlfn.IFS(ItemTable[[#This Row],[GradeType]]="Hp",IF(L18=ItemTable[[#This Row],[GradeType]],B18+1,10),
ItemTable[[#This Row],[GradeType]]="Gold",IF(L18=ItemTable[[#This Row],[GradeType]],B18+1,20),
ItemTable[[#This Row],[GradeType]]="Weapon",IF(L18=ItemTable[[#This Row],[GradeType]],B18+1,1000),
ItemTable[[#This Row],[GradeType]]="Normal",IF(L18=ItemTable[[#This Row],[GradeType]],B18+1,2000),
ItemTable[[#This Row],[GradeType]]="Rare",IF(L18=ItemTable[[#This Row],[GradeType]],B18+1,3000),
ItemTable[[#This Row],[GradeType]]="Cursed",IF(L18=ItemTable[[#This Row],[GradeType]],B18+1,4000),
ItemTable[[#This Row],[GradeType]]="Active",IF(L18=ItemTable[[#This Row],[GradeType]],B18+1,10000))</f>
        <v>4002</v>
      </c>
      <c r="C19" s="83" t="str">
        <f>INDEX(LocaleTable[LocaleKR],MATCH(ItemTable[[#This Row],[Name]],LocaleTable[StringKey],0))</f>
        <v>청개구리 총</v>
      </c>
      <c r="D19" s="83" t="str">
        <f>INDEX(LocaleTable[LocaleKR],MATCH(ItemTable[[#This Row],[Desc]],LocaleTable[StringKey],0))</f>
        <v>발사하면 거꾸로 공이 나가는 이상한 총.\n유명한 첩보원이 썼다는데, 도저히 이해되지 않습니다.</v>
      </c>
      <c r="E19" s="83" t="str">
        <f>INDEX(LocaleTable[LocaleKR],MATCH(ItemTable[[#This Row],[PlusDesc]],LocaleTable[StringKey],0))</f>
        <v>공격력 +100%</v>
      </c>
      <c r="F19" s="56" t="str">
        <f>IFERROR(INDEX(LocaleTable[LocaleKR],MATCH(ItemTable[[#This Row],[MinusDesc]],LocaleTable[StringKey],0)),"-")</f>
        <v>공격 방향이 반대가 됩니다.</v>
      </c>
      <c r="G19" s="56">
        <f>ItemTable[[#This Row],['#Index 참조용]]</f>
        <v>4002</v>
      </c>
      <c r="H19" s="42" t="str">
        <f>_xlfn.CONCAT("Item_Name_",ItemTable[[#This Row],['#Index 참조용]])</f>
        <v>Item_Name_4002</v>
      </c>
      <c r="I19" s="42" t="str">
        <f>_xlfn.CONCAT("Item_Desc_",ItemTable[[#This Row],['#Index 참조용]])</f>
        <v>Item_Desc_4002</v>
      </c>
      <c r="J19" s="42" t="str">
        <f>_xlfn.CONCAT("Item_PlusDesc_",ItemTable[[#This Row],['#Index 참조용]])</f>
        <v>Item_PlusDesc_4002</v>
      </c>
      <c r="K19" s="42" t="str">
        <f>_xlfn.CONCAT("Item_MinusDesc_",ItemTable[[#This Row],['#Index 참조용]])</f>
        <v>Item_MinusDesc_4002</v>
      </c>
      <c r="L19" s="42" t="s">
        <v>47</v>
      </c>
      <c r="M19" s="48">
        <v>0</v>
      </c>
      <c r="N19" s="42">
        <v>1</v>
      </c>
      <c r="O19" s="42">
        <f t="array" ref="O19">_xlfn.IFS(ItemTable[[#This Row],[GradeType]]="Normal",25,ItemTable[[#This Row],[GradeType]]="Cursed",50,ItemTable[[#This Row],[GradeType]]="Rare",50)</f>
        <v>50</v>
      </c>
      <c r="P19" s="42">
        <v>60</v>
      </c>
      <c r="Q19" s="42">
        <f t="array" ref="Q19">_xlfn.IFS(OR(ItemTable[[#This Row],[GradeType]]="Hp",ItemTable[[#This Row],[GradeType]]="Gold"),0,TRUE,5000+ItemTable[[#This Row],['#Index 참조용]])</f>
        <v>9002</v>
      </c>
      <c r="R19" s="42" t="s">
        <v>896</v>
      </c>
    </row>
    <row r="20" spans="1:18">
      <c r="B20" s="42" cm="1">
        <f t="array" ref="B20">_xlfn.IFS(ItemTable[[#This Row],[GradeType]]="Hp",IF(L19=ItemTable[[#This Row],[GradeType]],B19+1,10),
ItemTable[[#This Row],[GradeType]]="Gold",IF(L19=ItemTable[[#This Row],[GradeType]],B19+1,20),
ItemTable[[#This Row],[GradeType]]="Weapon",IF(L19=ItemTable[[#This Row],[GradeType]],B19+1,1000),
ItemTable[[#This Row],[GradeType]]="Normal",IF(L19=ItemTable[[#This Row],[GradeType]],B19+1,2000),
ItemTable[[#This Row],[GradeType]]="Rare",IF(L19=ItemTable[[#This Row],[GradeType]],B19+1,3000),
ItemTable[[#This Row],[GradeType]]="Cursed",IF(L19=ItemTable[[#This Row],[GradeType]],B19+1,4000),
ItemTable[[#This Row],[GradeType]]="Active",IF(L19=ItemTable[[#This Row],[GradeType]],B19+1,10000))</f>
        <v>4003</v>
      </c>
      <c r="C20" s="83" t="str">
        <f>INDEX(LocaleTable[LocaleKR],MATCH(ItemTable[[#This Row],[Name]],LocaleTable[StringKey],0))</f>
        <v>누군가의 일기장</v>
      </c>
      <c r="D20" s="83" t="str">
        <f>INDEX(LocaleTable[LocaleKR],MATCH(ItemTable[[#This Row],[Desc]],LocaleTable[StringKey],0))</f>
        <v>낡은 추억들이 느껴집니다.\n3년 전 이 사람은...\n잠깐, 우리가 이걸봐도 괜찮은걸까요?</v>
      </c>
      <c r="E20" s="83" t="str">
        <f>INDEX(LocaleTable[LocaleKR],MATCH(ItemTable[[#This Row],[PlusDesc]],LocaleTable[StringKey],0))</f>
        <v>공격력 +60%</v>
      </c>
      <c r="F20" s="56" t="str">
        <f>IFERROR(INDEX(LocaleTable[LocaleKR],MATCH(ItemTable[[#This Row],[MinusDesc]],LocaleTable[StringKey],0)),"-")</f>
        <v>최대체력 - 2칸</v>
      </c>
      <c r="G20" s="56">
        <f>ItemTable[[#This Row],['#Index 참조용]]</f>
        <v>4003</v>
      </c>
      <c r="H20" s="42" t="str">
        <f>_xlfn.CONCAT("Item_Name_",ItemTable[[#This Row],['#Index 참조용]])</f>
        <v>Item_Name_4003</v>
      </c>
      <c r="I20" s="42" t="str">
        <f>_xlfn.CONCAT("Item_Desc_",ItemTable[[#This Row],['#Index 참조용]])</f>
        <v>Item_Desc_4003</v>
      </c>
      <c r="J20" s="42" t="str">
        <f>_xlfn.CONCAT("Item_PlusDesc_",ItemTable[[#This Row],['#Index 참조용]])</f>
        <v>Item_PlusDesc_4003</v>
      </c>
      <c r="K20" s="42" t="str">
        <f>_xlfn.CONCAT("Item_MinusDesc_",ItemTable[[#This Row],['#Index 참조용]])</f>
        <v>Item_MinusDesc_4003</v>
      </c>
      <c r="L20" s="42" t="s">
        <v>47</v>
      </c>
      <c r="M20" s="48">
        <v>0</v>
      </c>
      <c r="N20" s="42">
        <v>1</v>
      </c>
      <c r="O20" s="42">
        <v>50</v>
      </c>
      <c r="P20" s="42">
        <v>60</v>
      </c>
      <c r="Q20" s="42">
        <f t="array" ref="Q20">_xlfn.IFS(OR(ItemTable[[#This Row],[GradeType]]="Hp",ItemTable[[#This Row],[GradeType]]="Gold"),0,TRUE,5000+ItemTable[[#This Row],['#Index 참조용]])</f>
        <v>9003</v>
      </c>
      <c r="R20" s="42" t="s">
        <v>465</v>
      </c>
    </row>
    <row r="21" spans="1:18">
      <c r="B21" s="42" cm="1">
        <f t="array" ref="B21">_xlfn.IFS(ItemTable[[#This Row],[GradeType]]="Hp",IF(L20=ItemTable[[#This Row],[GradeType]],B20+1,10),
ItemTable[[#This Row],[GradeType]]="Gold",IF(L20=ItemTable[[#This Row],[GradeType]],B20+1,20),
ItemTable[[#This Row],[GradeType]]="Weapon",IF(L20=ItemTable[[#This Row],[GradeType]],B20+1,1000),
ItemTable[[#This Row],[GradeType]]="Normal",IF(L20=ItemTable[[#This Row],[GradeType]],B20+1,2000),
ItemTable[[#This Row],[GradeType]]="Rare",IF(L20=ItemTable[[#This Row],[GradeType]],B20+1,3000),
ItemTable[[#This Row],[GradeType]]="Cursed",IF(L20=ItemTable[[#This Row],[GradeType]],B20+1,4000),
ItemTable[[#This Row],[GradeType]]="Active",IF(L20=ItemTable[[#This Row],[GradeType]],B20+1,10000))</f>
        <v>4004</v>
      </c>
      <c r="C21" s="83" t="str">
        <f>INDEX(LocaleTable[LocaleKR],MATCH(ItemTable[[#This Row],[Name]],LocaleTable[StringKey],0))</f>
        <v>행성 만세</v>
      </c>
      <c r="D21" s="83" t="str">
        <f>INDEX(LocaleTable[LocaleKR],MATCH(ItemTable[[#This Row],[Desc]],LocaleTable[StringKey],0))</f>
        <v>1. 태양의 방향으로 기립.\n2. 팔을 벌려 Y자로 선다.\n3. 태양을 바라보며 외친다.</v>
      </c>
      <c r="E21" s="83" t="str">
        <f>INDEX(LocaleTable[LocaleKR],MATCH(ItemTable[[#This Row],[PlusDesc]],LocaleTable[StringKey],0))</f>
        <v>피격 시 공 8개 발사</v>
      </c>
      <c r="F21" s="56" t="str">
        <f>IFERROR(INDEX(LocaleTable[LocaleKR],MATCH(ItemTable[[#This Row],[MinusDesc]],LocaleTable[StringKey],0)),"-")</f>
        <v>이동속도 -20%</v>
      </c>
      <c r="G21" s="56">
        <f>ItemTable[[#This Row],['#Index 참조용]]</f>
        <v>4004</v>
      </c>
      <c r="H21" s="42" t="str">
        <f>_xlfn.CONCAT("Item_Name_",ItemTable[[#This Row],['#Index 참조용]])</f>
        <v>Item_Name_4004</v>
      </c>
      <c r="I21" s="42" t="str">
        <f>_xlfn.CONCAT("Item_Desc_",ItemTable[[#This Row],['#Index 참조용]])</f>
        <v>Item_Desc_4004</v>
      </c>
      <c r="J21" s="42" t="str">
        <f>_xlfn.CONCAT("Item_PlusDesc_",ItemTable[[#This Row],['#Index 참조용]])</f>
        <v>Item_PlusDesc_4004</v>
      </c>
      <c r="K21" s="42" t="str">
        <f>_xlfn.CONCAT("Item_MinusDesc_",ItemTable[[#This Row],['#Index 참조용]])</f>
        <v>Item_MinusDesc_4004</v>
      </c>
      <c r="L21" s="42" t="s">
        <v>47</v>
      </c>
      <c r="M21" s="48">
        <v>0</v>
      </c>
      <c r="N21" s="42">
        <v>1</v>
      </c>
      <c r="O21" s="42">
        <f t="array" ref="O21">_xlfn.IFS(ItemTable[[#This Row],[GradeType]]="Normal",25,ItemTable[[#This Row],[GradeType]]="Cursed",50,ItemTable[[#This Row],[GradeType]]="Rare",50)</f>
        <v>50</v>
      </c>
      <c r="P21" s="42">
        <v>60</v>
      </c>
      <c r="Q21" s="42">
        <f t="array" ref="Q21">_xlfn.IFS(OR(ItemTable[[#This Row],[GradeType]]="Hp",ItemTable[[#This Row],[GradeType]]="Gold"),0,TRUE,5000+ItemTable[[#This Row],['#Index 참조용]])</f>
        <v>9004</v>
      </c>
      <c r="R21" s="42" t="s">
        <v>466</v>
      </c>
    </row>
    <row r="22" spans="1:18">
      <c r="B22" s="42" cm="1">
        <f t="array" ref="B22">_xlfn.IFS(ItemTable[[#This Row],[GradeType]]="Hp",IF(L21=ItemTable[[#This Row],[GradeType]],B21+1,10),
ItemTable[[#This Row],[GradeType]]="Gold",IF(L21=ItemTable[[#This Row],[GradeType]],B21+1,20),
ItemTable[[#This Row],[GradeType]]="Weapon",IF(L21=ItemTable[[#This Row],[GradeType]],B21+1,1000),
ItemTable[[#This Row],[GradeType]]="Normal",IF(L21=ItemTable[[#This Row],[GradeType]],B21+1,2000),
ItemTable[[#This Row],[GradeType]]="Rare",IF(L21=ItemTable[[#This Row],[GradeType]],B21+1,3000),
ItemTable[[#This Row],[GradeType]]="Cursed",IF(L21=ItemTable[[#This Row],[GradeType]],B21+1,4000),
ItemTable[[#This Row],[GradeType]]="Active",IF(L21=ItemTable[[#This Row],[GradeType]],B21+1,10000))</f>
        <v>4005</v>
      </c>
      <c r="C22" s="83" t="str">
        <f>INDEX(LocaleTable[LocaleKR],MATCH(ItemTable[[#This Row],[Name]],LocaleTable[StringKey],0))</f>
        <v>회피 캣</v>
      </c>
      <c r="D22" s="83" t="str">
        <f>INDEX(LocaleTable[LocaleKR],MATCH(ItemTable[[#This Row],[Desc]],LocaleTable[StringKey],0))</f>
        <v>하지만 이렇게 간단하게 회피했습니다.</v>
      </c>
      <c r="E22" s="83" t="str">
        <f>INDEX(LocaleTable[LocaleKR],MATCH(ItemTable[[#This Row],[PlusDesc]],LocaleTable[StringKey],0))</f>
        <v>회피 시 공 4개 발사</v>
      </c>
      <c r="F22" s="56" t="str">
        <f>IFERROR(INDEX(LocaleTable[LocaleKR],MATCH(ItemTable[[#This Row],[MinusDesc]],LocaleTable[StringKey],0)),"-")</f>
        <v>회피쿨타임 +100%</v>
      </c>
      <c r="G22" s="56">
        <f>ItemTable[[#This Row],['#Index 참조용]]</f>
        <v>4005</v>
      </c>
      <c r="H22" s="42" t="str">
        <f>_xlfn.CONCAT("Item_Name_",ItemTable[[#This Row],['#Index 참조용]])</f>
        <v>Item_Name_4005</v>
      </c>
      <c r="I22" s="42" t="str">
        <f>_xlfn.CONCAT("Item_Desc_",ItemTable[[#This Row],['#Index 참조용]])</f>
        <v>Item_Desc_4005</v>
      </c>
      <c r="J22" s="42" t="str">
        <f>_xlfn.CONCAT("Item_PlusDesc_",ItemTable[[#This Row],['#Index 참조용]])</f>
        <v>Item_PlusDesc_4005</v>
      </c>
      <c r="K22" s="42" t="str">
        <f>_xlfn.CONCAT("Item_MinusDesc_",ItemTable[[#This Row],['#Index 참조용]])</f>
        <v>Item_MinusDesc_4005</v>
      </c>
      <c r="L22" s="42" t="s">
        <v>47</v>
      </c>
      <c r="M22" s="48">
        <v>0</v>
      </c>
      <c r="N22" s="42">
        <v>1</v>
      </c>
      <c r="O22" s="42">
        <f t="array" ref="O22">_xlfn.IFS(ItemTable[[#This Row],[GradeType]]="Normal",25,ItemTable[[#This Row],[GradeType]]="Cursed",50,ItemTable[[#This Row],[GradeType]]="Rare",50)</f>
        <v>50</v>
      </c>
      <c r="P22" s="42">
        <v>60</v>
      </c>
      <c r="Q22" s="42">
        <f t="array" ref="Q22">_xlfn.IFS(OR(ItemTable[[#This Row],[GradeType]]="Hp",ItemTable[[#This Row],[GradeType]]="Gold"),0,TRUE,5000+ItemTable[[#This Row],['#Index 참조용]])</f>
        <v>9005</v>
      </c>
      <c r="R22" s="42" t="s">
        <v>894</v>
      </c>
    </row>
    <row r="23" spans="1:18">
      <c r="B23" s="42" cm="1">
        <f t="array" ref="B23">_xlfn.IFS(ItemTable[[#This Row],[GradeType]]="Hp",IF(L22=ItemTable[[#This Row],[GradeType]],B22+1,10),
ItemTable[[#This Row],[GradeType]]="Gold",IF(L22=ItemTable[[#This Row],[GradeType]],B22+1,20),
ItemTable[[#This Row],[GradeType]]="Weapon",IF(L22=ItemTable[[#This Row],[GradeType]],B22+1,1000),
ItemTable[[#This Row],[GradeType]]="Normal",IF(L22=ItemTable[[#This Row],[GradeType]],B22+1,2000),
ItemTable[[#This Row],[GradeType]]="Rare",IF(L22=ItemTable[[#This Row],[GradeType]],B22+1,3000),
ItemTable[[#This Row],[GradeType]]="Cursed",IF(L22=ItemTable[[#This Row],[GradeType]],B22+1,4000),
ItemTable[[#This Row],[GradeType]]="Active",IF(L22=ItemTable[[#This Row],[GradeType]],B22+1,10000))</f>
        <v>4006</v>
      </c>
      <c r="C23" s="83" t="str">
        <f>INDEX(LocaleTable[LocaleKR],MATCH(ItemTable[[#This Row],[Name]],LocaleTable[StringKey],0))</f>
        <v>어른의 카드</v>
      </c>
      <c r="D23" s="83" t="str">
        <f>INDEX(LocaleTable[LocaleKR],MATCH(ItemTable[[#This Row],[Desc]],LocaleTable[StringKey],0))</f>
        <v>리스크는 이해하고 있습니다.\n사용할수록, 깎여나갑니다.\n당신의 삶과 시간이…</v>
      </c>
      <c r="E23" s="83" t="str">
        <f>INDEX(LocaleTable[LocaleKR],MATCH(ItemTable[[#This Row],[PlusDesc]],LocaleTable[StringKey],0))</f>
        <v>공격범위 +60%</v>
      </c>
      <c r="F23" s="56" t="str">
        <f>IFERROR(INDEX(LocaleTable[LocaleKR],MATCH(ItemTable[[#This Row],[MinusDesc]],LocaleTable[StringKey],0)),"-")</f>
        <v>공격속도 -20%,\n공격 시 골드 -1</v>
      </c>
      <c r="G23" s="56">
        <f>ItemTable[[#This Row],['#Index 참조용]]</f>
        <v>4006</v>
      </c>
      <c r="H23" s="42" t="str">
        <f>_xlfn.CONCAT("Item_Name_",ItemTable[[#This Row],['#Index 참조용]])</f>
        <v>Item_Name_4006</v>
      </c>
      <c r="I23" s="42" t="str">
        <f>_xlfn.CONCAT("Item_Desc_",ItemTable[[#This Row],['#Index 참조용]])</f>
        <v>Item_Desc_4006</v>
      </c>
      <c r="J23" s="42" t="str">
        <f>_xlfn.CONCAT("Item_PlusDesc_",ItemTable[[#This Row],['#Index 참조용]])</f>
        <v>Item_PlusDesc_4006</v>
      </c>
      <c r="K23" s="42" t="str">
        <f>_xlfn.CONCAT("Item_MinusDesc_",ItemTable[[#This Row],['#Index 참조용]])</f>
        <v>Item_MinusDesc_4006</v>
      </c>
      <c r="L23" s="42" t="s">
        <v>47</v>
      </c>
      <c r="M23" s="48">
        <v>0</v>
      </c>
      <c r="N23" s="42">
        <v>1</v>
      </c>
      <c r="O23" s="42">
        <f t="array" ref="O23">_xlfn.IFS(ItemTable[[#This Row],[GradeType]]="Normal",25,ItemTable[[#This Row],[GradeType]]="Cursed",50,ItemTable[[#This Row],[GradeType]]="Rare",50)</f>
        <v>50</v>
      </c>
      <c r="P23" s="42">
        <v>60</v>
      </c>
      <c r="Q23" s="42">
        <f t="array" ref="Q23">_xlfn.IFS(OR(ItemTable[[#This Row],[GradeType]]="Hp",ItemTable[[#This Row],[GradeType]]="Gold"),0,TRUE,5000+ItemTable[[#This Row],['#Index 참조용]])</f>
        <v>9006</v>
      </c>
      <c r="R23" s="42" t="s">
        <v>895</v>
      </c>
    </row>
    <row r="24" spans="1:18">
      <c r="B24" s="42" cm="1">
        <f t="array" ref="B24">_xlfn.IFS(ItemTable[[#This Row],[GradeType]]="Hp",IF(L23=ItemTable[[#This Row],[GradeType]],B23+1,10),
ItemTable[[#This Row],[GradeType]]="Gold",IF(L23=ItemTable[[#This Row],[GradeType]],B23+1,20),
ItemTable[[#This Row],[GradeType]]="Weapon",IF(L23=ItemTable[[#This Row],[GradeType]],B23+1,1000),
ItemTable[[#This Row],[GradeType]]="Normal",IF(L23=ItemTable[[#This Row],[GradeType]],B23+1,2000),
ItemTable[[#This Row],[GradeType]]="Rare",IF(L23=ItemTable[[#This Row],[GradeType]],B23+1,3000),
ItemTable[[#This Row],[GradeType]]="Cursed",IF(L23=ItemTable[[#This Row],[GradeType]],B23+1,4000),
ItemTable[[#This Row],[GradeType]]="Active",IF(L23=ItemTable[[#This Row],[GradeType]],B23+1,10000))</f>
        <v>4007</v>
      </c>
      <c r="C24" s="83" t="str">
        <f>INDEX(LocaleTable[LocaleKR],MATCH(ItemTable[[#This Row],[Name]],LocaleTable[StringKey],0))</f>
        <v>악마의 적금통장</v>
      </c>
      <c r="D24" s="83" t="str">
        <f>INDEX(LocaleTable[LocaleKR],MATCH(ItemTable[[#This Row],[Desc]],LocaleTable[StringKey],0))</f>
        <v>'체력이 생기면 고민도 행복해진다.'\n마계 국민 첫 재테크 적금으로 딱입니다.</v>
      </c>
      <c r="E24" s="83" t="str">
        <f>INDEX(LocaleTable[LocaleKR],MATCH(ItemTable[[#This Row],[PlusDesc]],LocaleTable[StringKey],0))</f>
        <v>6개의 방을 클리어할 경우 체력 +4칸</v>
      </c>
      <c r="F24" s="56" t="str">
        <f>IFERROR(INDEX(LocaleTable[LocaleKR],MATCH(ItemTable[[#This Row],[MinusDesc]],LocaleTable[StringKey],0)),"-")</f>
        <v>최대체력 -1칸</v>
      </c>
      <c r="G24" s="56">
        <f>ItemTable[[#This Row],['#Index 참조용]]</f>
        <v>4007</v>
      </c>
      <c r="H24" s="42" t="str">
        <f>_xlfn.CONCAT("Item_Name_",ItemTable[[#This Row],['#Index 참조용]])</f>
        <v>Item_Name_4007</v>
      </c>
      <c r="I24" s="42" t="str">
        <f>_xlfn.CONCAT("Item_Desc_",ItemTable[[#This Row],['#Index 참조용]])</f>
        <v>Item_Desc_4007</v>
      </c>
      <c r="J24" s="42" t="str">
        <f>_xlfn.CONCAT("Item_PlusDesc_",ItemTable[[#This Row],['#Index 참조용]])</f>
        <v>Item_PlusDesc_4007</v>
      </c>
      <c r="K24" s="42" t="str">
        <f>_xlfn.CONCAT("Item_MinusDesc_",ItemTable[[#This Row],['#Index 참조용]])</f>
        <v>Item_MinusDesc_4007</v>
      </c>
      <c r="L24" s="42" t="s">
        <v>47</v>
      </c>
      <c r="M24" s="48">
        <v>7</v>
      </c>
      <c r="N24" s="42">
        <v>1</v>
      </c>
      <c r="O24" s="42">
        <f t="array" ref="O24">_xlfn.IFS(ItemTable[[#This Row],[GradeType]]="Normal",25,ItemTable[[#This Row],[GradeType]]="Cursed",50,ItemTable[[#This Row],[GradeType]]="Rare",50)</f>
        <v>50</v>
      </c>
      <c r="P24" s="42">
        <v>60</v>
      </c>
      <c r="Q24" s="42">
        <f t="array" ref="Q24">_xlfn.IFS(OR(ItemTable[[#This Row],[GradeType]]="Hp",ItemTable[[#This Row],[GradeType]]="Gold"),0,TRUE,5000+ItemTable[[#This Row],['#Index 참조용]])</f>
        <v>9007</v>
      </c>
      <c r="R24" s="42" t="s">
        <v>895</v>
      </c>
    </row>
    <row r="25" spans="1:18">
      <c r="B25" s="42" cm="1">
        <f t="array" ref="B25">_xlfn.IFS(ItemTable[[#This Row],[GradeType]]="Hp",IF(L24=ItemTable[[#This Row],[GradeType]],B24+1,10),
ItemTable[[#This Row],[GradeType]]="Gold",IF(L24=ItemTable[[#This Row],[GradeType]],B24+1,20),
ItemTable[[#This Row],[GradeType]]="Weapon",IF(L24=ItemTable[[#This Row],[GradeType]],B24+1,1000),
ItemTable[[#This Row],[GradeType]]="Normal",IF(L24=ItemTable[[#This Row],[GradeType]],B24+1,2000),
ItemTable[[#This Row],[GradeType]]="Rare",IF(L24=ItemTable[[#This Row],[GradeType]],B24+1,3000),
ItemTable[[#This Row],[GradeType]]="Cursed",IF(L24=ItemTable[[#This Row],[GradeType]],B24+1,4000),
ItemTable[[#This Row],[GradeType]]="Active",IF(L24=ItemTable[[#This Row],[GradeType]],B24+1,10000))</f>
        <v>10000</v>
      </c>
      <c r="C25" s="83" t="str">
        <f>INDEX(LocaleTable[LocaleKR],MATCH(ItemTable[[#This Row],[Name]],LocaleTable[StringKey],0))</f>
        <v>인피니티 도넛</v>
      </c>
      <c r="D25" s="83" t="str">
        <f>INDEX(LocaleTable[LocaleKR],MATCH(ItemTable[[#This Row],[Desc]],LocaleTable[StringKey],0))</f>
        <v>도넛에 구멍은 몇 개일까요?\n이 도넛은 무한한 구멍을 가졌습니다.</v>
      </c>
      <c r="E25" s="83" t="str">
        <f>INDEX(LocaleTable[LocaleKR],MATCH(ItemTable[[#This Row],[PlusDesc]],LocaleTable[StringKey],0))</f>
        <v>기절한 적에게 순간이동하며 공격합니다.</v>
      </c>
      <c r="F25" s="56" t="str">
        <f>IFERROR(INDEX(LocaleTable[LocaleKR],MATCH(ItemTable[[#This Row],[MinusDesc]],LocaleTable[StringKey],0)),"-")</f>
        <v>-</v>
      </c>
      <c r="G25" s="56">
        <f>ItemTable[[#This Row],['#Index 참조용]]</f>
        <v>10000</v>
      </c>
      <c r="H25" s="42" t="str">
        <f>_xlfn.CONCAT("Item_Name_",ItemTable[[#This Row],['#Index 참조용]])</f>
        <v>Item_Name_10000</v>
      </c>
      <c r="I25" s="42" t="str">
        <f>_xlfn.CONCAT("Item_Desc_",ItemTable[[#This Row],['#Index 참조용]])</f>
        <v>Item_Desc_10000</v>
      </c>
      <c r="J25" s="42" t="str">
        <f>_xlfn.CONCAT("Item_PlusDesc_",ItemTable[[#This Row],['#Index 참조용]])</f>
        <v>Item_PlusDesc_10000</v>
      </c>
      <c r="L25" s="42" t="s">
        <v>344</v>
      </c>
      <c r="M25" s="48">
        <v>0</v>
      </c>
      <c r="N25" s="42">
        <v>1</v>
      </c>
      <c r="O25" s="42">
        <v>50</v>
      </c>
      <c r="P25" s="42">
        <v>100</v>
      </c>
      <c r="Q25" s="42">
        <v>10000</v>
      </c>
      <c r="R25" s="42" t="s">
        <v>467</v>
      </c>
    </row>
    <row r="26" spans="1:18">
      <c r="B26" s="42" cm="1">
        <f t="array" ref="B26">_xlfn.IFS(ItemTable[[#This Row],[GradeType]]="Hp",IF(L25=ItemTable[[#This Row],[GradeType]],B25+1,10),
ItemTable[[#This Row],[GradeType]]="Gold",IF(L25=ItemTable[[#This Row],[GradeType]],B25+1,20),
ItemTable[[#This Row],[GradeType]]="Weapon",IF(L25=ItemTable[[#This Row],[GradeType]],B25+1,1000),
ItemTable[[#This Row],[GradeType]]="Normal",IF(L25=ItemTable[[#This Row],[GradeType]],B25+1,2000),
ItemTable[[#This Row],[GradeType]]="Rare",IF(L25=ItemTable[[#This Row],[GradeType]],B25+1,3000),
ItemTable[[#This Row],[GradeType]]="Cursed",IF(L25=ItemTable[[#This Row],[GradeType]],B25+1,4000),
ItemTable[[#This Row],[GradeType]]="Active",IF(L25=ItemTable[[#This Row],[GradeType]],B25+1,10000))</f>
        <v>10001</v>
      </c>
      <c r="C26" s="83" t="str">
        <f>INDEX(LocaleTable[LocaleKR],MATCH(ItemTable[[#This Row],[Name]],LocaleTable[StringKey],0))</f>
        <v>초소형 블랙홀</v>
      </c>
      <c r="D26" s="83" t="str">
        <f>INDEX(LocaleTable[LocaleKR],MATCH(ItemTable[[#This Row],[Desc]],LocaleTable[StringKey],0))</f>
        <v>공공장소에서 사용으로 인한\n피해는 책임지지 않습니다.</v>
      </c>
      <c r="E26" s="83" t="str">
        <f>INDEX(LocaleTable[LocaleKR],MATCH(ItemTable[[#This Row],[PlusDesc]],LocaleTable[StringKey],0))</f>
        <v>주변 투사체를 흡수하여 발사합니다.\n(쿨타임 10초)</v>
      </c>
      <c r="F26" s="56" t="str">
        <f>IFERROR(INDEX(LocaleTable[LocaleKR],MATCH(ItemTable[[#This Row],[MinusDesc]],LocaleTable[StringKey],0)),"-")</f>
        <v>-</v>
      </c>
      <c r="G26" s="56">
        <f>ItemTable[[#This Row],['#Index 참조용]]</f>
        <v>10001</v>
      </c>
      <c r="H26" s="42" t="str">
        <f>_xlfn.CONCAT("Item_Name_",ItemTable[[#This Row],['#Index 참조용]])</f>
        <v>Item_Name_10001</v>
      </c>
      <c r="I26" s="42" t="str">
        <f>_xlfn.CONCAT("Item_Desc_",ItemTable[[#This Row],['#Index 참조용]])</f>
        <v>Item_Desc_10001</v>
      </c>
      <c r="J26" s="42" t="str">
        <f>_xlfn.CONCAT("Item_PlusDesc_",ItemTable[[#This Row],['#Index 참조용]])</f>
        <v>Item_PlusDesc_10001</v>
      </c>
      <c r="L26" s="42" t="s">
        <v>344</v>
      </c>
      <c r="M26" s="48">
        <v>0</v>
      </c>
      <c r="N26" s="42">
        <v>1</v>
      </c>
      <c r="O26" s="42">
        <v>50</v>
      </c>
      <c r="P26" s="42">
        <v>100</v>
      </c>
      <c r="Q26" s="42">
        <v>10001</v>
      </c>
      <c r="R26" s="42" t="s">
        <v>468</v>
      </c>
    </row>
    <row r="27" spans="1:18">
      <c r="B27" s="42" cm="1">
        <f t="array" ref="B27">_xlfn.IFS(ItemTable[[#This Row],[GradeType]]="Hp",IF(L26=ItemTable[[#This Row],[GradeType]],B26+1,10),
ItemTable[[#This Row],[GradeType]]="Gold",IF(L26=ItemTable[[#This Row],[GradeType]],B26+1,20),
ItemTable[[#This Row],[GradeType]]="Weapon",IF(L26=ItemTable[[#This Row],[GradeType]],B26+1,1000),
ItemTable[[#This Row],[GradeType]]="Normal",IF(L26=ItemTable[[#This Row],[GradeType]],B26+1,2000),
ItemTable[[#This Row],[GradeType]]="Rare",IF(L26=ItemTable[[#This Row],[GradeType]],B26+1,3000),
ItemTable[[#This Row],[GradeType]]="Cursed",IF(L26=ItemTable[[#This Row],[GradeType]],B26+1,4000),
ItemTable[[#This Row],[GradeType]]="Active",IF(L26=ItemTable[[#This Row],[GradeType]],B26+1,10000))</f>
        <v>10002</v>
      </c>
      <c r="C27" s="83" t="str">
        <f>INDEX(LocaleTable[LocaleKR],MATCH(ItemTable[[#This Row],[Name]],LocaleTable[StringKey],0))</f>
        <v>사이버웨어</v>
      </c>
      <c r="D27" s="83" t="str">
        <f>INDEX(LocaleTable[LocaleKR],MATCH(ItemTable[[#This Row],[Desc]],LocaleTable[StringKey],0))</f>
        <v>기초적인 임플란트입니다.\n마구 사용하다간 무언가 고장날 수 있습니다.</v>
      </c>
      <c r="E27" s="83" t="str">
        <f>INDEX(LocaleTable[LocaleKR],MATCH(ItemTable[[#This Row],[PlusDesc]],LocaleTable[StringKey],0))</f>
        <v>6초간 주변 시간이 느려집니다.\n(쿨타임 12초)</v>
      </c>
      <c r="F27" s="56" t="str">
        <f>IFERROR(INDEX(LocaleTable[LocaleKR],MATCH(ItemTable[[#This Row],[MinusDesc]],LocaleTable[StringKey],0)),"-")</f>
        <v>-</v>
      </c>
      <c r="G27" s="56">
        <f>ItemTable[[#This Row],['#Index 참조용]]</f>
        <v>10002</v>
      </c>
      <c r="H27" s="42" t="str">
        <f>_xlfn.CONCAT("Item_Name_",ItemTable[[#This Row],['#Index 참조용]])</f>
        <v>Item_Name_10002</v>
      </c>
      <c r="I27" s="42" t="str">
        <f>_xlfn.CONCAT("Item_Desc_",ItemTable[[#This Row],['#Index 참조용]])</f>
        <v>Item_Desc_10002</v>
      </c>
      <c r="J27" s="42" t="str">
        <f>_xlfn.CONCAT("Item_PlusDesc_",ItemTable[[#This Row],['#Index 참조용]])</f>
        <v>Item_PlusDesc_10002</v>
      </c>
      <c r="L27" s="42" t="s">
        <v>344</v>
      </c>
      <c r="M27" s="48">
        <v>0</v>
      </c>
      <c r="N27" s="42">
        <v>1</v>
      </c>
      <c r="O27" s="42">
        <v>50</v>
      </c>
      <c r="P27" s="42">
        <v>100</v>
      </c>
      <c r="Q27" s="42">
        <v>10002</v>
      </c>
      <c r="R27" s="42" t="s">
        <v>469</v>
      </c>
    </row>
    <row r="28" spans="1:18">
      <c r="B28" s="42" cm="1">
        <f t="array" ref="B28">_xlfn.IFS(ItemTable[[#This Row],[GradeType]]="Hp",IF(L27=ItemTable[[#This Row],[GradeType]],B27+1,10),
ItemTable[[#This Row],[GradeType]]="Gold",IF(L27=ItemTable[[#This Row],[GradeType]],B27+1,20),
ItemTable[[#This Row],[GradeType]]="Weapon",IF(L27=ItemTable[[#This Row],[GradeType]],B27+1,1000),
ItemTable[[#This Row],[GradeType]]="Normal",IF(L27=ItemTable[[#This Row],[GradeType]],B27+1,2000),
ItemTable[[#This Row],[GradeType]]="Rare",IF(L27=ItemTable[[#This Row],[GradeType]],B27+1,3000),
ItemTable[[#This Row],[GradeType]]="Cursed",IF(L27=ItemTable[[#This Row],[GradeType]],B27+1,4000),
ItemTable[[#This Row],[GradeType]]="Active",IF(L27=ItemTable[[#This Row],[GradeType]],B27+1,10000))</f>
        <v>10003</v>
      </c>
      <c r="C28" s="83" t="str">
        <f>INDEX(LocaleTable[LocaleKR],MATCH(ItemTable[[#This Row],[Name]],LocaleTable[StringKey],0))</f>
        <v>미사일 백팩</v>
      </c>
      <c r="D28" s="83" t="str">
        <f>INDEX(LocaleTable[LocaleKR],MATCH(ItemTable[[#This Row],[Desc]],LocaleTable[StringKey],0))</f>
        <v>앞만 보고 살아가는 당신에게 추천합니다.\n데일리룩으로 안성맞춤.</v>
      </c>
      <c r="E28" s="83" t="str">
        <f>INDEX(LocaleTable[LocaleKR],MATCH(ItemTable[[#This Row],[PlusDesc]],LocaleTable[StringKey],0))</f>
        <v>커서 방향으로 돌진합니다.\n(쿨타임 8초)</v>
      </c>
      <c r="F28" s="56" t="str">
        <f>IFERROR(INDEX(LocaleTable[LocaleKR],MATCH(ItemTable[[#This Row],[MinusDesc]],LocaleTable[StringKey],0)),"-")</f>
        <v>-</v>
      </c>
      <c r="G28" s="56">
        <f>ItemTable[[#This Row],['#Index 참조용]]</f>
        <v>10003</v>
      </c>
      <c r="H28" s="42" t="str">
        <f>_xlfn.CONCAT("Item_Name_",ItemTable[[#This Row],['#Index 참조용]])</f>
        <v>Item_Name_10003</v>
      </c>
      <c r="I28" s="42" t="str">
        <f>_xlfn.CONCAT("Item_Desc_",ItemTable[[#This Row],['#Index 참조용]])</f>
        <v>Item_Desc_10003</v>
      </c>
      <c r="J28" s="42" t="str">
        <f>_xlfn.CONCAT("Item_PlusDesc_",ItemTable[[#This Row],['#Index 참조용]])</f>
        <v>Item_PlusDesc_10003</v>
      </c>
      <c r="L28" s="42" t="s">
        <v>344</v>
      </c>
      <c r="M28" s="48">
        <v>0</v>
      </c>
      <c r="N28" s="42">
        <v>1</v>
      </c>
      <c r="O28" s="42">
        <v>50</v>
      </c>
      <c r="P28" s="42">
        <v>100</v>
      </c>
      <c r="Q28" s="42">
        <v>10003</v>
      </c>
      <c r="R28" s="42" t="s">
        <v>470</v>
      </c>
    </row>
    <row r="29" spans="1:18">
      <c r="A29" s="44" t="s">
        <v>231</v>
      </c>
      <c r="B29" s="42" cm="1">
        <f t="array" ref="B29">_xlfn.IFS(ItemTable[[#This Row],[GradeType]]="Hp",IF(L28=ItemTable[[#This Row],[GradeType]],B28+1,10),
ItemTable[[#This Row],[GradeType]]="Gold",IF(L28=ItemTable[[#This Row],[GradeType]],B28+1,20),
ItemTable[[#This Row],[GradeType]]="Weapon",IF(L28=ItemTable[[#This Row],[GradeType]],B28+1,1000),
ItemTable[[#This Row],[GradeType]]="Normal",IF(L28=ItemTable[[#This Row],[GradeType]],B28+1,2000),
ItemTable[[#This Row],[GradeType]]="Rare",IF(L28=ItemTable[[#This Row],[GradeType]],B28+1,3000),
ItemTable[[#This Row],[GradeType]]="Cursed",IF(L28=ItemTable[[#This Row],[GradeType]],B28+1,4000),
ItemTable[[#This Row],[GradeType]]="Active",IF(L28=ItemTable[[#This Row],[GradeType]],B28+1,10000))</f>
        <v>10004</v>
      </c>
      <c r="C29" s="83" t="str">
        <f>INDEX(LocaleTable[LocaleKR],MATCH(ItemTable[[#This Row],[Name]],LocaleTable[StringKey],0))</f>
        <v>엑스칼리배트</v>
      </c>
      <c r="D29" s="83" t="str">
        <f>INDEX(LocaleTable[LocaleKR],MATCH(ItemTable[[#This Row],[Desc]],LocaleTable[StringKey],0))</f>
        <v>약속된 홈런의 배트!</v>
      </c>
      <c r="E29" s="83" t="str">
        <f>INDEX(LocaleTable[LocaleKR],MATCH(ItemTable[[#This Row],[PlusDesc]],LocaleTable[StringKey],0))</f>
        <v>조준 방향으로 강력한 빔을 발사합니다.</v>
      </c>
      <c r="F29" s="56" t="str">
        <f>IFERROR(INDEX(LocaleTable[LocaleKR],MATCH(ItemTable[[#This Row],[MinusDesc]],LocaleTable[StringKey],0)),"-")</f>
        <v>-</v>
      </c>
      <c r="G29" s="56" t="s">
        <v>231</v>
      </c>
      <c r="H29" s="42" t="str">
        <f>_xlfn.CONCAT("Item_Name_",ItemTable[[#This Row],['#Index 참조용]])</f>
        <v>Item_Name_10004</v>
      </c>
      <c r="I29" s="42" t="str">
        <f>_xlfn.CONCAT("Item_Desc_",ItemTable[[#This Row],['#Index 참조용]])</f>
        <v>Item_Desc_10004</v>
      </c>
      <c r="J29" s="42" t="str">
        <f>_xlfn.CONCAT("Item_PlusDesc_",ItemTable[[#This Row],['#Index 참조용]])</f>
        <v>Item_PlusDesc_10004</v>
      </c>
      <c r="L29" s="42" t="s">
        <v>344</v>
      </c>
      <c r="M29" s="48">
        <v>0</v>
      </c>
      <c r="N29" s="42">
        <v>1</v>
      </c>
      <c r="O29" s="42">
        <v>50</v>
      </c>
      <c r="P29" s="42">
        <v>100</v>
      </c>
      <c r="Q29" s="42">
        <v>10004</v>
      </c>
      <c r="R29" s="42" t="s">
        <v>470</v>
      </c>
    </row>
    <row r="30" spans="1:18">
      <c r="B30" s="42" cm="1">
        <f t="array" ref="B30">_xlfn.IFS(ItemTable[[#This Row],[GradeType]]="Hp",IF(L29=ItemTable[[#This Row],[GradeType]],B29+1,10),
ItemTable[[#This Row],[GradeType]]="Gold",IF(L29=ItemTable[[#This Row],[GradeType]],B29+1,20),
ItemTable[[#This Row],[GradeType]]="Weapon",IF(L29=ItemTable[[#This Row],[GradeType]],B29+1,1000),
ItemTable[[#This Row],[GradeType]]="Normal",IF(L29=ItemTable[[#This Row],[GradeType]],B29+1,2000),
ItemTable[[#This Row],[GradeType]]="Rare",IF(L29=ItemTable[[#This Row],[GradeType]],B29+1,3000),
ItemTable[[#This Row],[GradeType]]="Cursed",IF(L29=ItemTable[[#This Row],[GradeType]],B29+1,4000),
ItemTable[[#This Row],[GradeType]]="Active",IF(L29=ItemTable[[#This Row],[GradeType]],B29+1,10000))</f>
        <v>10005</v>
      </c>
      <c r="C30" s="83" t="str">
        <f>INDEX(LocaleTable[LocaleKR],MATCH(ItemTable[[#This Row],[Name]],LocaleTable[StringKey],0))</f>
        <v>여의배트</v>
      </c>
      <c r="D30" s="83" t="str">
        <f>INDEX(LocaleTable[LocaleKR],MATCH(ItemTable[[#This Row],[Desc]],LocaleTable[StringKey],0))</f>
        <v>배트를 마음대로 늘릴 수 있습니다!</v>
      </c>
      <c r="E30" s="83" t="str">
        <f>INDEX(LocaleTable[LocaleKR],MATCH(ItemTable[[#This Row],[PlusDesc]],LocaleTable[StringKey],0))</f>
        <v>10초간 공격범위 +100%\n(쿨타임 18초)</v>
      </c>
      <c r="F30" s="56" t="str">
        <f>IFERROR(INDEX(LocaleTable[LocaleKR],MATCH(ItemTable[[#This Row],[MinusDesc]],LocaleTable[StringKey],0)),"-")</f>
        <v>-</v>
      </c>
      <c r="G30" s="56">
        <f>ItemTable[[#This Row],['#Index 참조용]]</f>
        <v>10005</v>
      </c>
      <c r="H30" s="42" t="str">
        <f>_xlfn.CONCAT("Item_Name_",ItemTable[[#This Row],['#Index 참조용]])</f>
        <v>Item_Name_10005</v>
      </c>
      <c r="I30" s="42" t="str">
        <f>_xlfn.CONCAT("Item_Desc_",ItemTable[[#This Row],['#Index 참조용]])</f>
        <v>Item_Desc_10005</v>
      </c>
      <c r="J30" s="42" t="str">
        <f>_xlfn.CONCAT("Item_PlusDesc_",ItemTable[[#This Row],['#Index 참조용]])</f>
        <v>Item_PlusDesc_10005</v>
      </c>
      <c r="L30" s="42" t="s">
        <v>344</v>
      </c>
      <c r="M30" s="48">
        <v>0</v>
      </c>
      <c r="N30" s="42">
        <v>1</v>
      </c>
      <c r="O30" s="42">
        <v>50</v>
      </c>
      <c r="P30" s="42">
        <v>100</v>
      </c>
      <c r="Q30" s="42">
        <v>10005</v>
      </c>
      <c r="R30" s="42" t="s">
        <v>471</v>
      </c>
    </row>
  </sheetData>
  <phoneticPr fontId="6" type="noConversion"/>
  <conditionalFormatting sqref="B1:R1 B31:R1048576 B2:G30">
    <cfRule type="expression" dxfId="11" priority="5">
      <formula>$L1="Active"</formula>
    </cfRule>
    <cfRule type="expression" dxfId="10" priority="6">
      <formula>$L1="Cursed"</formula>
    </cfRule>
    <cfRule type="expression" dxfId="9" priority="7">
      <formula>$L1="Rare"</formula>
    </cfRule>
    <cfRule type="expression" dxfId="8" priority="8">
      <formula>$L1="Normal"</formula>
    </cfRule>
  </conditionalFormatting>
  <conditionalFormatting sqref="A1:XFD1048576">
    <cfRule type="expression" dxfId="7" priority="2">
      <formula>$A1="#"</formula>
    </cfRule>
  </conditionalFormatting>
  <conditionalFormatting sqref="M1:M1048576">
    <cfRule type="dataBar" priority="1">
      <dataBar>
        <cfvo type="min"/>
        <cfvo type="max"/>
        <color rgb="FF638EC6"/>
      </dataBar>
      <extLst>
        <ext xmlns:x14="http://schemas.microsoft.com/office/spreadsheetml/2009/9/main" uri="{B025F937-C7B1-47D3-B67F-A62EFF666E3E}">
          <x14:id>{BB5B421C-5A22-47C5-99FC-9A9F5E4AD14B}</x14:id>
        </ext>
      </extLst>
    </cfRule>
  </conditionalFormatting>
  <conditionalFormatting sqref="B3:R30">
    <cfRule type="expression" dxfId="6" priority="4">
      <formula>LEFT(B$2,1)="#"</formula>
    </cfRule>
  </conditionalFormatting>
  <conditionalFormatting sqref="H2:R30">
    <cfRule type="expression" dxfId="5" priority="13">
      <formula>$L2="Active"</formula>
    </cfRule>
    <cfRule type="expression" dxfId="4" priority="14">
      <formula>$L2="Cursed"</formula>
    </cfRule>
    <cfRule type="expression" dxfId="3" priority="15">
      <formula>$L2="Rare"</formula>
    </cfRule>
    <cfRule type="expression" dxfId="2" priority="16">
      <formula>$L2="Normal"</formula>
    </cfRule>
  </conditionalFormatting>
  <conditionalFormatting sqref="B31:B1048576">
    <cfRule type="expression" dxfId="1" priority="34" stopIfTrue="1">
      <formula>LEFT(B$2,1)="#"</formula>
    </cfRule>
  </conditionalFormatting>
  <pageMargins left="0.69999998807907104" right="0.69999998807907104" top="0.75" bottom="0.75" header="0.30000001192092896" footer="0.30000001192092896"/>
  <pageSetup paperSize="9" fitToWidth="0" fitToHeight="0" orientation="portrait" horizontalDpi="150" verticalDpi="15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B5B421C-5A22-47C5-99FC-9A9F5E4AD14B}">
            <x14:dataBar minLength="0" maxLength="100" gradient="0">
              <x14:cfvo type="autoMin"/>
              <x14:cfvo type="autoMax"/>
              <x14:negativeFillColor rgb="FFFF0000"/>
              <x14:axisColor rgb="FF000000"/>
            </x14:dataBar>
          </x14:cfRule>
          <xm:sqref>M1:M1048576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rgb="FFFBE5D7"/>
  </sheetPr>
  <dimension ref="A1:S40"/>
  <sheetViews>
    <sheetView topLeftCell="A4" zoomScale="85" zoomScaleNormal="85" zoomScaleSheetLayoutView="100" workbookViewId="0">
      <selection activeCell="A16" sqref="A16"/>
    </sheetView>
  </sheetViews>
  <sheetFormatPr defaultColWidth="8.796875" defaultRowHeight="17.399999999999999"/>
  <cols>
    <col min="1" max="1" width="8.796875" style="44"/>
    <col min="2" max="2" width="20" bestFit="1" customWidth="1"/>
    <col min="3" max="3" width="10.19921875" bestFit="1" customWidth="1"/>
    <col min="4" max="4" width="8.69921875" bestFit="1" customWidth="1"/>
    <col min="5" max="7" width="17.69921875" customWidth="1"/>
    <col min="8" max="8" width="28.296875" customWidth="1"/>
    <col min="9" max="11" width="18" customWidth="1"/>
    <col min="12" max="17" width="18.19921875" customWidth="1"/>
    <col min="18" max="19" width="16.5" customWidth="1"/>
  </cols>
  <sheetData>
    <row r="1" spans="2:19">
      <c r="D1" t="s">
        <v>24</v>
      </c>
      <c r="E1" s="16" t="s">
        <v>303</v>
      </c>
      <c r="F1" s="16" t="s">
        <v>303</v>
      </c>
      <c r="G1" s="16" t="s">
        <v>305</v>
      </c>
      <c r="H1" t="s">
        <v>65</v>
      </c>
      <c r="I1" s="16" t="s">
        <v>319</v>
      </c>
      <c r="J1" t="s">
        <v>65</v>
      </c>
      <c r="K1" s="16" t="s">
        <v>305</v>
      </c>
    </row>
    <row r="2" spans="2:19">
      <c r="B2" s="69" t="s">
        <v>826</v>
      </c>
      <c r="C2" s="69" t="s">
        <v>67</v>
      </c>
      <c r="D2" t="s">
        <v>38</v>
      </c>
      <c r="E2" s="16" t="s">
        <v>328</v>
      </c>
      <c r="F2" s="16" t="s">
        <v>329</v>
      </c>
      <c r="G2" s="16" t="s">
        <v>306</v>
      </c>
      <c r="H2" s="16" t="s">
        <v>307</v>
      </c>
      <c r="I2" s="30" t="s">
        <v>309</v>
      </c>
      <c r="J2" s="16" t="s">
        <v>308</v>
      </c>
      <c r="K2" s="30" t="s">
        <v>324</v>
      </c>
      <c r="L2" s="68" t="s">
        <v>645</v>
      </c>
      <c r="M2" s="68" t="s">
        <v>647</v>
      </c>
      <c r="N2" s="68" t="s">
        <v>646</v>
      </c>
      <c r="O2" s="68" t="s">
        <v>717</v>
      </c>
      <c r="P2" s="68" t="s">
        <v>718</v>
      </c>
      <c r="Q2" s="68" t="s">
        <v>719</v>
      </c>
      <c r="R2" s="68" t="s">
        <v>720</v>
      </c>
      <c r="S2" s="68" t="s">
        <v>721</v>
      </c>
    </row>
    <row r="3" spans="2:19">
      <c r="B3" s="19" t="str">
        <f>INDEX(ItemTable['#이름],MATCH(ItemEffectTable[[#This Row],[Index]],ItemTable[ItemEffectDataId],0))</f>
        <v>메탈유니콘 키링</v>
      </c>
      <c r="C3" s="4" t="str">
        <f>INDEX(ItemTable[GradeType],MATCH(ItemEffectTable[[#This Row],[Index]],ItemTable[ItemEffectDataId],0))</f>
        <v>Normal</v>
      </c>
      <c r="D3" s="16">
        <v>7000</v>
      </c>
      <c r="E3" s="16">
        <v>7000</v>
      </c>
      <c r="F3" s="16"/>
      <c r="G3">
        <v>0</v>
      </c>
      <c r="H3" s="16" t="s">
        <v>326</v>
      </c>
      <c r="I3" s="16"/>
      <c r="J3" s="16" t="s">
        <v>325</v>
      </c>
      <c r="L3" s="18" t="str">
        <f>IFERROR(LEFT(ItemEffectTable[[#This Row],[TriggerType]],FIND(",",ItemEffectTable[[#This Row],[TriggerType]],1)-1),ItemEffectTable[[#This Row],[TriggerType]])</f>
        <v>Equip</v>
      </c>
      <c r="M3" s="18" t="str">
        <f>IFERROR(
MID(ItemEffectTable[[#This Row],[TriggerType]],
FIND(",",ItemEffectTable[[#This Row],[TriggerType]],1)+2,
FIND(",",ItemEffectTable[[#This Row],[TriggerType]],FIND(",",ItemEffectTable[[#This Row],[TriggerType]],1))
),
"")</f>
        <v/>
      </c>
      <c r="N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 s="18">
        <f>IFERROR(INDEX(스텟별가치29[발동율],MATCH(ItemEffectTable[[#This Row],['#트리거1]],스텟별가치29[트리거],0)),0)</f>
        <v>-1</v>
      </c>
      <c r="P3" s="18">
        <f>IFERROR(INDEX(스텟별가치29[발동율],MATCH(ItemEffectTable[[#This Row],['#트리거2]],스텟별가치29[트리거],0)),-1)</f>
        <v>-1</v>
      </c>
      <c r="Q3" s="18">
        <f>IFERROR(INDEX(스텟별가치29[발동율],MATCH(ItemEffectTable[[#This Row],['#트리거3]],스텟별가치29[트리거],0)),-1)</f>
        <v>-1</v>
      </c>
      <c r="R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3" s="18">
        <f>IFERROR(
INDEX(ItemEffectTable23[Duration],MATCH(ItemEffectTable[[#This Row],[ApplyBuffId]],ItemEffectTable23[Index],0)),
IFERROR(INDEX(ItemEffectTable23[Duration],MATCH(ItemEffectTable[[#This Row],[ApplySpecialEffectId]],ItemEffectTable23[Index],0)),-1)
)</f>
        <v>-1</v>
      </c>
    </row>
    <row r="4" spans="2:19">
      <c r="B4" s="19" t="str">
        <f>INDEX(ItemTable['#이름],MATCH(ItemEffectTable[[#This Row],[Index]],ItemTable[ItemEffectDataId],0))</f>
        <v>천사의 열매</v>
      </c>
      <c r="C4" s="4" t="str">
        <f>INDEX(ItemTable[GradeType],MATCH(ItemEffectTable[[#This Row],[Index]],ItemTable[ItemEffectDataId],0))</f>
        <v>Normal</v>
      </c>
      <c r="D4" s="16">
        <v>7001</v>
      </c>
      <c r="E4" s="16">
        <v>7001</v>
      </c>
      <c r="F4" s="16"/>
      <c r="G4">
        <v>0</v>
      </c>
      <c r="H4" s="16" t="s">
        <v>326</v>
      </c>
      <c r="J4" s="16" t="s">
        <v>325</v>
      </c>
      <c r="L4" s="18" t="str">
        <f>IFERROR(LEFT(ItemEffectTable[[#This Row],[TriggerType]],FIND(",",ItemEffectTable[[#This Row],[TriggerType]],1)-1),ItemEffectTable[[#This Row],[TriggerType]])</f>
        <v>Equip</v>
      </c>
      <c r="M4" s="18" t="str">
        <f>IFERROR(
MID(ItemEffectTable[[#This Row],[TriggerType]],
FIND(",",ItemEffectTable[[#This Row],[TriggerType]],1)+2,
FIND(",",ItemEffectTable[[#This Row],[TriggerType]],FIND(",",ItemEffectTable[[#This Row],[TriggerType]],1))
),
"")</f>
        <v/>
      </c>
      <c r="N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4" s="18">
        <f>IFERROR(INDEX(스텟별가치29[발동율],MATCH(ItemEffectTable[[#This Row],['#트리거1]],스텟별가치29[트리거],0)),0)</f>
        <v>-1</v>
      </c>
      <c r="P4" s="18">
        <f>IFERROR(INDEX(스텟별가치29[발동율],MATCH(ItemEffectTable[[#This Row],['#트리거2]],스텟별가치29[트리거],0)),-1)</f>
        <v>-1</v>
      </c>
      <c r="Q4" s="18">
        <f>IFERROR(INDEX(스텟별가치29[발동율],MATCH(ItemEffectTable[[#This Row],['#트리거3]],스텟별가치29[트리거],0)),-1)</f>
        <v>-1</v>
      </c>
      <c r="R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4" s="18">
        <f>IFERROR(
INDEX(ItemEffectTable23[Duration],MATCH(ItemEffectTable[[#This Row],[ApplyBuffId]],ItemEffectTable23[Index],0)),
IFERROR(INDEX(ItemEffectTable23[Duration],MATCH(ItemEffectTable[[#This Row],[ApplySpecialEffectId]],ItemEffectTable23[Index],0)),-1)
)</f>
        <v>-1</v>
      </c>
    </row>
    <row r="5" spans="2:19">
      <c r="B5" s="19" t="str">
        <f>INDEX(ItemTable['#이름],MATCH(ItemEffectTable[[#This Row],[Index]],ItemTable[ItemEffectDataId],0))</f>
        <v>쿨 - 도그</v>
      </c>
      <c r="C5" s="4" t="str">
        <f>INDEX(ItemTable[GradeType],MATCH(ItemEffectTable[[#This Row],[Index]],ItemTable[ItemEffectDataId],0))</f>
        <v>Normal</v>
      </c>
      <c r="D5" s="16">
        <v>7002</v>
      </c>
      <c r="E5" s="16">
        <v>7002</v>
      </c>
      <c r="F5" s="16"/>
      <c r="G5">
        <v>0</v>
      </c>
      <c r="H5" s="16" t="s">
        <v>326</v>
      </c>
      <c r="I5" s="16"/>
      <c r="J5" s="16" t="s">
        <v>325</v>
      </c>
      <c r="L5" s="18" t="str">
        <f>IFERROR(LEFT(ItemEffectTable[[#This Row],[TriggerType]],FIND(",",ItemEffectTable[[#This Row],[TriggerType]],1)-1),ItemEffectTable[[#This Row],[TriggerType]])</f>
        <v>Equip</v>
      </c>
      <c r="M5" s="18" t="str">
        <f>IFERROR(
MID(ItemEffectTable[[#This Row],[TriggerType]],
FIND(",",ItemEffectTable[[#This Row],[TriggerType]],1)+2,
FIND(",",ItemEffectTable[[#This Row],[TriggerType]],FIND(",",ItemEffectTable[[#This Row],[TriggerType]],1))
),
"")</f>
        <v/>
      </c>
      <c r="N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5" s="18">
        <f>IFERROR(INDEX(스텟별가치29[발동율],MATCH(ItemEffectTable[[#This Row],['#트리거1]],스텟별가치29[트리거],0)),0)</f>
        <v>-1</v>
      </c>
      <c r="P5" s="18">
        <f>IFERROR(INDEX(스텟별가치29[발동율],MATCH(ItemEffectTable[[#This Row],['#트리거2]],스텟별가치29[트리거],0)),-1)</f>
        <v>-1</v>
      </c>
      <c r="Q5" s="18">
        <f>IFERROR(INDEX(스텟별가치29[발동율],MATCH(ItemEffectTable[[#This Row],['#트리거3]],스텟별가치29[트리거],0)),-1)</f>
        <v>-1</v>
      </c>
      <c r="R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5" s="18">
        <f>IFERROR(
INDEX(ItemEffectTable23[Duration],MATCH(ItemEffectTable[[#This Row],[ApplyBuffId]],ItemEffectTable23[Index],0)),
IFERROR(INDEX(ItemEffectTable23[Duration],MATCH(ItemEffectTable[[#This Row],[ApplySpecialEffectId]],ItemEffectTable23[Index],0)),-1)
)</f>
        <v>-1</v>
      </c>
    </row>
    <row r="6" spans="2:19">
      <c r="B6" s="19" t="str">
        <f>INDEX(ItemTable['#이름],MATCH(ItemEffectTable[[#This Row],[Index]],ItemTable[ItemEffectDataId],0))</f>
        <v>QT 파우더</v>
      </c>
      <c r="C6" s="4" t="str">
        <f>INDEX(ItemTable[GradeType],MATCH(ItemEffectTable[[#This Row],[Index]],ItemTable[ItemEffectDataId],0))</f>
        <v>Normal</v>
      </c>
      <c r="D6" s="16">
        <v>7003</v>
      </c>
      <c r="E6" s="16">
        <v>7003</v>
      </c>
      <c r="F6" s="16"/>
      <c r="G6">
        <v>5</v>
      </c>
      <c r="H6" s="16" t="s">
        <v>372</v>
      </c>
      <c r="J6" s="16" t="s">
        <v>325</v>
      </c>
      <c r="L6" s="18" t="str">
        <f>IFERROR(LEFT(ItemEffectTable[[#This Row],[TriggerType]],FIND(",",ItemEffectTable[[#This Row],[TriggerType]],1)-1),ItemEffectTable[[#This Row],[TriggerType]])</f>
        <v>OnParry</v>
      </c>
      <c r="M6" s="18" t="str">
        <f>IFERROR(
MID(ItemEffectTable[[#This Row],[TriggerType]],
FIND(",",ItemEffectTable[[#This Row],[TriggerType]],1)+2,
FIND(",",ItemEffectTable[[#This Row],[TriggerType]],FIND(",",ItemEffectTable[[#This Row],[TriggerType]],1))
),
"")</f>
        <v/>
      </c>
      <c r="N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6" s="18">
        <f>IFERROR(INDEX(스텟별가치29[발동율],MATCH(ItemEffectTable[[#This Row],['#트리거1]],스텟별가치29[트리거],0)),0)</f>
        <v>3.3000000000000003</v>
      </c>
      <c r="P6" s="18">
        <f>IFERROR(INDEX(스텟별가치29[발동율],MATCH(ItemEffectTable[[#This Row],['#트리거2]],스텟별가치29[트리거],0)),-1)</f>
        <v>-1</v>
      </c>
      <c r="Q6" s="18">
        <f>IFERROR(INDEX(스텟별가치29[발동율],MATCH(ItemEffectTable[[#This Row],['#트리거3]],스텟별가치29[트리거],0)),-1)</f>
        <v>-1</v>
      </c>
      <c r="R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3.3000000000000003</v>
      </c>
      <c r="S6" s="18">
        <f>IFERROR(
INDEX(ItemEffectTable23[Duration],MATCH(ItemEffectTable[[#This Row],[ApplyBuffId]],ItemEffectTable23[Index],0)),
IFERROR(INDEX(ItemEffectTable23[Duration],MATCH(ItemEffectTable[[#This Row],[ApplySpecialEffectId]],ItemEffectTable23[Index],0)),-1)
)</f>
        <v>5</v>
      </c>
    </row>
    <row r="7" spans="2:19">
      <c r="B7" s="19" t="str">
        <f>INDEX(ItemTable['#이름],MATCH(ItemEffectTable[[#This Row],[Index]],ItemTable[ItemEffectDataId],0))</f>
        <v>적토목마</v>
      </c>
      <c r="C7" s="4" t="str">
        <f>INDEX(ItemTable[GradeType],MATCH(ItemEffectTable[[#This Row],[Index]],ItemTable[ItemEffectDataId],0))</f>
        <v>Normal</v>
      </c>
      <c r="D7" s="16">
        <v>7004</v>
      </c>
      <c r="E7" s="16">
        <v>7004</v>
      </c>
      <c r="F7" s="16"/>
      <c r="G7">
        <v>0</v>
      </c>
      <c r="H7" s="16" t="s">
        <v>326</v>
      </c>
      <c r="J7" s="16" t="s">
        <v>325</v>
      </c>
      <c r="L7" s="18" t="str">
        <f>IFERROR(LEFT(ItemEffectTable[[#This Row],[TriggerType]],FIND(",",ItemEffectTable[[#This Row],[TriggerType]],1)-1),ItemEffectTable[[#This Row],[TriggerType]])</f>
        <v>Equip</v>
      </c>
      <c r="M7" s="18" t="str">
        <f>IFERROR(
MID(ItemEffectTable[[#This Row],[TriggerType]],
FIND(",",ItemEffectTable[[#This Row],[TriggerType]],1)+2,
FIND(",",ItemEffectTable[[#This Row],[TriggerType]],FIND(",",ItemEffectTable[[#This Row],[TriggerType]],1))
),
"")</f>
        <v/>
      </c>
      <c r="N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7" s="18">
        <f>IFERROR(INDEX(스텟별가치29[발동율],MATCH(ItemEffectTable[[#This Row],['#트리거1]],스텟별가치29[트리거],0)),0)</f>
        <v>-1</v>
      </c>
      <c r="P7" s="18">
        <f>IFERROR(INDEX(스텟별가치29[발동율],MATCH(ItemEffectTable[[#This Row],['#트리거2]],스텟별가치29[트리거],0)),-1)</f>
        <v>-1</v>
      </c>
      <c r="Q7" s="18">
        <f>IFERROR(INDEX(스텟별가치29[발동율],MATCH(ItemEffectTable[[#This Row],['#트리거3]],스텟별가치29[트리거],0)),-1)</f>
        <v>-1</v>
      </c>
      <c r="R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7" s="18">
        <f>IFERROR(
INDEX(ItemEffectTable23[Duration],MATCH(ItemEffectTable[[#This Row],[ApplyBuffId]],ItemEffectTable23[Index],0)),
IFERROR(INDEX(ItemEffectTable23[Duration],MATCH(ItemEffectTable[[#This Row],[ApplySpecialEffectId]],ItemEffectTable23[Index],0)),-1)
)</f>
        <v>-1</v>
      </c>
    </row>
    <row r="8" spans="2:19">
      <c r="B8" s="19" t="str">
        <f>INDEX(ItemTable['#이름],MATCH(ItemEffectTable[[#This Row],[Index]],ItemTable[ItemEffectDataId],0))</f>
        <v>삼각김곰</v>
      </c>
      <c r="C8" s="4" t="str">
        <f>INDEX(ItemTable[GradeType],MATCH(ItemEffectTable[[#This Row],[Index]],ItemTable[ItemEffectDataId],0))</f>
        <v>Normal</v>
      </c>
      <c r="D8" s="16">
        <v>7005</v>
      </c>
      <c r="E8" s="16">
        <v>7005</v>
      </c>
      <c r="F8" s="16">
        <v>7005</v>
      </c>
      <c r="G8">
        <v>0</v>
      </c>
      <c r="H8" s="16" t="s">
        <v>326</v>
      </c>
      <c r="J8" s="16" t="s">
        <v>325</v>
      </c>
      <c r="L8" s="18" t="str">
        <f>IFERROR(LEFT(ItemEffectTable[[#This Row],[TriggerType]],FIND(",",ItemEffectTable[[#This Row],[TriggerType]],1)-1),ItemEffectTable[[#This Row],[TriggerType]])</f>
        <v>Equip</v>
      </c>
      <c r="M8" s="18" t="str">
        <f>IFERROR(
MID(ItemEffectTable[[#This Row],[TriggerType]],
FIND(",",ItemEffectTable[[#This Row],[TriggerType]],1)+2,
FIND(",",ItemEffectTable[[#This Row],[TriggerType]],FIND(",",ItemEffectTable[[#This Row],[TriggerType]],1))
),
"")</f>
        <v/>
      </c>
      <c r="N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8" s="18">
        <f>IFERROR(INDEX(스텟별가치29[발동율],MATCH(ItemEffectTable[[#This Row],['#트리거1]],스텟별가치29[트리거],0)),0)</f>
        <v>-1</v>
      </c>
      <c r="P8" s="18">
        <f>IFERROR(INDEX(스텟별가치29[발동율],MATCH(ItemEffectTable[[#This Row],['#트리거2]],스텟별가치29[트리거],0)),-1)</f>
        <v>-1</v>
      </c>
      <c r="Q8" s="18">
        <f>IFERROR(INDEX(스텟별가치29[발동율],MATCH(ItemEffectTable[[#This Row],['#트리거3]],스텟별가치29[트리거],0)),-1)</f>
        <v>-1</v>
      </c>
      <c r="R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8" s="18">
        <f>IFERROR(
INDEX(ItemEffectTable23[Duration],MATCH(ItemEffectTable[[#This Row],[ApplyBuffId]],ItemEffectTable23[Index],0)),
IFERROR(INDEX(ItemEffectTable23[Duration],MATCH(ItemEffectTable[[#This Row],[ApplySpecialEffectId]],ItemEffectTable23[Index],0)),-1)
)</f>
        <v>-1</v>
      </c>
    </row>
    <row r="9" spans="2:19">
      <c r="B9" s="19" t="str">
        <f>INDEX(ItemTable['#이름],MATCH(ItemEffectTable[[#This Row],[Index]],ItemTable[ItemEffectDataId],0))</f>
        <v>데빌불</v>
      </c>
      <c r="C9" s="4" t="str">
        <f>INDEX(ItemTable[GradeType],MATCH(ItemEffectTable[[#This Row],[Index]],ItemTable[ItemEffectDataId],0))</f>
        <v>Rare</v>
      </c>
      <c r="D9" s="16">
        <v>8000</v>
      </c>
      <c r="E9" s="16">
        <v>8000</v>
      </c>
      <c r="F9" s="16"/>
      <c r="G9">
        <v>4</v>
      </c>
      <c r="H9" s="16" t="s">
        <v>353</v>
      </c>
      <c r="J9" s="16" t="s">
        <v>325</v>
      </c>
      <c r="L9" s="18" t="str">
        <f>IFERROR(LEFT(ItemEffectTable[[#This Row],[TriggerType]],FIND(",",ItemEffectTable[[#This Row],[TriggerType]],1)-1),ItemEffectTable[[#This Row],[TriggerType]])</f>
        <v>OnAttackStunEnemy</v>
      </c>
      <c r="M9" s="18" t="str">
        <f>IFERROR(
MID(ItemEffectTable[[#This Row],[TriggerType]],
FIND(",",ItemEffectTable[[#This Row],[TriggerType]],1)+2,
FIND(",",ItemEffectTable[[#This Row],[TriggerType]],FIND(",",ItemEffectTable[[#This Row],[TriggerType]],1))
),
"")</f>
        <v/>
      </c>
      <c r="N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9" s="18">
        <f>IFERROR(INDEX(스텟별가치29[발동율],MATCH(ItemEffectTable[[#This Row],['#트리거1]],스텟별가치29[트리거],0)),0)</f>
        <v>2</v>
      </c>
      <c r="P9" s="18">
        <f>IFERROR(INDEX(스텟별가치29[발동율],MATCH(ItemEffectTable[[#This Row],['#트리거2]],스텟별가치29[트리거],0)),-1)</f>
        <v>-1</v>
      </c>
      <c r="Q9" s="18">
        <f>IFERROR(INDEX(스텟별가치29[발동율],MATCH(ItemEffectTable[[#This Row],['#트리거3]],스텟별가치29[트리거],0)),-1)</f>
        <v>-1</v>
      </c>
      <c r="R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9" s="18">
        <f>IFERROR(
INDEX(ItemEffectTable23[Duration],MATCH(ItemEffectTable[[#This Row],[ApplyBuffId]],ItemEffectTable23[Index],0)),
IFERROR(INDEX(ItemEffectTable23[Duration],MATCH(ItemEffectTable[[#This Row],[ApplySpecialEffectId]],ItemEffectTable23[Index],0)),-1)
)</f>
        <v>4</v>
      </c>
    </row>
    <row r="10" spans="2:19">
      <c r="B10" s="19" t="str">
        <f>INDEX(ItemTable['#이름],MATCH(ItemEffectTable[[#This Row],[Index]],ItemTable[ItemEffectDataId],0))</f>
        <v>배트리트</v>
      </c>
      <c r="C10" s="4" t="str">
        <f>INDEX(ItemTable[GradeType],MATCH(ItemEffectTable[[#This Row],[Index]],ItemTable[ItemEffectDataId],0))</f>
        <v>Rare</v>
      </c>
      <c r="D10" s="16">
        <v>8001</v>
      </c>
      <c r="E10" s="16">
        <v>8001</v>
      </c>
      <c r="F10" s="16"/>
      <c r="G10">
        <v>0</v>
      </c>
      <c r="H10" s="16" t="s">
        <v>429</v>
      </c>
      <c r="J10" s="16" t="s">
        <v>325</v>
      </c>
      <c r="L10" s="18" t="str">
        <f>IFERROR(LEFT(ItemEffectTable[[#This Row],[TriggerType]],FIND(",",ItemEffectTable[[#This Row],[TriggerType]],1)-1),ItemEffectTable[[#This Row],[TriggerType]])</f>
        <v>Equip</v>
      </c>
      <c r="M10" s="18" t="str">
        <f>IFERROR(
MID(ItemEffectTable[[#This Row],[TriggerType]],
FIND(",",ItemEffectTable[[#This Row],[TriggerType]],1)+2,
FIND(",",ItemEffectTable[[#This Row],[TriggerType]],FIND(",",ItemEffectTable[[#This Row],[TriggerType]],1))
),
"")</f>
        <v>OnHeal</v>
      </c>
      <c r="N1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OnDamage</v>
      </c>
      <c r="O10" s="18">
        <f>IFERROR(INDEX(스텟별가치29[발동율],MATCH(ItemEffectTable[[#This Row],['#트리거1]],스텟별가치29[트리거],0)),0)</f>
        <v>-1</v>
      </c>
      <c r="P10" s="18">
        <f>IFERROR(INDEX(스텟별가치29[발동율],MATCH(ItemEffectTable[[#This Row],['#트리거2]],스텟별가치29[트리거],0)),-1)</f>
        <v>-1</v>
      </c>
      <c r="Q10" s="18">
        <f>IFERROR(INDEX(스텟별가치29[발동율],MATCH(ItemEffectTable[[#This Row],['#트리거3]],스텟별가치29[트리거],0)),-1)</f>
        <v>8.25</v>
      </c>
      <c r="R1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0" s="18">
        <f>IFERROR(
INDEX(ItemEffectTable23[Duration],MATCH(ItemEffectTable[[#This Row],[ApplyBuffId]],ItemEffectTable23[Index],0)),
IFERROR(INDEX(ItemEffectTable23[Duration],MATCH(ItemEffectTable[[#This Row],[ApplySpecialEffectId]],ItemEffectTable23[Index],0)),-1)
)</f>
        <v>-1</v>
      </c>
    </row>
    <row r="11" spans="2:19">
      <c r="B11" s="19" t="str">
        <f>INDEX(ItemTable['#이름],MATCH(ItemEffectTable[[#This Row],[Index]],ItemTable[ItemEffectDataId],0))</f>
        <v>돌가면</v>
      </c>
      <c r="C11" s="4" t="str">
        <f>INDEX(ItemTable[GradeType],MATCH(ItemEffectTable[[#This Row],[Index]],ItemTable[ItemEffectDataId],0))</f>
        <v>Rare</v>
      </c>
      <c r="D11" s="16">
        <v>8002</v>
      </c>
      <c r="E11" s="16"/>
      <c r="F11" s="16">
        <v>8002</v>
      </c>
      <c r="G11">
        <v>0</v>
      </c>
      <c r="H11" s="16" t="s">
        <v>353</v>
      </c>
      <c r="J11" s="16" t="s">
        <v>430</v>
      </c>
      <c r="K11">
        <v>1000</v>
      </c>
      <c r="L11" s="18" t="str">
        <f>IFERROR(LEFT(ItemEffectTable[[#This Row],[TriggerType]],FIND(",",ItemEffectTable[[#This Row],[TriggerType]],1)-1),ItemEffectTable[[#This Row],[TriggerType]])</f>
        <v>OnAttackStunEnemy</v>
      </c>
      <c r="M11" s="18" t="str">
        <f>IFERROR(
MID(ItemEffectTable[[#This Row],[TriggerType]],
FIND(",",ItemEffectTable[[#This Row],[TriggerType]],1)+2,
FIND(",",ItemEffectTable[[#This Row],[TriggerType]],FIND(",",ItemEffectTable[[#This Row],[TriggerType]],1))
),
"")</f>
        <v/>
      </c>
      <c r="N1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1" s="18">
        <f>IFERROR(INDEX(스텟별가치29[발동율],MATCH(ItemEffectTable[[#This Row],['#트리거1]],스텟별가치29[트리거],0)),0)</f>
        <v>2</v>
      </c>
      <c r="P11" s="18">
        <f>IFERROR(INDEX(스텟별가치29[발동율],MATCH(ItemEffectTable[[#This Row],['#트리거2]],스텟별가치29[트리거],0)),-1)</f>
        <v>-1</v>
      </c>
      <c r="Q11" s="18">
        <f>IFERROR(INDEX(스텟별가치29[발동율],MATCH(ItemEffectTable[[#This Row],['#트리거3]],스텟별가치29[트리거],0)),-1)</f>
        <v>-1</v>
      </c>
      <c r="R1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0.2</v>
      </c>
      <c r="S11" s="18">
        <f>IFERROR(
INDEX(ItemEffectTable23[Duration],MATCH(ItemEffectTable[[#This Row],[ApplyBuffId]],ItemEffectTable23[Index],0)),
IFERROR(INDEX(ItemEffectTable23[Duration],MATCH(ItemEffectTable[[#This Row],[ApplySpecialEffectId]],ItemEffectTable23[Index],0)),-1)
)</f>
        <v>-1</v>
      </c>
    </row>
    <row r="12" spans="2:19">
      <c r="B12" s="19" t="str">
        <f>INDEX(ItemTable['#이름],MATCH(ItemEffectTable[[#This Row],[Index]],ItemTable[ItemEffectDataId],0))</f>
        <v>사나운 돼지저금통</v>
      </c>
      <c r="C12" s="4" t="str">
        <f>INDEX(ItemTable[GradeType],MATCH(ItemEffectTable[[#This Row],[Index]],ItemTable[ItemEffectDataId],0))</f>
        <v>Rare</v>
      </c>
      <c r="D12" s="16">
        <v>8003</v>
      </c>
      <c r="E12" s="16">
        <v>8003</v>
      </c>
      <c r="F12" s="16"/>
      <c r="G12">
        <v>0</v>
      </c>
      <c r="H12" s="16" t="s">
        <v>326</v>
      </c>
      <c r="J12" s="16" t="s">
        <v>325</v>
      </c>
      <c r="L12" s="18" t="str">
        <f>IFERROR(LEFT(ItemEffectTable[[#This Row],[TriggerType]],FIND(",",ItemEffectTable[[#This Row],[TriggerType]],1)-1),ItemEffectTable[[#This Row],[TriggerType]])</f>
        <v>Equip</v>
      </c>
      <c r="M12" s="18" t="str">
        <f>IFERROR(
MID(ItemEffectTable[[#This Row],[TriggerType]],
FIND(",",ItemEffectTable[[#This Row],[TriggerType]],1)+2,
FIND(",",ItemEffectTable[[#This Row],[TriggerType]],FIND(",",ItemEffectTable[[#This Row],[TriggerType]],1))
),
"")</f>
        <v/>
      </c>
      <c r="N1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2" s="18">
        <f>IFERROR(INDEX(스텟별가치29[발동율],MATCH(ItemEffectTable[[#This Row],['#트리거1]],스텟별가치29[트리거],0)),0)</f>
        <v>-1</v>
      </c>
      <c r="P12" s="18">
        <f>IFERROR(INDEX(스텟별가치29[발동율],MATCH(ItemEffectTable[[#This Row],['#트리거2]],스텟별가치29[트리거],0)),-1)</f>
        <v>-1</v>
      </c>
      <c r="Q12" s="18">
        <f>IFERROR(INDEX(스텟별가치29[발동율],MATCH(ItemEffectTable[[#This Row],['#트리거3]],스텟별가치29[트리거],0)),-1)</f>
        <v>-1</v>
      </c>
      <c r="R1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2" s="18">
        <f>IFERROR(
INDEX(ItemEffectTable23[Duration],MATCH(ItemEffectTable[[#This Row],[ApplyBuffId]],ItemEffectTable23[Index],0)),
IFERROR(INDEX(ItemEffectTable23[Duration],MATCH(ItemEffectTable[[#This Row],[ApplySpecialEffectId]],ItemEffectTable23[Index],0)),-1)
)</f>
        <v>-1</v>
      </c>
    </row>
    <row r="13" spans="2:19">
      <c r="B13" s="19" t="str">
        <f>INDEX(ItemTable['#이름],MATCH(ItemEffectTable[[#This Row],[Index]],ItemTable[ItemEffectDataId],0))</f>
        <v>성배 속 무언가</v>
      </c>
      <c r="C13" s="4" t="str">
        <f>INDEX(ItemTable[GradeType],MATCH(ItemEffectTable[[#This Row],[Index]],ItemTable[ItemEffectDataId],0))</f>
        <v>Rare</v>
      </c>
      <c r="D13" s="16">
        <v>8004</v>
      </c>
      <c r="E13" s="16">
        <v>8004</v>
      </c>
      <c r="F13" s="16"/>
      <c r="G13">
        <v>0</v>
      </c>
      <c r="H13" s="16" t="s">
        <v>326</v>
      </c>
      <c r="J13" s="16" t="s">
        <v>325</v>
      </c>
      <c r="L13" s="18" t="str">
        <f>IFERROR(LEFT(ItemEffectTable[[#This Row],[TriggerType]],FIND(",",ItemEffectTable[[#This Row],[TriggerType]],1)-1),ItemEffectTable[[#This Row],[TriggerType]])</f>
        <v>Equip</v>
      </c>
      <c r="M13" s="18" t="str">
        <f>IFERROR(
MID(ItemEffectTable[[#This Row],[TriggerType]],
FIND(",",ItemEffectTable[[#This Row],[TriggerType]],1)+2,
FIND(",",ItemEffectTable[[#This Row],[TriggerType]],FIND(",",ItemEffectTable[[#This Row],[TriggerType]],1))
),
"")</f>
        <v/>
      </c>
      <c r="N1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3" s="18">
        <f>IFERROR(INDEX(스텟별가치29[발동율],MATCH(ItemEffectTable[[#This Row],['#트리거1]],스텟별가치29[트리거],0)),0)</f>
        <v>-1</v>
      </c>
      <c r="P13" s="18">
        <f>IFERROR(INDEX(스텟별가치29[발동율],MATCH(ItemEffectTable[[#This Row],['#트리거2]],스텟별가치29[트리거],0)),-1)</f>
        <v>-1</v>
      </c>
      <c r="Q13" s="18">
        <f>IFERROR(INDEX(스텟별가치29[발동율],MATCH(ItemEffectTable[[#This Row],['#트리거3]],스텟별가치29[트리거],0)),-1)</f>
        <v>-1</v>
      </c>
      <c r="R1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3" s="18">
        <f>IFERROR(
INDEX(ItemEffectTable23[Duration],MATCH(ItemEffectTable[[#This Row],[ApplyBuffId]],ItemEffectTable23[Index],0)),
IFERROR(INDEX(ItemEffectTable23[Duration],MATCH(ItemEffectTable[[#This Row],[ApplySpecialEffectId]],ItemEffectTable23[Index],0)),-1)
)</f>
        <v>-1</v>
      </c>
    </row>
    <row r="14" spans="2:19">
      <c r="B14" s="19" t="str">
        <f>INDEX(ItemTable['#이름],MATCH(ItemEffectTable[[#This Row],[Index]],ItemTable[ItemEffectDataId],0))</f>
        <v>이상한 사탕</v>
      </c>
      <c r="C14" s="4" t="str">
        <f>INDEX(ItemTable[GradeType],MATCH(ItemEffectTable[[#This Row],[Index]],ItemTable[ItemEffectDataId],0))</f>
        <v>Rare</v>
      </c>
      <c r="D14" s="16">
        <v>8005</v>
      </c>
      <c r="E14" s="16">
        <v>8005</v>
      </c>
      <c r="F14" s="16">
        <v>8005</v>
      </c>
      <c r="G14">
        <v>0</v>
      </c>
      <c r="H14" s="16" t="s">
        <v>326</v>
      </c>
      <c r="J14" s="16" t="s">
        <v>325</v>
      </c>
      <c r="L14" s="18" t="str">
        <f>IFERROR(LEFT(ItemEffectTable[[#This Row],[TriggerType]],FIND(",",ItemEffectTable[[#This Row],[TriggerType]],1)-1),ItemEffectTable[[#This Row],[TriggerType]])</f>
        <v>Equip</v>
      </c>
      <c r="M14" s="18" t="str">
        <f>IFERROR(
MID(ItemEffectTable[[#This Row],[TriggerType]],
FIND(",",ItemEffectTable[[#This Row],[TriggerType]],1)+2,
FIND(",",ItemEffectTable[[#This Row],[TriggerType]],FIND(",",ItemEffectTable[[#This Row],[TriggerType]],1))
),
"")</f>
        <v/>
      </c>
      <c r="N1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4" s="18">
        <f>IFERROR(INDEX(스텟별가치29[발동율],MATCH(ItemEffectTable[[#This Row],['#트리거1]],스텟별가치29[트리거],0)),0)</f>
        <v>-1</v>
      </c>
      <c r="P14" s="18">
        <f>IFERROR(INDEX(스텟별가치29[발동율],MATCH(ItemEffectTable[[#This Row],['#트리거2]],스텟별가치29[트리거],0)),-1)</f>
        <v>-1</v>
      </c>
      <c r="Q14" s="18">
        <f>IFERROR(INDEX(스텟별가치29[발동율],MATCH(ItemEffectTable[[#This Row],['#트리거3]],스텟별가치29[트리거],0)),-1)</f>
        <v>-1</v>
      </c>
      <c r="R1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4" s="18">
        <f>IFERROR(
INDEX(ItemEffectTable23[Duration],MATCH(ItemEffectTable[[#This Row],[ApplyBuffId]],ItemEffectTable23[Index],0)),
IFERROR(INDEX(ItemEffectTable23[Duration],MATCH(ItemEffectTable[[#This Row],[ApplySpecialEffectId]],ItemEffectTable23[Index],0)),-1)
)</f>
        <v>-1</v>
      </c>
    </row>
    <row r="15" spans="2:19">
      <c r="B15" s="19" t="str">
        <f>INDEX(ItemTable['#이름],MATCH(ItemEffectTable[[#This Row],[Index]],ItemTable[ItemEffectDataId],0))</f>
        <v>투수 케르베로스</v>
      </c>
      <c r="C15" s="4" t="str">
        <f>INDEX(ItemTable[GradeType],MATCH(ItemEffectTable[[#This Row],[Index]],ItemTable[ItemEffectDataId],0))</f>
        <v>Rare</v>
      </c>
      <c r="D15" s="16">
        <v>8006</v>
      </c>
      <c r="E15" s="16"/>
      <c r="F15" s="16">
        <v>8006</v>
      </c>
      <c r="G15">
        <v>0</v>
      </c>
      <c r="H15" s="16" t="s">
        <v>342</v>
      </c>
      <c r="J15" s="16" t="s">
        <v>430</v>
      </c>
      <c r="K15">
        <v>3333</v>
      </c>
      <c r="L15" s="18" t="str">
        <f>IFERROR(LEFT(ItemEffectTable[[#This Row],[TriggerType]],FIND(",",ItemEffectTable[[#This Row],[TriggerType]],1)-1),ItemEffectTable[[#This Row],[TriggerType]])</f>
        <v>OnSwing</v>
      </c>
      <c r="M15" s="18" t="str">
        <f>IFERROR(
MID(ItemEffectTable[[#This Row],[TriggerType]],
FIND(",",ItemEffectTable[[#This Row],[TriggerType]],1)+2,
FIND(",",ItemEffectTable[[#This Row],[TriggerType]],FIND(",",ItemEffectTable[[#This Row],[TriggerType]],1))
),
"")</f>
        <v/>
      </c>
      <c r="N1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5" s="18">
        <f>IFERROR(INDEX(스텟별가치29[발동율],MATCH(ItemEffectTable[[#This Row],['#트리거1]],스텟별가치29[트리거],0)),0)</f>
        <v>0.5</v>
      </c>
      <c r="P15" s="18">
        <f>IFERROR(INDEX(스텟별가치29[발동율],MATCH(ItemEffectTable[[#This Row],['#트리거2]],스텟별가치29[트리거],0)),-1)</f>
        <v>-1</v>
      </c>
      <c r="Q15" s="18">
        <f>IFERROR(INDEX(스텟별가치29[발동율],MATCH(ItemEffectTable[[#This Row],['#트리거3]],스텟별가치29[트리거],0)),-1)</f>
        <v>-1</v>
      </c>
      <c r="R1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0.16664999999999999</v>
      </c>
      <c r="S15" s="18">
        <f>IFERROR(
INDEX(ItemEffectTable23[Duration],MATCH(ItemEffectTable[[#This Row],[ApplyBuffId]],ItemEffectTable23[Index],0)),
IFERROR(INDEX(ItemEffectTable23[Duration],MATCH(ItemEffectTable[[#This Row],[ApplySpecialEffectId]],ItemEffectTable23[Index],0)),-1)
)</f>
        <v>-1</v>
      </c>
    </row>
    <row r="16" spans="2:19">
      <c r="B16" s="81" t="str">
        <f>INDEX(ItemTable['#이름],MATCH(ItemEffectTable[[#This Row],[Index]],ItemTable[ItemEffectDataId],0))</f>
        <v>공을 마시는 배트</v>
      </c>
      <c r="C16" s="81" t="str">
        <f>INDEX(ItemTable[GradeType],MATCH(ItemEffectTable[[#This Row],[Index]],ItemTable[ItemEffectDataId],0))</f>
        <v>Rare</v>
      </c>
      <c r="D16" s="84">
        <v>8007</v>
      </c>
      <c r="E16" s="84"/>
      <c r="F16" s="84">
        <v>8007</v>
      </c>
      <c r="G16" s="81">
        <v>0.01</v>
      </c>
      <c r="H16" s="84" t="s">
        <v>353</v>
      </c>
      <c r="I16" s="81"/>
      <c r="J16" s="84" t="s">
        <v>325</v>
      </c>
      <c r="K16" s="81"/>
      <c r="L16" s="84" t="str">
        <f>IFERROR(LEFT(ItemEffectTable[[#This Row],[TriggerType]],FIND(",",ItemEffectTable[[#This Row],[TriggerType]],1)-1),ItemEffectTable[[#This Row],[TriggerType]])</f>
        <v>OnAttackStunEnemy</v>
      </c>
      <c r="M16" s="84" t="str">
        <f>IFERROR(
MID(ItemEffectTable[[#This Row],[TriggerType]],
FIND(",",ItemEffectTable[[#This Row],[TriggerType]],1)+2,
FIND(",",ItemEffectTable[[#This Row],[TriggerType]],FIND(",",ItemEffectTable[[#This Row],[TriggerType]],1))
),
"")</f>
        <v/>
      </c>
      <c r="N16"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6" s="84">
        <f>IFERROR(INDEX(스텟별가치29[발동율],MATCH(ItemEffectTable[[#This Row],['#트리거1]],스텟별가치29[트리거],0)),0)</f>
        <v>2</v>
      </c>
      <c r="P16" s="84">
        <f>IFERROR(INDEX(스텟별가치29[발동율],MATCH(ItemEffectTable[[#This Row],['#트리거2]],스텟별가치29[트리거],0)),-1)</f>
        <v>-1</v>
      </c>
      <c r="Q16" s="84">
        <f>IFERROR(INDEX(스텟별가치29[발동율],MATCH(ItemEffectTable[[#This Row],['#트리거3]],스텟별가치29[트리거],0)),-1)</f>
        <v>-1</v>
      </c>
      <c r="R16"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6" s="84">
        <f>IFERROR(
INDEX(ItemEffectTable23[Duration],MATCH(ItemEffectTable[[#This Row],[ApplyBuffId]],ItemEffectTable23[Index],0)),
IFERROR(INDEX(ItemEffectTable23[Duration],MATCH(ItemEffectTable[[#This Row],[ApplySpecialEffectId]],ItemEffectTable23[Index],0)),-1)
)</f>
        <v>-1</v>
      </c>
    </row>
    <row r="17" spans="2:19">
      <c r="B17" s="81" t="str">
        <f>INDEX(ItemTable['#이름],MATCH(ItemEffectTable[[#This Row],[Index]],ItemTable[ItemEffectDataId],0))</f>
        <v>공을 마시는 배트</v>
      </c>
      <c r="C17" s="81" t="str">
        <f>INDEX(ItemTable[GradeType],MATCH(ItemEffectTable[[#This Row],[Index]],ItemTable[ItemEffectDataId],0))</f>
        <v>Rare</v>
      </c>
      <c r="D17" s="84">
        <v>8007</v>
      </c>
      <c r="E17" s="84">
        <v>8007</v>
      </c>
      <c r="F17" s="84"/>
      <c r="G17" s="81">
        <v>0</v>
      </c>
      <c r="H17" s="84" t="s">
        <v>353</v>
      </c>
      <c r="I17" s="81"/>
      <c r="J17" s="85" t="s">
        <v>325</v>
      </c>
      <c r="K17" s="81"/>
      <c r="L17" s="84" t="str">
        <f>IFERROR(LEFT(ItemEffectTable[[#This Row],[TriggerType]],FIND(",",ItemEffectTable[[#This Row],[TriggerType]],1)-1),ItemEffectTable[[#This Row],[TriggerType]])</f>
        <v>OnAttackStunEnemy</v>
      </c>
      <c r="M17" s="84" t="str">
        <f>IFERROR(
MID(ItemEffectTable[[#This Row],[TriggerType]],
FIND(",",ItemEffectTable[[#This Row],[TriggerType]],1)+2,
FIND(",",ItemEffectTable[[#This Row],[TriggerType]],FIND(",",ItemEffectTable[[#This Row],[TriggerType]],1))
),
"")</f>
        <v/>
      </c>
      <c r="N17"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7" s="84">
        <f>IFERROR(INDEX(스텟별가치29[발동율],MATCH(ItemEffectTable[[#This Row],['#트리거1]],스텟별가치29[트리거],0)),0)</f>
        <v>2</v>
      </c>
      <c r="P17" s="84">
        <f>IFERROR(INDEX(스텟별가치29[발동율],MATCH(ItemEffectTable[[#This Row],['#트리거2]],스텟별가치29[트리거],0)),-1)</f>
        <v>-1</v>
      </c>
      <c r="Q17" s="84">
        <f>IFERROR(INDEX(스텟별가치29[발동율],MATCH(ItemEffectTable[[#This Row],['#트리거3]],스텟별가치29[트리거],0)),-1)</f>
        <v>-1</v>
      </c>
      <c r="R17"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7" s="84">
        <f>IFERROR(
INDEX(ItemEffectTable23[Duration],MATCH(ItemEffectTable[[#This Row],[ApplyBuffId]],ItemEffectTable23[Index],0)),
IFERROR(INDEX(ItemEffectTable23[Duration],MATCH(ItemEffectTable[[#This Row],[ApplySpecialEffectId]],ItemEffectTable23[Index],0)),-1)
)</f>
        <v>-1</v>
      </c>
    </row>
    <row r="18" spans="2:19">
      <c r="B18" s="19" t="str">
        <f>INDEX(ItemTable['#이름],MATCH(ItemEffectTable[[#This Row],[Index]],ItemTable[ItemEffectDataId],0))</f>
        <v>코코아 한통</v>
      </c>
      <c r="C18" s="19" t="str">
        <f>INDEX(ItemTable[GradeType],MATCH(ItemEffectTable[[#This Row],[Index]],ItemTable[ItemEffectDataId],0))</f>
        <v>Cursed</v>
      </c>
      <c r="D18" s="16">
        <v>9000</v>
      </c>
      <c r="E18" s="16">
        <v>9000</v>
      </c>
      <c r="F18" s="16"/>
      <c r="G18">
        <v>0</v>
      </c>
      <c r="H18" s="16" t="s">
        <v>326</v>
      </c>
      <c r="J18" s="16" t="s">
        <v>325</v>
      </c>
      <c r="L18" s="18" t="str">
        <f>IFERROR(LEFT(ItemEffectTable[[#This Row],[TriggerType]],FIND(",",ItemEffectTable[[#This Row],[TriggerType]],1)-1),ItemEffectTable[[#This Row],[TriggerType]])</f>
        <v>Equip</v>
      </c>
      <c r="M18" s="18" t="str">
        <f>IFERROR(
MID(ItemEffectTable[[#This Row],[TriggerType]],
FIND(",",ItemEffectTable[[#This Row],[TriggerType]],1)+2,
FIND(",",ItemEffectTable[[#This Row],[TriggerType]],FIND(",",ItemEffectTable[[#This Row],[TriggerType]],1))
),
"")</f>
        <v/>
      </c>
      <c r="N1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8" s="18">
        <f>IFERROR(INDEX(스텟별가치29[발동율],MATCH(ItemEffectTable[[#This Row],['#트리거1]],스텟별가치29[트리거],0)),0)</f>
        <v>-1</v>
      </c>
      <c r="P18" s="18">
        <f>IFERROR(INDEX(스텟별가치29[발동율],MATCH(ItemEffectTable[[#This Row],['#트리거2]],스텟별가치29[트리거],0)),-1)</f>
        <v>-1</v>
      </c>
      <c r="Q18" s="18">
        <f>IFERROR(INDEX(스텟별가치29[발동율],MATCH(ItemEffectTable[[#This Row],['#트리거3]],스텟별가치29[트리거],0)),-1)</f>
        <v>-1</v>
      </c>
      <c r="R1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8" s="18">
        <f>IFERROR(
INDEX(ItemEffectTable23[Duration],MATCH(ItemEffectTable[[#This Row],[ApplyBuffId]],ItemEffectTable23[Index],0)),
IFERROR(INDEX(ItemEffectTable23[Duration],MATCH(ItemEffectTable[[#This Row],[ApplySpecialEffectId]],ItemEffectTable23[Index],0)),-1)
)</f>
        <v>-1</v>
      </c>
    </row>
    <row r="19" spans="2:19">
      <c r="B19" s="19" t="str">
        <f>INDEX(ItemTable['#이름],MATCH(ItemEffectTable[[#This Row],[Index]],ItemTable[ItemEffectDataId],0))</f>
        <v>슬픈 캔리오</v>
      </c>
      <c r="C19" s="19" t="str">
        <f>INDEX(ItemTable[GradeType],MATCH(ItemEffectTable[[#This Row],[Index]],ItemTable[ItemEffectDataId],0))</f>
        <v>Cursed</v>
      </c>
      <c r="D19" s="16">
        <v>9001</v>
      </c>
      <c r="E19" s="16">
        <v>9001</v>
      </c>
      <c r="F19" s="16"/>
      <c r="G19">
        <v>0</v>
      </c>
      <c r="H19" s="16" t="s">
        <v>374</v>
      </c>
      <c r="J19" s="16" t="s">
        <v>325</v>
      </c>
      <c r="L19" s="18" t="str">
        <f>IFERROR(LEFT(ItemEffectTable[[#This Row],[TriggerType]],FIND(",",ItemEffectTable[[#This Row],[TriggerType]],1)-1),ItemEffectTable[[#This Row],[TriggerType]])</f>
        <v>OnSwingHit</v>
      </c>
      <c r="M19" s="18" t="str">
        <f>IFERROR(
MID(ItemEffectTable[[#This Row],[TriggerType]],
FIND(",",ItemEffectTable[[#This Row],[TriggerType]],1)+2,
FIND(",",ItemEffectTable[[#This Row],[TriggerType]],FIND(",",ItemEffectTable[[#This Row],[TriggerType]],1))
),
"")</f>
        <v/>
      </c>
      <c r="N1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9" s="18">
        <f>IFERROR(INDEX(스텟별가치29[발동율],MATCH(ItemEffectTable[[#This Row],['#트리거1]],스텟별가치29[트리거],0)),0)</f>
        <v>0.875</v>
      </c>
      <c r="P19" s="18">
        <f>IFERROR(INDEX(스텟별가치29[발동율],MATCH(ItemEffectTable[[#This Row],['#트리거2]],스텟별가치29[트리거],0)),-1)</f>
        <v>-1</v>
      </c>
      <c r="Q19" s="18">
        <f>IFERROR(INDEX(스텟별가치29[발동율],MATCH(ItemEffectTable[[#This Row],['#트리거3]],스텟별가치29[트리거],0)),-1)</f>
        <v>-1</v>
      </c>
      <c r="R1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0.875</v>
      </c>
      <c r="S19" s="18">
        <f>IFERROR(
INDEX(ItemEffectTable23[Duration],MATCH(ItemEffectTable[[#This Row],[ApplyBuffId]],ItemEffectTable23[Index],0)),
IFERROR(INDEX(ItemEffectTable23[Duration],MATCH(ItemEffectTable[[#This Row],[ApplySpecialEffectId]],ItemEffectTable23[Index],0)),-1)
)</f>
        <v>4</v>
      </c>
    </row>
    <row r="20" spans="2:19">
      <c r="B20" s="19" t="str">
        <f>INDEX(ItemTable['#이름],MATCH(ItemEffectTable[[#This Row],[Index]],ItemTable[ItemEffectDataId],0))</f>
        <v>슬픈 캔리오</v>
      </c>
      <c r="C20" s="19" t="str">
        <f>INDEX(ItemTable[GradeType],MATCH(ItemEffectTable[[#This Row],[Index]],ItemTable[ItemEffectDataId],0))</f>
        <v>Cursed</v>
      </c>
      <c r="D20" s="16">
        <v>9001</v>
      </c>
      <c r="E20" s="16">
        <v>9101</v>
      </c>
      <c r="F20" s="16"/>
      <c r="G20">
        <v>0</v>
      </c>
      <c r="H20" s="16" t="s">
        <v>326</v>
      </c>
      <c r="J20" s="16" t="s">
        <v>325</v>
      </c>
      <c r="L20" s="18" t="str">
        <f>IFERROR(LEFT(ItemEffectTable[[#This Row],[TriggerType]],FIND(",",ItemEffectTable[[#This Row],[TriggerType]],1)-1),ItemEffectTable[[#This Row],[TriggerType]])</f>
        <v>Equip</v>
      </c>
      <c r="M20" s="18" t="str">
        <f>IFERROR(
MID(ItemEffectTable[[#This Row],[TriggerType]],
FIND(",",ItemEffectTable[[#This Row],[TriggerType]],1)+2,
FIND(",",ItemEffectTable[[#This Row],[TriggerType]],FIND(",",ItemEffectTable[[#This Row],[TriggerType]],1))
),
"")</f>
        <v/>
      </c>
      <c r="N2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0" s="18">
        <f>IFERROR(INDEX(스텟별가치29[발동율],MATCH(ItemEffectTable[[#This Row],['#트리거1]],스텟별가치29[트리거],0)),0)</f>
        <v>-1</v>
      </c>
      <c r="P20" s="18">
        <f>IFERROR(INDEX(스텟별가치29[발동율],MATCH(ItemEffectTable[[#This Row],['#트리거2]],스텟별가치29[트리거],0)),-1)</f>
        <v>-1</v>
      </c>
      <c r="Q20" s="18">
        <f>IFERROR(INDEX(스텟별가치29[발동율],MATCH(ItemEffectTable[[#This Row],['#트리거3]],스텟별가치29[트리거],0)),-1)</f>
        <v>-1</v>
      </c>
      <c r="R2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0" s="18">
        <f>IFERROR(
INDEX(ItemEffectTable23[Duration],MATCH(ItemEffectTable[[#This Row],[ApplyBuffId]],ItemEffectTable23[Index],0)),
IFERROR(INDEX(ItemEffectTable23[Duration],MATCH(ItemEffectTable[[#This Row],[ApplySpecialEffectId]],ItemEffectTable23[Index],0)),-1)
)</f>
        <v>-1</v>
      </c>
    </row>
    <row r="21" spans="2:19">
      <c r="B21" s="19" t="str">
        <f>INDEX(ItemTable['#이름],MATCH(ItemEffectTable[[#This Row],[Index]],ItemTable[ItemEffectDataId],0))</f>
        <v>청개구리 총</v>
      </c>
      <c r="C21" s="19" t="str">
        <f>INDEX(ItemTable[GradeType],MATCH(ItemEffectTable[[#This Row],[Index]],ItemTable[ItemEffectDataId],0))</f>
        <v>Cursed</v>
      </c>
      <c r="D21" s="16">
        <v>9002</v>
      </c>
      <c r="E21" s="16">
        <v>9002</v>
      </c>
      <c r="F21" s="16">
        <v>9002</v>
      </c>
      <c r="G21">
        <v>0</v>
      </c>
      <c r="H21" s="16" t="s">
        <v>326</v>
      </c>
      <c r="J21" s="16" t="s">
        <v>325</v>
      </c>
      <c r="L21" s="18" t="str">
        <f>IFERROR(LEFT(ItemEffectTable[[#This Row],[TriggerType]],FIND(",",ItemEffectTable[[#This Row],[TriggerType]],1)-1),ItemEffectTable[[#This Row],[TriggerType]])</f>
        <v>Equip</v>
      </c>
      <c r="M21" s="18" t="str">
        <f>IFERROR(
MID(ItemEffectTable[[#This Row],[TriggerType]],
FIND(",",ItemEffectTable[[#This Row],[TriggerType]],1)+2,
FIND(",",ItemEffectTable[[#This Row],[TriggerType]],FIND(",",ItemEffectTable[[#This Row],[TriggerType]],1))
),
"")</f>
        <v/>
      </c>
      <c r="N2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1" s="18">
        <f>IFERROR(INDEX(스텟별가치29[발동율],MATCH(ItemEffectTable[[#This Row],['#트리거1]],스텟별가치29[트리거],0)),0)</f>
        <v>-1</v>
      </c>
      <c r="P21" s="18">
        <f>IFERROR(INDEX(스텟별가치29[발동율],MATCH(ItemEffectTable[[#This Row],['#트리거2]],스텟별가치29[트리거],0)),-1)</f>
        <v>-1</v>
      </c>
      <c r="Q21" s="18">
        <f>IFERROR(INDEX(스텟별가치29[발동율],MATCH(ItemEffectTable[[#This Row],['#트리거3]],스텟별가치29[트리거],0)),-1)</f>
        <v>-1</v>
      </c>
      <c r="R2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1" s="18">
        <f>IFERROR(
INDEX(ItemEffectTable23[Duration],MATCH(ItemEffectTable[[#This Row],[ApplyBuffId]],ItemEffectTable23[Index],0)),
IFERROR(INDEX(ItemEffectTable23[Duration],MATCH(ItemEffectTable[[#This Row],[ApplySpecialEffectId]],ItemEffectTable23[Index],0)),-1)
)</f>
        <v>-1</v>
      </c>
    </row>
    <row r="22" spans="2:19">
      <c r="B22" s="19" t="str">
        <f>INDEX(ItemTable['#이름],MATCH(ItemEffectTable[[#This Row],[Index]],ItemTable[ItemEffectDataId],0))</f>
        <v>누군가의 일기장</v>
      </c>
      <c r="C22" s="19" t="str">
        <f>INDEX(ItemTable[GradeType],MATCH(ItemEffectTable[[#This Row],[Index]],ItemTable[ItemEffectDataId],0))</f>
        <v>Cursed</v>
      </c>
      <c r="D22" s="16">
        <v>9003</v>
      </c>
      <c r="E22" s="16">
        <v>9003</v>
      </c>
      <c r="F22" s="16">
        <v>9003</v>
      </c>
      <c r="G22">
        <v>0</v>
      </c>
      <c r="H22" s="16" t="s">
        <v>326</v>
      </c>
      <c r="J22" s="16" t="s">
        <v>325</v>
      </c>
      <c r="L22" s="18" t="str">
        <f>IFERROR(LEFT(ItemEffectTable[[#This Row],[TriggerType]],FIND(",",ItemEffectTable[[#This Row],[TriggerType]],1)-1),ItemEffectTable[[#This Row],[TriggerType]])</f>
        <v>Equip</v>
      </c>
      <c r="M22" s="18" t="str">
        <f>IFERROR(
MID(ItemEffectTable[[#This Row],[TriggerType]],
FIND(",",ItemEffectTable[[#This Row],[TriggerType]],1)+2,
FIND(",",ItemEffectTable[[#This Row],[TriggerType]],FIND(",",ItemEffectTable[[#This Row],[TriggerType]],1))
),
"")</f>
        <v/>
      </c>
      <c r="N2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2" s="18">
        <f>IFERROR(INDEX(스텟별가치29[발동율],MATCH(ItemEffectTable[[#This Row],['#트리거1]],스텟별가치29[트리거],0)),0)</f>
        <v>-1</v>
      </c>
      <c r="P22" s="18">
        <f>IFERROR(INDEX(스텟별가치29[발동율],MATCH(ItemEffectTable[[#This Row],['#트리거2]],스텟별가치29[트리거],0)),-1)</f>
        <v>-1</v>
      </c>
      <c r="Q22" s="18">
        <f>IFERROR(INDEX(스텟별가치29[발동율],MATCH(ItemEffectTable[[#This Row],['#트리거3]],스텟별가치29[트리거],0)),-1)</f>
        <v>-1</v>
      </c>
      <c r="R2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2" s="18">
        <f>IFERROR(
INDEX(ItemEffectTable23[Duration],MATCH(ItemEffectTable[[#This Row],[ApplyBuffId]],ItemEffectTable23[Index],0)),
IFERROR(INDEX(ItemEffectTable23[Duration],MATCH(ItemEffectTable[[#This Row],[ApplySpecialEffectId]],ItemEffectTable23[Index],0)),-1)
)</f>
        <v>-1</v>
      </c>
    </row>
    <row r="23" spans="2:19">
      <c r="B23" s="19" t="str">
        <f>INDEX(ItemTable['#이름],MATCH(ItemEffectTable[[#This Row],[Index]],ItemTable[ItemEffectDataId],0))</f>
        <v>행성 만세</v>
      </c>
      <c r="C23" s="32" t="str">
        <f>INDEX(ItemTable[GradeType],MATCH(ItemEffectTable[[#This Row],[Index]],ItemTable[ItemEffectDataId],0))</f>
        <v>Cursed</v>
      </c>
      <c r="D23" s="16">
        <v>9004</v>
      </c>
      <c r="E23" s="16"/>
      <c r="F23" s="16">
        <v>9004</v>
      </c>
      <c r="G23">
        <v>0</v>
      </c>
      <c r="H23" s="16" t="s">
        <v>446</v>
      </c>
      <c r="J23" s="16" t="s">
        <v>325</v>
      </c>
      <c r="L23" s="18" t="str">
        <f>IFERROR(LEFT(ItemEffectTable[[#This Row],[TriggerType]],FIND(",",ItemEffectTable[[#This Row],[TriggerType]],1)-1),ItemEffectTable[[#This Row],[TriggerType]])</f>
        <v>OnDamage</v>
      </c>
      <c r="M23" s="18" t="str">
        <f>IFERROR(
MID(ItemEffectTable[[#This Row],[TriggerType]],
FIND(",",ItemEffectTable[[#This Row],[TriggerType]],1)+2,
FIND(",",ItemEffectTable[[#This Row],[TriggerType]],FIND(",",ItemEffectTable[[#This Row],[TriggerType]],1))
),
"")</f>
        <v/>
      </c>
      <c r="N2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3" s="18">
        <f>IFERROR(INDEX(스텟별가치29[발동율],MATCH(ItemEffectTable[[#This Row],['#트리거1]],스텟별가치29[트리거],0)),0)</f>
        <v>8.25</v>
      </c>
      <c r="P23" s="18">
        <f>IFERROR(INDEX(스텟별가치29[발동율],MATCH(ItemEffectTable[[#This Row],['#트리거2]],스텟별가치29[트리거],0)),-1)</f>
        <v>-1</v>
      </c>
      <c r="Q23" s="18">
        <f>IFERROR(INDEX(스텟별가치29[발동율],MATCH(ItemEffectTable[[#This Row],['#트리거3]],스텟별가치29[트리거],0)),-1)</f>
        <v>-1</v>
      </c>
      <c r="R2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8.25</v>
      </c>
      <c r="S23" s="18">
        <f>IFERROR(
INDEX(ItemEffectTable23[Duration],MATCH(ItemEffectTable[[#This Row],[ApplyBuffId]],ItemEffectTable23[Index],0)),
IFERROR(INDEX(ItemEffectTable23[Duration],MATCH(ItemEffectTable[[#This Row],[ApplySpecialEffectId]],ItemEffectTable23[Index],0)),-1)
)</f>
        <v>-1</v>
      </c>
    </row>
    <row r="24" spans="2:19">
      <c r="B24" s="19" t="str">
        <f>INDEX(ItemTable['#이름],MATCH(ItemEffectTable[[#This Row],[Index]],ItemTable[ItemEffectDataId],0))</f>
        <v>행성 만세</v>
      </c>
      <c r="C24" s="32" t="str">
        <f>INDEX(ItemTable[GradeType],MATCH(ItemEffectTable[[#This Row],[Index]],ItemTable[ItemEffectDataId],0))</f>
        <v>Cursed</v>
      </c>
      <c r="D24" s="16">
        <v>9004</v>
      </c>
      <c r="E24" s="16">
        <v>9104</v>
      </c>
      <c r="F24" s="16"/>
      <c r="G24">
        <v>0</v>
      </c>
      <c r="H24" s="16" t="s">
        <v>326</v>
      </c>
      <c r="J24" s="16" t="s">
        <v>325</v>
      </c>
      <c r="L24" s="18" t="str">
        <f>IFERROR(LEFT(ItemEffectTable[[#This Row],[TriggerType]],FIND(",",ItemEffectTable[[#This Row],[TriggerType]],1)-1),ItemEffectTable[[#This Row],[TriggerType]])</f>
        <v>Equip</v>
      </c>
      <c r="M24" s="18" t="str">
        <f>IFERROR(
MID(ItemEffectTable[[#This Row],[TriggerType]],
FIND(",",ItemEffectTable[[#This Row],[TriggerType]],1)+2,
FIND(",",ItemEffectTable[[#This Row],[TriggerType]],FIND(",",ItemEffectTable[[#This Row],[TriggerType]],1))
),
"")</f>
        <v/>
      </c>
      <c r="N2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4" s="18">
        <f>IFERROR(INDEX(스텟별가치29[발동율],MATCH(ItemEffectTable[[#This Row],['#트리거1]],스텟별가치29[트리거],0)),0)</f>
        <v>-1</v>
      </c>
      <c r="P24" s="18">
        <f>IFERROR(INDEX(스텟별가치29[발동율],MATCH(ItemEffectTable[[#This Row],['#트리거2]],스텟별가치29[트리거],0)),-1)</f>
        <v>-1</v>
      </c>
      <c r="Q24" s="18">
        <f>IFERROR(INDEX(스텟별가치29[발동율],MATCH(ItemEffectTable[[#This Row],['#트리거3]],스텟별가치29[트리거],0)),-1)</f>
        <v>-1</v>
      </c>
      <c r="R2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4" s="18">
        <f>IFERROR(
INDEX(ItemEffectTable23[Duration],MATCH(ItemEffectTable[[#This Row],[ApplyBuffId]],ItemEffectTable23[Index],0)),
IFERROR(INDEX(ItemEffectTable23[Duration],MATCH(ItemEffectTable[[#This Row],[ApplySpecialEffectId]],ItemEffectTable23[Index],0)),-1)
)</f>
        <v>-1</v>
      </c>
    </row>
    <row r="25" spans="2:19">
      <c r="B25" s="19" t="str">
        <f>INDEX(ItemTable['#이름],MATCH(ItemEffectTable[[#This Row],[Index]],ItemTable[ItemEffectDataId],0))</f>
        <v>회피 캣</v>
      </c>
      <c r="C25" s="4" t="str">
        <f>INDEX(ItemTable[GradeType],MATCH(ItemEffectTable[[#This Row],[Index]],ItemTable[ItemEffectDataId],0))</f>
        <v>Cursed</v>
      </c>
      <c r="D25" s="16">
        <v>9005</v>
      </c>
      <c r="E25" s="16"/>
      <c r="F25" s="16">
        <v>9005</v>
      </c>
      <c r="G25">
        <v>0</v>
      </c>
      <c r="H25" s="16" t="s">
        <v>394</v>
      </c>
      <c r="J25" s="16" t="s">
        <v>325</v>
      </c>
      <c r="L25" s="18" t="str">
        <f>IFERROR(LEFT(ItemEffectTable[[#This Row],[TriggerType]],FIND(",",ItemEffectTable[[#This Row],[TriggerType]],1)-1),ItemEffectTable[[#This Row],[TriggerType]])</f>
        <v>OnDodge</v>
      </c>
      <c r="M25" s="18" t="str">
        <f>IFERROR(
MID(ItemEffectTable[[#This Row],[TriggerType]],
FIND(",",ItemEffectTable[[#This Row],[TriggerType]],1)+2,
FIND(",",ItemEffectTable[[#This Row],[TriggerType]],FIND(",",ItemEffectTable[[#This Row],[TriggerType]],1))
),
"")</f>
        <v/>
      </c>
      <c r="N2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5" s="18">
        <f>IFERROR(INDEX(스텟별가치29[발동율],MATCH(ItemEffectTable[[#This Row],['#트리거1]],스텟별가치29[트리거],0)),0)</f>
        <v>2.5499999999999998</v>
      </c>
      <c r="P25" s="18">
        <f>IFERROR(INDEX(스텟별가치29[발동율],MATCH(ItemEffectTable[[#This Row],['#트리거2]],스텟별가치29[트리거],0)),-1)</f>
        <v>-1</v>
      </c>
      <c r="Q25" s="18">
        <f>IFERROR(INDEX(스텟별가치29[발동율],MATCH(ItemEffectTable[[#This Row],['#트리거3]],스텟별가치29[트리거],0)),-1)</f>
        <v>-1</v>
      </c>
      <c r="R2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2.5499999999999998</v>
      </c>
      <c r="S25" s="18">
        <f>IFERROR(
INDEX(ItemEffectTable23[Duration],MATCH(ItemEffectTable[[#This Row],[ApplyBuffId]],ItemEffectTable23[Index],0)),
IFERROR(INDEX(ItemEffectTable23[Duration],MATCH(ItemEffectTable[[#This Row],[ApplySpecialEffectId]],ItemEffectTable23[Index],0)),-1)
)</f>
        <v>-1</v>
      </c>
    </row>
    <row r="26" spans="2:19">
      <c r="B26" s="19" t="str">
        <f>INDEX(ItemTable['#이름],MATCH(ItemEffectTable[[#This Row],[Index]],ItemTable[ItemEffectDataId],0))</f>
        <v>회피 캣</v>
      </c>
      <c r="C26" s="32" t="str">
        <f>INDEX(ItemTable[GradeType],MATCH(ItemEffectTable[[#This Row],[Index]],ItemTable[ItemEffectDataId],0))</f>
        <v>Cursed</v>
      </c>
      <c r="D26" s="16">
        <v>9005</v>
      </c>
      <c r="E26" s="16">
        <v>9105</v>
      </c>
      <c r="F26" s="16"/>
      <c r="G26">
        <v>0</v>
      </c>
      <c r="H26" s="16" t="s">
        <v>326</v>
      </c>
      <c r="J26" s="16" t="s">
        <v>325</v>
      </c>
      <c r="L26" s="18" t="str">
        <f>IFERROR(LEFT(ItemEffectTable[[#This Row],[TriggerType]],FIND(",",ItemEffectTable[[#This Row],[TriggerType]],1)-1),ItemEffectTable[[#This Row],[TriggerType]])</f>
        <v>Equip</v>
      </c>
      <c r="M26" s="18" t="str">
        <f>IFERROR(
MID(ItemEffectTable[[#This Row],[TriggerType]],
FIND(",",ItemEffectTable[[#This Row],[TriggerType]],1)+2,
FIND(",",ItemEffectTable[[#This Row],[TriggerType]],FIND(",",ItemEffectTable[[#This Row],[TriggerType]],1))
),
"")</f>
        <v/>
      </c>
      <c r="N2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6" s="18">
        <f>IFERROR(INDEX(스텟별가치29[발동율],MATCH(ItemEffectTable[[#This Row],['#트리거1]],스텟별가치29[트리거],0)),0)</f>
        <v>-1</v>
      </c>
      <c r="P26" s="18">
        <f>IFERROR(INDEX(스텟별가치29[발동율],MATCH(ItemEffectTable[[#This Row],['#트리거2]],스텟별가치29[트리거],0)),-1)</f>
        <v>-1</v>
      </c>
      <c r="Q26" s="18">
        <f>IFERROR(INDEX(스텟별가치29[발동율],MATCH(ItemEffectTable[[#This Row],['#트리거3]],스텟별가치29[트리거],0)),-1)</f>
        <v>-1</v>
      </c>
      <c r="R2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6" s="18">
        <f>IFERROR(
INDEX(ItemEffectTable23[Duration],MATCH(ItemEffectTable[[#This Row],[ApplyBuffId]],ItemEffectTable23[Index],0)),
IFERROR(INDEX(ItemEffectTable23[Duration],MATCH(ItemEffectTable[[#This Row],[ApplySpecialEffectId]],ItemEffectTable23[Index],0)),-1)
)</f>
        <v>-1</v>
      </c>
    </row>
    <row r="27" spans="2:19">
      <c r="B27" s="19" t="str">
        <f>INDEX(ItemTable['#이름],MATCH(ItemEffectTable[[#This Row],[Index]],ItemTable[ItemEffectDataId],0))</f>
        <v>어른의 카드</v>
      </c>
      <c r="C27" s="32" t="str">
        <f>INDEX(ItemTable[GradeType],MATCH(ItemEffectTable[[#This Row],[Index]],ItemTable[ItemEffectDataId],0))</f>
        <v>Cursed</v>
      </c>
      <c r="D27" s="39">
        <v>9006</v>
      </c>
      <c r="E27" s="39">
        <v>9106</v>
      </c>
      <c r="F27" s="16"/>
      <c r="G27">
        <v>0</v>
      </c>
      <c r="H27" s="39" t="s">
        <v>326</v>
      </c>
      <c r="I27" s="39"/>
      <c r="J27" s="16" t="s">
        <v>325</v>
      </c>
      <c r="K27" s="39"/>
      <c r="L27" s="18" t="str">
        <f>IFERROR(LEFT(ItemEffectTable[[#This Row],[TriggerType]],FIND(",",ItemEffectTable[[#This Row],[TriggerType]],1)-1),ItemEffectTable[[#This Row],[TriggerType]])</f>
        <v>Equip</v>
      </c>
      <c r="M27" s="18" t="str">
        <f>IFERROR(
MID(ItemEffectTable[[#This Row],[TriggerType]],
FIND(",",ItemEffectTable[[#This Row],[TriggerType]],1)+2,
FIND(",",ItemEffectTable[[#This Row],[TriggerType]],FIND(",",ItemEffectTable[[#This Row],[TriggerType]],1))
),
"")</f>
        <v/>
      </c>
      <c r="N2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7" s="18">
        <f>IFERROR(INDEX(스텟별가치29[발동율],MATCH(ItemEffectTable[[#This Row],['#트리거1]],스텟별가치29[트리거],0)),0)</f>
        <v>-1</v>
      </c>
      <c r="P27" s="18">
        <f>IFERROR(INDEX(스텟별가치29[발동율],MATCH(ItemEffectTable[[#This Row],['#트리거2]],스텟별가치29[트리거],0)),-1)</f>
        <v>-1</v>
      </c>
      <c r="Q27" s="18">
        <f>IFERROR(INDEX(스텟별가치29[발동율],MATCH(ItemEffectTable[[#This Row],['#트리거3]],스텟별가치29[트리거],0)),-1)</f>
        <v>-1</v>
      </c>
      <c r="R2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7" s="18">
        <f>IFERROR(
INDEX(ItemEffectTable23[Duration],MATCH(ItemEffectTable[[#This Row],[ApplyBuffId]],ItemEffectTable23[Index],0)),
IFERROR(INDEX(ItemEffectTable23[Duration],MATCH(ItemEffectTable[[#This Row],[ApplySpecialEffectId]],ItemEffectTable23[Index],0)),-1)
)</f>
        <v>-1</v>
      </c>
    </row>
    <row r="28" spans="2:19">
      <c r="B28" s="45" t="str">
        <f>INDEX(ItemTable['#이름],MATCH(ItemEffectTable[[#This Row],[Index]],ItemTable[ItemEffectDataId],0))</f>
        <v>어른의 카드</v>
      </c>
      <c r="C28" s="46" t="str">
        <f>INDEX(ItemTable[GradeType],MATCH(ItemEffectTable[[#This Row],[Index]],ItemTable[ItemEffectDataId],0))</f>
        <v>Cursed</v>
      </c>
      <c r="D28" s="39">
        <v>9006</v>
      </c>
      <c r="E28" s="39"/>
      <c r="F28" s="39">
        <v>9006</v>
      </c>
      <c r="G28" s="39">
        <v>0</v>
      </c>
      <c r="H28" s="39" t="s">
        <v>342</v>
      </c>
      <c r="I28" s="39"/>
      <c r="J28" s="16" t="s">
        <v>325</v>
      </c>
      <c r="K28" s="39"/>
      <c r="L28" s="18" t="str">
        <f>IFERROR(LEFT(ItemEffectTable[[#This Row],[TriggerType]],FIND(",",ItemEffectTable[[#This Row],[TriggerType]],1)-1),ItemEffectTable[[#This Row],[TriggerType]])</f>
        <v>OnSwing</v>
      </c>
      <c r="M28" s="18" t="str">
        <f>IFERROR(
MID(ItemEffectTable[[#This Row],[TriggerType]],
FIND(",",ItemEffectTable[[#This Row],[TriggerType]],1)+2,
FIND(",",ItemEffectTable[[#This Row],[TriggerType]],FIND(",",ItemEffectTable[[#This Row],[TriggerType]],1))
),
"")</f>
        <v/>
      </c>
      <c r="N2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8" s="18">
        <f>IFERROR(INDEX(스텟별가치29[발동율],MATCH(ItemEffectTable[[#This Row],['#트리거1]],스텟별가치29[트리거],0)),0)</f>
        <v>0.5</v>
      </c>
      <c r="P28" s="18">
        <f>IFERROR(INDEX(스텟별가치29[발동율],MATCH(ItemEffectTable[[#This Row],['#트리거2]],스텟별가치29[트리거],0)),-1)</f>
        <v>-1</v>
      </c>
      <c r="Q28" s="18">
        <f>IFERROR(INDEX(스텟별가치29[발동율],MATCH(ItemEffectTable[[#This Row],['#트리거3]],스텟별가치29[트리거],0)),-1)</f>
        <v>-1</v>
      </c>
      <c r="R2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0.5</v>
      </c>
      <c r="S28" s="18">
        <f>IFERROR(
INDEX(ItemEffectTable23[Duration],MATCH(ItemEffectTable[[#This Row],[ApplyBuffId]],ItemEffectTable23[Index],0)),
IFERROR(INDEX(ItemEffectTable23[Duration],MATCH(ItemEffectTable[[#This Row],[ApplySpecialEffectId]],ItemEffectTable23[Index],0)),-1)
)</f>
        <v>-1</v>
      </c>
    </row>
    <row r="29" spans="2:19">
      <c r="B29" s="75" t="str">
        <f>INDEX(ItemTable['#이름],MATCH(ItemEffectTable[[#This Row],[Index]],ItemTable[ItemEffectDataId],0))</f>
        <v>악마의 적금통장</v>
      </c>
      <c r="C29" s="75" t="str">
        <f>INDEX(ItemTable[GradeType],MATCH(ItemEffectTable[[#This Row],[Index]],ItemTable[ItemEffectDataId],0))</f>
        <v>Cursed</v>
      </c>
      <c r="D29" s="76">
        <v>9007</v>
      </c>
      <c r="E29" s="76">
        <v>9107</v>
      </c>
      <c r="F29" s="76"/>
      <c r="G29" s="75">
        <v>0</v>
      </c>
      <c r="H29" s="76" t="s">
        <v>326</v>
      </c>
      <c r="I29" s="75"/>
      <c r="J29" s="77" t="s">
        <v>325</v>
      </c>
      <c r="K29" s="75"/>
      <c r="L29" s="76" t="str">
        <f>IFERROR(LEFT(ItemEffectTable[[#This Row],[TriggerType]],FIND(",",ItemEffectTable[[#This Row],[TriggerType]],1)-1),ItemEffectTable[[#This Row],[TriggerType]])</f>
        <v>Equip</v>
      </c>
      <c r="M29" s="76" t="str">
        <f>IFERROR(
MID(ItemEffectTable[[#This Row],[TriggerType]],
FIND(",",ItemEffectTable[[#This Row],[TriggerType]],1)+2,
FIND(",",ItemEffectTable[[#This Row],[TriggerType]],FIND(",",ItemEffectTable[[#This Row],[TriggerType]],1))
),
"")</f>
        <v/>
      </c>
      <c r="N29"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9" s="76">
        <f>IFERROR(INDEX(스텟별가치29[발동율],MATCH(ItemEffectTable[[#This Row],['#트리거1]],스텟별가치29[트리거],0)),0)</f>
        <v>-1</v>
      </c>
      <c r="P29" s="76">
        <f>IFERROR(INDEX(스텟별가치29[발동율],MATCH(ItemEffectTable[[#This Row],['#트리거2]],스텟별가치29[트리거],0)),-1)</f>
        <v>-1</v>
      </c>
      <c r="Q29" s="76">
        <f>IFERROR(INDEX(스텟별가치29[발동율],MATCH(ItemEffectTable[[#This Row],['#트리거3]],스텟별가치29[트리거],0)),-1)</f>
        <v>-1</v>
      </c>
      <c r="R29"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9" s="76">
        <f>IFERROR(
INDEX(ItemEffectTable23[Duration],MATCH(ItemEffectTable[[#This Row],[ApplyBuffId]],ItemEffectTable23[Index],0)),
IFERROR(INDEX(ItemEffectTable23[Duration],MATCH(ItemEffectTable[[#This Row],[ApplySpecialEffectId]],ItemEffectTable23[Index],0)),-1)
)</f>
        <v>-1</v>
      </c>
    </row>
    <row r="30" spans="2:19">
      <c r="B30" s="75" t="str">
        <f>INDEX(ItemTable['#이름],MATCH(ItemEffectTable[[#This Row],[Index]],ItemTable[ItemEffectDataId],0))</f>
        <v>악마의 적금통장</v>
      </c>
      <c r="C30" s="75" t="str">
        <f>INDEX(ItemTable[GradeType],MATCH(ItemEffectTable[[#This Row],[Index]],ItemTable[ItemEffectDataId],0))</f>
        <v>Cursed</v>
      </c>
      <c r="D30" s="76">
        <v>9007</v>
      </c>
      <c r="E30" s="76"/>
      <c r="F30" s="76">
        <v>9007</v>
      </c>
      <c r="G30" s="75">
        <v>0</v>
      </c>
      <c r="H30" s="76" t="s">
        <v>868</v>
      </c>
      <c r="I30" s="75"/>
      <c r="J30" s="76" t="s">
        <v>325</v>
      </c>
      <c r="K30" s="75"/>
      <c r="L30" s="76" t="str">
        <f>IFERROR(LEFT(ItemEffectTable[[#This Row],[TriggerType]],FIND(",",ItemEffectTable[[#This Row],[TriggerType]],1)-1),ItemEffectTable[[#This Row],[TriggerType]])</f>
        <v>OnClearRoom</v>
      </c>
      <c r="M30" s="76" t="str">
        <f>IFERROR(
MID(ItemEffectTable[[#This Row],[TriggerType]],
FIND(",",ItemEffectTable[[#This Row],[TriggerType]],1)+2,
FIND(",",ItemEffectTable[[#This Row],[TriggerType]],FIND(",",ItemEffectTable[[#This Row],[TriggerType]],1))
),
"")</f>
        <v/>
      </c>
      <c r="N30"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0" s="76">
        <f>IFERROR(INDEX(스텟별가치29[발동율],MATCH(ItemEffectTable[[#This Row],['#트리거1]],스텟별가치29[트리거],0)),0)</f>
        <v>0</v>
      </c>
      <c r="P30" s="76">
        <f>IFERROR(INDEX(스텟별가치29[발동율],MATCH(ItemEffectTable[[#This Row],['#트리거2]],스텟별가치29[트리거],0)),-1)</f>
        <v>-1</v>
      </c>
      <c r="Q30" s="76">
        <f>IFERROR(INDEX(스텟별가치29[발동율],MATCH(ItemEffectTable[[#This Row],['#트리거3]],스텟별가치29[트리거],0)),-1)</f>
        <v>-1</v>
      </c>
      <c r="R30"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0" s="76">
        <f>IFERROR(
INDEX(ItemEffectTable23[Duration],MATCH(ItemEffectTable[[#This Row],[ApplyBuffId]],ItemEffectTable23[Index],0)),
IFERROR(INDEX(ItemEffectTable23[Duration],MATCH(ItemEffectTable[[#This Row],[ApplySpecialEffectId]],ItemEffectTable23[Index],0)),-1)
)</f>
        <v>-1</v>
      </c>
    </row>
    <row r="31" spans="2:19">
      <c r="B31" s="75" t="str">
        <f>INDEX(ItemTable['#이름],MATCH(ItemEffectTable[[#This Row],[Index]],ItemTable[ItemEffectDataId],0))</f>
        <v>악마의 적금통장</v>
      </c>
      <c r="C31" s="75" t="str">
        <f>INDEX(ItemTable[GradeType],MATCH(ItemEffectTable[[#This Row],[Index]],ItemTable[ItemEffectDataId],0))</f>
        <v>Cursed</v>
      </c>
      <c r="D31" s="76">
        <v>9007</v>
      </c>
      <c r="E31" s="76">
        <v>9007</v>
      </c>
      <c r="F31" s="76"/>
      <c r="G31" s="75">
        <v>0</v>
      </c>
      <c r="H31" s="76" t="s">
        <v>868</v>
      </c>
      <c r="I31" s="77" t="s">
        <v>866</v>
      </c>
      <c r="J31" s="77" t="s">
        <v>920</v>
      </c>
      <c r="K31" s="75">
        <v>5</v>
      </c>
      <c r="L31" s="76" t="str">
        <f>IFERROR(LEFT(ItemEffectTable[[#This Row],[TriggerType]],FIND(",",ItemEffectTable[[#This Row],[TriggerType]],1)-1),ItemEffectTable[[#This Row],[TriggerType]])</f>
        <v>OnClearRoom</v>
      </c>
      <c r="M31" s="76" t="str">
        <f>IFERROR(
MID(ItemEffectTable[[#This Row],[TriggerType]],
FIND(",",ItemEffectTable[[#This Row],[TriggerType]],1)+2,
FIND(",",ItemEffectTable[[#This Row],[TriggerType]],FIND(",",ItemEffectTable[[#This Row],[TriggerType]],1))
),
"")</f>
        <v/>
      </c>
      <c r="N31"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1" s="76">
        <f>IFERROR(INDEX(스텟별가치29[발동율],MATCH(ItemEffectTable[[#This Row],['#트리거1]],스텟별가치29[트리거],0)),0)</f>
        <v>0</v>
      </c>
      <c r="P31" s="76">
        <f>IFERROR(INDEX(스텟별가치29[발동율],MATCH(ItemEffectTable[[#This Row],['#트리거2]],스텟별가치29[트리거],0)),-1)</f>
        <v>-1</v>
      </c>
      <c r="Q31" s="76">
        <f>IFERROR(INDEX(스텟별가치29[발동율],MATCH(ItemEffectTable[[#This Row],['#트리거3]],스텟별가치29[트리거],0)),-1)</f>
        <v>-1</v>
      </c>
      <c r="R31"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1" s="76">
        <f>IFERROR(
INDEX(ItemEffectTable23[Duration],MATCH(ItemEffectTable[[#This Row],[ApplyBuffId]],ItemEffectTable23[Index],0)),
IFERROR(INDEX(ItemEffectTable23[Duration],MATCH(ItemEffectTable[[#This Row],[ApplySpecialEffectId]],ItemEffectTable23[Index],0)),-1)
)</f>
        <v>-1</v>
      </c>
    </row>
    <row r="32" spans="2:19">
      <c r="B32" s="75" t="str">
        <f>INDEX(ItemTable['#이름],MATCH(ItemEffectTable[[#This Row],[Index]],ItemTable[ItemEffectDataId],0))</f>
        <v>악마의 적금통장</v>
      </c>
      <c r="C32" s="75" t="str">
        <f>INDEX(ItemTable[GradeType],MATCH(ItemEffectTable[[#This Row],[Index]],ItemTable[ItemEffectDataId],0))</f>
        <v>Cursed</v>
      </c>
      <c r="D32" s="76">
        <v>9007</v>
      </c>
      <c r="E32" s="76"/>
      <c r="F32" s="76">
        <v>9107</v>
      </c>
      <c r="G32" s="75">
        <v>0</v>
      </c>
      <c r="H32" s="76" t="s">
        <v>868</v>
      </c>
      <c r="I32" s="77" t="s">
        <v>866</v>
      </c>
      <c r="J32" s="77" t="s">
        <v>867</v>
      </c>
      <c r="K32" s="75">
        <v>6</v>
      </c>
      <c r="L32" s="76" t="str">
        <f>IFERROR(LEFT(ItemEffectTable[[#This Row],[TriggerType]],FIND(",",ItemEffectTable[[#This Row],[TriggerType]],1)-1),ItemEffectTable[[#This Row],[TriggerType]])</f>
        <v>OnClearRoom</v>
      </c>
      <c r="M32" s="76" t="str">
        <f>IFERROR(
MID(ItemEffectTable[[#This Row],[TriggerType]],
FIND(",",ItemEffectTable[[#This Row],[TriggerType]],1)+2,
FIND(",",ItemEffectTable[[#This Row],[TriggerType]],FIND(",",ItemEffectTable[[#This Row],[TriggerType]],1))
),
"")</f>
        <v/>
      </c>
      <c r="N32"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2" s="76">
        <f>IFERROR(INDEX(스텟별가치29[발동율],MATCH(ItemEffectTable[[#This Row],['#트리거1]],스텟별가치29[트리거],0)),0)</f>
        <v>0</v>
      </c>
      <c r="P32" s="76">
        <f>IFERROR(INDEX(스텟별가치29[발동율],MATCH(ItemEffectTable[[#This Row],['#트리거2]],스텟별가치29[트리거],0)),-1)</f>
        <v>-1</v>
      </c>
      <c r="Q32" s="76">
        <f>IFERROR(INDEX(스텟별가치29[발동율],MATCH(ItemEffectTable[[#This Row],['#트리거3]],스텟별가치29[트리거],0)),-1)</f>
        <v>-1</v>
      </c>
      <c r="R32"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2" s="76">
        <f>IFERROR(
INDEX(ItemEffectTable23[Duration],MATCH(ItemEffectTable[[#This Row],[ApplyBuffId]],ItemEffectTable23[Index],0)),
IFERROR(INDEX(ItemEffectTable23[Duration],MATCH(ItemEffectTable[[#This Row],[ApplySpecialEffectId]],ItemEffectTable23[Index],0)),-1)
)</f>
        <v>-1</v>
      </c>
    </row>
    <row r="33" spans="2:19">
      <c r="B33" s="19" t="str">
        <f>INDEX(ItemTable['#이름],MATCH(ItemEffectTable[[#This Row],[Index]],ItemTable[ItemEffectDataId],0))</f>
        <v>인피니티 도넛</v>
      </c>
      <c r="C33" s="32" t="str">
        <f>INDEX(ItemTable[GradeType],MATCH(ItemEffectTable[[#This Row],[Index]],ItemTable[ItemEffectDataId],0))</f>
        <v>Active</v>
      </c>
      <c r="D33">
        <v>10000</v>
      </c>
      <c r="F33">
        <v>10000</v>
      </c>
      <c r="G33">
        <v>0</v>
      </c>
      <c r="H33" s="16" t="s">
        <v>332</v>
      </c>
      <c r="I33" s="16"/>
      <c r="J33" s="16" t="s">
        <v>325</v>
      </c>
      <c r="L33" s="18" t="str">
        <f>IFERROR(LEFT(ItemEffectTable[[#This Row],[TriggerType]],FIND(",",ItemEffectTable[[#This Row],[TriggerType]],1)-1),ItemEffectTable[[#This Row],[TriggerType]])</f>
        <v>OnActiveKey</v>
      </c>
      <c r="M33" s="18" t="str">
        <f>IFERROR(
MID(ItemEffectTable[[#This Row],[TriggerType]],
FIND(",",ItemEffectTable[[#This Row],[TriggerType]],1)+2,
FIND(",",ItemEffectTable[[#This Row],[TriggerType]],FIND(",",ItemEffectTable[[#This Row],[TriggerType]],1))
),
"")</f>
        <v/>
      </c>
      <c r="N3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3" s="18">
        <f>IFERROR(INDEX(스텟별가치29[발동율],MATCH(ItemEffectTable[[#This Row],['#트리거1]],스텟별가치29[트리거],0)),0)</f>
        <v>-1</v>
      </c>
      <c r="P33" s="18">
        <f>IFERROR(INDEX(스텟별가치29[발동율],MATCH(ItemEffectTable[[#This Row],['#트리거2]],스텟별가치29[트리거],0)),-1)</f>
        <v>-1</v>
      </c>
      <c r="Q33" s="18">
        <f>IFERROR(INDEX(스텟별가치29[발동율],MATCH(ItemEffectTable[[#This Row],['#트리거3]],스텟별가치29[트리거],0)),-1)</f>
        <v>-1</v>
      </c>
      <c r="R3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3" s="18">
        <f>IFERROR(
INDEX(ItemEffectTable23[Duration],MATCH(ItemEffectTable[[#This Row],[ApplyBuffId]],ItemEffectTable23[Index],0)),
IFERROR(INDEX(ItemEffectTable23[Duration],MATCH(ItemEffectTable[[#This Row],[ApplySpecialEffectId]],ItemEffectTable23[Index],0)),-1)
)</f>
        <v>-1</v>
      </c>
    </row>
    <row r="34" spans="2:19">
      <c r="B34" s="19" t="str">
        <f>INDEX(ItemTable['#이름],MATCH(ItemEffectTable[[#This Row],[Index]],ItemTable[ItemEffectDataId],0))</f>
        <v>초소형 블랙홀</v>
      </c>
      <c r="C34" s="32" t="str">
        <f>INDEX(ItemTable[GradeType],MATCH(ItemEffectTable[[#This Row],[Index]],ItemTable[ItemEffectDataId],0))</f>
        <v>Active</v>
      </c>
      <c r="D34">
        <v>10001</v>
      </c>
      <c r="F34">
        <v>10001</v>
      </c>
      <c r="G34">
        <v>12</v>
      </c>
      <c r="H34" s="16" t="s">
        <v>332</v>
      </c>
      <c r="I34" s="16" t="s">
        <v>338</v>
      </c>
      <c r="J34" s="16" t="s">
        <v>337</v>
      </c>
      <c r="K34" s="11">
        <v>6</v>
      </c>
      <c r="L34" s="18" t="str">
        <f>IFERROR(LEFT(ItemEffectTable[[#This Row],[TriggerType]],FIND(",",ItemEffectTable[[#This Row],[TriggerType]],1)-1),ItemEffectTable[[#This Row],[TriggerType]])</f>
        <v>OnActiveKey</v>
      </c>
      <c r="M34" s="18" t="str">
        <f>IFERROR(
MID(ItemEffectTable[[#This Row],[TriggerType]],
FIND(",",ItemEffectTable[[#This Row],[TriggerType]],1)+2,
FIND(",",ItemEffectTable[[#This Row],[TriggerType]],FIND(",",ItemEffectTable[[#This Row],[TriggerType]],1))
),
"")</f>
        <v/>
      </c>
      <c r="N3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4" s="18">
        <f>IFERROR(INDEX(스텟별가치29[발동율],MATCH(ItemEffectTable[[#This Row],['#트리거1]],스텟별가치29[트리거],0)),0)</f>
        <v>-1</v>
      </c>
      <c r="P34" s="18">
        <f>IFERROR(INDEX(스텟별가치29[발동율],MATCH(ItemEffectTable[[#This Row],['#트리거2]],스텟별가치29[트리거],0)),-1)</f>
        <v>-1</v>
      </c>
      <c r="Q34" s="18">
        <f>IFERROR(INDEX(스텟별가치29[발동율],MATCH(ItemEffectTable[[#This Row],['#트리거3]],스텟별가치29[트리거],0)),-1)</f>
        <v>-1</v>
      </c>
      <c r="R3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4" s="18">
        <f>IFERROR(
INDEX(ItemEffectTable23[Duration],MATCH(ItemEffectTable[[#This Row],[ApplyBuffId]],ItemEffectTable23[Index],0)),
IFERROR(INDEX(ItemEffectTable23[Duration],MATCH(ItemEffectTable[[#This Row],[ApplySpecialEffectId]],ItemEffectTable23[Index],0)),-1)
)</f>
        <v>-1</v>
      </c>
    </row>
    <row r="35" spans="2:19">
      <c r="B35" s="19" t="str">
        <f>INDEX(ItemTable['#이름],MATCH(ItemEffectTable[[#This Row],[Index]],ItemTable[ItemEffectDataId],0))</f>
        <v>사이버웨어</v>
      </c>
      <c r="C35" s="32" t="str">
        <f>INDEX(ItemTable[GradeType],MATCH(ItemEffectTable[[#This Row],[Index]],ItemTable[ItemEffectDataId],0))</f>
        <v>Active</v>
      </c>
      <c r="D35">
        <v>10002</v>
      </c>
      <c r="E35">
        <v>10002</v>
      </c>
      <c r="F35">
        <v>10002</v>
      </c>
      <c r="G35">
        <v>15</v>
      </c>
      <c r="H35" s="16" t="s">
        <v>332</v>
      </c>
      <c r="J35" s="16" t="s">
        <v>325</v>
      </c>
      <c r="L35" s="18" t="str">
        <f>IFERROR(LEFT(ItemEffectTable[[#This Row],[TriggerType]],FIND(",",ItemEffectTable[[#This Row],[TriggerType]],1)-1),ItemEffectTable[[#This Row],[TriggerType]])</f>
        <v>OnActiveKey</v>
      </c>
      <c r="M35" s="18" t="str">
        <f>IFERROR(
MID(ItemEffectTable[[#This Row],[TriggerType]],
FIND(",",ItemEffectTable[[#This Row],[TriggerType]],1)+2,
FIND(",",ItemEffectTable[[#This Row],[TriggerType]],FIND(",",ItemEffectTable[[#This Row],[TriggerType]],1))
),
"")</f>
        <v/>
      </c>
      <c r="N3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5" s="18">
        <f>IFERROR(INDEX(스텟별가치29[발동율],MATCH(ItemEffectTable[[#This Row],['#트리거1]],스텟별가치29[트리거],0)),0)</f>
        <v>-1</v>
      </c>
      <c r="P35" s="18">
        <f>IFERROR(INDEX(스텟별가치29[발동율],MATCH(ItemEffectTable[[#This Row],['#트리거2]],스텟별가치29[트리거],0)),-1)</f>
        <v>-1</v>
      </c>
      <c r="Q35" s="18">
        <f>IFERROR(INDEX(스텟별가치29[발동율],MATCH(ItemEffectTable[[#This Row],['#트리거3]],스텟별가치29[트리거],0)),-1)</f>
        <v>-1</v>
      </c>
      <c r="R3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5" s="18">
        <f>IFERROR(
INDEX(ItemEffectTable23[Duration],MATCH(ItemEffectTable[[#This Row],[ApplyBuffId]],ItemEffectTable23[Index],0)),
IFERROR(INDEX(ItemEffectTable23[Duration],MATCH(ItemEffectTable[[#This Row],[ApplySpecialEffectId]],ItemEffectTable23[Index],0)),-1)
)</f>
        <v>3</v>
      </c>
    </row>
    <row r="36" spans="2:19">
      <c r="B36" s="19" t="str">
        <f>INDEX(ItemTable['#이름],MATCH(ItemEffectTable[[#This Row],[Index]],ItemTable[ItemEffectDataId],0))</f>
        <v>미사일 백팩</v>
      </c>
      <c r="C36" s="32" t="str">
        <f>INDEX(ItemTable[GradeType],MATCH(ItemEffectTable[[#This Row],[Index]],ItemTable[ItemEffectDataId],0))</f>
        <v>Active</v>
      </c>
      <c r="D36">
        <v>10003</v>
      </c>
      <c r="F36">
        <v>10003</v>
      </c>
      <c r="G36">
        <v>7</v>
      </c>
      <c r="H36" s="16" t="s">
        <v>332</v>
      </c>
      <c r="J36" s="16" t="s">
        <v>325</v>
      </c>
      <c r="L36" s="18" t="str">
        <f>IFERROR(LEFT(ItemEffectTable[[#This Row],[TriggerType]],FIND(",",ItemEffectTable[[#This Row],[TriggerType]],1)-1),ItemEffectTable[[#This Row],[TriggerType]])</f>
        <v>OnActiveKey</v>
      </c>
      <c r="M36" s="18" t="str">
        <f>IFERROR(
MID(ItemEffectTable[[#This Row],[TriggerType]],
FIND(",",ItemEffectTable[[#This Row],[TriggerType]],1)+2,
FIND(",",ItemEffectTable[[#This Row],[TriggerType]],FIND(",",ItemEffectTable[[#This Row],[TriggerType]],1))
),
"")</f>
        <v/>
      </c>
      <c r="N3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6" s="18">
        <f>IFERROR(INDEX(스텟별가치29[발동율],MATCH(ItemEffectTable[[#This Row],['#트리거1]],스텟별가치29[트리거],0)),0)</f>
        <v>-1</v>
      </c>
      <c r="P36" s="18">
        <f>IFERROR(INDEX(스텟별가치29[발동율],MATCH(ItemEffectTable[[#This Row],['#트리거2]],스텟별가치29[트리거],0)),-1)</f>
        <v>-1</v>
      </c>
      <c r="Q36" s="18">
        <f>IFERROR(INDEX(스텟별가치29[발동율],MATCH(ItemEffectTable[[#This Row],['#트리거3]],스텟별가치29[트리거],0)),-1)</f>
        <v>-1</v>
      </c>
      <c r="R3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6" s="18">
        <f>IFERROR(
INDEX(ItemEffectTable23[Duration],MATCH(ItemEffectTable[[#This Row],[ApplyBuffId]],ItemEffectTable23[Index],0)),
IFERROR(INDEX(ItemEffectTable23[Duration],MATCH(ItemEffectTable[[#This Row],[ApplySpecialEffectId]],ItemEffectTable23[Index],0)),-1)
)</f>
        <v>-1</v>
      </c>
    </row>
    <row r="37" spans="2:19">
      <c r="B37" s="19" t="str">
        <f>INDEX(ItemTable['#이름],MATCH(ItemEffectTable[[#This Row],[Index]],ItemTable[ItemEffectDataId],0))</f>
        <v>엑스칼리배트</v>
      </c>
      <c r="C37" s="32" t="str">
        <f>INDEX(ItemTable[GradeType],MATCH(ItemEffectTable[[#This Row],[Index]],ItemTable[ItemEffectDataId],0))</f>
        <v>Active</v>
      </c>
      <c r="D37">
        <v>10004</v>
      </c>
      <c r="E37">
        <v>10004</v>
      </c>
      <c r="F37">
        <v>10004</v>
      </c>
      <c r="G37">
        <v>16</v>
      </c>
      <c r="H37" s="16" t="s">
        <v>332</v>
      </c>
      <c r="J37" s="16" t="s">
        <v>325</v>
      </c>
      <c r="L37" s="18" t="str">
        <f>IFERROR(LEFT(ItemEffectTable[[#This Row],[TriggerType]],FIND(",",ItemEffectTable[[#This Row],[TriggerType]],1)-1),ItemEffectTable[[#This Row],[TriggerType]])</f>
        <v>OnActiveKey</v>
      </c>
      <c r="M37" s="18" t="str">
        <f>IFERROR(
MID(ItemEffectTable[[#This Row],[TriggerType]],
FIND(",",ItemEffectTable[[#This Row],[TriggerType]],1)+2,
FIND(",",ItemEffectTable[[#This Row],[TriggerType]],FIND(",",ItemEffectTable[[#This Row],[TriggerType]],1))
),
"")</f>
        <v/>
      </c>
      <c r="N3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7" s="18">
        <f>IFERROR(INDEX(스텟별가치29[발동율],MATCH(ItemEffectTable[[#This Row],['#트리거1]],스텟별가치29[트리거],0)),0)</f>
        <v>-1</v>
      </c>
      <c r="P37" s="18">
        <f>IFERROR(INDEX(스텟별가치29[발동율],MATCH(ItemEffectTable[[#This Row],['#트리거2]],스텟별가치29[트리거],0)),-1)</f>
        <v>-1</v>
      </c>
      <c r="Q37" s="18">
        <f>IFERROR(INDEX(스텟별가치29[발동율],MATCH(ItemEffectTable[[#This Row],['#트리거3]],스텟별가치29[트리거],0)),-1)</f>
        <v>-1</v>
      </c>
      <c r="R3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7" s="18">
        <f>IFERROR(
INDEX(ItemEffectTable23[Duration],MATCH(ItemEffectTable[[#This Row],[ApplyBuffId]],ItemEffectTable23[Index],0)),
IFERROR(INDEX(ItemEffectTable23[Duration],MATCH(ItemEffectTable[[#This Row],[ApplySpecialEffectId]],ItemEffectTable23[Index],0)),-1)
)</f>
        <v>1.5</v>
      </c>
    </row>
    <row r="38" spans="2:19">
      <c r="B38" s="19" t="str">
        <f>INDEX(ItemTable['#이름],MATCH(ItemEffectTable[[#This Row],[Index]],ItemTable[ItemEffectDataId],0))</f>
        <v>여의배트</v>
      </c>
      <c r="C38" s="32" t="str">
        <f>INDEX(ItemTable[GradeType],MATCH(ItemEffectTable[[#This Row],[Index]],ItemTable[ItemEffectDataId],0))</f>
        <v>Active</v>
      </c>
      <c r="D38">
        <v>10005</v>
      </c>
      <c r="E38">
        <v>10005</v>
      </c>
      <c r="G38">
        <v>18</v>
      </c>
      <c r="H38" s="16" t="s">
        <v>332</v>
      </c>
      <c r="J38" s="16" t="s">
        <v>325</v>
      </c>
      <c r="L38" s="18" t="str">
        <f>IFERROR(LEFT(ItemEffectTable[[#This Row],[TriggerType]],FIND(",",ItemEffectTable[[#This Row],[TriggerType]],1)-1),ItemEffectTable[[#This Row],[TriggerType]])</f>
        <v>OnActiveKey</v>
      </c>
      <c r="M38" s="18" t="str">
        <f>IFERROR(
MID(ItemEffectTable[[#This Row],[TriggerType]],
FIND(",",ItemEffectTable[[#This Row],[TriggerType]],1)+2,
FIND(",",ItemEffectTable[[#This Row],[TriggerType]],FIND(",",ItemEffectTable[[#This Row],[TriggerType]],1))
),
"")</f>
        <v/>
      </c>
      <c r="N3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8" s="18">
        <f>IFERROR(INDEX(스텟별가치29[발동율],MATCH(ItemEffectTable[[#This Row],['#트리거1]],스텟별가치29[트리거],0)),0)</f>
        <v>-1</v>
      </c>
      <c r="P38" s="18">
        <f>IFERROR(INDEX(스텟별가치29[발동율],MATCH(ItemEffectTable[[#This Row],['#트리거2]],스텟별가치29[트리거],0)),-1)</f>
        <v>-1</v>
      </c>
      <c r="Q38" s="18">
        <f>IFERROR(INDEX(스텟별가치29[발동율],MATCH(ItemEffectTable[[#This Row],['#트리거3]],스텟별가치29[트리거],0)),-1)</f>
        <v>-1</v>
      </c>
      <c r="R3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8" s="18">
        <f>IFERROR(
INDEX(ItemEffectTable23[Duration],MATCH(ItemEffectTable[[#This Row],[ApplyBuffId]],ItemEffectTable23[Index],0)),
IFERROR(INDEX(ItemEffectTable23[Duration],MATCH(ItemEffectTable[[#This Row],[ApplySpecialEffectId]],ItemEffectTable23[Index],0)),-1)
)</f>
        <v>10</v>
      </c>
    </row>
    <row r="39" spans="2:19">
      <c r="G39" s="11"/>
      <c r="L39" s="11"/>
    </row>
    <row r="40" spans="2:19">
      <c r="G40" s="11"/>
    </row>
  </sheetData>
  <phoneticPr fontId="6" type="noConversion"/>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BE5D7"/>
  </sheetPr>
  <dimension ref="B1:U54"/>
  <sheetViews>
    <sheetView topLeftCell="H4" zoomScaleNormal="100" zoomScaleSheetLayoutView="100" workbookViewId="0">
      <selection activeCell="U14" sqref="U14"/>
    </sheetView>
  </sheetViews>
  <sheetFormatPr defaultColWidth="8.796875" defaultRowHeight="17.399999999999999"/>
  <cols>
    <col min="2" max="2" width="17.796875" bestFit="1" customWidth="1"/>
    <col min="3" max="3" width="29" bestFit="1" customWidth="1"/>
    <col min="4" max="4" width="8.69921875" bestFit="1" customWidth="1"/>
    <col min="5" max="5" width="21.19921875" bestFit="1" customWidth="1"/>
    <col min="6" max="6" width="20.5" bestFit="1" customWidth="1"/>
    <col min="7" max="7" width="21.69921875" bestFit="1" customWidth="1"/>
    <col min="8" max="8" width="11.5" bestFit="1" customWidth="1"/>
    <col min="9" max="9" width="18.69921875" bestFit="1" customWidth="1"/>
    <col min="10" max="10" width="12.5" bestFit="1" customWidth="1"/>
    <col min="11" max="11" width="12.19921875" style="8" customWidth="1"/>
    <col min="12" max="12" width="12.69921875" bestFit="1" customWidth="1"/>
    <col min="13" max="14" width="13.796875" bestFit="1" customWidth="1"/>
    <col min="15" max="15" width="13.796875" customWidth="1"/>
    <col min="16" max="16" width="13.796875" bestFit="1" customWidth="1"/>
    <col min="17" max="19" width="13.796875" customWidth="1"/>
    <col min="20" max="20" width="10" customWidth="1"/>
  </cols>
  <sheetData>
    <row r="1" spans="2:21">
      <c r="D1" s="11" t="s">
        <v>635</v>
      </c>
      <c r="E1" s="16" t="s">
        <v>636</v>
      </c>
      <c r="F1" s="16" t="s">
        <v>314</v>
      </c>
      <c r="G1" s="16" t="s">
        <v>321</v>
      </c>
      <c r="H1" s="16" t="s">
        <v>314</v>
      </c>
    </row>
    <row r="2" spans="2:21" s="42" customFormat="1">
      <c r="B2" s="66" t="s">
        <v>727</v>
      </c>
      <c r="C2" s="66" t="s">
        <v>614</v>
      </c>
      <c r="D2" s="57" t="s">
        <v>38</v>
      </c>
      <c r="E2" s="57" t="s">
        <v>310</v>
      </c>
      <c r="F2" s="57" t="s">
        <v>320</v>
      </c>
      <c r="G2" s="58" t="s">
        <v>4</v>
      </c>
      <c r="H2" s="58" t="s">
        <v>322</v>
      </c>
      <c r="I2" s="66" t="s">
        <v>616</v>
      </c>
      <c r="J2" s="66" t="s">
        <v>615</v>
      </c>
      <c r="K2" s="67" t="s">
        <v>637</v>
      </c>
      <c r="L2" s="66" t="s">
        <v>634</v>
      </c>
      <c r="M2" s="66" t="s">
        <v>644</v>
      </c>
      <c r="N2" s="66" t="s">
        <v>722</v>
      </c>
      <c r="O2" s="66" t="s">
        <v>723</v>
      </c>
      <c r="P2" s="66" t="s">
        <v>617</v>
      </c>
      <c r="Q2" s="66" t="s">
        <v>726</v>
      </c>
      <c r="R2" s="66" t="s">
        <v>729</v>
      </c>
      <c r="S2" s="72" t="s">
        <v>734</v>
      </c>
      <c r="T2" s="66" t="s">
        <v>725</v>
      </c>
      <c r="U2" s="66" t="s">
        <v>724</v>
      </c>
    </row>
    <row r="3" spans="2:21">
      <c r="B3" s="19" t="str">
        <f>IFERROR(INDEX(ItemEffectTable['#이름],MATCH(ItemEffectTable23[[#This Row],[Index]],ItemEffectTable[Index],0)),INDEX(ItemEffectTable['#이름],MATCH(ItemEffectTable23[[#This Row],[Index]],ItemEffectTable[ApplyBuffId],0)))</f>
        <v>메탈유니콘 키링</v>
      </c>
      <c r="C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공이 적을 관통함 =1</v>
      </c>
      <c r="D3">
        <v>7000</v>
      </c>
      <c r="E3" s="16" t="s">
        <v>852</v>
      </c>
      <c r="F3" s="16">
        <v>1</v>
      </c>
      <c r="G3" s="11" t="s">
        <v>396</v>
      </c>
      <c r="H3" s="16">
        <v>-1</v>
      </c>
      <c r="I3" s="18" cm="1">
        <f t="array" ref="I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3" s="18" cm="1">
        <f t="array" ref="J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v>
      </c>
      <c r="L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30</v>
      </c>
      <c r="M3" s="14">
        <f>IFERROR(
INDEX(ItemEffectTable['#발동율],MATCH(ItemEffectTable23[[#This Row],[Index]],ItemEffectTable[ApplySpecialEffectId],0)),
INDEX(ItemEffectTable['#발동율],MATCH(ItemEffectTable23[[#This Row],[Index]],ItemEffectTable[ApplyBuffId],0))
)</f>
        <v>-1</v>
      </c>
      <c r="N3" s="14">
        <f>INDEX(ItemEffectTable[CoolTime],MATCH(ItemEffectTable23[[#This Row],[Index]],ItemEffectTable[ApplyBuffId],0))</f>
        <v>0</v>
      </c>
      <c r="O3" s="14">
        <f>IF(ItemEffectTable23[[#This Row],['#발동율]]=-1,-1,(ItemEffectTable23[[#This Row],['#발동율]]+ItemEffectTable23[[#This Row],['#쿨타임]])/ItemEffectTable23[[#This Row],[Duration]])</f>
        <v>-1</v>
      </c>
      <c r="P3" s="19">
        <f>ItemEffectTable23[[#This Row],['#효력 가치 판단]]/IF(ItemEffectTable23[[#This Row],['#발동량]]=-1,1,ItemEffectTable23[[#This Row],['#발동량]])</f>
        <v>30</v>
      </c>
      <c r="Q3" s="19">
        <f>SUMIF(ItemEffectTable23['#아이템 명칭],ItemEffectTable23[[#This Row],['#아이템 명칭]],ItemEffectTable23['#총 가치판단])</f>
        <v>30</v>
      </c>
      <c r="R3" s="19">
        <f>IFERROR(INDEX(ItemEffectTable2324['#가치판단],MATCH(ItemEffectTable23[[#This Row],['#아이템 명칭]],ItemEffectTable2324['#명칭],0)),0)</f>
        <v>0</v>
      </c>
      <c r="S3" s="19">
        <f>ItemEffectTable23[[#This Row],['#아이템 효력 합산]]+ItemEffectTable23[[#This Row],['#특수 효력]]/COUNTIF(ItemEffectTable23['#특수 효력],ItemEffectTable23[[#This Row],['#특수 효력]])</f>
        <v>30</v>
      </c>
      <c r="T3" s="19" cm="1">
        <f t="array" ref="T3">INDEX(표9[],0,MATCH(
INDEX(ItemTable[GradeType],MATCH(INDEX(ItemEffectTable[Index],MATCH(ItemEffectTable23[[#This Row],[Index]],ItemEffectTable[ApplyBuffId],0)),ItemTable[ItemEffectDataId],0)),표9[#Headers],0))</f>
        <v>30</v>
      </c>
      <c r="U3" s="70">
        <f>ItemEffectTable23[[#This Row],['#종합 효력]]/ItemEffectTable23[[#This Row],['#기준 효력]]</f>
        <v>1</v>
      </c>
    </row>
    <row r="4" spans="2:21">
      <c r="B4" s="56" t="str">
        <f>IFERROR(INDEX(ItemEffectTable['#이름],MATCH(ItemEffectTable23[[#This Row],[Index]],ItemEffectTable[Index],0)),INDEX(ItemEffectTable['#이름],MATCH(ItemEffectTable23[[#This Row],[Index]],ItemEffectTable[ApplyBuffId],0)))</f>
        <v>천사의 열매</v>
      </c>
      <c r="C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+0.3</v>
      </c>
      <c r="D4" s="42">
        <v>7001</v>
      </c>
      <c r="E4" s="52" t="s">
        <v>188</v>
      </c>
      <c r="F4" s="52">
        <v>0.3</v>
      </c>
      <c r="G4" s="42" t="s">
        <v>472</v>
      </c>
      <c r="H4" s="42">
        <v>-1</v>
      </c>
      <c r="I4" s="18" cm="1">
        <f t="array" ref="I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4" s="18" cm="1">
        <f t="array" ref="J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2.8</v>
      </c>
      <c r="L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29.999999999999982</v>
      </c>
      <c r="M4" s="14">
        <f>IFERROR(
INDEX(ItemEffectTable['#발동율],MATCH(ItemEffectTable23[[#This Row],[Index]],ItemEffectTable[ApplySpecialEffectId],0)),
INDEX(ItemEffectTable['#발동율],MATCH(ItemEffectTable23[[#This Row],[Index]],ItemEffectTable[ApplyBuffId],0))
)</f>
        <v>-1</v>
      </c>
      <c r="N4" s="19">
        <f>INDEX(ItemEffectTable[CoolTime],MATCH(ItemEffectTable23[[#This Row],[Index]],ItemEffectTable[ApplyBuffId],0))</f>
        <v>0</v>
      </c>
      <c r="O4" s="19">
        <f>IF(ItemEffectTable23[[#This Row],['#발동율]]=-1,-1,(ItemEffectTable23[[#This Row],['#발동율]]+ItemEffectTable23[[#This Row],['#쿨타임]])/ItemEffectTable23[[#This Row],[Duration]])</f>
        <v>-1</v>
      </c>
      <c r="P4" s="19">
        <f>ItemEffectTable23[[#This Row],['#효력 가치 판단]]/IF(ItemEffectTable23[[#This Row],['#발동량]]=-1,1,ItemEffectTable23[[#This Row],['#발동량]])</f>
        <v>29.999999999999982</v>
      </c>
      <c r="Q4" s="19">
        <f>SUMIF(ItemEffectTable23['#아이템 명칭],ItemEffectTable23[[#This Row],['#아이템 명칭]],ItemEffectTable23['#총 가치판단])</f>
        <v>29.999999999999982</v>
      </c>
      <c r="R4" s="19">
        <f>IFERROR(INDEX(ItemEffectTable2324['#가치판단],MATCH(ItemEffectTable23[[#This Row],['#아이템 명칭]],ItemEffectTable2324['#명칭],0)),0)</f>
        <v>0</v>
      </c>
      <c r="S4" s="19">
        <f>ItemEffectTable23[[#This Row],['#아이템 효력 합산]]+ItemEffectTable23[[#This Row],['#특수 효력]]/COUNTIF(ItemEffectTable23['#특수 효력],ItemEffectTable23[[#This Row],['#특수 효력]])</f>
        <v>29.999999999999982</v>
      </c>
      <c r="T4" s="19" cm="1">
        <f t="array" ref="T4">INDEX(표9[],0,MATCH(
INDEX(ItemTable[GradeType],MATCH(INDEX(ItemEffectTable[Index],MATCH(ItemEffectTable23[[#This Row],[Index]],ItemEffectTable[ApplyBuffId],0)),ItemTable[ItemEffectDataId],0)),표9[#Headers],0))</f>
        <v>30</v>
      </c>
      <c r="U4" s="70">
        <f>ItemEffectTable23[[#This Row],['#종합 효력]]/ItemEffectTable23[[#This Row],['#기준 효력]]</f>
        <v>0.99999999999999944</v>
      </c>
    </row>
    <row r="5" spans="2:21">
      <c r="B5" s="56" t="str">
        <f>IFERROR(INDEX(ItemEffectTable['#이름],MATCH(ItemEffectTable23[[#This Row],[Index]],ItemEffectTable[Index],0)),INDEX(ItemEffectTable['#이름],MATCH(ItemEffectTable23[[#This Row],[Index]],ItemEffectTable[ApplyBuffId],0)))</f>
        <v>쿨 - 도그</v>
      </c>
      <c r="C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+0.15</v>
      </c>
      <c r="D5" s="42">
        <v>7002</v>
      </c>
      <c r="E5" s="42" t="s">
        <v>334</v>
      </c>
      <c r="F5" s="52">
        <v>0.85</v>
      </c>
      <c r="G5" s="42" t="s">
        <v>213</v>
      </c>
      <c r="H5" s="42">
        <v>-1</v>
      </c>
      <c r="I5" s="18" cm="1">
        <f t="array" ref="I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5" s="18" cm="1">
        <f t="array" ref="J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0.51</v>
      </c>
      <c r="L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29.999999999999993</v>
      </c>
      <c r="M5" s="14">
        <f>IFERROR(
INDEX(ItemEffectTable['#발동율],MATCH(ItemEffectTable23[[#This Row],[Index]],ItemEffectTable[ApplySpecialEffectId],0)),
INDEX(ItemEffectTable['#발동율],MATCH(ItemEffectTable23[[#This Row],[Index]],ItemEffectTable[ApplyBuffId],0))
)</f>
        <v>-1</v>
      </c>
      <c r="N5" s="19">
        <f>INDEX(ItemEffectTable[CoolTime],MATCH(ItemEffectTable23[[#This Row],[Index]],ItemEffectTable[ApplyBuffId],0))</f>
        <v>0</v>
      </c>
      <c r="O5" s="19">
        <f>IF(ItemEffectTable23[[#This Row],['#발동율]]=-1,-1,(ItemEffectTable23[[#This Row],['#발동율]]+ItemEffectTable23[[#This Row],['#쿨타임]])/ItemEffectTable23[[#This Row],[Duration]])</f>
        <v>-1</v>
      </c>
      <c r="P5" s="19">
        <f>ItemEffectTable23[[#This Row],['#효력 가치 판단]]/IF(ItemEffectTable23[[#This Row],['#발동량]]=-1,1,ItemEffectTable23[[#This Row],['#발동량]])</f>
        <v>29.999999999999993</v>
      </c>
      <c r="Q5" s="19">
        <f>SUMIF(ItemEffectTable23['#아이템 명칭],ItemEffectTable23[[#This Row],['#아이템 명칭]],ItemEffectTable23['#총 가치판단])</f>
        <v>29.999999999999993</v>
      </c>
      <c r="R5" s="19">
        <f>IFERROR(INDEX(ItemEffectTable2324['#가치판단],MATCH(ItemEffectTable23[[#This Row],['#아이템 명칭]],ItemEffectTable2324['#명칭],0)),0)</f>
        <v>0</v>
      </c>
      <c r="S5" s="19">
        <f>ItemEffectTable23[[#This Row],['#아이템 효력 합산]]+ItemEffectTable23[[#This Row],['#특수 효력]]/COUNTIF(ItemEffectTable23['#특수 효력],ItemEffectTable23[[#This Row],['#특수 효력]])</f>
        <v>29.999999999999993</v>
      </c>
      <c r="T5" s="19" cm="1">
        <f t="array" ref="T5">INDEX(표9[],0,MATCH(
INDEX(ItemTable[GradeType],MATCH(INDEX(ItemEffectTable[Index],MATCH(ItemEffectTable23[[#This Row],[Index]],ItemEffectTable[ApplyBuffId],0)),ItemTable[ItemEffectDataId],0)),표9[#Headers],0))</f>
        <v>30</v>
      </c>
      <c r="U5" s="70">
        <f>ItemEffectTable23[[#This Row],['#종합 효력]]/ItemEffectTable23[[#This Row],['#기준 효력]]</f>
        <v>0.99999999999999978</v>
      </c>
    </row>
    <row r="6" spans="2:21">
      <c r="B6" s="56" t="str">
        <f>IFERROR(INDEX(ItemEffectTable['#이름],MATCH(ItemEffectTable23[[#This Row],[Index]],ItemEffectTable[Index],0)),INDEX(ItemEffectTable['#이름],MATCH(ItemEffectTable23[[#This Row],[Index]],ItemEffectTable[ApplyBuffId],0)))</f>
        <v>QT 파우더</v>
      </c>
      <c r="C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+0.2 (5초)</v>
      </c>
      <c r="D6" s="42">
        <v>7003</v>
      </c>
      <c r="E6" s="52" t="s">
        <v>371</v>
      </c>
      <c r="F6" s="42">
        <v>0.2</v>
      </c>
      <c r="G6" s="42" t="s">
        <v>327</v>
      </c>
      <c r="H6" s="42">
        <v>5</v>
      </c>
      <c r="I6" s="18" cm="1">
        <f t="array" ref="I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6" s="18" cm="1">
        <f t="array" ref="J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1.2</v>
      </c>
      <c r="L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6" s="14">
        <f>IFERROR(
INDEX(ItemEffectTable['#발동율],MATCH(ItemEffectTable23[[#This Row],[Index]],ItemEffectTable[ApplySpecialEffectId],0)),
INDEX(ItemEffectTable['#발동율],MATCH(ItemEffectTable23[[#This Row],[Index]],ItemEffectTable[ApplyBuffId],0))
)</f>
        <v>3.3000000000000003</v>
      </c>
      <c r="N6" s="19">
        <f>INDEX(ItemEffectTable[CoolTime],MATCH(ItemEffectTable23[[#This Row],[Index]],ItemEffectTable[ApplyBuffId],0))</f>
        <v>5</v>
      </c>
      <c r="O6" s="19">
        <f>IF(ItemEffectTable23[[#This Row],['#발동율]]=-1,-1,(ItemEffectTable23[[#This Row],['#발동율]]+ItemEffectTable23[[#This Row],['#쿨타임]])/ItemEffectTable23[[#This Row],[Duration]])</f>
        <v>1.6600000000000001</v>
      </c>
      <c r="P6" s="19">
        <f>ItemEffectTable23[[#This Row],['#효력 가치 판단]]/IF(ItemEffectTable23[[#This Row],['#발동량]]=-1,1,ItemEffectTable23[[#This Row],['#발동량]])</f>
        <v>30.120481927710831</v>
      </c>
      <c r="Q6" s="19">
        <f>SUMIF(ItemEffectTable23['#아이템 명칭],ItemEffectTable23[[#This Row],['#아이템 명칭]],ItemEffectTable23['#총 가치판단])</f>
        <v>30.120481927710831</v>
      </c>
      <c r="R6" s="19">
        <f>IFERROR(INDEX(ItemEffectTable2324['#가치판단],MATCH(ItemEffectTable23[[#This Row],['#아이템 명칭]],ItemEffectTable2324['#명칭],0)),0)</f>
        <v>0</v>
      </c>
      <c r="S6" s="19">
        <f>ItemEffectTable23[[#This Row],['#아이템 효력 합산]]+ItemEffectTable23[[#This Row],['#특수 효력]]/COUNTIF(ItemEffectTable23['#특수 효력],ItemEffectTable23[[#This Row],['#특수 효력]])</f>
        <v>30.120481927710831</v>
      </c>
      <c r="T6" s="19" cm="1">
        <f t="array" ref="T6">INDEX(표9[],0,MATCH(
INDEX(ItemTable[GradeType],MATCH(INDEX(ItemEffectTable[Index],MATCH(ItemEffectTable23[[#This Row],[Index]],ItemEffectTable[ApplyBuffId],0)),ItemTable[ItemEffectDataId],0)),표9[#Headers],0))</f>
        <v>30</v>
      </c>
      <c r="U6" s="70">
        <f>ItemEffectTable23[[#This Row],['#종합 효력]]/ItemEffectTable23[[#This Row],['#기준 효력]]</f>
        <v>1.0040160642570277</v>
      </c>
    </row>
    <row r="7" spans="2:21">
      <c r="B7" s="56" t="str">
        <f>IFERROR(INDEX(ItemEffectTable['#이름],MATCH(ItemEffectTable23[[#This Row],[Index]],ItemEffectTable[Index],0)),INDEX(ItemEffectTable['#이름],MATCH(ItemEffectTable23[[#This Row],[Index]],ItemEffectTable[ApplyBuffId],0)))</f>
        <v>적토목마</v>
      </c>
      <c r="C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+0.08</v>
      </c>
      <c r="D7" s="42">
        <v>7004</v>
      </c>
      <c r="E7" s="52" t="s">
        <v>129</v>
      </c>
      <c r="F7" s="42">
        <v>0.92</v>
      </c>
      <c r="G7" s="42" t="s">
        <v>213</v>
      </c>
      <c r="H7" s="42">
        <v>-1</v>
      </c>
      <c r="I7" s="18" cm="1">
        <f t="array" ref="I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7" s="18" cm="1">
        <f t="array" ref="J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0.46</v>
      </c>
      <c r="L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29.999999999999986</v>
      </c>
      <c r="M7" s="19">
        <f>IFERROR(
INDEX(ItemEffectTable['#발동율],MATCH(ItemEffectTable23[[#This Row],[Index]],ItemEffectTable[ApplySpecialEffectId],0)),
INDEX(ItemEffectTable['#발동율],MATCH(ItemEffectTable23[[#This Row],[Index]],ItemEffectTable[ApplyBuffId],0))
)</f>
        <v>-1</v>
      </c>
      <c r="N7" s="19">
        <f>INDEX(ItemEffectTable[CoolTime],MATCH(ItemEffectTable23[[#This Row],[Index]],ItemEffectTable[ApplyBuffId],0))</f>
        <v>0</v>
      </c>
      <c r="O7" s="19">
        <f>IF(ItemEffectTable23[[#This Row],['#발동율]]=-1,-1,(ItemEffectTable23[[#This Row],['#발동율]]+ItemEffectTable23[[#This Row],['#쿨타임]])/ItemEffectTable23[[#This Row],[Duration]])</f>
        <v>-1</v>
      </c>
      <c r="P7" s="19">
        <f>ItemEffectTable23[[#This Row],['#효력 가치 판단]]/IF(ItemEffectTable23[[#This Row],['#발동량]]=-1,1,ItemEffectTable23[[#This Row],['#발동량]])</f>
        <v>29.999999999999986</v>
      </c>
      <c r="Q7" s="19">
        <f>SUMIF(ItemEffectTable23['#아이템 명칭],ItemEffectTable23[[#This Row],['#아이템 명칭]],ItemEffectTable23['#총 가치판단])</f>
        <v>29.999999999999986</v>
      </c>
      <c r="R7" s="19">
        <f>IFERROR(INDEX(ItemEffectTable2324['#가치판단],MATCH(ItemEffectTable23[[#This Row],['#아이템 명칭]],ItemEffectTable2324['#명칭],0)),0)</f>
        <v>0</v>
      </c>
      <c r="S7" s="19">
        <f>ItemEffectTable23[[#This Row],['#아이템 효력 합산]]+ItemEffectTable23[[#This Row],['#특수 효력]]/COUNTIF(ItemEffectTable23['#특수 효력],ItemEffectTable23[[#This Row],['#특수 효력]])</f>
        <v>29.999999999999986</v>
      </c>
      <c r="T7" s="19" cm="1">
        <f t="array" ref="T7">INDEX(표9[],0,MATCH(
INDEX(ItemTable[GradeType],MATCH(INDEX(ItemEffectTable[Index],MATCH(ItemEffectTable23[[#This Row],[Index]],ItemEffectTable[ApplyBuffId],0)),ItemTable[ItemEffectDataId],0)),표9[#Headers],0))</f>
        <v>30</v>
      </c>
      <c r="U7" s="70">
        <f>ItemEffectTable23[[#This Row],['#종합 효력]]/ItemEffectTable23[[#This Row],['#기준 효력]]</f>
        <v>0.99999999999999956</v>
      </c>
    </row>
    <row r="8" spans="2:21">
      <c r="B8" s="56" t="str">
        <f>IFERROR(INDEX(ItemEffectTable['#이름],MATCH(ItemEffectTable23[[#This Row],[Index]],ItemEffectTable[Index],0)),INDEX(ItemEffectTable['#이름],MATCH(ItemEffectTable23[[#This Row],[Index]],ItemEffectTable[ApplyBuffId],0)))</f>
        <v>삼각김곰</v>
      </c>
      <c r="C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8" s="42">
        <v>7005</v>
      </c>
      <c r="E8" s="52" t="s">
        <v>401</v>
      </c>
      <c r="F8" s="42">
        <v>50</v>
      </c>
      <c r="G8" s="42" t="s">
        <v>327</v>
      </c>
      <c r="H8" s="42">
        <v>-1</v>
      </c>
      <c r="I8" s="18" cm="1">
        <f t="array" ref="I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8" s="18" cm="1">
        <f t="array" ref="J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8" s="19">
        <f>IFERROR(
INDEX(ItemEffectTable['#발동율],MATCH(ItemEffectTable23[[#This Row],[Index]],ItemEffectTable[ApplySpecialEffectId],0)),
INDEX(ItemEffectTable['#발동율],MATCH(ItemEffectTable23[[#This Row],[Index]],ItemEffectTable[ApplyBuffId],0))
)</f>
        <v>-1</v>
      </c>
      <c r="N8" s="19">
        <f>INDEX(ItemEffectTable[CoolTime],MATCH(ItemEffectTable23[[#This Row],[Index]],ItemEffectTable[ApplyBuffId],0))</f>
        <v>0</v>
      </c>
      <c r="O8" s="19">
        <f>IF(ItemEffectTable23[[#This Row],['#발동율]]=-1,-1,(ItemEffectTable23[[#This Row],['#발동율]]+ItemEffectTable23[[#This Row],['#쿨타임]])/ItemEffectTable23[[#This Row],[Duration]])</f>
        <v>-1</v>
      </c>
      <c r="P8" s="19">
        <f>ItemEffectTable23[[#This Row],['#효력 가치 판단]]/IF(ItemEffectTable23[[#This Row],['#발동량]]=-1,1,ItemEffectTable23[[#This Row],['#발동량]])</f>
        <v>0</v>
      </c>
      <c r="Q8" s="19">
        <f>SUMIF(ItemEffectTable23['#아이템 명칭],ItemEffectTable23[[#This Row],['#아이템 명칭]],ItemEffectTable23['#총 가치판단])</f>
        <v>0</v>
      </c>
      <c r="R8" s="19">
        <f>IFERROR(INDEX(ItemEffectTable2324['#가치판단],MATCH(ItemEffectTable23[[#This Row],['#아이템 명칭]],ItemEffectTable2324['#명칭],0)),0)</f>
        <v>60</v>
      </c>
      <c r="S8" s="19">
        <f>ItemEffectTable23[[#This Row],['#아이템 효력 합산]]+ItemEffectTable23[[#This Row],['#특수 효력]]/COUNTIF(ItemEffectTable23['#특수 효력],ItemEffectTable23[[#This Row],['#특수 효력]])</f>
        <v>60</v>
      </c>
      <c r="T8" s="19" cm="1">
        <f t="array" ref="T8">INDEX(표9[],0,MATCH(
INDEX(ItemTable[GradeType],MATCH(INDEX(ItemEffectTable[Index],MATCH(ItemEffectTable23[[#This Row],[Index]],ItemEffectTable[ApplyBuffId],0)),ItemTable[ItemEffectDataId],0)),표9[#Headers],0))</f>
        <v>30</v>
      </c>
      <c r="U8" s="70">
        <f>ItemEffectTable23[[#This Row],['#종합 효력]]/ItemEffectTable23[[#This Row],['#기준 효력]]</f>
        <v>2</v>
      </c>
    </row>
    <row r="9" spans="2:21">
      <c r="B9" s="56" t="str">
        <f>IFERROR(INDEX(ItemEffectTable['#이름],MATCH(ItemEffectTable23[[#This Row],[Index]],ItemEffectTable[Index],0)),INDEX(ItemEffectTable['#이름],MATCH(ItemEffectTable23[[#This Row],[Index]],ItemEffectTable[ApplyBuffId],0)))</f>
        <v>데빌불</v>
      </c>
      <c r="C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+0.3 (4초)</v>
      </c>
      <c r="D9" s="42">
        <v>8000</v>
      </c>
      <c r="E9" s="52" t="s">
        <v>189</v>
      </c>
      <c r="F9" s="42">
        <v>0.3</v>
      </c>
      <c r="G9" s="42" t="s">
        <v>327</v>
      </c>
      <c r="H9" s="42">
        <v>4</v>
      </c>
      <c r="I9" s="18" cm="1">
        <f t="array" ref="I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9" s="18" cm="1">
        <f t="array" ref="J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75.000000000000014</v>
      </c>
      <c r="M9" s="19">
        <f>IFERROR(
INDEX(ItemEffectTable['#발동율],MATCH(ItemEffectTable23[[#This Row],[Index]],ItemEffectTable[ApplySpecialEffectId],0)),
INDEX(ItemEffectTable['#발동율],MATCH(ItemEffectTable23[[#This Row],[Index]],ItemEffectTable[ApplyBuffId],0))
)</f>
        <v>2</v>
      </c>
      <c r="N9" s="19">
        <f>INDEX(ItemEffectTable[CoolTime],MATCH(ItemEffectTable23[[#This Row],[Index]],ItemEffectTable[ApplyBuffId],0))</f>
        <v>4</v>
      </c>
      <c r="O9" s="19">
        <f>IF(ItemEffectTable23[[#This Row],['#발동율]]=-1,-1,(ItemEffectTable23[[#This Row],['#발동율]]+ItemEffectTable23[[#This Row],['#쿨타임]])/ItemEffectTable23[[#This Row],[Duration]])</f>
        <v>1.5</v>
      </c>
      <c r="P9" s="19">
        <f>ItemEffectTable23[[#This Row],['#효력 가치 판단]]/IF(ItemEffectTable23[[#This Row],['#발동량]]=-1,1,ItemEffectTable23[[#This Row],['#발동량]])</f>
        <v>50.000000000000007</v>
      </c>
      <c r="Q9" s="19">
        <f>SUMIF(ItemEffectTable23['#아이템 명칭],ItemEffectTable23[[#This Row],['#아이템 명칭]],ItemEffectTable23['#총 가치판단])</f>
        <v>50.000000000000007</v>
      </c>
      <c r="R9" s="19">
        <f>IFERROR(INDEX(ItemEffectTable2324['#가치판단],MATCH(ItemEffectTable23[[#This Row],['#아이템 명칭]],ItemEffectTable2324['#명칭],0)),0)</f>
        <v>0</v>
      </c>
      <c r="S9" s="19">
        <f>ItemEffectTable23[[#This Row],['#아이템 효력 합산]]+ItemEffectTable23[[#This Row],['#특수 효력]]/COUNTIF(ItemEffectTable23['#특수 효력],ItemEffectTable23[[#This Row],['#특수 효력]])</f>
        <v>50.000000000000007</v>
      </c>
      <c r="T9" s="19" cm="1">
        <f t="array" ref="T9">INDEX(표9[],0,MATCH(
INDEX(ItemTable[GradeType],MATCH(INDEX(ItemEffectTable[Index],MATCH(ItemEffectTable23[[#This Row],[Index]],ItemEffectTable[ApplyBuffId],0)),ItemTable[ItemEffectDataId],0)),표9[#Headers],0))</f>
        <v>50</v>
      </c>
      <c r="U9" s="70">
        <f>ItemEffectTable23[[#This Row],['#종합 효력]]/ItemEffectTable23[[#This Row],['#기준 효력]]</f>
        <v>1.0000000000000002</v>
      </c>
    </row>
    <row r="10" spans="2:21">
      <c r="B10" s="56" t="str">
        <f>IFERROR(INDEX(ItemEffectTable['#이름],MATCH(ItemEffectTable23[[#This Row],[Index]],ItemEffectTable[Index],0)),INDEX(ItemEffectTable['#이름],MATCH(ItemEffectTable23[[#This Row],[Index]],ItemEffectTable[ApplyBuffId],0)))</f>
        <v>배트리트</v>
      </c>
      <c r="C1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+(HP_Base - HP)*0.002</v>
      </c>
      <c r="D10" s="42">
        <v>8001</v>
      </c>
      <c r="E10" s="52" t="s">
        <v>189</v>
      </c>
      <c r="F10" s="42" t="s">
        <v>638</v>
      </c>
      <c r="G10" s="42" t="s">
        <v>327</v>
      </c>
      <c r="H10" s="42">
        <v>-1</v>
      </c>
      <c r="I10" s="18" cm="1">
        <f t="array" ref="I1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0" s="18" t="e" cm="1">
        <f t="array" ref="J1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K10" s="8" cm="1">
        <f t="array" ref="K10">ItemEffectTable23[[#This Row],['#스텟의 default값]]+(CharacterTable[MaxHP] - 50)*0.002</f>
        <v>1.2</v>
      </c>
      <c r="L1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10" s="14">
        <f>IFERROR(
INDEX(ItemEffectTable['#발동율],MATCH(ItemEffectTable23[[#This Row],[Index]],ItemEffectTable[ApplySpecialEffectId],0)),
INDEX(ItemEffectTable['#발동율],MATCH(ItemEffectTable23[[#This Row],[Index]],ItemEffectTable[ApplyBuffId],0))
)</f>
        <v>-1</v>
      </c>
      <c r="N10" s="19">
        <f>INDEX(ItemEffectTable[CoolTime],MATCH(ItemEffectTable23[[#This Row],[Index]],ItemEffectTable[ApplyBuffId],0))</f>
        <v>0</v>
      </c>
      <c r="O10" s="19">
        <f>IF(ItemEffectTable23[[#This Row],['#발동율]]=-1,-1,(ItemEffectTable23[[#This Row],['#발동율]]+ItemEffectTable23[[#This Row],['#쿨타임]])/ItemEffectTable23[[#This Row],[Duration]])</f>
        <v>-1</v>
      </c>
      <c r="P10" s="19">
        <f>ItemEffectTable23[[#This Row],['#효력 가치 판단]]/IF(ItemEffectTable23[[#This Row],['#발동량]]=-1,1,ItemEffectTable23[[#This Row],['#발동량]])</f>
        <v>49.999999999999986</v>
      </c>
      <c r="Q10" s="19">
        <f>SUMIF(ItemEffectTable23['#아이템 명칭],ItemEffectTable23[[#This Row],['#아이템 명칭]],ItemEffectTable23['#총 가치판단])</f>
        <v>49.999999999999986</v>
      </c>
      <c r="R10" s="19">
        <f>IFERROR(INDEX(ItemEffectTable2324['#가치판단],MATCH(ItemEffectTable23[[#This Row],['#아이템 명칭]],ItemEffectTable2324['#명칭],0)),0)</f>
        <v>0</v>
      </c>
      <c r="S10" s="19">
        <f>ItemEffectTable23[[#This Row],['#아이템 효력 합산]]+ItemEffectTable23[[#This Row],['#특수 효력]]/COUNTIF(ItemEffectTable23['#특수 효력],ItemEffectTable23[[#This Row],['#특수 효력]])</f>
        <v>49.999999999999986</v>
      </c>
      <c r="T10" s="19" cm="1">
        <f t="array" ref="T10">INDEX(표9[],0,MATCH(
INDEX(ItemTable[GradeType],MATCH(INDEX(ItemEffectTable[Index],MATCH(ItemEffectTable23[[#This Row],[Index]],ItemEffectTable[ApplyBuffId],0)),ItemTable[ItemEffectDataId],0)),표9[#Headers],0))</f>
        <v>50</v>
      </c>
      <c r="U10" s="70">
        <f>ItemEffectTable23[[#This Row],['#종합 효력]]/ItemEffectTable23[[#This Row],['#기준 효력]]</f>
        <v>0.99999999999999967</v>
      </c>
    </row>
    <row r="11" spans="2:21">
      <c r="B11" s="56" t="str">
        <f>IFERROR(INDEX(ItemEffectTable['#이름],MATCH(ItemEffectTable23[[#This Row],[Index]],ItemEffectTable[Index],0)),INDEX(ItemEffectTable['#이름],MATCH(ItemEffectTable23[[#This Row],[Index]],ItemEffectTable[ApplyBuffId],0)))</f>
        <v>사나운 돼지저금통</v>
      </c>
      <c r="C1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골드 획득 비율 +0.5</v>
      </c>
      <c r="D11" s="42">
        <v>8003</v>
      </c>
      <c r="E11" s="42" t="s">
        <v>156</v>
      </c>
      <c r="F11" s="42">
        <v>0.5</v>
      </c>
      <c r="G11" s="42" t="s">
        <v>327</v>
      </c>
      <c r="H11" s="42">
        <v>-1</v>
      </c>
      <c r="I11" s="18" cm="1">
        <f t="array" ref="I1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1" s="18" cm="1">
        <f t="array" ref="J1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1.5</v>
      </c>
      <c r="L1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50</v>
      </c>
      <c r="M11" s="19">
        <f>IFERROR(
INDEX(ItemEffectTable['#발동율],MATCH(ItemEffectTable23[[#This Row],[Index]],ItemEffectTable[ApplySpecialEffectId],0)),
INDEX(ItemEffectTable['#발동율],MATCH(ItemEffectTable23[[#This Row],[Index]],ItemEffectTable[ApplyBuffId],0))
)</f>
        <v>-1</v>
      </c>
      <c r="N11" s="19">
        <f>INDEX(ItemEffectTable[CoolTime],MATCH(ItemEffectTable23[[#This Row],[Index]],ItemEffectTable[ApplyBuffId],0))</f>
        <v>0</v>
      </c>
      <c r="O11" s="19">
        <f>IF(ItemEffectTable23[[#This Row],['#발동율]]=-1,-1,(ItemEffectTable23[[#This Row],['#발동율]]+ItemEffectTable23[[#This Row],['#쿨타임]])/ItemEffectTable23[[#This Row],[Duration]])</f>
        <v>-1</v>
      </c>
      <c r="P11" s="19">
        <f>ItemEffectTable23[[#This Row],['#효력 가치 판단]]/IF(ItemEffectTable23[[#This Row],['#발동량]]=-1,1,ItemEffectTable23[[#This Row],['#발동량]])</f>
        <v>50</v>
      </c>
      <c r="Q11" s="19">
        <f>SUMIF(ItemEffectTable23['#아이템 명칭],ItemEffectTable23[[#This Row],['#아이템 명칭]],ItemEffectTable23['#총 가치판단])</f>
        <v>50</v>
      </c>
      <c r="R11" s="19">
        <f>IFERROR(INDEX(ItemEffectTable2324['#가치판단],MATCH(ItemEffectTable23[[#This Row],['#아이템 명칭]],ItemEffectTable2324['#명칭],0)),0)</f>
        <v>0</v>
      </c>
      <c r="S11" s="19">
        <f>ItemEffectTable23[[#This Row],['#아이템 효력 합산]]+ItemEffectTable23[[#This Row],['#특수 효력]]/COUNTIF(ItemEffectTable23['#특수 효력],ItemEffectTable23[[#This Row],['#특수 효력]])</f>
        <v>50</v>
      </c>
      <c r="T11" s="19" cm="1">
        <f t="array" ref="T11">INDEX(표9[],0,MATCH(
INDEX(ItemTable[GradeType],MATCH(INDEX(ItemEffectTable[Index],MATCH(ItemEffectTable23[[#This Row],[Index]],ItemEffectTable[ApplyBuffId],0)),ItemTable[ItemEffectDataId],0)),표9[#Headers],0))</f>
        <v>50</v>
      </c>
      <c r="U11" s="70">
        <f>ItemEffectTable23[[#This Row],['#종합 효력]]/ItemEffectTable23[[#This Row],['#기준 효력]]</f>
        <v>1</v>
      </c>
    </row>
    <row r="12" spans="2:21">
      <c r="B12" s="56" t="str">
        <f>IFERROR(INDEX(ItemEffectTable['#이름],MATCH(ItemEffectTable23[[#This Row],[Index]],ItemEffectTable[Index],0)),INDEX(ItemEffectTable['#이름],MATCH(ItemEffectTable23[[#This Row],[Index]],ItemEffectTable[ApplyBuffId],0)))</f>
        <v>성배 속 무언가</v>
      </c>
      <c r="C1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 충돌 횟수 +3</v>
      </c>
      <c r="D12" s="42">
        <v>8004</v>
      </c>
      <c r="E12" s="52" t="s">
        <v>391</v>
      </c>
      <c r="F12" s="42">
        <v>3</v>
      </c>
      <c r="G12" s="42" t="s">
        <v>327</v>
      </c>
      <c r="H12" s="42">
        <v>-1</v>
      </c>
      <c r="I12" s="18" cm="1">
        <f t="array" ref="I1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3</v>
      </c>
      <c r="J12" s="18" cm="1">
        <f t="array" ref="J1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6</v>
      </c>
      <c r="L1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45</v>
      </c>
      <c r="M12" s="19">
        <f>IFERROR(
INDEX(ItemEffectTable['#발동율],MATCH(ItemEffectTable23[[#This Row],[Index]],ItemEffectTable[ApplySpecialEffectId],0)),
INDEX(ItemEffectTable['#발동율],MATCH(ItemEffectTable23[[#This Row],[Index]],ItemEffectTable[ApplyBuffId],0))
)</f>
        <v>-1</v>
      </c>
      <c r="N12" s="19">
        <f>INDEX(ItemEffectTable[CoolTime],MATCH(ItemEffectTable23[[#This Row],[Index]],ItemEffectTable[ApplyBuffId],0))</f>
        <v>0</v>
      </c>
      <c r="O12" s="19">
        <f>IF(ItemEffectTable23[[#This Row],['#발동율]]=-1,-1,(ItemEffectTable23[[#This Row],['#발동율]]+ItemEffectTable23[[#This Row],['#쿨타임]])/ItemEffectTable23[[#This Row],[Duration]])</f>
        <v>-1</v>
      </c>
      <c r="P12" s="19">
        <f>ItemEffectTable23[[#This Row],['#효력 가치 판단]]/IF(ItemEffectTable23[[#This Row],['#발동량]]=-1,1,ItemEffectTable23[[#This Row],['#발동량]])</f>
        <v>45</v>
      </c>
      <c r="Q12" s="19">
        <f>SUMIF(ItemEffectTable23['#아이템 명칭],ItemEffectTable23[[#This Row],['#아이템 명칭]],ItemEffectTable23['#총 가치판단])</f>
        <v>45</v>
      </c>
      <c r="R12" s="19">
        <f>IFERROR(INDEX(ItemEffectTable2324['#가치판단],MATCH(ItemEffectTable23[[#This Row],['#아이템 명칭]],ItemEffectTable2324['#명칭],0)),0)</f>
        <v>0</v>
      </c>
      <c r="S12" s="19">
        <f>ItemEffectTable23[[#This Row],['#아이템 효력 합산]]+ItemEffectTable23[[#This Row],['#특수 효력]]/COUNTIF(ItemEffectTable23['#특수 효력],ItemEffectTable23[[#This Row],['#특수 효력]])</f>
        <v>45</v>
      </c>
      <c r="T12" s="19" cm="1">
        <f t="array" ref="T12">INDEX(표9[],0,MATCH(
INDEX(ItemTable[GradeType],MATCH(INDEX(ItemEffectTable[Index],MATCH(ItemEffectTable23[[#This Row],[Index]],ItemEffectTable[ApplyBuffId],0)),ItemTable[ItemEffectDataId],0)),표9[#Headers],0))</f>
        <v>50</v>
      </c>
      <c r="U12" s="70">
        <f>ItemEffectTable23[[#This Row],['#종합 효력]]/ItemEffectTable23[[#This Row],['#기준 효력]]</f>
        <v>0.9</v>
      </c>
    </row>
    <row r="13" spans="2:21">
      <c r="B13" s="56" t="str">
        <f>IFERROR(INDEX(ItemEffectTable['#이름],MATCH(ItemEffectTable23[[#This Row],[Index]],ItemEffectTable[Index],0)),INDEX(ItemEffectTable['#이름],MATCH(ItemEffectTable23[[#This Row],[Index]],ItemEffectTable[ApplyBuffId],0)))</f>
        <v>이상한 사탕</v>
      </c>
      <c r="C1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13" s="42">
        <v>8005</v>
      </c>
      <c r="E13" s="52" t="s">
        <v>401</v>
      </c>
      <c r="F13" s="42">
        <v>50</v>
      </c>
      <c r="G13" s="42" t="s">
        <v>327</v>
      </c>
      <c r="H13" s="42">
        <v>-1</v>
      </c>
      <c r="I13" s="18" cm="1">
        <f t="array" ref="I1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13" s="18" cm="1">
        <f t="array" ref="J1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1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13" s="19">
        <f>IFERROR(
INDEX(ItemEffectTable['#발동율],MATCH(ItemEffectTable23[[#This Row],[Index]],ItemEffectTable[ApplySpecialEffectId],0)),
INDEX(ItemEffectTable['#발동율],MATCH(ItemEffectTable23[[#This Row],[Index]],ItemEffectTable[ApplyBuffId],0))
)</f>
        <v>-1</v>
      </c>
      <c r="N13" s="19">
        <f>INDEX(ItemEffectTable[CoolTime],MATCH(ItemEffectTable23[[#This Row],[Index]],ItemEffectTable[ApplyBuffId],0))</f>
        <v>0</v>
      </c>
      <c r="O13" s="19">
        <f>IF(ItemEffectTable23[[#This Row],['#발동율]]=-1,-1,(ItemEffectTable23[[#This Row],['#발동율]]+ItemEffectTable23[[#This Row],['#쿨타임]])/ItemEffectTable23[[#This Row],[Duration]])</f>
        <v>-1</v>
      </c>
      <c r="P13" s="19">
        <f>ItemEffectTable23[[#This Row],['#효력 가치 판단]]/IF(ItemEffectTable23[[#This Row],['#발동량]]=-1,1,ItemEffectTable23[[#This Row],['#발동량]])</f>
        <v>0</v>
      </c>
      <c r="Q13" s="19">
        <f>SUMIF(ItemEffectTable23['#아이템 명칭],ItemEffectTable23[[#This Row],['#아이템 명칭]],ItemEffectTable23['#총 가치판단])</f>
        <v>0</v>
      </c>
      <c r="R13" s="19">
        <f>IFERROR(INDEX(ItemEffectTable2324['#가치판단],MATCH(ItemEffectTable23[[#This Row],['#아이템 명칭]],ItemEffectTable2324['#명칭],0)),0)</f>
        <v>1200</v>
      </c>
      <c r="S13" s="19">
        <f>ItemEffectTable23[[#This Row],['#아이템 효력 합산]]+ItemEffectTable23[[#This Row],['#특수 효력]]/COUNTIF(ItemEffectTable23['#특수 효력],ItemEffectTable23[[#This Row],['#특수 효력]])</f>
        <v>1200</v>
      </c>
      <c r="T13" s="19" cm="1">
        <f t="array" ref="T13">INDEX(표9[],0,MATCH(
INDEX(ItemTable[GradeType],MATCH(INDEX(ItemEffectTable[Index],MATCH(ItemEffectTable23[[#This Row],[Index]],ItemEffectTable[ApplyBuffId],0)),ItemTable[ItemEffectDataId],0)),표9[#Headers],0))</f>
        <v>50</v>
      </c>
      <c r="U13" s="70">
        <f>ItemEffectTable23[[#This Row],['#종합 효력]]/ItemEffectTable23[[#This Row],['#기준 효력]]</f>
        <v>24</v>
      </c>
    </row>
    <row r="14" spans="2:21">
      <c r="B14" s="73" t="str">
        <f>IFERROR(INDEX(ItemEffectTable['#이름],MATCH(ItemEffectTable23[[#This Row],[Index]],ItemEffectTable[Index],0)),INDEX(ItemEffectTable['#이름],MATCH(ItemEffectTable23[[#This Row],[Index]],ItemEffectTable[ApplyBuffId],0)))</f>
        <v>공을 마시는 배트</v>
      </c>
      <c r="C1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+Stack*0.005</v>
      </c>
      <c r="D14" s="42">
        <v>8007</v>
      </c>
      <c r="E14" s="52" t="s">
        <v>371</v>
      </c>
      <c r="F14" s="42" t="s">
        <v>930</v>
      </c>
      <c r="G14" s="42" t="s">
        <v>327</v>
      </c>
      <c r="H14" s="42">
        <v>-1</v>
      </c>
      <c r="I14" s="18" cm="1">
        <f t="array" ref="I1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4" s="18" t="e" cm="1">
        <f t="array" ref="J1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L1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4" s="19">
        <f>IFERROR(
INDEX(ItemEffectTable['#발동율],MATCH(ItemEffectTable23[[#This Row],[Index]],ItemEffectTable[ApplySpecialEffectId],0)),
INDEX(ItemEffectTable['#발동율],MATCH(ItemEffectTable23[[#This Row],[Index]],ItemEffectTable[ApplyBuffId],0))
)</f>
        <v>2</v>
      </c>
      <c r="N14" s="19">
        <f>INDEX(ItemEffectTable[CoolTime],MATCH(ItemEffectTable23[[#This Row],[Index]],ItemEffectTable[ApplyBuffId],0))</f>
        <v>0</v>
      </c>
      <c r="O14" s="19">
        <f>IF(ItemEffectTable23[[#This Row],['#발동율]]=-1,-1,(ItemEffectTable23[[#This Row],['#발동율]]+ItemEffectTable23[[#This Row],['#쿨타임]])/ItemEffectTable23[[#This Row],[Duration]])</f>
        <v>-2</v>
      </c>
      <c r="P14" s="19">
        <f>ItemEffectTable23[[#This Row],['#효력 가치 판단]]/IF(ItemEffectTable23[[#This Row],['#발동량]]=-1,1,ItemEffectTable23[[#This Row],['#발동량]])</f>
        <v>125</v>
      </c>
      <c r="Q14" s="19">
        <f>SUMIF(ItemEffectTable23['#아이템 명칭],ItemEffectTable23[[#This Row],['#아이템 명칭]],ItemEffectTable23['#총 가치판단])</f>
        <v>125</v>
      </c>
      <c r="R14" s="19">
        <f>IFERROR(INDEX(ItemEffectTable2324['#가치판단],MATCH(ItemEffectTable23[[#This Row],['#아이템 명칭]],ItemEffectTable2324['#명칭],0)),0)</f>
        <v>0</v>
      </c>
      <c r="S14" s="19">
        <f>ItemEffectTable23[[#This Row],['#아이템 효력 합산]]+ItemEffectTable23[[#This Row],['#특수 효력]]/COUNTIF(ItemEffectTable23['#특수 효력],ItemEffectTable23[[#This Row],['#특수 효력]])</f>
        <v>125</v>
      </c>
      <c r="T14" s="19" cm="1">
        <f t="array" ref="T14">INDEX(표9[],0,MATCH(
INDEX(ItemTable[GradeType],MATCH(INDEX(ItemEffectTable[Index],MATCH(ItemEffectTable23[[#This Row],[Index]],ItemEffectTable[ApplyBuffId],0)),ItemTable[ItemEffectDataId],0)),표9[#Headers],0))</f>
        <v>50</v>
      </c>
      <c r="U14" s="70">
        <f>ItemEffectTable23[[#This Row],['#종합 효력]]/ItemEffectTable23[[#This Row],['#기준 효력]]</f>
        <v>2.5</v>
      </c>
    </row>
    <row r="15" spans="2:21">
      <c r="B15" s="56" t="str">
        <f>IFERROR(INDEX(ItemEffectTable['#이름],MATCH(ItemEffectTable23[[#This Row],[Index]],ItemEffectTable[Index],0)),INDEX(ItemEffectTable['#이름],MATCH(ItemEffectTable23[[#This Row],[Index]],ItemEffectTable[ApplyBuffId],0)))</f>
        <v>코코아 한통</v>
      </c>
      <c r="C1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v>
      </c>
      <c r="D15" s="42">
        <v>9000</v>
      </c>
      <c r="E15" s="52" t="s">
        <v>129</v>
      </c>
      <c r="F15" s="42">
        <v>1.5</v>
      </c>
      <c r="G15" s="42" t="s">
        <v>213</v>
      </c>
      <c r="H15" s="42">
        <v>-1</v>
      </c>
      <c r="I15" s="18" cm="1">
        <f t="array" ref="I1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5" s="18" cm="1">
        <f t="array" ref="J1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0.75</v>
      </c>
      <c r="L1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15" s="19">
        <f>IFERROR(
INDEX(ItemEffectTable['#발동율],MATCH(ItemEffectTable23[[#This Row],[Index]],ItemEffectTable[ApplySpecialEffectId],0)),
INDEX(ItemEffectTable['#발동율],MATCH(ItemEffectTable23[[#This Row],[Index]],ItemEffectTable[ApplyBuffId],0))
)</f>
        <v>-1</v>
      </c>
      <c r="N15" s="19">
        <f>INDEX(ItemEffectTable[CoolTime],MATCH(ItemEffectTable23[[#This Row],[Index]],ItemEffectTable[ApplyBuffId],0))</f>
        <v>0</v>
      </c>
      <c r="O15" s="19">
        <f>IF(ItemEffectTable23[[#This Row],['#발동율]]=-1,-1,(ItemEffectTable23[[#This Row],['#발동율]]+ItemEffectTable23[[#This Row],['#쿨타임]])/ItemEffectTable23[[#This Row],[Duration]])</f>
        <v>-1</v>
      </c>
      <c r="P15" s="19">
        <f>ItemEffectTable23[[#This Row],['#효력 가치 판단]]/IF(ItemEffectTable23[[#This Row],['#발동량]]=-1,1,ItemEffectTable23[[#This Row],['#발동량]])</f>
        <v>-187.5</v>
      </c>
      <c r="Q15" s="19">
        <f>SUMIF(ItemEffectTable23['#아이템 명칭],ItemEffectTable23[[#This Row],['#아이템 명칭]],ItemEffectTable23['#총 가치판단])</f>
        <v>12.500000000000028</v>
      </c>
      <c r="R15" s="19">
        <f>IFERROR(INDEX(ItemEffectTable2324['#가치판단],MATCH(ItemEffectTable23[[#This Row],['#아이템 명칭]],ItemEffectTable2324['#명칭],0)),0)</f>
        <v>0</v>
      </c>
      <c r="S15" s="19">
        <f>ItemEffectTable23[[#This Row],['#아이템 효력 합산]]+ItemEffectTable23[[#This Row],['#특수 효력]]/COUNTIF(ItemEffectTable23['#특수 효력],ItemEffectTable23[[#This Row],['#특수 효력]])</f>
        <v>12.500000000000028</v>
      </c>
      <c r="T15" s="19" cm="1">
        <f t="array" ref="T15">INDEX(표9[],0,MATCH(
INDEX(ItemTable[GradeType],MATCH(INDEX(ItemEffectTable[Index],MATCH(ItemEffectTable23[[#This Row],[Index]],ItemEffectTable[ApplyBuffId],0)),ItemTable[ItemEffectDataId],0)),표9[#Headers],0))</f>
        <v>50</v>
      </c>
      <c r="U15" s="70">
        <f>ItemEffectTable23[[#This Row],['#종합 효력]]/ItemEffectTable23[[#This Row],['#기준 효력]]</f>
        <v>0.25000000000000056</v>
      </c>
    </row>
    <row r="16" spans="2:21">
      <c r="B16" s="56" t="str">
        <f>IFERROR(INDEX(ItemEffectTable['#이름],MATCH(ItemEffectTable23[[#This Row],[Index]],ItemEffectTable[Index],0)),INDEX(ItemEffectTable['#이름],MATCH(ItemEffectTable23[[#This Row],[Index]],ItemEffectTable[ApplyBuffId],0)))</f>
        <v>코코아 한통</v>
      </c>
      <c r="C1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+1</v>
      </c>
      <c r="D16" s="42">
        <v>9000</v>
      </c>
      <c r="E16" s="52" t="s">
        <v>206</v>
      </c>
      <c r="F16" s="42">
        <v>0</v>
      </c>
      <c r="G16" s="42" t="s">
        <v>213</v>
      </c>
      <c r="H16" s="42">
        <v>-1</v>
      </c>
      <c r="I16" s="18" cm="1">
        <f t="array" ref="I1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16" s="18" cm="1">
        <f t="array" ref="J1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v>
      </c>
      <c r="L1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200.00000000000003</v>
      </c>
      <c r="M16" s="19">
        <f>IFERROR(
INDEX(ItemEffectTable['#발동율],MATCH(ItemEffectTable23[[#This Row],[Index]],ItemEffectTable[ApplySpecialEffectId],0)),
INDEX(ItemEffectTable['#발동율],MATCH(ItemEffectTable23[[#This Row],[Index]],ItemEffectTable[ApplyBuffId],0))
)</f>
        <v>-1</v>
      </c>
      <c r="N16" s="19">
        <f>INDEX(ItemEffectTable[CoolTime],MATCH(ItemEffectTable23[[#This Row],[Index]],ItemEffectTable[ApplyBuffId],0))</f>
        <v>0</v>
      </c>
      <c r="O16" s="19">
        <f>IF(ItemEffectTable23[[#This Row],['#발동율]]=-1,-1,(ItemEffectTable23[[#This Row],['#발동율]]+ItemEffectTable23[[#This Row],['#쿨타임]])/ItemEffectTable23[[#This Row],[Duration]])</f>
        <v>-1</v>
      </c>
      <c r="P16" s="19">
        <f>ItemEffectTable23[[#This Row],['#효력 가치 판단]]/IF(ItemEffectTable23[[#This Row],['#발동량]]=-1,1,ItemEffectTable23[[#This Row],['#발동량]])</f>
        <v>200.00000000000003</v>
      </c>
      <c r="Q16" s="19">
        <f>SUMIF(ItemEffectTable23['#아이템 명칭],ItemEffectTable23[[#This Row],['#아이템 명칭]],ItemEffectTable23['#총 가치판단])</f>
        <v>12.500000000000028</v>
      </c>
      <c r="R16" s="19">
        <f>IFERROR(INDEX(ItemEffectTable2324['#가치판단],MATCH(ItemEffectTable23[[#This Row],['#아이템 명칭]],ItemEffectTable2324['#명칭],0)),0)</f>
        <v>0</v>
      </c>
      <c r="S16" s="19">
        <f>ItemEffectTable23[[#This Row],['#아이템 효력 합산]]+ItemEffectTable23[[#This Row],['#특수 효력]]/COUNTIF(ItemEffectTable23['#특수 효력],ItemEffectTable23[[#This Row],['#특수 효력]])</f>
        <v>12.500000000000028</v>
      </c>
      <c r="T16" s="19" cm="1">
        <f t="array" ref="T16">INDEX(표9[],0,MATCH(
INDEX(ItemTable[GradeType],MATCH(INDEX(ItemEffectTable[Index],MATCH(ItemEffectTable23[[#This Row],[Index]],ItemEffectTable[ApplyBuffId],0)),ItemTable[ItemEffectDataId],0)),표9[#Headers],0))</f>
        <v>50</v>
      </c>
      <c r="U16" s="70">
        <f>ItemEffectTable23[[#This Row],['#종합 효력]]/ItemEffectTable23[[#This Row],['#기준 효력]]</f>
        <v>0.25000000000000056</v>
      </c>
    </row>
    <row r="17" spans="2:21">
      <c r="B17" s="56" t="str">
        <f>IFERROR(INDEX(ItemEffectTable['#이름],MATCH(ItemEffectTable23[[#This Row],[Index]],ItemEffectTable[Index],0)),INDEX(ItemEffectTable['#이름],MATCH(ItemEffectTable23[[#This Row],[Index]],ItemEffectTable[ApplyBuffId],0)))</f>
        <v>슬픈 캔리오</v>
      </c>
      <c r="C1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+0.1 (4초)</v>
      </c>
      <c r="D17" s="42">
        <v>9001</v>
      </c>
      <c r="E17" s="52" t="s">
        <v>375</v>
      </c>
      <c r="F17" s="42">
        <v>0.9</v>
      </c>
      <c r="G17" s="42" t="s">
        <v>213</v>
      </c>
      <c r="H17" s="42">
        <v>4</v>
      </c>
      <c r="I17" s="18" cm="1">
        <f t="array" ref="I1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7" s="18" cm="1">
        <f t="array" ref="J1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0.45</v>
      </c>
      <c r="L1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37.499999999999993</v>
      </c>
      <c r="M17" s="19">
        <f>IFERROR(
INDEX(ItemEffectTable['#발동율],MATCH(ItemEffectTable23[[#This Row],[Index]],ItemEffectTable[ApplySpecialEffectId],0)),
INDEX(ItemEffectTable['#발동율],MATCH(ItemEffectTable23[[#This Row],[Index]],ItemEffectTable[ApplyBuffId],0))
)</f>
        <v>0.875</v>
      </c>
      <c r="N17" s="19">
        <f>INDEX(ItemEffectTable[CoolTime],MATCH(ItemEffectTable23[[#This Row],[Index]],ItemEffectTable[ApplyBuffId],0))</f>
        <v>0</v>
      </c>
      <c r="O17" s="19">
        <f>IF(ItemEffectTable23[[#This Row],['#발동율]]=-1,-1,(ItemEffectTable23[[#This Row],['#발동율]]+ItemEffectTable23[[#This Row],['#쿨타임]])/ItemEffectTable23[[#This Row],[Duration]])</f>
        <v>0.21875</v>
      </c>
      <c r="P17" s="19">
        <f>ItemEffectTable23[[#This Row],['#효력 가치 판단]]/IF(ItemEffectTable23[[#This Row],['#발동량]]=-1,1,ItemEffectTable23[[#This Row],['#발동량]])</f>
        <v>171.42857142857139</v>
      </c>
      <c r="Q17" s="19">
        <f>SUMIF(ItemEffectTable23['#아이템 명칭],ItemEffectTable23[[#This Row],['#아이템 명칭]],ItemEffectTable23['#총 가치판단])</f>
        <v>58.928571428571374</v>
      </c>
      <c r="R17" s="19">
        <f>IFERROR(INDEX(ItemEffectTable2324['#가치판단],MATCH(ItemEffectTable23[[#This Row],['#아이템 명칭]],ItemEffectTable2324['#명칭],0)),0)</f>
        <v>0</v>
      </c>
      <c r="S17" s="19">
        <f>ItemEffectTable23[[#This Row],['#아이템 효력 합산]]+ItemEffectTable23[[#This Row],['#특수 효력]]/COUNTIF(ItemEffectTable23['#특수 효력],ItemEffectTable23[[#This Row],['#특수 효력]])</f>
        <v>58.928571428571374</v>
      </c>
      <c r="T17" s="19" cm="1">
        <f t="array" ref="T17">INDEX(표9[],0,MATCH(
INDEX(ItemTable[GradeType],MATCH(INDEX(ItemEffectTable[Index],MATCH(ItemEffectTable23[[#This Row],[Index]],ItemEffectTable[ApplyBuffId],0)),ItemTable[ItemEffectDataId],0)),표9[#Headers],0))</f>
        <v>50</v>
      </c>
      <c r="U17" s="70">
        <f>ItemEffectTable23[[#This Row],['#종합 효력]]/ItemEffectTable23[[#This Row],['#기준 효력]]</f>
        <v>1.1785714285714275</v>
      </c>
    </row>
    <row r="18" spans="2:21">
      <c r="B18" s="56" t="str">
        <f>IFERROR(INDEX(ItemEffectTable['#이름],MATCH(ItemEffectTable23[[#This Row],[Index]],ItemEffectTable[Index],0)),INDEX(ItemEffectTable['#이름],MATCH(ItemEffectTable23[[#This Row],[Index]],ItemEffectTable[ApplyBuffId],0)))</f>
        <v>슬픈 캔리오</v>
      </c>
      <c r="C1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-0.3</v>
      </c>
      <c r="D18" s="42">
        <v>9101</v>
      </c>
      <c r="E18" s="52" t="s">
        <v>375</v>
      </c>
      <c r="F18" s="42">
        <v>1.3</v>
      </c>
      <c r="G18" s="42" t="s">
        <v>213</v>
      </c>
      <c r="H18" s="42">
        <v>-1</v>
      </c>
      <c r="I18" s="18" cm="1">
        <f t="array" ref="I1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8" s="18" cm="1">
        <f t="array" ref="J1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0.65</v>
      </c>
      <c r="L1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-112.50000000000001</v>
      </c>
      <c r="M18" s="19">
        <f>IFERROR(
INDEX(ItemEffectTable['#발동율],MATCH(ItemEffectTable23[[#This Row],[Index]],ItemEffectTable[ApplySpecialEffectId],0)),
INDEX(ItemEffectTable['#발동율],MATCH(ItemEffectTable23[[#This Row],[Index]],ItemEffectTable[ApplyBuffId],0))
)</f>
        <v>-1</v>
      </c>
      <c r="N18" s="19">
        <f>INDEX(ItemEffectTable[CoolTime],MATCH(ItemEffectTable23[[#This Row],[Index]],ItemEffectTable[ApplyBuffId],0))</f>
        <v>0</v>
      </c>
      <c r="O18" s="19">
        <f>IF(ItemEffectTable23[[#This Row],['#발동율]]=-1,-1,(ItemEffectTable23[[#This Row],['#발동율]]+ItemEffectTable23[[#This Row],['#쿨타임]])/ItemEffectTable23[[#This Row],[Duration]])</f>
        <v>-1</v>
      </c>
      <c r="P18" s="19">
        <f>ItemEffectTable23[[#This Row],['#효력 가치 판단]]/IF(ItemEffectTable23[[#This Row],['#발동량]]=-1,1,ItemEffectTable23[[#This Row],['#발동량]])</f>
        <v>-112.50000000000001</v>
      </c>
      <c r="Q18" s="19">
        <f>SUMIF(ItemEffectTable23['#아이템 명칭],ItemEffectTable23[[#This Row],['#아이템 명칭]],ItemEffectTable23['#총 가치판단])</f>
        <v>58.928571428571374</v>
      </c>
      <c r="R18" s="19">
        <f>IFERROR(INDEX(ItemEffectTable2324['#가치판단],MATCH(ItemEffectTable23[[#This Row],['#아이템 명칭]],ItemEffectTable2324['#명칭],0)),0)</f>
        <v>0</v>
      </c>
      <c r="S18" s="19">
        <f>ItemEffectTable23[[#This Row],['#아이템 효력 합산]]+ItemEffectTable23[[#This Row],['#특수 효력]]/COUNTIF(ItemEffectTable23['#특수 효력],ItemEffectTable23[[#This Row],['#특수 효력]])</f>
        <v>58.928571428571374</v>
      </c>
      <c r="T18" s="19" cm="1">
        <f t="array" ref="T18">INDEX(표9[],0,MATCH(
INDEX(ItemTable[GradeType],MATCH(INDEX(ItemEffectTable[Index],MATCH(ItemEffectTable23[[#This Row],[Index]],ItemEffectTable[ApplyBuffId],0)),ItemTable[ItemEffectDataId],0)),표9[#Headers],0))</f>
        <v>50</v>
      </c>
      <c r="U18" s="70">
        <f>ItemEffectTable23[[#This Row],['#종합 효력]]/ItemEffectTable23[[#This Row],['#기준 효력]]</f>
        <v>1.1785714285714275</v>
      </c>
    </row>
    <row r="19" spans="2:21">
      <c r="B19" s="56" t="str">
        <f>IFERROR(INDEX(ItemEffectTable['#이름],MATCH(ItemEffectTable23[[#This Row],[Index]],ItemEffectTable[Index],0)),INDEX(ItemEffectTable['#이름],MATCH(ItemEffectTable23[[#This Row],[Index]],ItemEffectTable[ApplyBuffId],0)))</f>
        <v>청개구리 총</v>
      </c>
      <c r="C1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+1</v>
      </c>
      <c r="D19" s="42">
        <v>9002</v>
      </c>
      <c r="E19" s="42" t="s">
        <v>189</v>
      </c>
      <c r="F19" s="42">
        <v>1</v>
      </c>
      <c r="G19" s="42" t="s">
        <v>327</v>
      </c>
      <c r="H19" s="42">
        <v>-1</v>
      </c>
      <c r="I19" s="18" cm="1">
        <f t="array" ref="I1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9" s="18" cm="1">
        <f t="array" ref="J1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v>
      </c>
      <c r="L1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9" s="19">
        <f>IFERROR(
INDEX(ItemEffectTable['#발동율],MATCH(ItemEffectTable23[[#This Row],[Index]],ItemEffectTable[ApplySpecialEffectId],0)),
INDEX(ItemEffectTable['#발동율],MATCH(ItemEffectTable23[[#This Row],[Index]],ItemEffectTable[ApplyBuffId],0))
)</f>
        <v>-1</v>
      </c>
      <c r="N19" s="19">
        <f>INDEX(ItemEffectTable[CoolTime],MATCH(ItemEffectTable23[[#This Row],[Index]],ItemEffectTable[ApplyBuffId],0))</f>
        <v>0</v>
      </c>
      <c r="O19" s="19">
        <f>IF(ItemEffectTable23[[#This Row],['#발동율]]=-1,-1,(ItemEffectTable23[[#This Row],['#발동율]]+ItemEffectTable23[[#This Row],['#쿨타임]])/ItemEffectTable23[[#This Row],[Duration]])</f>
        <v>-1</v>
      </c>
      <c r="P19" s="19">
        <f>ItemEffectTable23[[#This Row],['#효력 가치 판단]]/IF(ItemEffectTable23[[#This Row],['#발동량]]=-1,1,ItemEffectTable23[[#This Row],['#발동량]])</f>
        <v>250</v>
      </c>
      <c r="Q19" s="19">
        <f>SUMIF(ItemEffectTable23['#아이템 명칭],ItemEffectTable23[[#This Row],['#아이템 명칭]],ItemEffectTable23['#총 가치판단])</f>
        <v>250</v>
      </c>
      <c r="R19" s="19">
        <f>IFERROR(INDEX(ItemEffectTable2324['#가치판단],MATCH(ItemEffectTable23[[#This Row],['#아이템 명칭]],ItemEffectTable2324['#명칭],0)),0)</f>
        <v>-200</v>
      </c>
      <c r="S19" s="19">
        <f>ItemEffectTable23[[#This Row],['#아이템 효력 합산]]+ItemEffectTable23[[#This Row],['#특수 효력]]/COUNTIF(ItemEffectTable23['#특수 효력],ItemEffectTable23[[#This Row],['#특수 효력]])</f>
        <v>50</v>
      </c>
      <c r="T19" s="19" cm="1">
        <f t="array" ref="T19">INDEX(표9[],0,MATCH(
INDEX(ItemTable[GradeType],MATCH(INDEX(ItemEffectTable[Index],MATCH(ItemEffectTable23[[#This Row],[Index]],ItemEffectTable[ApplyBuffId],0)),ItemTable[ItemEffectDataId],0)),표9[#Headers],0))</f>
        <v>50</v>
      </c>
      <c r="U19" s="70">
        <f>ItemEffectTable23[[#This Row],['#종합 효력]]/ItemEffectTable23[[#This Row],['#기준 효력]]</f>
        <v>1</v>
      </c>
    </row>
    <row r="20" spans="2:21">
      <c r="B20" s="73" t="str">
        <f>IFERROR(INDEX(ItemEffectTable['#이름],MATCH(ItemEffectTable23[[#This Row],[Index]],ItemEffectTable[Index],0)),INDEX(ItemEffectTable['#이름],MATCH(ItemEffectTable23[[#This Row],[Index]],ItemEffectTable[ApplyBuffId],0)))</f>
        <v>누군가의 일기장</v>
      </c>
      <c r="C2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--100</v>
      </c>
      <c r="D20" s="42">
        <v>9003</v>
      </c>
      <c r="E20" s="42" t="s">
        <v>401</v>
      </c>
      <c r="F20" s="42">
        <v>-100</v>
      </c>
      <c r="G20" s="42" t="s">
        <v>327</v>
      </c>
      <c r="H20" s="42">
        <v>-1</v>
      </c>
      <c r="I20" s="18" cm="1">
        <f t="array" ref="I2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0" s="18" cm="1">
        <f t="array" ref="J2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-100</v>
      </c>
      <c r="L2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0" s="19">
        <f>IFERROR(
INDEX(ItemEffectTable['#발동율],MATCH(ItemEffectTable23[[#This Row],[Index]],ItemEffectTable[ApplySpecialEffectId],0)),
INDEX(ItemEffectTable['#발동율],MATCH(ItemEffectTable23[[#This Row],[Index]],ItemEffectTable[ApplyBuffId],0))
)</f>
        <v>-1</v>
      </c>
      <c r="N20" s="19">
        <f>INDEX(ItemEffectTable[CoolTime],MATCH(ItemEffectTable23[[#This Row],[Index]],ItemEffectTable[ApplyBuffId],0))</f>
        <v>0</v>
      </c>
      <c r="O20" s="19">
        <f>IF(ItemEffectTable23[[#This Row],['#발동율]]=-1,-1,(ItemEffectTable23[[#This Row],['#발동율]]+ItemEffectTable23[[#This Row],['#쿨타임]])/ItemEffectTable23[[#This Row],[Duration]])</f>
        <v>-1</v>
      </c>
      <c r="P20" s="19">
        <f>ItemEffectTable23[[#This Row],['#효력 가치 판단]]/IF(ItemEffectTable23[[#This Row],['#발동량]]=-1,1,ItemEffectTable23[[#This Row],['#발동량]])</f>
        <v>0</v>
      </c>
      <c r="Q20" s="19">
        <f>SUMIF(ItemEffectTable23['#아이템 명칭],ItemEffectTable23[[#This Row],['#아이템 명칭]],ItemEffectTable23['#총 가치판단])</f>
        <v>112.49999999999999</v>
      </c>
      <c r="R20" s="19">
        <f>IFERROR(INDEX(ItemEffectTable2324['#가치판단],MATCH(ItemEffectTable23[[#This Row],['#아이템 명칭]],ItemEffectTable2324['#명칭],0)),0)</f>
        <v>-60</v>
      </c>
      <c r="S20" s="19">
        <f>ItemEffectTable23[[#This Row],['#아이템 효력 합산]]+ItemEffectTable23[[#This Row],['#특수 효력]]/COUNTIF(ItemEffectTable23['#특수 효력],ItemEffectTable23[[#This Row],['#특수 효력]])</f>
        <v>82.499999999999986</v>
      </c>
      <c r="T20" s="19" cm="1">
        <f t="array" ref="T20">INDEX(표9[],0,MATCH(
INDEX(ItemTable[GradeType],MATCH(INDEX(ItemEffectTable[Index],MATCH(ItemEffectTable23[[#This Row],[Index]],ItemEffectTable[ApplyBuffId],0)),ItemTable[ItemEffectDataId],0)),표9[#Headers],0))</f>
        <v>50</v>
      </c>
      <c r="U20" s="70">
        <f>ItemEffectTable23[[#This Row],['#종합 효력]]/ItemEffectTable23[[#This Row],['#기준 효력]]</f>
        <v>1.6499999999999997</v>
      </c>
    </row>
    <row r="21" spans="2:21">
      <c r="B21" s="56" t="str">
        <f>IFERROR(INDEX(ItemEffectTable['#이름],MATCH(ItemEffectTable23[[#This Row],[Index]],ItemEffectTable[Index],0)),INDEX(ItemEffectTable['#이름],MATCH(ItemEffectTable23[[#This Row],[Index]],ItemEffectTable[ApplyBuffId],0)))</f>
        <v>누군가의 일기장</v>
      </c>
      <c r="C2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+0.45</v>
      </c>
      <c r="D21" s="42">
        <v>9003</v>
      </c>
      <c r="E21" s="52" t="s">
        <v>371</v>
      </c>
      <c r="F21" s="42">
        <v>0.45</v>
      </c>
      <c r="G21" s="42" t="s">
        <v>327</v>
      </c>
      <c r="H21" s="42">
        <v>-1</v>
      </c>
      <c r="I21" s="18" cm="1">
        <f t="array" ref="I2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21" s="18" cm="1">
        <f t="array" ref="J2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1.45</v>
      </c>
      <c r="L2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112.49999999999999</v>
      </c>
      <c r="M21" s="19">
        <f>IFERROR(
INDEX(ItemEffectTable['#발동율],MATCH(ItemEffectTable23[[#This Row],[Index]],ItemEffectTable[ApplySpecialEffectId],0)),
INDEX(ItemEffectTable['#발동율],MATCH(ItemEffectTable23[[#This Row],[Index]],ItemEffectTable[ApplyBuffId],0))
)</f>
        <v>-1</v>
      </c>
      <c r="N21" s="19">
        <f>INDEX(ItemEffectTable[CoolTime],MATCH(ItemEffectTable23[[#This Row],[Index]],ItemEffectTable[ApplyBuffId],0))</f>
        <v>0</v>
      </c>
      <c r="O21" s="19">
        <f>IF(ItemEffectTable23[[#This Row],['#발동율]]=-1,-1,(ItemEffectTable23[[#This Row],['#발동율]]+ItemEffectTable23[[#This Row],['#쿨타임]])/ItemEffectTable23[[#This Row],[Duration]])</f>
        <v>-1</v>
      </c>
      <c r="P21" s="19">
        <f>ItemEffectTable23[[#This Row],['#효력 가치 판단]]/IF(ItemEffectTable23[[#This Row],['#발동량]]=-1,1,ItemEffectTable23[[#This Row],['#발동량]])</f>
        <v>112.49999999999999</v>
      </c>
      <c r="Q21" s="19">
        <f>SUMIF(ItemEffectTable23['#아이템 명칭],ItemEffectTable23[[#This Row],['#아이템 명칭]],ItemEffectTable23['#총 가치판단])</f>
        <v>112.49999999999999</v>
      </c>
      <c r="R21" s="19">
        <f>IFERROR(INDEX(ItemEffectTable2324['#가치판단],MATCH(ItemEffectTable23[[#This Row],['#아이템 명칭]],ItemEffectTable2324['#명칭],0)),0)</f>
        <v>-60</v>
      </c>
      <c r="S21" s="19">
        <f>ItemEffectTable23[[#This Row],['#아이템 효력 합산]]+ItemEffectTable23[[#This Row],['#특수 효력]]/COUNTIF(ItemEffectTable23['#특수 효력],ItemEffectTable23[[#This Row],['#특수 효력]])</f>
        <v>82.499999999999986</v>
      </c>
      <c r="T21" s="19" cm="1">
        <f t="array" ref="T21">INDEX(표9[],0,MATCH(
INDEX(ItemTable[GradeType],MATCH(INDEX(ItemEffectTable[Index],MATCH(ItemEffectTable23[[#This Row],[Index]],ItemEffectTable[ApplyBuffId],0)),ItemTable[ItemEffectDataId],0)),표9[#Headers],0))</f>
        <v>50</v>
      </c>
      <c r="U21" s="70">
        <f>ItemEffectTable23[[#This Row],['#종합 효력]]/ItemEffectTable23[[#This Row],['#기준 효력]]</f>
        <v>1.6499999999999997</v>
      </c>
    </row>
    <row r="22" spans="2:21">
      <c r="B22" s="18" t="str">
        <f>IFERROR(INDEX(ItemEffectTable['#이름],MATCH(ItemEffectTable23[[#This Row],[Index]],ItemEffectTable[Index],0)),INDEX(ItemEffectTable['#이름],MATCH(ItemEffectTable23[[#This Row],[Index]],ItemEffectTable[ApplyBuffId],0)))</f>
        <v>행성 만세</v>
      </c>
      <c r="C2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+0.2</v>
      </c>
      <c r="D22" s="16">
        <v>9104</v>
      </c>
      <c r="E22" s="11" t="s">
        <v>436</v>
      </c>
      <c r="F22">
        <v>0.8</v>
      </c>
      <c r="G22" s="11" t="s">
        <v>390</v>
      </c>
      <c r="H22">
        <v>-1</v>
      </c>
      <c r="I22" s="18" cm="1">
        <f t="array" ref="I2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2" s="18" cm="1">
        <f t="array" ref="J2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5.2</v>
      </c>
      <c r="L2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-64.999999999999986</v>
      </c>
      <c r="M22" s="19">
        <f>IFERROR(
INDEX(ItemEffectTable['#발동율],MATCH(ItemEffectTable23[[#This Row],[Index]],ItemEffectTable[ApplySpecialEffectId],0)),
INDEX(ItemEffectTable['#발동율],MATCH(ItemEffectTable23[[#This Row],[Index]],ItemEffectTable[ApplyBuffId],0))
)</f>
        <v>-1</v>
      </c>
      <c r="N22" s="19">
        <f>INDEX(ItemEffectTable[CoolTime],MATCH(ItemEffectTable23[[#This Row],[Index]],ItemEffectTable[ApplyBuffId],0))</f>
        <v>0</v>
      </c>
      <c r="O22" s="19">
        <f>IF(ItemEffectTable23[[#This Row],['#발동율]]=-1,-1,(ItemEffectTable23[[#This Row],['#발동율]]+ItemEffectTable23[[#This Row],['#쿨타임]])/ItemEffectTable23[[#This Row],[Duration]])</f>
        <v>-1</v>
      </c>
      <c r="P22" s="19">
        <f>ItemEffectTable23[[#This Row],['#효력 가치 판단]]/IF(ItemEffectTable23[[#This Row],['#발동량]]=-1,1,ItemEffectTable23[[#This Row],['#발동량]])</f>
        <v>-64.999999999999986</v>
      </c>
      <c r="Q22" s="19">
        <f>SUMIF(ItemEffectTable23['#아이템 명칭],ItemEffectTable23[[#This Row],['#아이템 명칭]],ItemEffectTable23['#총 가치판단])</f>
        <v>-64.999999999999986</v>
      </c>
      <c r="R22" s="19">
        <f>IFERROR(INDEX(ItemEffectTable2324['#가치판단],MATCH(ItemEffectTable23[[#This Row],['#아이템 명칭]],ItemEffectTable2324['#명칭],0)),0)</f>
        <v>70</v>
      </c>
      <c r="S22" s="19">
        <f>ItemEffectTable23[[#This Row],['#아이템 효력 합산]]+ItemEffectTable23[[#This Row],['#특수 효력]]/COUNTIF(ItemEffectTable23['#특수 효력],ItemEffectTable23[[#This Row],['#특수 효력]])</f>
        <v>5.0000000000000142</v>
      </c>
      <c r="T22" s="19" cm="1">
        <f t="array" ref="T22">INDEX(표9[],0,MATCH(
INDEX(ItemTable[GradeType],MATCH(INDEX(ItemEffectTable[Index],MATCH(ItemEffectTable23[[#This Row],[Index]],ItemEffectTable[ApplyBuffId],0)),ItemTable[ItemEffectDataId],0)),표9[#Headers],0))</f>
        <v>50</v>
      </c>
      <c r="U22" s="70">
        <f>ItemEffectTable23[[#This Row],['#종합 효력]]/ItemEffectTable23[[#This Row],['#기준 효력]]</f>
        <v>0.10000000000000028</v>
      </c>
    </row>
    <row r="23" spans="2:21">
      <c r="B23" s="41" t="str">
        <f>IFERROR(INDEX(ItemEffectTable['#이름],MATCH(ItemEffectTable23[[#This Row],[Index]],ItemEffectTable[Index],0)),INDEX(ItemEffectTable['#이름],MATCH(ItemEffectTable23[[#This Row],[Index]],ItemEffectTable[ApplyBuffId],0)))</f>
        <v>회피 캣</v>
      </c>
      <c r="C2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재사용 대기 시간 -1</v>
      </c>
      <c r="D23" s="16">
        <v>9105</v>
      </c>
      <c r="E23" s="11" t="s">
        <v>399</v>
      </c>
      <c r="F23">
        <v>2</v>
      </c>
      <c r="G23" s="11" t="s">
        <v>390</v>
      </c>
      <c r="H23">
        <v>-1</v>
      </c>
      <c r="I23" s="18" cm="1">
        <f t="array" ref="I2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1.7</v>
      </c>
      <c r="J23" s="18" cm="1">
        <f t="array" ref="J2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3.4</v>
      </c>
      <c r="L2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106.25</v>
      </c>
      <c r="M23" s="19">
        <f>IFERROR(
INDEX(ItemEffectTable['#발동율],MATCH(ItemEffectTable23[[#This Row],[Index]],ItemEffectTable[ApplySpecialEffectId],0)),
INDEX(ItemEffectTable['#발동율],MATCH(ItemEffectTable23[[#This Row],[Index]],ItemEffectTable[ApplyBuffId],0))
)</f>
        <v>-1</v>
      </c>
      <c r="N23" s="19">
        <f>INDEX(ItemEffectTable[CoolTime],MATCH(ItemEffectTable23[[#This Row],[Index]],ItemEffectTable[ApplyBuffId],0))</f>
        <v>0</v>
      </c>
      <c r="O23" s="19">
        <f>IF(ItemEffectTable23[[#This Row],['#발동율]]=-1,-1,(ItemEffectTable23[[#This Row],['#발동율]]+ItemEffectTable23[[#This Row],['#쿨타임]])/ItemEffectTable23[[#This Row],[Duration]])</f>
        <v>-1</v>
      </c>
      <c r="P23" s="19">
        <f>ItemEffectTable23[[#This Row],['#효력 가치 판단]]/IF(ItemEffectTable23[[#This Row],['#발동량]]=-1,1,ItemEffectTable23[[#This Row],['#발동량]])</f>
        <v>106.25</v>
      </c>
      <c r="Q23" s="19">
        <f>SUMIF(ItemEffectTable23['#아이템 명칭],ItemEffectTable23[[#This Row],['#아이템 명칭]],ItemEffectTable23['#총 가치판단])</f>
        <v>106.25</v>
      </c>
      <c r="R23" s="19">
        <f>IFERROR(INDEX(ItemEffectTable2324['#가치판단],MATCH(ItemEffectTable23[[#This Row],['#아이템 명칭]],ItemEffectTable2324['#명칭],0)),0)</f>
        <v>0</v>
      </c>
      <c r="S23" s="19">
        <f>ItemEffectTable23[[#This Row],['#아이템 효력 합산]]+ItemEffectTable23[[#This Row],['#특수 효력]]/COUNTIF(ItemEffectTable23['#특수 효력],ItemEffectTable23[[#This Row],['#특수 효력]])</f>
        <v>106.25</v>
      </c>
      <c r="T23" s="19" cm="1">
        <f t="array" ref="T23">INDEX(표9[],0,MATCH(
INDEX(ItemTable[GradeType],MATCH(INDEX(ItemEffectTable[Index],MATCH(ItemEffectTable23[[#This Row],[Index]],ItemEffectTable[ApplyBuffId],0)),ItemTable[ItemEffectDataId],0)),표9[#Headers],0))</f>
        <v>50</v>
      </c>
      <c r="U23" s="70">
        <f>ItemEffectTable23[[#This Row],['#종합 효력]]/ItemEffectTable23[[#This Row],['#기준 효력]]</f>
        <v>2.125</v>
      </c>
    </row>
    <row r="24" spans="2:21">
      <c r="B24" s="41" t="str">
        <f>IFERROR(INDEX(ItemEffectTable['#이름],MATCH(ItemEffectTable23[[#This Row],[Index]],ItemEffectTable[Index],0)),INDEX(ItemEffectTable['#이름],MATCH(ItemEffectTable23[[#This Row],[Index]],ItemEffectTable[ApplyBuffId],0)))</f>
        <v>어른의 카드</v>
      </c>
      <c r="C2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+1.6</v>
      </c>
      <c r="D24" s="16">
        <v>9106</v>
      </c>
      <c r="E24" s="9" t="s">
        <v>188</v>
      </c>
      <c r="F24">
        <v>1.6</v>
      </c>
      <c r="G24" s="11" t="s">
        <v>472</v>
      </c>
      <c r="H24">
        <v>-1</v>
      </c>
      <c r="I24" s="18" cm="1">
        <f t="array" ref="I2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24" s="18" cm="1">
        <f t="array" ref="J2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4.0999999999999996</v>
      </c>
      <c r="L2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159.99999999999997</v>
      </c>
      <c r="M24" s="19">
        <f>IFERROR(
INDEX(ItemEffectTable['#발동율],MATCH(ItemEffectTable23[[#This Row],[Index]],ItemEffectTable[ApplySpecialEffectId],0)),
INDEX(ItemEffectTable['#발동율],MATCH(ItemEffectTable23[[#This Row],[Index]],ItemEffectTable[ApplyBuffId],0))
)</f>
        <v>-1</v>
      </c>
      <c r="N24" s="19">
        <f>INDEX(ItemEffectTable[CoolTime],MATCH(ItemEffectTable23[[#This Row],[Index]],ItemEffectTable[ApplyBuffId],0))</f>
        <v>0</v>
      </c>
      <c r="O24" s="19">
        <f>IF(ItemEffectTable23[[#This Row],['#발동율]]=-1,-1,(ItemEffectTable23[[#This Row],['#발동율]]+ItemEffectTable23[[#This Row],['#쿨타임]])/ItemEffectTable23[[#This Row],[Duration]])</f>
        <v>-1</v>
      </c>
      <c r="P24" s="19">
        <f>ItemEffectTable23[[#This Row],['#효력 가치 판단]]/IF(ItemEffectTable23[[#This Row],['#발동량]]=-1,1,ItemEffectTable23[[#This Row],['#발동량]])</f>
        <v>159.99999999999997</v>
      </c>
      <c r="Q24" s="19">
        <f>SUMIF(ItemEffectTable23['#아이템 명칭],ItemEffectTable23[[#This Row],['#아이템 명칭]],ItemEffectTable23['#총 가치판단])</f>
        <v>84.999999999999986</v>
      </c>
      <c r="R24" s="19">
        <f>IFERROR(INDEX(ItemEffectTable2324['#가치판단],MATCH(ItemEffectTable23[[#This Row],['#아이템 명칭]],ItemEffectTable2324['#명칭],0)),0)</f>
        <v>-61</v>
      </c>
      <c r="S24" s="19">
        <f>ItemEffectTable23[[#This Row],['#아이템 효력 합산]]+ItemEffectTable23[[#This Row],['#특수 효력]]/COUNTIF(ItemEffectTable23['#특수 효력],ItemEffectTable23[[#This Row],['#특수 효력]])</f>
        <v>54.499999999999986</v>
      </c>
      <c r="T24" s="19" cm="1">
        <f t="array" ref="T24">INDEX(표9[],0,MATCH(
INDEX(ItemTable[GradeType],MATCH(INDEX(ItemEffectTable[Index],MATCH(ItemEffectTable23[[#This Row],[Index]],ItemEffectTable[ApplyBuffId],0)),ItemTable[ItemEffectDataId],0)),표9[#Headers],0))</f>
        <v>50</v>
      </c>
      <c r="U24" s="70">
        <f>ItemEffectTable23[[#This Row],['#종합 효력]]/ItemEffectTable23[[#This Row],['#기준 효력]]</f>
        <v>1.0899999999999996</v>
      </c>
    </row>
    <row r="25" spans="2:21">
      <c r="B25" s="41" t="str">
        <f>IFERROR(INDEX(ItemEffectTable['#이름],MATCH(ItemEffectTable23[[#This Row],[Index]],ItemEffectTable[Index],0)),INDEX(ItemEffectTable['#이름],MATCH(ItemEffectTable23[[#This Row],[Index]],ItemEffectTable[ApplyBuffId],0)))</f>
        <v>어른의 카드</v>
      </c>
      <c r="C2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-0.2</v>
      </c>
      <c r="D25" s="16">
        <v>9106</v>
      </c>
      <c r="E25" s="9" t="s">
        <v>129</v>
      </c>
      <c r="F25">
        <v>1.2</v>
      </c>
      <c r="G25" t="s">
        <v>213</v>
      </c>
      <c r="H25">
        <v>-1</v>
      </c>
      <c r="I25" s="18" cm="1">
        <f t="array" ref="I2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25" s="18" cm="1">
        <f t="array" ref="J2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v>
      </c>
      <c r="L2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-74.999999999999986</v>
      </c>
      <c r="M25" s="19">
        <f>IFERROR(
INDEX(ItemEffectTable['#발동율],MATCH(ItemEffectTable23[[#This Row],[Index]],ItemEffectTable[ApplySpecialEffectId],0)),
INDEX(ItemEffectTable['#발동율],MATCH(ItemEffectTable23[[#This Row],[Index]],ItemEffectTable[ApplyBuffId],0))
)</f>
        <v>-1</v>
      </c>
      <c r="N25" s="19">
        <f>INDEX(ItemEffectTable[CoolTime],MATCH(ItemEffectTable23[[#This Row],[Index]],ItemEffectTable[ApplyBuffId],0))</f>
        <v>0</v>
      </c>
      <c r="O25" s="19">
        <f>IF(ItemEffectTable23[[#This Row],['#발동율]]=-1,-1,(ItemEffectTable23[[#This Row],['#발동율]]+ItemEffectTable23[[#This Row],['#쿨타임]])/ItemEffectTable23[[#This Row],[Duration]])</f>
        <v>-1</v>
      </c>
      <c r="P25" s="19">
        <f>ItemEffectTable23[[#This Row],['#효력 가치 판단]]/IF(ItemEffectTable23[[#This Row],['#발동량]]=-1,1,ItemEffectTable23[[#This Row],['#발동량]])</f>
        <v>-74.999999999999986</v>
      </c>
      <c r="Q25" s="19">
        <f>SUMIF(ItemEffectTable23['#아이템 명칭],ItemEffectTable23[[#This Row],['#아이템 명칭]],ItemEffectTable23['#총 가치판단])</f>
        <v>84.999999999999986</v>
      </c>
      <c r="R25" s="19">
        <f>IFERROR(INDEX(ItemEffectTable2324['#가치판단],MATCH(ItemEffectTable23[[#This Row],['#아이템 명칭]],ItemEffectTable2324['#명칭],0)),0)</f>
        <v>-61</v>
      </c>
      <c r="S25" s="19">
        <f>ItemEffectTable23[[#This Row],['#아이템 효력 합산]]+ItemEffectTable23[[#This Row],['#특수 효력]]/COUNTIF(ItemEffectTable23['#특수 효력],ItemEffectTable23[[#This Row],['#특수 효력]])</f>
        <v>54.499999999999986</v>
      </c>
      <c r="T25" s="19" cm="1">
        <f t="array" ref="T25">INDEX(표9[],0,MATCH(
INDEX(ItemTable[GradeType],MATCH(INDEX(ItemEffectTable[Index],MATCH(ItemEffectTable23[[#This Row],[Index]],ItemEffectTable[ApplyBuffId],0)),ItemTable[ItemEffectDataId],0)),표9[#Headers],0))</f>
        <v>50</v>
      </c>
      <c r="U25" s="70">
        <f>ItemEffectTable23[[#This Row],['#종합 효력]]/ItemEffectTable23[[#This Row],['#기준 효력]]</f>
        <v>1.0899999999999996</v>
      </c>
    </row>
    <row r="26" spans="2:21">
      <c r="B26" s="73" t="str">
        <f>IFERROR(INDEX(ItemEffectTable['#이름],MATCH(ItemEffectTable23[[#This Row],[Index]],ItemEffectTable[Index],0)),INDEX(ItemEffectTable['#이름],MATCH(ItemEffectTable23[[#This Row],[Index]],ItemEffectTable[ApplyBuffId],0)))</f>
        <v>악마의 적금통장</v>
      </c>
      <c r="C2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26" s="42">
        <v>9107</v>
      </c>
      <c r="E26" s="52" t="s">
        <v>401</v>
      </c>
      <c r="F26" s="42">
        <v>-50</v>
      </c>
      <c r="G26" s="42" t="s">
        <v>327</v>
      </c>
      <c r="H26" s="42">
        <v>-1</v>
      </c>
      <c r="I26" s="18" cm="1">
        <f t="array" ref="I2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6" s="18" cm="1">
        <f t="array" ref="J2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2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6" s="19">
        <f>IFERROR(
INDEX(ItemEffectTable['#발동율],MATCH(ItemEffectTable23[[#This Row],[Index]],ItemEffectTable[ApplySpecialEffectId],0)),
INDEX(ItemEffectTable['#발동율],MATCH(ItemEffectTable23[[#This Row],[Index]],ItemEffectTable[ApplyBuffId],0))
)</f>
        <v>0</v>
      </c>
      <c r="N26" s="19">
        <f>INDEX(ItemEffectTable[CoolTime],MATCH(ItemEffectTable23[[#This Row],[Index]],ItemEffectTable[ApplyBuffId],0))</f>
        <v>0</v>
      </c>
      <c r="O26" s="19">
        <f>IF(ItemEffectTable23[[#This Row],['#발동율]]=-1,-1,(ItemEffectTable23[[#This Row],['#발동율]]+ItemEffectTable23[[#This Row],['#쿨타임]])/ItemEffectTable23[[#This Row],[Duration]])</f>
        <v>0</v>
      </c>
      <c r="P26" s="19" t="e">
        <f>ItemEffectTable23[[#This Row],['#효력 가치 판단]]/IF(ItemEffectTable23[[#This Row],['#발동량]]=-1,1,ItemEffectTable23[[#This Row],['#발동량]])</f>
        <v>#DIV/0!</v>
      </c>
      <c r="Q26" s="19" t="e">
        <f>SUMIF(ItemEffectTable23['#아이템 명칭],ItemEffectTable23[[#This Row],['#아이템 명칭]],ItemEffectTable23['#총 가치판단])</f>
        <v>#DIV/0!</v>
      </c>
      <c r="R26" s="19">
        <f>IFERROR(INDEX(ItemEffectTable2324['#가치판단],MATCH(ItemEffectTable23[[#This Row],['#아이템 명칭]],ItemEffectTable2324['#명칭],0)),0)</f>
        <v>0</v>
      </c>
      <c r="S26" s="19" t="e">
        <f>ItemEffectTable23[[#This Row],['#아이템 효력 합산]]+ItemEffectTable23[[#This Row],['#특수 효력]]/COUNTIF(ItemEffectTable23['#특수 효력],ItemEffectTable23[[#This Row],['#특수 효력]])</f>
        <v>#DIV/0!</v>
      </c>
      <c r="T26" s="19" cm="1">
        <f t="array" ref="T26">INDEX(표9[],0,MATCH(
INDEX(ItemTable[GradeType],MATCH(INDEX(ItemEffectTable[Index],MATCH(ItemEffectTable23[[#This Row],[Index]],ItemEffectTable[ApplyBuffId],0)),ItemTable[ItemEffectDataId],0)),표9[#Headers],0))</f>
        <v>50</v>
      </c>
      <c r="U26" s="70" t="e">
        <f>ItemEffectTable23[[#This Row],['#종합 효력]]/ItemEffectTable23[[#This Row],['#기준 효력]]</f>
        <v>#DIV/0!</v>
      </c>
    </row>
    <row r="27" spans="2:21">
      <c r="B27" s="73" t="str">
        <f>IFERROR(INDEX(ItemEffectTable['#이름],MATCH(ItemEffectTable23[[#This Row],[Index]],ItemEffectTable[Index],0)),INDEX(ItemEffectTable['#이름],MATCH(ItemEffectTable23[[#This Row],[Index]],ItemEffectTable[ApplyBuffId],0)))</f>
        <v>악마의 적금통장</v>
      </c>
      <c r="C2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+200</v>
      </c>
      <c r="D27" s="42">
        <v>9007</v>
      </c>
      <c r="E27" s="52" t="s">
        <v>401</v>
      </c>
      <c r="F27" s="42">
        <v>200</v>
      </c>
      <c r="G27" s="42" t="s">
        <v>327</v>
      </c>
      <c r="H27" s="42">
        <v>-1</v>
      </c>
      <c r="I27" s="18" cm="1">
        <f t="array" ref="I2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7" s="18" cm="1">
        <f t="array" ref="J2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200</v>
      </c>
      <c r="L2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7" s="19">
        <f>IFERROR(
INDEX(ItemEffectTable['#발동율],MATCH(ItemEffectTable23[[#This Row],[Index]],ItemEffectTable[ApplySpecialEffectId],0)),
INDEX(ItemEffectTable['#발동율],MATCH(ItemEffectTable23[[#This Row],[Index]],ItemEffectTable[ApplyBuffId],0))
)</f>
        <v>0</v>
      </c>
      <c r="N27" s="19">
        <f>INDEX(ItemEffectTable[CoolTime],MATCH(ItemEffectTable23[[#This Row],[Index]],ItemEffectTable[ApplyBuffId],0))</f>
        <v>0</v>
      </c>
      <c r="O27" s="19">
        <f>IF(ItemEffectTable23[[#This Row],['#발동율]]=-1,-1,(ItemEffectTable23[[#This Row],['#발동율]]+ItemEffectTable23[[#This Row],['#쿨타임]])/ItemEffectTable23[[#This Row],[Duration]])</f>
        <v>0</v>
      </c>
      <c r="P27" s="19" t="e">
        <f>ItemEffectTable23[[#This Row],['#효력 가치 판단]]/IF(ItemEffectTable23[[#This Row],['#발동량]]=-1,1,ItemEffectTable23[[#This Row],['#발동량]])</f>
        <v>#DIV/0!</v>
      </c>
      <c r="Q27" s="19" t="e">
        <f>SUMIF(ItemEffectTable23['#아이템 명칭],ItemEffectTable23[[#This Row],['#아이템 명칭]],ItemEffectTable23['#총 가치판단])</f>
        <v>#DIV/0!</v>
      </c>
      <c r="R27" s="19">
        <f>IFERROR(INDEX(ItemEffectTable2324['#가치판단],MATCH(ItemEffectTable23[[#This Row],['#아이템 명칭]],ItemEffectTable2324['#명칭],0)),0)</f>
        <v>0</v>
      </c>
      <c r="S27" s="19" t="e">
        <f>ItemEffectTable23[[#This Row],['#아이템 효력 합산]]+ItemEffectTable23[[#This Row],['#특수 효력]]/COUNTIF(ItemEffectTable23['#특수 효력],ItemEffectTable23[[#This Row],['#특수 효력]])</f>
        <v>#DIV/0!</v>
      </c>
      <c r="T27" s="19" cm="1">
        <f t="array" ref="T27">INDEX(표9[],0,MATCH(
INDEX(ItemTable[GradeType],MATCH(INDEX(ItemEffectTable[Index],MATCH(ItemEffectTable23[[#This Row],[Index]],ItemEffectTable[ApplyBuffId],0)),ItemTable[ItemEffectDataId],0)),표9[#Headers],0))</f>
        <v>50</v>
      </c>
      <c r="U27" s="70" t="e">
        <f>ItemEffectTable23[[#This Row],['#종합 효력]]/ItemEffectTable23[[#This Row],['#기준 효력]]</f>
        <v>#DIV/0!</v>
      </c>
    </row>
    <row r="28" spans="2:21">
      <c r="B28" s="19" t="str">
        <f>IFERROR(INDEX(ItemEffectTable['#이름],MATCH(ItemEffectTable23[[#This Row],[Index]],ItemEffectTable[Index],0)),INDEX(ItemEffectTable['#이름],MATCH(ItemEffectTable23[[#This Row],[Index]],ItemEffectTable[ApplyBuffId],0)))</f>
        <v>사이버웨어</v>
      </c>
      <c r="C2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-1 (3초)</v>
      </c>
      <c r="D28">
        <v>10002</v>
      </c>
      <c r="E28" t="s">
        <v>0</v>
      </c>
      <c r="F28">
        <v>2</v>
      </c>
      <c r="G28" t="s">
        <v>213</v>
      </c>
      <c r="H28">
        <v>3</v>
      </c>
      <c r="I28" s="18" cm="1">
        <f t="array" ref="I2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8" s="18" cm="1">
        <f t="array" ref="J2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2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325</v>
      </c>
      <c r="M28" s="19">
        <f>IFERROR(
INDEX(ItemEffectTable['#발동율],MATCH(ItemEffectTable23[[#This Row],[Index]],ItemEffectTable[ApplySpecialEffectId],0)),
INDEX(ItemEffectTable['#발동율],MATCH(ItemEffectTable23[[#This Row],[Index]],ItemEffectTable[ApplyBuffId],0))
)</f>
        <v>0</v>
      </c>
      <c r="N28" s="19">
        <f>INDEX(ItemEffectTable[CoolTime],MATCH(ItemEffectTable23[[#This Row],[Index]],ItemEffectTable[ApplyBuffId],0))</f>
        <v>15</v>
      </c>
      <c r="O28" s="19">
        <f>IF(ItemEffectTable23[[#This Row],['#발동율]]=-1,-1,(ItemEffectTable23[[#This Row],['#발동율]]+ItemEffectTable23[[#This Row],['#쿨타임]])/ItemEffectTable23[[#This Row],[Duration]])</f>
        <v>5</v>
      </c>
      <c r="P28" s="19">
        <f>ItemEffectTable23[[#This Row],['#효력 가치 판단]]/IF(ItemEffectTable23[[#This Row],['#발동량]]=-1,1,ItemEffectTable23[[#This Row],['#발동량]])</f>
        <v>65</v>
      </c>
      <c r="Q28" s="19">
        <f>SUMIF(ItemEffectTable23['#아이템 명칭],ItemEffectTable23[[#This Row],['#아이템 명칭]],ItemEffectTable23['#총 가치판단])</f>
        <v>61.300000000000011</v>
      </c>
      <c r="R28" s="19">
        <f>IFERROR(INDEX(ItemEffectTable2324['#가치판단],MATCH(ItemEffectTable23[[#This Row],['#아이템 명칭]],ItemEffectTable2324['#명칭],0)),0)</f>
        <v>0</v>
      </c>
      <c r="S28" s="19">
        <f>ItemEffectTable23[[#This Row],['#아이템 효력 합산]]+ItemEffectTable23[[#This Row],['#특수 효력]]/COUNTIF(ItemEffectTable23['#특수 효력],ItemEffectTable23[[#This Row],['#특수 효력]])</f>
        <v>61.300000000000011</v>
      </c>
      <c r="T28" s="19" cm="1">
        <f t="array" ref="T28">INDEX(표9[],0,MATCH(
INDEX(ItemTable[GradeType],MATCH(INDEX(ItemEffectTable[Index],MATCH(ItemEffectTable23[[#This Row],[Index]],ItemEffectTable[ApplyBuffId],0)),ItemTable[ItemEffectDataId],0)),표9[#Headers],0))</f>
        <v>50</v>
      </c>
      <c r="U28" s="70">
        <f>ItemEffectTable23[[#This Row],['#종합 효력]]/ItemEffectTable23[[#This Row],['#기준 효력]]</f>
        <v>1.2260000000000002</v>
      </c>
    </row>
    <row r="29" spans="2:21">
      <c r="B29" s="19" t="str">
        <f>IFERROR(INDEX(ItemEffectTable['#이름],MATCH(ItemEffectTable23[[#This Row],[Index]],ItemEffectTable[Index],0)),INDEX(ItemEffectTable['#이름],MATCH(ItemEffectTable23[[#This Row],[Index]],ItemEffectTable[ApplyBuffId],0)))</f>
        <v>사이버웨어</v>
      </c>
      <c r="C2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지속 시간 +0.2 (3초)</v>
      </c>
      <c r="D29">
        <v>10002</v>
      </c>
      <c r="E29" s="11" t="s">
        <v>608</v>
      </c>
      <c r="F29">
        <v>0.8</v>
      </c>
      <c r="G29" t="s">
        <v>213</v>
      </c>
      <c r="H29">
        <v>3</v>
      </c>
      <c r="I29" s="18" cm="1">
        <f t="array" ref="I2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0.3</v>
      </c>
      <c r="J29" s="18" cm="1">
        <f t="array" ref="J2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0.24</v>
      </c>
      <c r="L2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v>
      </c>
      <c r="M29" s="19">
        <f>IFERROR(
INDEX(ItemEffectTable['#발동율],MATCH(ItemEffectTable23[[#This Row],[Index]],ItemEffectTable[ApplySpecialEffectId],0)),
INDEX(ItemEffectTable['#발동율],MATCH(ItemEffectTable23[[#This Row],[Index]],ItemEffectTable[ApplyBuffId],0))
)</f>
        <v>0</v>
      </c>
      <c r="N29" s="19">
        <f>INDEX(ItemEffectTable[CoolTime],MATCH(ItemEffectTable23[[#This Row],[Index]],ItemEffectTable[ApplyBuffId],0))</f>
        <v>15</v>
      </c>
      <c r="O29" s="19">
        <f>IF(ItemEffectTable23[[#This Row],['#발동율]]=-1,-1,(ItemEffectTable23[[#This Row],['#발동율]]+ItemEffectTable23[[#This Row],['#쿨타임]])/ItemEffectTable23[[#This Row],[Duration]])</f>
        <v>5</v>
      </c>
      <c r="P29" s="19">
        <f>ItemEffectTable23[[#This Row],['#효력 가치 판단]]/IF(ItemEffectTable23[[#This Row],['#발동량]]=-1,1,ItemEffectTable23[[#This Row],['#발동량]])</f>
        <v>-1.2</v>
      </c>
      <c r="Q29" s="19">
        <f>SUMIF(ItemEffectTable23['#아이템 명칭],ItemEffectTable23[[#This Row],['#아이템 명칭]],ItemEffectTable23['#총 가치판단])</f>
        <v>61.300000000000011</v>
      </c>
      <c r="R29" s="19">
        <f>IFERROR(INDEX(ItemEffectTable2324['#가치판단],MATCH(ItemEffectTable23[[#This Row],['#아이템 명칭]],ItemEffectTable2324['#명칭],0)),0)</f>
        <v>0</v>
      </c>
      <c r="S29" s="19">
        <f>ItemEffectTable23[[#This Row],['#아이템 효력 합산]]+ItemEffectTable23[[#This Row],['#특수 효력]]/COUNTIF(ItemEffectTable23['#특수 효력],ItemEffectTable23[[#This Row],['#특수 효력]])</f>
        <v>61.300000000000011</v>
      </c>
      <c r="T29" s="19" cm="1">
        <f t="array" ref="T29">INDEX(표9[],0,MATCH(
INDEX(ItemTable[GradeType],MATCH(INDEX(ItemEffectTable[Index],MATCH(ItemEffectTable23[[#This Row],[Index]],ItemEffectTable[ApplyBuffId],0)),ItemTable[ItemEffectDataId],0)),표9[#Headers],0))</f>
        <v>50</v>
      </c>
      <c r="U29" s="70">
        <f>ItemEffectTable23[[#This Row],['#종합 효력]]/ItemEffectTable23[[#This Row],['#기준 효력]]</f>
        <v>1.2260000000000002</v>
      </c>
    </row>
    <row r="30" spans="2:21">
      <c r="B30" s="19" t="str">
        <f>IFERROR(INDEX(ItemEffectTable['#이름],MATCH(ItemEffectTable23[[#This Row],[Index]],ItemEffectTable[Index],0)),INDEX(ItemEffectTable['#이름],MATCH(ItemEffectTable23[[#This Row],[Index]],ItemEffectTable[ApplyBuffId],0)))</f>
        <v>사이버웨어</v>
      </c>
      <c r="C3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이동 속도 -1 (3초)</v>
      </c>
      <c r="D30">
        <v>10002</v>
      </c>
      <c r="E30" t="s">
        <v>135</v>
      </c>
      <c r="F30">
        <v>2</v>
      </c>
      <c r="G30" t="s">
        <v>213</v>
      </c>
      <c r="H30">
        <v>3</v>
      </c>
      <c r="I30" s="18" cm="1">
        <f t="array" ref="I3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12</v>
      </c>
      <c r="J30" s="18" cm="1">
        <f t="array" ref="J3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24</v>
      </c>
      <c r="L3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1200</v>
      </c>
      <c r="M30" s="19">
        <f>IFERROR(
INDEX(ItemEffectTable['#발동율],MATCH(ItemEffectTable23[[#This Row],[Index]],ItemEffectTable[ApplySpecialEffectId],0)),
INDEX(ItemEffectTable['#발동율],MATCH(ItemEffectTable23[[#This Row],[Index]],ItemEffectTable[ApplyBuffId],0))
)</f>
        <v>0</v>
      </c>
      <c r="N30" s="19">
        <f>INDEX(ItemEffectTable[CoolTime],MATCH(ItemEffectTable23[[#This Row],[Index]],ItemEffectTable[ApplyBuffId],0))</f>
        <v>15</v>
      </c>
      <c r="O30" s="19">
        <f>IF(ItemEffectTable23[[#This Row],['#발동율]]=-1,-1,(ItemEffectTable23[[#This Row],['#발동율]]+ItemEffectTable23[[#This Row],['#쿨타임]])/ItemEffectTable23[[#This Row],[Duration]])</f>
        <v>5</v>
      </c>
      <c r="P30" s="19">
        <f>ItemEffectTable23[[#This Row],['#효력 가치 판단]]/IF(ItemEffectTable23[[#This Row],['#발동량]]=-1,1,ItemEffectTable23[[#This Row],['#발동량]])</f>
        <v>240</v>
      </c>
      <c r="Q30" s="19">
        <f>SUMIF(ItemEffectTable23['#아이템 명칭],ItemEffectTable23[[#This Row],['#아이템 명칭]],ItemEffectTable23['#총 가치판단])</f>
        <v>61.300000000000011</v>
      </c>
      <c r="R30" s="19">
        <f>IFERROR(INDEX(ItemEffectTable2324['#가치판단],MATCH(ItemEffectTable23[[#This Row],['#아이템 명칭]],ItemEffectTable2324['#명칭],0)),0)</f>
        <v>0</v>
      </c>
      <c r="S30" s="19">
        <f>ItemEffectTable23[[#This Row],['#아이템 효력 합산]]+ItemEffectTable23[[#This Row],['#특수 효력]]/COUNTIF(ItemEffectTable23['#특수 효력],ItemEffectTable23[[#This Row],['#특수 효력]])</f>
        <v>61.300000000000011</v>
      </c>
      <c r="T30" s="19" cm="1">
        <f t="array" ref="T30">INDEX(표9[],0,MATCH(
INDEX(ItemTable[GradeType],MATCH(INDEX(ItemEffectTable[Index],MATCH(ItemEffectTable23[[#This Row],[Index]],ItemEffectTable[ApplyBuffId],0)),ItemTable[ItemEffectDataId],0)),표9[#Headers],0))</f>
        <v>50</v>
      </c>
      <c r="U30" s="70">
        <f>ItemEffectTable23[[#This Row],['#종합 효력]]/ItemEffectTable23[[#This Row],['#기준 효력]]</f>
        <v>1.2260000000000002</v>
      </c>
    </row>
    <row r="31" spans="2:21">
      <c r="B31" s="19" t="str">
        <f>IFERROR(INDEX(ItemEffectTable['#이름],MATCH(ItemEffectTable23[[#This Row],[Index]],ItemEffectTable[Index],0)),INDEX(ItemEffectTable['#이름],MATCH(ItemEffectTable23[[#This Row],[Index]],ItemEffectTable[ApplyBuffId],0)))</f>
        <v>사이버웨어</v>
      </c>
      <c r="C3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 (3초)</v>
      </c>
      <c r="D31">
        <v>10002</v>
      </c>
      <c r="E31" t="s">
        <v>129</v>
      </c>
      <c r="F31">
        <v>0.5</v>
      </c>
      <c r="G31" t="s">
        <v>213</v>
      </c>
      <c r="H31">
        <v>3</v>
      </c>
      <c r="I31" s="18" cm="1">
        <f t="array" ref="I3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31" s="18" cm="1">
        <f t="array" ref="J3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0.25</v>
      </c>
      <c r="L3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31" s="19">
        <f>IFERROR(
INDEX(ItemEffectTable['#발동율],MATCH(ItemEffectTable23[[#This Row],[Index]],ItemEffectTable[ApplySpecialEffectId],0)),
INDEX(ItemEffectTable['#발동율],MATCH(ItemEffectTable23[[#This Row],[Index]],ItemEffectTable[ApplyBuffId],0))
)</f>
        <v>0</v>
      </c>
      <c r="N31" s="19">
        <f>INDEX(ItemEffectTable[CoolTime],MATCH(ItemEffectTable23[[#This Row],[Index]],ItemEffectTable[ApplyBuffId],0))</f>
        <v>15</v>
      </c>
      <c r="O31" s="19">
        <f>IF(ItemEffectTable23[[#This Row],['#발동율]]=-1,-1,(ItemEffectTable23[[#This Row],['#발동율]]+ItemEffectTable23[[#This Row],['#쿨타임]])/ItemEffectTable23[[#This Row],[Duration]])</f>
        <v>5</v>
      </c>
      <c r="P31" s="19">
        <f>ItemEffectTable23[[#This Row],['#효력 가치 판단]]/IF(ItemEffectTable23[[#This Row],['#발동량]]=-1,1,ItemEffectTable23[[#This Row],['#발동량]])</f>
        <v>37.5</v>
      </c>
      <c r="Q31" s="19">
        <f>SUMIF(ItemEffectTable23['#아이템 명칭],ItemEffectTable23[[#This Row],['#아이템 명칭]],ItemEffectTable23['#총 가치판단])</f>
        <v>61.300000000000011</v>
      </c>
      <c r="R31" s="19">
        <f>IFERROR(INDEX(ItemEffectTable2324['#가치판단],MATCH(ItemEffectTable23[[#This Row],['#아이템 명칭]],ItemEffectTable2324['#명칭],0)),0)</f>
        <v>0</v>
      </c>
      <c r="S31" s="19">
        <f>ItemEffectTable23[[#This Row],['#아이템 효력 합산]]+ItemEffectTable23[[#This Row],['#특수 효력]]/COUNTIF(ItemEffectTable23['#특수 효력],ItemEffectTable23[[#This Row],['#특수 효력]])</f>
        <v>61.300000000000011</v>
      </c>
      <c r="T31" s="19" cm="1">
        <f t="array" ref="T31">INDEX(표9[],0,MATCH(
INDEX(ItemTable[GradeType],MATCH(INDEX(ItemEffectTable[Index],MATCH(ItemEffectTable23[[#This Row],[Index]],ItemEffectTable[ApplyBuffId],0)),ItemTable[ItemEffectDataId],0)),표9[#Headers],0))</f>
        <v>50</v>
      </c>
      <c r="U31" s="70">
        <f>ItemEffectTable23[[#This Row],['#종합 효력]]/ItemEffectTable23[[#This Row],['#기준 효력]]</f>
        <v>1.2260000000000002</v>
      </c>
    </row>
    <row r="32" spans="2:21">
      <c r="B32" s="32" t="str">
        <f>IFERROR(INDEX(ItemEffectTable['#이름],MATCH(ItemEffectTable23[[#This Row],[Index]],ItemEffectTable[Index],0)),INDEX(ItemEffectTable['#이름],MATCH(ItemEffectTable23[[#This Row],[Index]],ItemEffectTable[ApplyBuffId],0)))</f>
        <v>사이버웨어</v>
      </c>
      <c r="C3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중 이동속도 -1 (3초)</v>
      </c>
      <c r="D32">
        <v>10002</v>
      </c>
      <c r="E32" t="s">
        <v>14</v>
      </c>
      <c r="F32">
        <v>2</v>
      </c>
      <c r="G32" t="s">
        <v>213</v>
      </c>
      <c r="H32">
        <v>3</v>
      </c>
      <c r="I32" s="18" cm="1">
        <f t="array" ref="I3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4</v>
      </c>
      <c r="J32" s="18" cm="1">
        <f t="array" ref="J3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8</v>
      </c>
      <c r="L3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-1500</v>
      </c>
      <c r="M32" s="19">
        <f>IFERROR(
INDEX(ItemEffectTable['#발동율],MATCH(ItemEffectTable23[[#This Row],[Index]],ItemEffectTable[ApplySpecialEffectId],0)),
INDEX(ItemEffectTable['#발동율],MATCH(ItemEffectTable23[[#This Row],[Index]],ItemEffectTable[ApplyBuffId],0))
)</f>
        <v>0</v>
      </c>
      <c r="N32" s="19">
        <f>INDEX(ItemEffectTable[CoolTime],MATCH(ItemEffectTable23[[#This Row],[Index]],ItemEffectTable[ApplyBuffId],0))</f>
        <v>15</v>
      </c>
      <c r="O32" s="19">
        <f>IF(ItemEffectTable23[[#This Row],['#발동율]]=-1,-1,(ItemEffectTable23[[#This Row],['#발동율]]+ItemEffectTable23[[#This Row],['#쿨타임]])/ItemEffectTable23[[#This Row],[Duration]])</f>
        <v>5</v>
      </c>
      <c r="P32" s="19">
        <f>ItemEffectTable23[[#This Row],['#효력 가치 판단]]/IF(ItemEffectTable23[[#This Row],['#발동량]]=-1,1,ItemEffectTable23[[#This Row],['#발동량]])</f>
        <v>-300</v>
      </c>
      <c r="Q32" s="19">
        <f>SUMIF(ItemEffectTable23['#아이템 명칭],ItemEffectTable23[[#This Row],['#아이템 명칭]],ItemEffectTable23['#총 가치판단])</f>
        <v>61.300000000000011</v>
      </c>
      <c r="R32" s="19">
        <f>IFERROR(INDEX(ItemEffectTable2324['#가치판단],MATCH(ItemEffectTable23[[#This Row],['#아이템 명칭]],ItemEffectTable2324['#명칭],0)),0)</f>
        <v>0</v>
      </c>
      <c r="S32" s="19">
        <f>ItemEffectTable23[[#This Row],['#아이템 효력 합산]]+ItemEffectTable23[[#This Row],['#특수 효력]]/COUNTIF(ItemEffectTable23['#특수 효력],ItemEffectTable23[[#This Row],['#특수 효력]])</f>
        <v>61.300000000000011</v>
      </c>
      <c r="T32" s="19" cm="1">
        <f t="array" ref="T32">INDEX(표9[],0,MATCH(
INDEX(ItemTable[GradeType],MATCH(INDEX(ItemEffectTable[Index],MATCH(ItemEffectTable23[[#This Row],[Index]],ItemEffectTable[ApplyBuffId],0)),ItemTable[ItemEffectDataId],0)),표9[#Headers],0))</f>
        <v>50</v>
      </c>
      <c r="U32" s="70">
        <f>ItemEffectTable23[[#This Row],['#종합 효력]]/ItemEffectTable23[[#This Row],['#기준 효력]]</f>
        <v>1.2260000000000002</v>
      </c>
    </row>
    <row r="33" spans="2:21">
      <c r="B33" s="4" t="str">
        <f>IFERROR(INDEX(ItemEffectTable['#이름],MATCH(ItemEffectTable23[[#This Row],[Index]],ItemEffectTable[Index],0)),INDEX(ItemEffectTable['#이름],MATCH(ItemEffectTable23[[#This Row],[Index]],ItemEffectTable[ApplyBuffId],0)))</f>
        <v>사이버웨어</v>
      </c>
      <c r="C3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+0.5 (3초)</v>
      </c>
      <c r="D33">
        <v>10002</v>
      </c>
      <c r="E33" s="11" t="s">
        <v>334</v>
      </c>
      <c r="F33">
        <v>0.5</v>
      </c>
      <c r="G33" t="s">
        <v>213</v>
      </c>
      <c r="H33">
        <v>3</v>
      </c>
      <c r="I33" s="18" cm="1">
        <f t="array" ref="I3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33" s="18" cm="1">
        <f t="array" ref="J3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0.3</v>
      </c>
      <c r="L3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100.00000000000001</v>
      </c>
      <c r="M33" s="19">
        <f>IFERROR(
INDEX(ItemEffectTable['#발동율],MATCH(ItemEffectTable23[[#This Row],[Index]],ItemEffectTable[ApplySpecialEffectId],0)),
INDEX(ItemEffectTable['#발동율],MATCH(ItemEffectTable23[[#This Row],[Index]],ItemEffectTable[ApplyBuffId],0))
)</f>
        <v>0</v>
      </c>
      <c r="N33" s="19">
        <f>INDEX(ItemEffectTable[CoolTime],MATCH(ItemEffectTable23[[#This Row],[Index]],ItemEffectTable[ApplyBuffId],0))</f>
        <v>15</v>
      </c>
      <c r="O33" s="19">
        <f>IF(ItemEffectTable23[[#This Row],['#발동율]]=-1,-1,(ItemEffectTable23[[#This Row],['#발동율]]+ItemEffectTable23[[#This Row],['#쿨타임]])/ItemEffectTable23[[#This Row],[Duration]])</f>
        <v>5</v>
      </c>
      <c r="P33" s="19">
        <f>ItemEffectTable23[[#This Row],['#효력 가치 판단]]/IF(ItemEffectTable23[[#This Row],['#발동량]]=-1,1,ItemEffectTable23[[#This Row],['#발동량]])</f>
        <v>20.000000000000004</v>
      </c>
      <c r="Q33" s="19">
        <f>SUMIF(ItemEffectTable23['#아이템 명칭],ItemEffectTable23[[#This Row],['#아이템 명칭]],ItemEffectTable23['#총 가치판단])</f>
        <v>61.300000000000011</v>
      </c>
      <c r="R33" s="19">
        <f>IFERROR(INDEX(ItemEffectTable2324['#가치판단],MATCH(ItemEffectTable23[[#This Row],['#아이템 명칭]],ItemEffectTable2324['#명칭],0)),0)</f>
        <v>0</v>
      </c>
      <c r="S33" s="19">
        <f>ItemEffectTable23[[#This Row],['#아이템 효력 합산]]+ItemEffectTable23[[#This Row],['#특수 효력]]/COUNTIF(ItemEffectTable23['#특수 효력],ItemEffectTable23[[#This Row],['#특수 효력]])</f>
        <v>61.300000000000011</v>
      </c>
      <c r="T33" s="19" cm="1">
        <f t="array" ref="T33">INDEX(표9[],0,MATCH(
INDEX(ItemTable[GradeType],MATCH(INDEX(ItemEffectTable[Index],MATCH(ItemEffectTable23[[#This Row],[Index]],ItemEffectTable[ApplyBuffId],0)),ItemTable[ItemEffectDataId],0)),표9[#Headers],0))</f>
        <v>50</v>
      </c>
      <c r="U33" s="70">
        <f>ItemEffectTable23[[#This Row],['#종합 효력]]/ItemEffectTable23[[#This Row],['#기준 효력]]</f>
        <v>1.2260000000000002</v>
      </c>
    </row>
    <row r="34" spans="2:21">
      <c r="B34" s="4" t="str">
        <f>IFERROR(INDEX(ItemEffectTable['#이름],MATCH(ItemEffectTable23[[#This Row],[Index]],ItemEffectTable[Index],0)),INDEX(ItemEffectTable['#이름],MATCH(ItemEffectTable23[[#This Row],[Index]],ItemEffectTable[ApplyBuffId],0)))</f>
        <v>엑스칼리배트</v>
      </c>
      <c r="C3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+0.5 (1.5초)</v>
      </c>
      <c r="D34">
        <v>10004</v>
      </c>
      <c r="E34" t="s">
        <v>0</v>
      </c>
      <c r="F34">
        <v>0.5</v>
      </c>
      <c r="G34" t="s">
        <v>213</v>
      </c>
      <c r="H34">
        <v>1.5</v>
      </c>
      <c r="I34" s="18" cm="1">
        <f t="array" ref="I3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34" s="18" cm="1">
        <f t="array" ref="J3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3.25</v>
      </c>
      <c r="L3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-162.5</v>
      </c>
      <c r="M34" s="19">
        <f>IFERROR(
INDEX(ItemEffectTable['#발동율],MATCH(ItemEffectTable23[[#This Row],[Index]],ItemEffectTable[ApplySpecialEffectId],0)),
INDEX(ItemEffectTable['#발동율],MATCH(ItemEffectTable23[[#This Row],[Index]],ItemEffectTable[ApplyBuffId],0))
)</f>
        <v>0</v>
      </c>
      <c r="N34" s="19">
        <f>INDEX(ItemEffectTable[CoolTime],MATCH(ItemEffectTable23[[#This Row],[Index]],ItemEffectTable[ApplyBuffId],0))</f>
        <v>16</v>
      </c>
      <c r="O34" s="19">
        <f>IF(ItemEffectTable23[[#This Row],['#발동율]]=-1,-1,(ItemEffectTable23[[#This Row],['#발동율]]+ItemEffectTable23[[#This Row],['#쿨타임]])/ItemEffectTable23[[#This Row],[Duration]])</f>
        <v>10.666666666666666</v>
      </c>
      <c r="P34" s="19">
        <f>ItemEffectTable23[[#This Row],['#효력 가치 판단]]/IF(ItemEffectTable23[[#This Row],['#발동량]]=-1,1,ItemEffectTable23[[#This Row],['#발동량]])</f>
        <v>-15.234375</v>
      </c>
      <c r="Q34" s="19">
        <f>SUMIF(ItemEffectTable23['#아이템 명칭],ItemEffectTable23[[#This Row],['#아이템 명칭]],ItemEffectTable23['#총 가치판단])</f>
        <v>-15.234375</v>
      </c>
      <c r="R34" s="19">
        <f>IFERROR(INDEX(ItemEffectTable2324['#가치판단],MATCH(ItemEffectTable23[[#This Row],['#아이템 명칭]],ItemEffectTable2324['#명칭],0)),0)</f>
        <v>0</v>
      </c>
      <c r="S34" s="19">
        <f>ItemEffectTable23[[#This Row],['#아이템 효력 합산]]+ItemEffectTable23[[#This Row],['#특수 효력]]/COUNTIF(ItemEffectTable23['#특수 효력],ItemEffectTable23[[#This Row],['#특수 효력]])</f>
        <v>-15.234375</v>
      </c>
      <c r="T34" s="19" cm="1">
        <f t="array" ref="T34">INDEX(표9[],0,MATCH(
INDEX(ItemTable[GradeType],MATCH(INDEX(ItemEffectTable[Index],MATCH(ItemEffectTable23[[#This Row],[Index]],ItemEffectTable[ApplyBuffId],0)),ItemTable[ItemEffectDataId],0)),표9[#Headers],0))</f>
        <v>50</v>
      </c>
      <c r="U34" s="70">
        <f>ItemEffectTable23[[#This Row],['#종합 효력]]/ItemEffectTable23[[#This Row],['#기준 효력]]</f>
        <v>-0.3046875</v>
      </c>
    </row>
    <row r="35" spans="2:21">
      <c r="B35" s="4" t="str">
        <f>IFERROR(INDEX(ItemEffectTable['#이름],MATCH(ItemEffectTable23[[#This Row],[Index]],ItemEffectTable[Index],0)),INDEX(ItemEffectTable['#이름],MATCH(ItemEffectTable23[[#This Row],[Index]],ItemEffectTable[ApplyBuffId],0)))</f>
        <v>여의배트</v>
      </c>
      <c r="C3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+2.5 (10초)</v>
      </c>
      <c r="D35">
        <v>10005</v>
      </c>
      <c r="E35" s="11" t="s">
        <v>450</v>
      </c>
      <c r="F35">
        <v>2.5</v>
      </c>
      <c r="G35" s="11" t="s">
        <v>472</v>
      </c>
      <c r="H35">
        <v>10</v>
      </c>
      <c r="I35" s="18" cm="1">
        <f t="array" ref="I3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35" s="18" cm="1">
        <f t="array" ref="J3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v>
      </c>
      <c r="L3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35" s="19">
        <f>IFERROR(
INDEX(ItemEffectTable['#발동율],MATCH(ItemEffectTable23[[#This Row],[Index]],ItemEffectTable[ApplySpecialEffectId],0)),
INDEX(ItemEffectTable['#발동율],MATCH(ItemEffectTable23[[#This Row],[Index]],ItemEffectTable[ApplyBuffId],0))
)</f>
        <v>0</v>
      </c>
      <c r="N35" s="19">
        <f>INDEX(ItemEffectTable[CoolTime],MATCH(ItemEffectTable23[[#This Row],[Index]],ItemEffectTable[ApplyBuffId],0))</f>
        <v>18</v>
      </c>
      <c r="O35" s="19">
        <f>IF(ItemEffectTable23[[#This Row],['#발동율]]=-1,-1,(ItemEffectTable23[[#This Row],['#발동율]]+ItemEffectTable23[[#This Row],['#쿨타임]])/ItemEffectTable23[[#This Row],[Duration]])</f>
        <v>1.8</v>
      </c>
      <c r="P35" s="19">
        <f>ItemEffectTable23[[#This Row],['#효력 가치 판단]]/IF(ItemEffectTable23[[#This Row],['#발동량]]=-1,1,ItemEffectTable23[[#This Row],['#발동량]])</f>
        <v>138.88888888888889</v>
      </c>
      <c r="Q35" s="19">
        <f>SUMIF(ItemEffectTable23['#아이템 명칭],ItemEffectTable23[[#This Row],['#아이템 명칭]],ItemEffectTable23['#총 가치판단])</f>
        <v>138.88888888888889</v>
      </c>
      <c r="R35" s="19">
        <f>IFERROR(INDEX(ItemEffectTable2324['#가치판단],MATCH(ItemEffectTable23[[#This Row],['#아이템 명칭]],ItemEffectTable2324['#명칭],0)),0)</f>
        <v>0</v>
      </c>
      <c r="S35" s="19">
        <f>ItemEffectTable23[[#This Row],['#아이템 효력 합산]]+ItemEffectTable23[[#This Row],['#특수 효력]]/COUNTIF(ItemEffectTable23['#특수 효력],ItemEffectTable23[[#This Row],['#특수 효력]])</f>
        <v>138.88888888888889</v>
      </c>
      <c r="T35" s="19" cm="1">
        <f t="array" ref="T35">INDEX(표9[],0,MATCH(
INDEX(ItemTable[GradeType],MATCH(INDEX(ItemEffectTable[Index],MATCH(ItemEffectTable23[[#This Row],[Index]],ItemEffectTable[ApplyBuffId],0)),ItemTable[ItemEffectDataId],0)),표9[#Headers],0))</f>
        <v>50</v>
      </c>
      <c r="U35" s="70">
        <f>ItemEffectTable23[[#This Row],['#종합 효력]]/ItemEffectTable23[[#This Row],['#기준 효력]]</f>
        <v>2.7777777777777777</v>
      </c>
    </row>
    <row r="37" spans="2:21">
      <c r="F37" s="11"/>
      <c r="G37" s="11"/>
      <c r="H37" s="65"/>
    </row>
    <row r="38" spans="2:21">
      <c r="E38" s="11"/>
    </row>
    <row r="39" spans="2:21">
      <c r="C39" s="11"/>
    </row>
    <row r="40" spans="2:21">
      <c r="C40" s="11"/>
    </row>
    <row r="42" spans="2:21">
      <c r="C42" s="11"/>
    </row>
    <row r="43" spans="2:21">
      <c r="C43" s="11"/>
    </row>
    <row r="49" spans="3:9">
      <c r="C49" s="11"/>
    </row>
    <row r="51" spans="3:9">
      <c r="D51" s="11"/>
    </row>
    <row r="52" spans="3:9">
      <c r="I52" s="11"/>
    </row>
    <row r="54" spans="3:9">
      <c r="C54" s="11"/>
      <c r="D54" s="11"/>
    </row>
  </sheetData>
  <phoneticPr fontId="12" type="noConversion"/>
  <conditionalFormatting sqref="U3:U35">
    <cfRule type="colorScale" priority="2">
      <colorScale>
        <cfvo type="min"/>
        <cfvo type="percentile" val="50"/>
        <cfvo type="max"/>
        <color rgb="FFF8696B"/>
        <color rgb="FFFFEB84"/>
        <color rgb="FF63BE7B"/>
      </colorScale>
    </cfRule>
  </conditionalFormatting>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BE5D7"/>
  </sheetPr>
  <dimension ref="A1:N20"/>
  <sheetViews>
    <sheetView zoomScaleNormal="100" zoomScaleSheetLayoutView="100" workbookViewId="0">
      <selection activeCell="E11" sqref="E11"/>
    </sheetView>
  </sheetViews>
  <sheetFormatPr defaultColWidth="8.796875" defaultRowHeight="17.399999999999999"/>
  <cols>
    <col min="1" max="1" width="8.796875" style="43"/>
    <col min="2" max="2" width="8.69921875" bestFit="1" customWidth="1"/>
    <col min="3" max="3" width="14.69921875" customWidth="1"/>
    <col min="4" max="4" width="14.5" customWidth="1"/>
    <col min="5" max="5" width="11.19921875" customWidth="1"/>
    <col min="6" max="6" width="18.296875" customWidth="1"/>
    <col min="7" max="7" width="11.796875" customWidth="1"/>
    <col min="8" max="8" width="20.69921875" customWidth="1"/>
    <col min="9" max="9" width="17.5" customWidth="1"/>
    <col min="10" max="10" width="25.796875" customWidth="1"/>
    <col min="11" max="11" width="11.796875" bestFit="1" customWidth="1"/>
    <col min="12" max="12" width="22.296875" customWidth="1"/>
    <col min="13" max="14" width="14.19921875" customWidth="1"/>
  </cols>
  <sheetData>
    <row r="1" spans="1:14">
      <c r="B1" t="s">
        <v>24</v>
      </c>
      <c r="D1" t="s">
        <v>65</v>
      </c>
      <c r="E1" s="16" t="s">
        <v>305</v>
      </c>
      <c r="F1" s="16"/>
      <c r="G1" s="16" t="s">
        <v>314</v>
      </c>
      <c r="H1" s="16"/>
      <c r="I1" s="16" t="s">
        <v>314</v>
      </c>
      <c r="J1" s="16"/>
      <c r="K1" s="16" t="s">
        <v>314</v>
      </c>
    </row>
    <row r="2" spans="1:14">
      <c r="B2" t="s">
        <v>38</v>
      </c>
      <c r="C2" s="36" t="s">
        <v>356</v>
      </c>
      <c r="D2" s="16" t="s">
        <v>335</v>
      </c>
      <c r="E2" s="16" t="s">
        <v>311</v>
      </c>
      <c r="F2" s="34" t="s">
        <v>347</v>
      </c>
      <c r="G2" s="30" t="s">
        <v>312</v>
      </c>
      <c r="H2" s="34" t="s">
        <v>348</v>
      </c>
      <c r="I2" s="30" t="s">
        <v>313</v>
      </c>
      <c r="J2" s="34" t="s">
        <v>349</v>
      </c>
      <c r="K2" s="30" t="s">
        <v>362</v>
      </c>
      <c r="L2" s="34" t="s">
        <v>361</v>
      </c>
      <c r="M2" s="66" t="s">
        <v>728</v>
      </c>
      <c r="N2" s="71" t="s">
        <v>735</v>
      </c>
    </row>
    <row r="3" spans="1:14">
      <c r="B3" s="16">
        <v>7005</v>
      </c>
      <c r="C3" s="18" t="str">
        <f>IFERROR(INDEX(ItemEffectTable['#이름],MATCH(ItemEffectTable2324[[#This Row],[Index]],ItemEffectTable[Index],0)),INDEX(ItemEffectTable['#이름],MATCH(ItemEffectTable2324[[#This Row],[Index]],ItemEffectTable[ApplyBuffId],0)))</f>
        <v>삼각김곰</v>
      </c>
      <c r="D3" s="16" t="s">
        <v>427</v>
      </c>
      <c r="E3">
        <v>50</v>
      </c>
      <c r="F3" s="14" t="str" cm="1">
        <f t="array" ref="F3">IFERROR(
_xlfn.IFS(ItemEffectTable2324[[#This Row],[EffectType]]="Heal","힐량 (50반칸)",
ItemEffectTable2324[[#This Row],[EffectType]]="Shoot","ShootDataPK",
ItemEffectTable2324[[#This Row],[EffectType]]="AddGold","골드 변동량",
ItemEffectTable2324[[#This Row],[EffectType]]="AddStack","늘릴스택량"
),
"")</f>
        <v>힐량 (50반칸)</v>
      </c>
      <c r="H3" s="19"/>
      <c r="J3" s="19"/>
      <c r="L3" s="19"/>
      <c r="M3" s="19">
        <f>INDEX(표29[1당 가치],MATCH(ItemEffectTable2324[[#This Row],[EffectType]],표29[특수 이펙트 명칭],0))*IF(ISBLANK(ItemEffectTable2324[[#This Row],[Param1]]),1,ItemEffectTable2324[[#This Row],[Param1]])+ItemEffectTable2324[[#This Row],['#예외처리]]</f>
        <v>60</v>
      </c>
    </row>
    <row r="4" spans="1:14">
      <c r="B4" s="16">
        <v>8002</v>
      </c>
      <c r="C4" s="18" t="str">
        <f>IFERROR(INDEX(ItemEffectTable['#이름],MATCH(ItemEffectTable2324[[#This Row],[Index]],ItemEffectTable[Index],0)),INDEX(ItemEffectTable['#이름],MATCH(ItemEffectTable2324[[#This Row],[Index]],ItemEffectTable[ApplyBuffId],0)))</f>
        <v>돌가면</v>
      </c>
      <c r="D4" s="16" t="s">
        <v>427</v>
      </c>
      <c r="E4">
        <v>25</v>
      </c>
      <c r="F4" s="14" t="str" cm="1">
        <f t="array" ref="F4">IFERROR(
_xlfn.IFS(ItemEffectTable2324[[#This Row],[EffectType]]="Heal","힐량 (50반칸)",
ItemEffectTable2324[[#This Row],[EffectType]]="Shoot","ShootDataPK",
ItemEffectTable2324[[#This Row],[EffectType]]="AddGold","골드 변동량",
ItemEffectTable2324[[#This Row],[EffectType]]="AddStack","늘릴스택량"
),
"")</f>
        <v>힐량 (50반칸)</v>
      </c>
      <c r="H4" s="19"/>
      <c r="J4" s="19"/>
      <c r="L4" s="19"/>
      <c r="M4" s="19">
        <f>INDEX(표29[1당 가치],MATCH(ItemEffectTable2324[[#This Row],[EffectType]],표29[특수 이펙트 명칭],0))*IF(ISBLANK(ItemEffectTable2324[[#This Row],[Param1]]),1,ItemEffectTable2324[[#This Row],[Param1]])+ItemEffectTable2324[[#This Row],['#예외처리]]</f>
        <v>30</v>
      </c>
    </row>
    <row r="5" spans="1:14">
      <c r="B5" s="16">
        <v>8005</v>
      </c>
      <c r="C5" s="18" t="str">
        <f>IFERROR(INDEX(ItemEffectTable[],MATCH(ItemEffectTable2324[[#This Row],[Index]],ItemEffectTable[Index],0)),INDEX(ItemEffectTable['#이름],MATCH(ItemEffectTable2324[[#This Row],[Index]],ItemEffectTable[ApplyBuffId],0)))</f>
        <v>이상한 사탕</v>
      </c>
      <c r="D5" s="16" t="s">
        <v>427</v>
      </c>
      <c r="E5">
        <v>1000</v>
      </c>
      <c r="F5" s="14" t="str" cm="1">
        <f t="array" ref="F5">IFERROR(
_xlfn.IFS(ItemEffectTable2324[[#This Row],[EffectType]]="Heal","힐량 (50반칸)",
ItemEffectTable2324[[#This Row],[EffectType]]="Shoot","ShootDataPK",
ItemEffectTable2324[[#This Row],[EffectType]]="AddGold","골드 변동량",
ItemEffectTable2324[[#This Row],[EffectType]]="AddStack","늘릴스택량"
),
"")</f>
        <v>힐량 (50반칸)</v>
      </c>
      <c r="H5" s="19"/>
      <c r="J5" s="19"/>
      <c r="L5" s="19"/>
      <c r="M5" s="19">
        <f>INDEX(표29[1당 가치],MATCH(ItemEffectTable2324[[#This Row],[EffectType]],표29[특수 이펙트 명칭],0))*IF(ISBLANK(ItemEffectTable2324[[#This Row],[Param1]]),1,ItemEffectTable2324[[#This Row],[Param1]])+ItemEffectTable2324[[#This Row],['#예외처리]]</f>
        <v>1200</v>
      </c>
    </row>
    <row r="6" spans="1:14">
      <c r="B6" s="16">
        <v>8006</v>
      </c>
      <c r="C6" s="18" t="str">
        <f>IFERROR(INDEX(ItemEffectTable['#이름],MATCH(ItemEffectTable2324[[#This Row],[Index]],ItemEffectTable[Index],0)),INDEX(ItemEffectTable['#이름],MATCH(ItemEffectTable2324[[#This Row],[Index]],ItemEffectTable[ApplyBuffId],0)))</f>
        <v>투수 케르베로스</v>
      </c>
      <c r="D6" s="16" t="s">
        <v>343</v>
      </c>
      <c r="E6">
        <v>800</v>
      </c>
      <c r="F6" s="14" t="str" cm="1">
        <f t="array" ref="F6">IFERROR(
_xlfn.IFS(ItemEffectTable2324[[#This Row],[EffectType]]="Heal","힐량 (50반칸)",
ItemEffectTable2324[[#This Row],[EffectType]]="Shoot","ShootDataPK",
ItemEffectTable2324[[#This Row],[EffectType]]="AddGold","골드 변동량",
ItemEffectTable2324[[#This Row],[EffectType]]="AddStack","늘릴스택량"
),
"")</f>
        <v>ShootDataPK</v>
      </c>
      <c r="G6">
        <v>1</v>
      </c>
      <c r="H6" s="19"/>
      <c r="J6" s="19"/>
      <c r="L6" s="19"/>
      <c r="M6" s="19">
        <f>INDEX(표29[1당 가치],MATCH(ItemEffectTable2324[[#This Row],[EffectType]],표29[특수 이펙트 명칭],0))*IF(ISBLANK(ItemEffectTable2324[[#This Row],[Param1]]),1,ItemEffectTable2324[[#This Row],[Param1]])+ItemEffectTable2324[[#This Row],['#예외처리]]</f>
        <v>0</v>
      </c>
    </row>
    <row r="7" spans="1:14">
      <c r="B7" s="16">
        <v>8007</v>
      </c>
      <c r="C7" s="18" t="str">
        <f>IFERROR(INDEX(ItemEffectTable['#이름],MATCH(ItemEffectTable2324[[#This Row],[Index]],ItemEffectTable[Index],0)),INDEX(ItemEffectTable['#이름],MATCH(ItemEffectTable2324[[#This Row],[Index]],ItemEffectTable[ApplyBuffId],0)))</f>
        <v>공을 마시는 배트</v>
      </c>
      <c r="D7" s="16" t="s">
        <v>828</v>
      </c>
      <c r="E7">
        <v>1</v>
      </c>
      <c r="F7" s="14" t="s">
        <v>929</v>
      </c>
      <c r="H7" s="19"/>
      <c r="J7" s="19"/>
      <c r="L7" s="19"/>
      <c r="M7" s="19" t="e">
        <f>INDEX(표29[1당 가치],MATCH(ItemEffectTable2324[[#This Row],[EffectType]],표29[특수 이펙트 명칭],0))*IF(ISBLANK(ItemEffectTable2324[[#This Row],[Param1]]),1,ItemEffectTable2324[[#This Row],[Param1]])+ItemEffectTable2324[[#This Row],['#예외처리]]</f>
        <v>#N/A</v>
      </c>
      <c r="N7" t="e">
        <f>INDEX(표29[1당 가치],MATCH(ItemEffectTable2324[[#This Row],[EffectType]],표29[특수 이펙트 명칭],0))*IF(ISBLANK(ItemEffectTable2324[[#This Row],[Param1]]),1,ItemEffectTable2324[[#This Row],[Param1]])</f>
        <v>#N/A</v>
      </c>
    </row>
    <row r="8" spans="1:14">
      <c r="B8" s="16">
        <v>9004</v>
      </c>
      <c r="C8" s="18" t="str">
        <f>IFERROR(INDEX(ItemEffectTable['#이름],MATCH(ItemEffectTable2324[[#This Row],[Index]],ItemEffectTable[Index],0)),INDEX(ItemEffectTable['#이름],MATCH(ItemEffectTable2324[[#This Row],[Index]],ItemEffectTable[ApplyBuffId],0)))</f>
        <v>행성 만세</v>
      </c>
      <c r="D8" s="16" t="s">
        <v>343</v>
      </c>
      <c r="E8">
        <v>804</v>
      </c>
      <c r="F8" s="14" t="str" cm="1">
        <f t="array" ref="F8">IFERROR(
_xlfn.IFS(ItemEffectTable2324[[#This Row],[EffectType]]="Heal","힐량 (50반칸)",
ItemEffectTable2324[[#This Row],[EffectType]]="Shoot","ShootDataPK",
ItemEffectTable2324[[#This Row],[EffectType]]="AddGold","골드 변동량",
ItemEffectTable2324[[#This Row],[EffectType]]="AddStack","늘릴스택량"
),
"")</f>
        <v>ShootDataPK</v>
      </c>
      <c r="G8">
        <v>1</v>
      </c>
      <c r="H8" s="19"/>
      <c r="J8" s="19"/>
      <c r="L8" s="19"/>
      <c r="M8" s="19">
        <f>INDEX(표29[1당 가치],MATCH(ItemEffectTable2324[[#This Row],[EffectType]],표29[특수 이펙트 명칭],0))*IF(ISBLANK(ItemEffectTable2324[[#This Row],[Param1]]),1,ItemEffectTable2324[[#This Row],[Param1]])+ItemEffectTable2324[[#This Row],['#예외처리]]</f>
        <v>70</v>
      </c>
      <c r="N8">
        <v>70</v>
      </c>
    </row>
    <row r="9" spans="1:14">
      <c r="B9" s="16">
        <v>9005</v>
      </c>
      <c r="C9" s="18" t="str">
        <f>IFERROR(INDEX(ItemEffectTable['#이름],MATCH(ItemEffectTable2324[[#This Row],[Index]],ItemEffectTable[Index],0)),INDEX(ItemEffectTable['#이름],MATCH(ItemEffectTable2324[[#This Row],[Index]],ItemEffectTable[ApplyBuffId],0)))</f>
        <v>회피 캣</v>
      </c>
      <c r="D9" s="16" t="s">
        <v>343</v>
      </c>
      <c r="E9">
        <v>805</v>
      </c>
      <c r="F9" s="14" t="str" cm="1">
        <f t="array" ref="F9">IFERROR(
_xlfn.IFS(ItemEffectTable2324[[#This Row],[EffectType]]="Heal","힐량 (50반칸)",
ItemEffectTable2324[[#This Row],[EffectType]]="Shoot","ShootDataPK",
ItemEffectTable2324[[#This Row],[EffectType]]="AddGold","골드 변동량",
ItemEffectTable2324[[#This Row],[EffectType]]="AddStack","늘릴스택량"
),
"")</f>
        <v>ShootDataPK</v>
      </c>
      <c r="G9">
        <v>1</v>
      </c>
      <c r="H9" s="19"/>
      <c r="J9" s="19"/>
      <c r="L9" s="19"/>
      <c r="M9" s="19">
        <f>INDEX(표29[1당 가치],MATCH(ItemEffectTable2324[[#This Row],[EffectType]],표29[특수 이펙트 명칭],0))*IF(ISBLANK(ItemEffectTable2324[[#This Row],[Param1]]),1,ItemEffectTable2324[[#This Row],[Param1]])+ItemEffectTable2324[[#This Row],['#예외처리]]</f>
        <v>0</v>
      </c>
    </row>
    <row r="10" spans="1:14">
      <c r="B10" s="16">
        <v>9002</v>
      </c>
      <c r="C10" s="18" t="str">
        <f>IFERROR(INDEX(ItemEffectTable['#이름],MATCH(ItemEffectTable2324[[#This Row],[Index]],ItemEffectTable[Index],0)),INDEX(ItemEffectTable['#이름],MATCH(ItemEffectTable2324[[#This Row],[Index]],ItemEffectTable[ApplyBuffId],0)))</f>
        <v>청개구리 총</v>
      </c>
      <c r="D10" s="16" t="s">
        <v>330</v>
      </c>
      <c r="E10" s="9"/>
      <c r="F10" s="14" t="str" cm="1">
        <f t="array" ref="F10">IFERROR(
_xlfn.IFS(ItemEffectTable2324[[#This Row],[EffectType]]="Heal","힐량 (50반칸)",
ItemEffectTable2324[[#This Row],[EffectType]]="Shoot","ShootDataPK",
ItemEffectTable2324[[#This Row],[EffectType]]="AddGold","골드 변동량",
ItemEffectTable2324[[#This Row],[EffectType]]="AddStack","늘릴스택량"
),
"")</f>
        <v/>
      </c>
      <c r="H10" s="35"/>
      <c r="J10" s="19"/>
      <c r="L10" s="19"/>
      <c r="M10" s="19">
        <f>INDEX(표29[1당 가치],MATCH(ItemEffectTable2324[[#This Row],[EffectType]],표29[특수 이펙트 명칭],0))*IF(ISBLANK(ItemEffectTable2324[[#This Row],[Param1]]),1,ItemEffectTable2324[[#This Row],[Param1]])+ItemEffectTable2324[[#This Row],['#예외처리]]</f>
        <v>-200</v>
      </c>
      <c r="N10">
        <v>-200</v>
      </c>
    </row>
    <row r="11" spans="1:14">
      <c r="B11" s="16">
        <v>9003</v>
      </c>
      <c r="C11" s="18" t="str">
        <f>IFERROR(INDEX(ItemEffectTable['#이름],MATCH(ItemEffectTable2324[[#This Row],[Index]],ItemEffectTable[Index],0)),INDEX(ItemEffectTable['#이름],MATCH(ItemEffectTable2324[[#This Row],[Index]],ItemEffectTable[ApplyBuffId],0)))</f>
        <v>누군가의 일기장</v>
      </c>
      <c r="D11" s="16" t="s">
        <v>427</v>
      </c>
      <c r="E11" s="9">
        <v>-50</v>
      </c>
      <c r="F11" s="14" t="str" cm="1">
        <f t="array" ref="F11">IFERROR(
_xlfn.IFS(ItemEffectTable2324[[#This Row],[EffectType]]="Heal","힐량 (50반칸)",
ItemEffectTable2324[[#This Row],[EffectType]]="Shoot","ShootDataPK",
ItemEffectTable2324[[#This Row],[EffectType]]="AddGold","골드 변동량",
ItemEffectTable2324[[#This Row],[EffectType]]="AddStack","늘릴스택량"
),
"")</f>
        <v>힐량 (50반칸)</v>
      </c>
      <c r="H11" s="35"/>
      <c r="J11" s="19"/>
      <c r="L11" s="19"/>
      <c r="M11" s="19">
        <f>INDEX(표29[1당 가치],MATCH(ItemEffectTable2324[[#This Row],[EffectType]],표29[특수 이펙트 명칭],0))*IF(ISBLANK(ItemEffectTable2324[[#This Row],[Param1]]),1,ItemEffectTable2324[[#This Row],[Param1]])+ItemEffectTable2324[[#This Row],['#예외처리]]</f>
        <v>-60</v>
      </c>
    </row>
    <row r="12" spans="1:14">
      <c r="B12" s="48">
        <v>9006</v>
      </c>
      <c r="C12" s="49" t="str">
        <f>IFERROR(INDEX(ItemEffectTable['#이름],MATCH(ItemEffectTable2324[[#This Row],[Index]],ItemEffectTable[Index],0)),INDEX(ItemEffectTable['#이름],MATCH(ItemEffectTable2324[[#This Row],[Index]],ItemEffectTable[ApplyBuffId],0)))</f>
        <v>어른의 카드</v>
      </c>
      <c r="D12" s="48" t="s">
        <v>452</v>
      </c>
      <c r="E12" s="50">
        <v>-1</v>
      </c>
      <c r="F12" s="14" t="str" cm="1">
        <f t="array" ref="F12">IFERROR(
_xlfn.IFS(ItemEffectTable2324[[#This Row],[EffectType]]="Heal","힐량 (50반칸)",
ItemEffectTable2324[[#This Row],[EffectType]]="Shoot","ShootDataPK",
ItemEffectTable2324[[#This Row],[EffectType]]="AddGold","골드 변동량",
ItemEffectTable2324[[#This Row],[EffectType]]="AddStack","늘릴스택량"
),
"")</f>
        <v>골드 변동량</v>
      </c>
      <c r="G12" s="48"/>
      <c r="H12" s="51"/>
      <c r="I12" s="48"/>
      <c r="J12" s="49"/>
      <c r="K12" s="48"/>
      <c r="L12" s="49"/>
      <c r="M12" s="49">
        <f>INDEX(표29[1당 가치],MATCH(ItemEffectTable2324[[#This Row],[EffectType]],표29[특수 이펙트 명칭],0))*IF(ISBLANK(ItemEffectTable2324[[#This Row],[Param1]]),1,ItemEffectTable2324[[#This Row],[Param1]])+ItemEffectTable2324[[#This Row],['#예외처리]]</f>
        <v>-61</v>
      </c>
      <c r="N12" s="48">
        <v>-60</v>
      </c>
    </row>
    <row r="13" spans="1:14">
      <c r="B13" s="16">
        <v>9007</v>
      </c>
      <c r="C13" s="18" t="str">
        <f>IFERROR(INDEX(ItemEffectTable['#이름],MATCH(ItemEffectTable2324[[#This Row],[Index]],ItemEffectTable[Index],0)),INDEX(ItemEffectTable['#이름],MATCH(ItemEffectTable2324[[#This Row],[Index]],ItemEffectTable[ApplyBuffId],0)))</f>
        <v>악마의 적금통장</v>
      </c>
      <c r="D13" s="16" t="s">
        <v>828</v>
      </c>
      <c r="E13">
        <v>1</v>
      </c>
      <c r="F13" s="14" t="str" cm="1">
        <f t="array" ref="F13">IFERROR(
_xlfn.IFS(ItemEffectTable2324[[#This Row],[EffectType]]="Heal","힐량 (50반칸)",
ItemEffectTable2324[[#This Row],[EffectType]]="Shoot","ShootDataPK",
ItemEffectTable2324[[#This Row],[EffectType]]="AddGold","골드 변동량",
ItemEffectTable2324[[#This Row],[EffectType]]="AddStack","늘릴스택량"
),
"")</f>
        <v>늘릴스택량</v>
      </c>
      <c r="H13" s="19"/>
      <c r="J13" s="19"/>
      <c r="L13" s="19"/>
      <c r="M13" s="19" t="e">
        <f>INDEX(표29[1당 가치],MATCH(ItemEffectTable2324[[#This Row],[EffectType]],표29[특수 이펙트 명칭],0))*IF(ISBLANK(ItemEffectTable2324[[#This Row],[Param1]]),1,ItemEffectTable2324[[#This Row],[Param1]])+ItemEffectTable2324[[#This Row],['#예외처리]]</f>
        <v>#N/A</v>
      </c>
      <c r="N13" t="e">
        <f>INDEX(표29[1당 가치],MATCH(ItemEffectTable2324[[#This Row],[EffectType]],표29[특수 이펙트 명칭],0))*IF(ISBLANK(ItemEffectTable2324[[#This Row],[Param1]]),1,ItemEffectTable2324[[#This Row],[Param1]])</f>
        <v>#N/A</v>
      </c>
    </row>
    <row r="14" spans="1:14" s="48" customFormat="1">
      <c r="A14" s="47"/>
      <c r="B14" s="16">
        <v>9107</v>
      </c>
      <c r="C14" s="18" t="str">
        <f>IFERROR(INDEX(ItemEffectTable['#이름],MATCH(ItemEffectTable2324[[#This Row],[Index]],ItemEffectTable[Index],0)),INDEX(ItemEffectTable['#이름],MATCH(ItemEffectTable2324[[#This Row],[Index]],ItemEffectTable[ApplyBuffId],0)))</f>
        <v>악마의 적금통장</v>
      </c>
      <c r="D14" s="16" t="s">
        <v>427</v>
      </c>
      <c r="E14">
        <v>200</v>
      </c>
      <c r="F14" s="14" t="str" cm="1">
        <f t="array" ref="F14">IFERROR(
_xlfn.IFS(ItemEffectTable2324[[#This Row],[EffectType]]="Heal","힐량 (50반칸)",
ItemEffectTable2324[[#This Row],[EffectType]]="Shoot","ShootDataPK",
ItemEffectTable2324[[#This Row],[EffectType]]="AddGold","골드 변동량",
ItemEffectTable2324[[#This Row],[EffectType]]="AddStack","늘릴스택량"
),
"")</f>
        <v>힐량 (50반칸)</v>
      </c>
      <c r="G14"/>
      <c r="H14" s="19"/>
      <c r="I14"/>
      <c r="J14" s="19"/>
      <c r="K14"/>
      <c r="L14" s="19"/>
      <c r="M14" s="19">
        <f>INDEX(표29[1당 가치],MATCH(ItemEffectTable2324[[#This Row],[EffectType]],표29[특수 이펙트 명칭],0))*IF(ISBLANK(ItemEffectTable2324[[#This Row],[Param1]]),1,ItemEffectTable2324[[#This Row],[Param1]])+ItemEffectTable2324[[#This Row],['#예외처리]]</f>
        <v>480</v>
      </c>
      <c r="N14">
        <f>INDEX(표29[1당 가치],MATCH(ItemEffectTable2324[[#This Row],[EffectType]],표29[특수 이펙트 명칭],0))*IF(ISBLANK(ItemEffectTable2324[[#This Row],[Param1]]),1,ItemEffectTable2324[[#This Row],[Param1]])</f>
        <v>240</v>
      </c>
    </row>
    <row r="15" spans="1:14">
      <c r="B15" s="16">
        <v>10000</v>
      </c>
      <c r="C15" s="18" t="str">
        <f>IFERROR(INDEX(ItemEffectTable['#이름],MATCH(ItemEffectTable2324[[#This Row],[Index]],ItemEffectTable[Index],0)),INDEX(ItemEffectTable['#이름],MATCH(ItemEffectTable2324[[#This Row],[Index]],ItemEffectTable[ApplyBuffId],0)))</f>
        <v>인피니티 도넛</v>
      </c>
      <c r="D15" s="16" t="s">
        <v>315</v>
      </c>
      <c r="E15" s="9">
        <v>8</v>
      </c>
      <c r="F15" s="14" t="str" cm="1">
        <f t="array" ref="F15">IFERROR(
_xlfn.IFS(ItemEffectTable2324[[#This Row],[EffectType]]="Heal","힐량 (50반칸)",
ItemEffectTable2324[[#This Row],[EffectType]]="Shoot","ShootDataPK",
ItemEffectTable2324[[#This Row],[EffectType]]="AddGold","골드 변동량",
ItemEffectTable2324[[#This Row],[EffectType]]="AddStack","늘릴스택량"
),
"")</f>
        <v/>
      </c>
      <c r="H15" s="35"/>
      <c r="J15" s="19"/>
      <c r="L15" s="19"/>
      <c r="M15" s="19">
        <f>INDEX(표29[1당 가치],MATCH(ItemEffectTable2324[[#This Row],[EffectType]],표29[특수 이펙트 명칭],0))*IF(ISBLANK(ItemEffectTable2324[[#This Row],[Param1]]),1,ItemEffectTable2324[[#This Row],[Param1]])+ItemEffectTable2324[[#This Row],['#예외처리]]</f>
        <v>0</v>
      </c>
    </row>
    <row r="16" spans="1:14">
      <c r="B16">
        <v>10001</v>
      </c>
      <c r="C16" s="18" t="str">
        <f>IFERROR(INDEX(ItemEffectTable['#이름],MATCH(ItemEffectTable2324[[#This Row],[Index]],ItemEffectTable[Index],0)),INDEX(ItemEffectTable['#이름],MATCH(ItemEffectTable2324[[#This Row],[Index]],ItemEffectTable[ApplyBuffId],0)))</f>
        <v>초소형 블랙홀</v>
      </c>
      <c r="D16" s="16" t="s">
        <v>336</v>
      </c>
      <c r="E16">
        <v>6</v>
      </c>
      <c r="F16" s="14" t="str" cm="1">
        <f t="array" ref="F16">IFERROR(
_xlfn.IFS(ItemEffectTable2324[[#This Row],[EffectType]]="Heal","힐량 (50반칸)",
ItemEffectTable2324[[#This Row],[EffectType]]="Shoot","ShootDataPK",
ItemEffectTable2324[[#This Row],[EffectType]]="AddGold","골드 변동량",
ItemEffectTable2324[[#This Row],[EffectType]]="AddStack","늘릴스택량"
),
"")</f>
        <v/>
      </c>
      <c r="G16">
        <v>30</v>
      </c>
      <c r="H16" s="19"/>
      <c r="I16">
        <v>3</v>
      </c>
      <c r="J16" s="19"/>
      <c r="K16">
        <v>4</v>
      </c>
      <c r="L16" s="19"/>
      <c r="M16" s="19">
        <f>INDEX(표29[1당 가치],MATCH(ItemEffectTable2324[[#This Row],[EffectType]],표29[특수 이펙트 명칭],0))*IF(ISBLANK(ItemEffectTable2324[[#This Row],[Param1]]),1,ItemEffectTable2324[[#This Row],[Param1]])+ItemEffectTable2324[[#This Row],['#예외처리]]</f>
        <v>0</v>
      </c>
    </row>
    <row r="17" spans="1:14">
      <c r="B17">
        <v>10002</v>
      </c>
      <c r="C17" s="18" t="str">
        <f>IFERROR(INDEX(ItemEffectTable['#이름],MATCH(ItemEffectTable2324[[#This Row],[Index]],ItemEffectTable[Index],0)),INDEX(ItemEffectTable['#이름],MATCH(ItemEffectTable2324[[#This Row],[Index]],ItemEffectTable[ApplyBuffId],0)))</f>
        <v>사이버웨어</v>
      </c>
      <c r="D17" s="16" t="s">
        <v>331</v>
      </c>
      <c r="E17">
        <v>0.5</v>
      </c>
      <c r="F17" s="14" t="s">
        <v>922</v>
      </c>
      <c r="G17">
        <v>3</v>
      </c>
      <c r="H17" s="14" t="s">
        <v>438</v>
      </c>
      <c r="J17" s="19"/>
      <c r="L17" s="19"/>
      <c r="M17" s="19">
        <f>INDEX(표29[1당 가치],MATCH(ItemEffectTable2324[[#This Row],[EffectType]],표29[특수 이펙트 명칭],0))*IF(ISBLANK(ItemEffectTable2324[[#This Row],[Param1]]),1,ItemEffectTable2324[[#This Row],[Param1]])+ItemEffectTable2324[[#This Row],['#예외처리]]</f>
        <v>0</v>
      </c>
    </row>
    <row r="18" spans="1:14">
      <c r="B18">
        <v>10003</v>
      </c>
      <c r="C18" s="18" t="str">
        <f>IFERROR(INDEX(ItemEffectTable['#이름],MATCH(ItemEffectTable2324[[#This Row],[Index]],ItemEffectTable[Index],0)),INDEX(ItemEffectTable['#이름],MATCH(ItemEffectTable2324[[#This Row],[Index]],ItemEffectTable[ApplyBuffId],0)))</f>
        <v>미사일 백팩</v>
      </c>
      <c r="D18" s="16" t="s">
        <v>341</v>
      </c>
      <c r="E18">
        <v>10</v>
      </c>
      <c r="F18" s="19"/>
      <c r="G18">
        <v>90</v>
      </c>
      <c r="H18" s="19"/>
      <c r="I18">
        <v>1.2</v>
      </c>
      <c r="J18" s="19"/>
      <c r="L18" s="19"/>
      <c r="M18" s="19">
        <f>INDEX(표29[1당 가치],MATCH(ItemEffectTable2324[[#This Row],[EffectType]],표29[특수 이펙트 명칭],0))*IF(ISBLANK(ItemEffectTable2324[[#This Row],[Param1]]),1,ItemEffectTable2324[[#This Row],[Param1]])+ItemEffectTable2324[[#This Row],['#예외처리]]</f>
        <v>0</v>
      </c>
    </row>
    <row r="19" spans="1:14">
      <c r="B19" s="16" t="s">
        <v>835</v>
      </c>
      <c r="C19" s="18" t="e">
        <f>IFERROR(INDEX(ItemEffectTable['#이름],MATCH(ItemEffectTable2324[[#This Row],[Index]],ItemEffectTable[Index],0)),INDEX(ItemEffectTable['#이름],MATCH(ItemEffectTable2324[[#This Row],[Index]],ItemEffectTable[ApplyBuffId],0)))</f>
        <v>#N/A</v>
      </c>
      <c r="D19" s="16" t="s">
        <v>828</v>
      </c>
      <c r="E19">
        <v>1</v>
      </c>
      <c r="F19" s="19"/>
      <c r="H19" s="19"/>
      <c r="J19" s="19"/>
      <c r="L19" s="19"/>
      <c r="M19" s="19" t="e">
        <f>INDEX(표29[1당 가치],MATCH(ItemEffectTable2324[[#This Row],[EffectType]],표29[특수 이펙트 명칭],0))*IF(ISBLANK(ItemEffectTable2324[[#This Row],[Param1]]),1,ItemEffectTable2324[[#This Row],[Param1]])+ItemEffectTable2324[[#This Row],['#예외처리]]</f>
        <v>#N/A</v>
      </c>
      <c r="N19" t="e">
        <f>INDEX(표29[1당 가치],MATCH(ItemEffectTable2324[[#This Row],[EffectType]],표29[특수 이펙트 명칭],0))*IF(ISBLANK(ItemEffectTable2324[[#This Row],[Param1]]),1,ItemEffectTable2324[[#This Row],[Param1]])</f>
        <v>#N/A</v>
      </c>
    </row>
    <row r="20" spans="1:14">
      <c r="A20" s="44"/>
      <c r="B20" s="20" t="s">
        <v>447</v>
      </c>
      <c r="C20" s="22" t="e">
        <f>IFERROR(INDEX(ItemEffectTable['#이름],MATCH(ItemEffectTable2324[[#This Row],[Index]],ItemEffectTable[Index],0)),INDEX(ItemEffectTable['#이름],MATCH(ItemEffectTable2324[[#This Row],[Index]],ItemEffectTable[ApplyBuffId],0)))</f>
        <v>#N/A</v>
      </c>
      <c r="D20" s="20" t="s">
        <v>442</v>
      </c>
      <c r="E20" s="20">
        <v>70</v>
      </c>
      <c r="F20" s="22" t="s">
        <v>443</v>
      </c>
      <c r="G20" s="20">
        <v>5</v>
      </c>
      <c r="H20" s="22" t="s">
        <v>444</v>
      </c>
      <c r="I20" s="20">
        <v>18</v>
      </c>
      <c r="J20" s="22" t="s">
        <v>445</v>
      </c>
      <c r="K20" s="20"/>
      <c r="L20" s="22"/>
      <c r="M20" s="22">
        <f>INDEX(표29[1당 가치],MATCH(ItemEffectTable2324[[#This Row],[EffectType]],표29[특수 이펙트 명칭],0))*IF(ISBLANK(ItemEffectTable2324[[#This Row],[Param1]]),1,ItemEffectTable2324[[#This Row],[Param1]])+ItemEffectTable2324[[#This Row],['#예외처리]]</f>
        <v>0</v>
      </c>
    </row>
  </sheetData>
  <phoneticPr fontId="12" type="noConversion"/>
  <pageMargins left="0.69999998807907104" right="0.69999998807907104" top="0.75" bottom="0.75" header="0.30000001192092896" footer="0.30000001192092896"/>
  <pageSetup paperSize="9" orientation="portrait" horizontalDpi="150" verticalDpi="150"/>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BE5D7"/>
  </sheetPr>
  <dimension ref="B1:F9"/>
  <sheetViews>
    <sheetView zoomScaleNormal="100" zoomScaleSheetLayoutView="100" workbookViewId="0">
      <selection activeCell="D23" sqref="D23"/>
    </sheetView>
  </sheetViews>
  <sheetFormatPr defaultColWidth="8.796875" defaultRowHeight="17.399999999999999"/>
  <cols>
    <col min="3" max="3" width="15.19921875" bestFit="1" customWidth="1"/>
    <col min="4" max="4" width="28.296875" customWidth="1"/>
    <col min="5" max="5" width="16.296875" bestFit="1" customWidth="1"/>
    <col min="6" max="6" width="33.19921875" customWidth="1"/>
  </cols>
  <sheetData>
    <row r="1" spans="2:6">
      <c r="B1" t="s">
        <v>27</v>
      </c>
      <c r="C1" t="s">
        <v>26</v>
      </c>
      <c r="D1" t="s">
        <v>26</v>
      </c>
      <c r="E1" t="s">
        <v>40</v>
      </c>
      <c r="F1" t="s">
        <v>39</v>
      </c>
    </row>
    <row r="2" spans="2:6">
      <c r="B2" t="s">
        <v>38</v>
      </c>
      <c r="C2" s="5" t="s">
        <v>58</v>
      </c>
      <c r="D2" s="5" t="s">
        <v>59</v>
      </c>
      <c r="E2" t="s">
        <v>130</v>
      </c>
      <c r="F2" t="s">
        <v>131</v>
      </c>
    </row>
    <row r="3" spans="2:6">
      <c r="B3">
        <v>900</v>
      </c>
      <c r="C3" s="4" t="e">
        <f>INDEX(#REF!,MATCH(ItemResourceTable[[#This Row],[Index]],#REF!,0))</f>
        <v>#REF!</v>
      </c>
      <c r="D3" s="4" t="s">
        <v>192</v>
      </c>
      <c r="E3" t="s">
        <v>30</v>
      </c>
      <c r="F3" t="s">
        <v>148</v>
      </c>
    </row>
    <row r="4" spans="2:6">
      <c r="B4">
        <v>900</v>
      </c>
      <c r="C4" s="4" t="e">
        <f>INDEX(#REF!,MATCH(ItemResourceTable[[#This Row],[Index]],#REF!,0))</f>
        <v>#REF!</v>
      </c>
      <c r="D4" s="4" t="s">
        <v>60</v>
      </c>
      <c r="E4" t="s">
        <v>169</v>
      </c>
      <c r="F4" t="s">
        <v>221</v>
      </c>
    </row>
    <row r="5" spans="2:6">
      <c r="B5">
        <v>901</v>
      </c>
      <c r="C5" s="4" t="e">
        <f>INDEX(#REF!,MATCH(ItemResourceTable[[#This Row],[Index]],#REF!,0))</f>
        <v>#REF!</v>
      </c>
      <c r="D5" s="4" t="s">
        <v>192</v>
      </c>
      <c r="E5" t="s">
        <v>30</v>
      </c>
      <c r="F5" t="s">
        <v>220</v>
      </c>
    </row>
    <row r="6" spans="2:6">
      <c r="B6">
        <v>901</v>
      </c>
      <c r="C6" s="4" t="e">
        <f>INDEX(#REF!,MATCH(ItemResourceTable[[#This Row],[Index]],#REF!,0))</f>
        <v>#REF!</v>
      </c>
      <c r="D6" s="4" t="s">
        <v>168</v>
      </c>
      <c r="E6" t="s">
        <v>115</v>
      </c>
      <c r="F6" t="s">
        <v>107</v>
      </c>
    </row>
    <row r="7" spans="2:6">
      <c r="B7">
        <v>901</v>
      </c>
      <c r="C7" s="4" t="e">
        <f>INDEX(#REF!,MATCH(ItemResourceTable[[#This Row],[Index]],#REF!,0))</f>
        <v>#REF!</v>
      </c>
      <c r="D7" s="4" t="s">
        <v>193</v>
      </c>
      <c r="E7" t="s">
        <v>176</v>
      </c>
      <c r="F7" t="s">
        <v>223</v>
      </c>
    </row>
    <row r="8" spans="2:6">
      <c r="B8">
        <v>902</v>
      </c>
      <c r="C8" s="4" t="e">
        <f>INDEX(#REF!,MATCH(ItemResourceTable[[#This Row],[Index]],#REF!,0))</f>
        <v>#REF!</v>
      </c>
      <c r="D8" s="4" t="s">
        <v>192</v>
      </c>
      <c r="E8" t="s">
        <v>30</v>
      </c>
      <c r="F8" t="s">
        <v>222</v>
      </c>
    </row>
    <row r="9" spans="2:6">
      <c r="B9">
        <v>902</v>
      </c>
      <c r="C9" s="4" t="e">
        <f>INDEX(#REF!,MATCH(ItemResourceTable[[#This Row],[Index]],#REF!,0))</f>
        <v>#REF!</v>
      </c>
      <c r="D9" s="4" t="s">
        <v>193</v>
      </c>
      <c r="E9" t="s">
        <v>176</v>
      </c>
      <c r="F9" t="s">
        <v>152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E2F0D9"/>
  </sheetPr>
  <dimension ref="B1:I169"/>
  <sheetViews>
    <sheetView topLeftCell="A135" zoomScaleNormal="100" zoomScaleSheetLayoutView="100" workbookViewId="0">
      <selection activeCell="C148" sqref="C148"/>
    </sheetView>
  </sheetViews>
  <sheetFormatPr defaultColWidth="8.796875" defaultRowHeight="17.399999999999999"/>
  <cols>
    <col min="2" max="2" width="22.8984375" customWidth="1"/>
    <col min="3" max="3" width="73.5" style="9" customWidth="1"/>
    <col min="4" max="4" width="64.09765625" customWidth="1"/>
    <col min="5" max="5" width="13.69921875" customWidth="1"/>
    <col min="6" max="6" width="12.296875" bestFit="1" customWidth="1"/>
    <col min="7" max="7" width="16.69921875" customWidth="1"/>
    <col min="8" max="8" width="12.296875" bestFit="1" customWidth="1"/>
    <col min="9" max="9" width="34.19921875" customWidth="1"/>
  </cols>
  <sheetData>
    <row r="1" spans="2:9">
      <c r="B1" t="s">
        <v>27</v>
      </c>
      <c r="C1" s="9" t="s">
        <v>39</v>
      </c>
      <c r="D1" t="s">
        <v>39</v>
      </c>
      <c r="E1" t="s">
        <v>231</v>
      </c>
      <c r="F1" t="s">
        <v>231</v>
      </c>
      <c r="G1" t="s">
        <v>231</v>
      </c>
      <c r="H1" t="s">
        <v>231</v>
      </c>
      <c r="I1" t="s">
        <v>231</v>
      </c>
    </row>
    <row r="2" spans="2:9">
      <c r="B2" s="11" t="s">
        <v>546</v>
      </c>
      <c r="C2" s="9" t="s">
        <v>160</v>
      </c>
      <c r="D2" t="s">
        <v>159</v>
      </c>
      <c r="E2" s="36" t="s">
        <v>487</v>
      </c>
      <c r="F2" s="36" t="s">
        <v>488</v>
      </c>
      <c r="G2" s="36" t="s">
        <v>489</v>
      </c>
      <c r="H2" s="36" t="s">
        <v>490</v>
      </c>
      <c r="I2" s="36" t="s">
        <v>528</v>
      </c>
    </row>
    <row r="3" spans="2:9">
      <c r="B3" t="str">
        <f>LocaleTable[[#This Row],['#인덱스제너레이터]]</f>
        <v>UI_Title_Button_Start</v>
      </c>
      <c r="C3" s="52" t="s">
        <v>521</v>
      </c>
      <c r="D3" s="52" t="s">
        <v>514</v>
      </c>
      <c r="E3" s="14" t="s">
        <v>492</v>
      </c>
      <c r="F3" s="14" t="s">
        <v>526</v>
      </c>
      <c r="G3" s="14" t="s">
        <v>518</v>
      </c>
      <c r="H3" s="14" t="s">
        <v>515</v>
      </c>
      <c r="I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UI_Title_Button_Start</v>
      </c>
    </row>
    <row r="4" spans="2:9">
      <c r="B4" t="str">
        <f>LocaleTable[[#This Row],['#인덱스제너레이터]]</f>
        <v>UI_Title_Button_Tutorial</v>
      </c>
      <c r="C4" s="52" t="s">
        <v>522</v>
      </c>
      <c r="D4" s="52" t="s">
        <v>516</v>
      </c>
      <c r="E4" s="14" t="s">
        <v>492</v>
      </c>
      <c r="F4" s="14" t="s">
        <v>526</v>
      </c>
      <c r="G4" s="14" t="s">
        <v>518</v>
      </c>
      <c r="H4" s="14" t="s">
        <v>517</v>
      </c>
      <c r="I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UI_Title_Button_Tutorial</v>
      </c>
    </row>
    <row r="5" spans="2:9">
      <c r="B5" t="str">
        <f>LocaleTable[[#This Row],['#인덱스제너레이터]]</f>
        <v>UI_Title_Button_Exit</v>
      </c>
      <c r="C5" s="52" t="s">
        <v>523</v>
      </c>
      <c r="D5" s="52" t="s">
        <v>519</v>
      </c>
      <c r="E5" s="14" t="s">
        <v>492</v>
      </c>
      <c r="F5" s="14" t="s">
        <v>526</v>
      </c>
      <c r="G5" s="55" t="s">
        <v>518</v>
      </c>
      <c r="H5" s="14" t="s">
        <v>520</v>
      </c>
      <c r="I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UI_Title_Button_Exit</v>
      </c>
    </row>
    <row r="6" spans="2:9">
      <c r="B6" t="str">
        <f>LocaleTable[[#This Row],['#인덱스제너레이터]]</f>
        <v>UI_Title_Button_Setting</v>
      </c>
      <c r="C6" s="52" t="s">
        <v>584</v>
      </c>
      <c r="D6" s="52" t="s">
        <v>579</v>
      </c>
      <c r="E6" s="14" t="s">
        <v>492</v>
      </c>
      <c r="F6" s="14" t="s">
        <v>526</v>
      </c>
      <c r="G6" s="55" t="s">
        <v>518</v>
      </c>
      <c r="H6" s="14" t="s">
        <v>579</v>
      </c>
      <c r="I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UI_Title_Button_Setting</v>
      </c>
    </row>
    <row r="7" spans="2:9">
      <c r="B7" t="str">
        <f>LocaleTable[[#This Row],['#인덱스제너레이터]]</f>
        <v>UI_Tutorial_Title_Exit</v>
      </c>
      <c r="C7" s="52" t="s">
        <v>675</v>
      </c>
      <c r="D7" s="52" t="s">
        <v>519</v>
      </c>
      <c r="E7" s="14" t="s">
        <v>492</v>
      </c>
      <c r="F7" s="55" t="s">
        <v>517</v>
      </c>
      <c r="G7" s="55" t="s">
        <v>526</v>
      </c>
      <c r="H7" s="14" t="s">
        <v>520</v>
      </c>
      <c r="I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UI_Tutorial_Title_Exit</v>
      </c>
    </row>
    <row r="8" spans="2:9">
      <c r="B8" t="str">
        <f>LocaleTable[[#This Row],['#인덱스제너레이터]]</f>
        <v>UI_Tutorial_Title_1</v>
      </c>
      <c r="C8" s="52" t="s">
        <v>755</v>
      </c>
      <c r="D8" s="52" t="s">
        <v>754</v>
      </c>
      <c r="E8" s="14" t="s">
        <v>492</v>
      </c>
      <c r="F8" s="55" t="s">
        <v>517</v>
      </c>
      <c r="G8" s="55" t="s">
        <v>526</v>
      </c>
      <c r="H8" s="14">
        <v>1</v>
      </c>
      <c r="I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UI_Tutorial_Title_1</v>
      </c>
    </row>
    <row r="9" spans="2:9">
      <c r="B9" t="str">
        <f>LocaleTable[[#This Row],['#인덱스제너레이터]]</f>
        <v>UI_Tutorial_Title_2</v>
      </c>
      <c r="C9" s="52" t="s">
        <v>658</v>
      </c>
      <c r="D9" s="52" t="s">
        <v>676</v>
      </c>
      <c r="E9" s="14" t="s">
        <v>492</v>
      </c>
      <c r="F9" s="55" t="s">
        <v>517</v>
      </c>
      <c r="G9" s="55" t="s">
        <v>526</v>
      </c>
      <c r="H9" s="14">
        <v>2</v>
      </c>
      <c r="I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UI_Tutorial_Title_2</v>
      </c>
    </row>
    <row r="10" spans="2:9">
      <c r="B10" t="str">
        <f>LocaleTable[[#This Row],['#인덱스제너레이터]]</f>
        <v>UI_Tutorial_Title_3</v>
      </c>
      <c r="C10" s="52" t="s">
        <v>659</v>
      </c>
      <c r="D10" s="52" t="s">
        <v>751</v>
      </c>
      <c r="E10" s="14" t="s">
        <v>492</v>
      </c>
      <c r="F10" s="55" t="s">
        <v>517</v>
      </c>
      <c r="G10" s="55" t="s">
        <v>526</v>
      </c>
      <c r="H10" s="14">
        <v>3</v>
      </c>
      <c r="I1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UI_Tutorial_Title_3</v>
      </c>
    </row>
    <row r="11" spans="2:9">
      <c r="B11" t="str">
        <f>LocaleTable[[#This Row],['#인덱스제너레이터]]</f>
        <v>UI_Tutorial_Title_4</v>
      </c>
      <c r="C11" s="52" t="s">
        <v>660</v>
      </c>
      <c r="D11" s="52" t="s">
        <v>677</v>
      </c>
      <c r="E11" s="14" t="s">
        <v>492</v>
      </c>
      <c r="F11" s="55" t="s">
        <v>517</v>
      </c>
      <c r="G11" s="55" t="s">
        <v>526</v>
      </c>
      <c r="H11" s="14">
        <v>4</v>
      </c>
      <c r="I1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UI_Tutorial_Title_4</v>
      </c>
    </row>
    <row r="12" spans="2:9">
      <c r="B12" t="str">
        <f>LocaleTable[[#This Row],['#인덱스제너레이터]]</f>
        <v>UI_Tutorial_Title_5</v>
      </c>
      <c r="C12" s="52" t="s">
        <v>661</v>
      </c>
      <c r="D12" s="52" t="s">
        <v>678</v>
      </c>
      <c r="E12" s="14" t="s">
        <v>492</v>
      </c>
      <c r="F12" s="55" t="s">
        <v>517</v>
      </c>
      <c r="G12" s="55" t="s">
        <v>526</v>
      </c>
      <c r="H12" s="14">
        <v>5</v>
      </c>
      <c r="I1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UI_Tutorial_Title_5</v>
      </c>
    </row>
    <row r="13" spans="2:9">
      <c r="B13" t="str">
        <f>LocaleTable[[#This Row],['#인덱스제너레이터]]</f>
        <v>UI_Tutorial_Title_6</v>
      </c>
      <c r="C13" s="52" t="s">
        <v>662</v>
      </c>
      <c r="D13" s="52" t="s">
        <v>679</v>
      </c>
      <c r="E13" s="14" t="s">
        <v>492</v>
      </c>
      <c r="F13" s="55" t="s">
        <v>517</v>
      </c>
      <c r="G13" s="55" t="s">
        <v>526</v>
      </c>
      <c r="H13" s="14">
        <v>6</v>
      </c>
      <c r="I1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UI_Tutorial_Title_6</v>
      </c>
    </row>
    <row r="14" spans="2:9">
      <c r="B14" t="str">
        <f>LocaleTable[[#This Row],['#인덱스제너레이터]]</f>
        <v>UI_Tutorial_Title_7</v>
      </c>
      <c r="C14" s="52" t="s">
        <v>663</v>
      </c>
      <c r="D14" s="52" t="s">
        <v>752</v>
      </c>
      <c r="E14" s="14" t="s">
        <v>492</v>
      </c>
      <c r="F14" s="55" t="s">
        <v>517</v>
      </c>
      <c r="G14" s="55" t="s">
        <v>526</v>
      </c>
      <c r="H14" s="14">
        <v>7</v>
      </c>
      <c r="I1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UI_Tutorial_Title_7</v>
      </c>
    </row>
    <row r="15" spans="2:9">
      <c r="B15" t="str">
        <f>LocaleTable[[#This Row],['#인덱스제너레이터]]</f>
        <v>UI_Tutorial_Title_8</v>
      </c>
      <c r="C15" s="52" t="s">
        <v>527</v>
      </c>
      <c r="D15" s="52" t="s">
        <v>486</v>
      </c>
      <c r="E15" s="14" t="s">
        <v>492</v>
      </c>
      <c r="F15" s="55" t="s">
        <v>517</v>
      </c>
      <c r="G15" s="55" t="s">
        <v>526</v>
      </c>
      <c r="H15" s="14">
        <v>8</v>
      </c>
      <c r="I1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UI_Tutorial_Title_8</v>
      </c>
    </row>
    <row r="16" spans="2:9">
      <c r="B16" t="str">
        <f>LocaleTable[[#This Row],['#인덱스제너레이터]]</f>
        <v>UI_Tutorial_Controls_Move</v>
      </c>
      <c r="C16" s="52" t="s">
        <v>783</v>
      </c>
      <c r="D16" s="52" t="s">
        <v>789</v>
      </c>
      <c r="E16" s="14" t="s">
        <v>796</v>
      </c>
      <c r="F16" s="55" t="s">
        <v>517</v>
      </c>
      <c r="G16" s="55" t="s">
        <v>753</v>
      </c>
      <c r="H16" s="14" t="s">
        <v>789</v>
      </c>
      <c r="I1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UI_Tutorial_Controls_Move</v>
      </c>
    </row>
    <row r="17" spans="2:9">
      <c r="B17" t="str">
        <f>LocaleTable[[#This Row],['#인덱스제너레이터]]</f>
        <v>UI_Tutorial_Controls_Dodge</v>
      </c>
      <c r="C17" s="52" t="s">
        <v>784</v>
      </c>
      <c r="D17" s="52" t="s">
        <v>790</v>
      </c>
      <c r="E17" s="14" t="s">
        <v>796</v>
      </c>
      <c r="F17" s="55" t="s">
        <v>517</v>
      </c>
      <c r="G17" s="55" t="s">
        <v>753</v>
      </c>
      <c r="H17" s="14" t="s">
        <v>790</v>
      </c>
      <c r="I1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UI_Tutorial_Controls_Dodge</v>
      </c>
    </row>
    <row r="18" spans="2:9">
      <c r="B18" t="str">
        <f>LocaleTable[[#This Row],['#인덱스제너레이터]]</f>
        <v>UI_Tutorial_Controls_Interaction</v>
      </c>
      <c r="C18" s="52" t="s">
        <v>785</v>
      </c>
      <c r="D18" s="52" t="s">
        <v>791</v>
      </c>
      <c r="E18" s="14" t="s">
        <v>796</v>
      </c>
      <c r="F18" s="55" t="s">
        <v>517</v>
      </c>
      <c r="G18" s="55" t="s">
        <v>753</v>
      </c>
      <c r="H18" s="14" t="s">
        <v>791</v>
      </c>
      <c r="I1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UI_Tutorial_Controls_Interaction</v>
      </c>
    </row>
    <row r="19" spans="2:9">
      <c r="B19" t="str">
        <f>LocaleTable[[#This Row],['#인덱스제너레이터]]</f>
        <v>UI_Tutorial_Controls_Tab</v>
      </c>
      <c r="C19" s="52" t="s">
        <v>786</v>
      </c>
      <c r="D19" s="52" t="s">
        <v>679</v>
      </c>
      <c r="E19" s="14" t="s">
        <v>796</v>
      </c>
      <c r="F19" s="55" t="s">
        <v>517</v>
      </c>
      <c r="G19" s="55" t="s">
        <v>753</v>
      </c>
      <c r="H19" s="14" t="s">
        <v>797</v>
      </c>
      <c r="I1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UI_Tutorial_Controls_Tab</v>
      </c>
    </row>
    <row r="20" spans="2:9">
      <c r="B20" t="str">
        <f>LocaleTable[[#This Row],['#인덱스제너레이터]]</f>
        <v>UI_Tutorial_Controls_Setting</v>
      </c>
      <c r="C20" s="52" t="s">
        <v>584</v>
      </c>
      <c r="D20" s="52" t="s">
        <v>579</v>
      </c>
      <c r="E20" s="14" t="s">
        <v>796</v>
      </c>
      <c r="F20" s="55" t="s">
        <v>517</v>
      </c>
      <c r="G20" s="55" t="s">
        <v>753</v>
      </c>
      <c r="H20" s="14" t="s">
        <v>579</v>
      </c>
      <c r="I2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UI_Tutorial_Controls_Setting</v>
      </c>
    </row>
    <row r="21" spans="2:9">
      <c r="B21" t="str">
        <f>LocaleTable[[#This Row],['#인덱스제너레이터]]</f>
        <v>UI_Tutorial_Controls_Attack</v>
      </c>
      <c r="C21" s="52" t="s">
        <v>787</v>
      </c>
      <c r="D21" s="52" t="s">
        <v>792</v>
      </c>
      <c r="E21" s="14" t="s">
        <v>796</v>
      </c>
      <c r="F21" s="55" t="s">
        <v>517</v>
      </c>
      <c r="G21" s="55" t="s">
        <v>753</v>
      </c>
      <c r="H21" s="14" t="s">
        <v>798</v>
      </c>
      <c r="I2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UI_Tutorial_Controls_Attack</v>
      </c>
    </row>
    <row r="22" spans="2:9">
      <c r="B22" t="str">
        <f>LocaleTable[[#This Row],['#인덱스제너레이터]]</f>
        <v>UI_Tutorial_Controls_Active</v>
      </c>
      <c r="C22" s="52" t="s">
        <v>788</v>
      </c>
      <c r="D22" s="52" t="s">
        <v>793</v>
      </c>
      <c r="E22" s="14" t="s">
        <v>796</v>
      </c>
      <c r="F22" s="55" t="s">
        <v>517</v>
      </c>
      <c r="G22" s="55" t="s">
        <v>753</v>
      </c>
      <c r="H22" s="14" t="s">
        <v>344</v>
      </c>
      <c r="I2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UI_Tutorial_Controls_Active</v>
      </c>
    </row>
    <row r="23" spans="2:9">
      <c r="B23" t="str">
        <f>LocaleTable[[#This Row],['#인덱스제너레이터]]</f>
        <v>UI_Tutorial_MainText_1</v>
      </c>
      <c r="C23" s="52"/>
      <c r="D23" s="52"/>
      <c r="E23" s="14" t="s">
        <v>492</v>
      </c>
      <c r="F23" s="55" t="s">
        <v>517</v>
      </c>
      <c r="G23" s="55" t="s">
        <v>664</v>
      </c>
      <c r="H23" s="14">
        <v>1</v>
      </c>
      <c r="I2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UI_Tutorial_MainText_1</v>
      </c>
    </row>
    <row r="24" spans="2:9">
      <c r="B24" t="str">
        <f>LocaleTable[[#This Row],['#인덱스제너레이터]]</f>
        <v>UI_Tutorial_MainText_2</v>
      </c>
      <c r="C24" s="52" t="s">
        <v>665</v>
      </c>
      <c r="D24" s="52" t="s">
        <v>749</v>
      </c>
      <c r="E24" s="14" t="s">
        <v>492</v>
      </c>
      <c r="F24" s="55" t="s">
        <v>517</v>
      </c>
      <c r="G24" s="55" t="s">
        <v>664</v>
      </c>
      <c r="H24" s="14">
        <v>2</v>
      </c>
      <c r="I2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UI_Tutorial_MainText_2</v>
      </c>
    </row>
    <row r="25" spans="2:9">
      <c r="B25" t="str">
        <f>LocaleTable[[#This Row],['#인덱스제너레이터]]</f>
        <v>UI_Tutorial_MainText_3</v>
      </c>
      <c r="C25" s="52" t="s">
        <v>666</v>
      </c>
      <c r="D25" s="52" t="s">
        <v>750</v>
      </c>
      <c r="E25" s="14" t="s">
        <v>492</v>
      </c>
      <c r="F25" s="55" t="s">
        <v>517</v>
      </c>
      <c r="G25" s="55" t="s">
        <v>664</v>
      </c>
      <c r="H25" s="14">
        <v>3</v>
      </c>
      <c r="I2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UI_Tutorial_MainText_3</v>
      </c>
    </row>
    <row r="26" spans="2:9">
      <c r="B26" t="str">
        <f>LocaleTable[[#This Row],['#인덱스제너레이터]]</f>
        <v>UI_Tutorial_MainText_4</v>
      </c>
      <c r="C26" s="52" t="s">
        <v>794</v>
      </c>
      <c r="D26" s="52" t="s">
        <v>795</v>
      </c>
      <c r="E26" s="14" t="s">
        <v>492</v>
      </c>
      <c r="F26" s="55" t="s">
        <v>517</v>
      </c>
      <c r="G26" s="55" t="s">
        <v>664</v>
      </c>
      <c r="H26" s="14">
        <v>4</v>
      </c>
      <c r="I2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UI_Tutorial_MainText_4</v>
      </c>
    </row>
    <row r="27" spans="2:9">
      <c r="B27" t="str">
        <f>LocaleTable[[#This Row],['#인덱스제너레이터]]</f>
        <v>UI_Tutorial_MainText_5</v>
      </c>
      <c r="C27" s="52" t="s">
        <v>667</v>
      </c>
      <c r="D27" s="52" t="s">
        <v>680</v>
      </c>
      <c r="E27" s="14" t="s">
        <v>492</v>
      </c>
      <c r="F27" s="55" t="s">
        <v>517</v>
      </c>
      <c r="G27" s="55" t="s">
        <v>664</v>
      </c>
      <c r="H27" s="14">
        <v>5</v>
      </c>
      <c r="I2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UI_Tutorial_MainText_5</v>
      </c>
    </row>
    <row r="28" spans="2:9">
      <c r="B28" t="str">
        <f>LocaleTable[[#This Row],['#인덱스제너레이터]]</f>
        <v>UI_Tutorial_MainText_6</v>
      </c>
      <c r="C28" s="52" t="s">
        <v>668</v>
      </c>
      <c r="D28" s="52" t="s">
        <v>681</v>
      </c>
      <c r="E28" s="14" t="s">
        <v>492</v>
      </c>
      <c r="F28" s="55" t="s">
        <v>517</v>
      </c>
      <c r="G28" s="55" t="s">
        <v>664</v>
      </c>
      <c r="H28" s="14">
        <v>6</v>
      </c>
      <c r="I2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UI_Tutorial_MainText_6</v>
      </c>
    </row>
    <row r="29" spans="2:9">
      <c r="B29" t="str">
        <f>LocaleTable[[#This Row],['#인덱스제너레이터]]</f>
        <v>UI_Tutorial_MainText_7</v>
      </c>
      <c r="C29" s="52" t="s">
        <v>669</v>
      </c>
      <c r="D29" s="52" t="s">
        <v>682</v>
      </c>
      <c r="E29" s="14" t="s">
        <v>492</v>
      </c>
      <c r="F29" s="55" t="s">
        <v>517</v>
      </c>
      <c r="G29" s="55" t="s">
        <v>664</v>
      </c>
      <c r="H29" s="14">
        <v>7</v>
      </c>
      <c r="I2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UI_Tutorial_MainText_7</v>
      </c>
    </row>
    <row r="30" spans="2:9">
      <c r="B30" t="str">
        <f>LocaleTable[[#This Row],['#인덱스제너레이터]]</f>
        <v>UI_Tutorial_MainText_8</v>
      </c>
      <c r="C30" s="52" t="s">
        <v>670</v>
      </c>
      <c r="D30" s="52" t="s">
        <v>683</v>
      </c>
      <c r="E30" s="14" t="s">
        <v>492</v>
      </c>
      <c r="F30" s="55" t="s">
        <v>517</v>
      </c>
      <c r="G30" s="55" t="s">
        <v>664</v>
      </c>
      <c r="H30" s="14">
        <v>8</v>
      </c>
      <c r="I3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UI_Tutorial_MainText_8</v>
      </c>
    </row>
    <row r="31" spans="2:9">
      <c r="B31" t="str">
        <f>LocaleTable[[#This Row],['#인덱스제너레이터]]</f>
        <v>UI_Tutorial_SubText_1</v>
      </c>
      <c r="C31" s="52"/>
      <c r="D31" s="52"/>
      <c r="E31" s="14" t="s">
        <v>492</v>
      </c>
      <c r="F31" s="55" t="s">
        <v>517</v>
      </c>
      <c r="G31" s="55" t="s">
        <v>671</v>
      </c>
      <c r="H31" s="14">
        <v>1</v>
      </c>
      <c r="I3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UI_Tutorial_SubText_1</v>
      </c>
    </row>
    <row r="32" spans="2:9" ht="34.799999999999997">
      <c r="B32" t="str">
        <f>LocaleTable[[#This Row],['#인덱스제너레이터]]</f>
        <v>UI_Tutorial_SubText_2</v>
      </c>
      <c r="C32" s="52" t="s">
        <v>689</v>
      </c>
      <c r="D32" s="52" t="s">
        <v>690</v>
      </c>
      <c r="E32" s="14" t="s">
        <v>492</v>
      </c>
      <c r="F32" s="55" t="s">
        <v>517</v>
      </c>
      <c r="G32" s="55" t="s">
        <v>671</v>
      </c>
      <c r="H32" s="14">
        <v>2</v>
      </c>
      <c r="I3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UI_Tutorial_SubText_2</v>
      </c>
    </row>
    <row r="33" spans="2:9">
      <c r="B33" t="str">
        <f>LocaleTable[[#This Row],['#인덱스제너레이터]]</f>
        <v>UI_Tutorial_SubText_3</v>
      </c>
      <c r="C33" s="52" t="s">
        <v>672</v>
      </c>
      <c r="D33" s="52" t="s">
        <v>684</v>
      </c>
      <c r="E33" s="14" t="s">
        <v>492</v>
      </c>
      <c r="F33" s="55" t="s">
        <v>517</v>
      </c>
      <c r="G33" s="55" t="s">
        <v>671</v>
      </c>
      <c r="H33" s="14">
        <v>3</v>
      </c>
      <c r="I3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UI_Tutorial_SubText_3</v>
      </c>
    </row>
    <row r="34" spans="2:9" ht="34.799999999999997">
      <c r="B34" t="str">
        <f>LocaleTable[[#This Row],['#인덱스제너레이터]]</f>
        <v>UI_Tutorial_SubText_4</v>
      </c>
      <c r="C34" s="52" t="s">
        <v>693</v>
      </c>
      <c r="D34" s="52" t="s">
        <v>692</v>
      </c>
      <c r="E34" s="14" t="s">
        <v>492</v>
      </c>
      <c r="F34" s="55" t="s">
        <v>517</v>
      </c>
      <c r="G34" s="55" t="s">
        <v>671</v>
      </c>
      <c r="H34" s="14">
        <v>4</v>
      </c>
      <c r="I3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UI_Tutorial_SubText_4</v>
      </c>
    </row>
    <row r="35" spans="2:9" ht="34.799999999999997">
      <c r="B35" t="str">
        <f>LocaleTable[[#This Row],['#인덱스제너레이터]]</f>
        <v>UI_Tutorial_SubText_5</v>
      </c>
      <c r="C35" s="52" t="s">
        <v>694</v>
      </c>
      <c r="D35" s="52" t="s">
        <v>691</v>
      </c>
      <c r="E35" s="14" t="s">
        <v>492</v>
      </c>
      <c r="F35" s="55" t="s">
        <v>517</v>
      </c>
      <c r="G35" s="55" t="s">
        <v>671</v>
      </c>
      <c r="H35" s="14">
        <v>5</v>
      </c>
      <c r="I3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UI_Tutorial_SubText_5</v>
      </c>
    </row>
    <row r="36" spans="2:9">
      <c r="B36" t="str">
        <f>LocaleTable[[#This Row],['#인덱스제너레이터]]</f>
        <v>UI_Tutorial_SubText_6</v>
      </c>
      <c r="C36" s="52" t="s">
        <v>673</v>
      </c>
      <c r="D36" s="52" t="s">
        <v>685</v>
      </c>
      <c r="E36" s="14" t="s">
        <v>492</v>
      </c>
      <c r="F36" s="55" t="s">
        <v>517</v>
      </c>
      <c r="G36" s="55" t="s">
        <v>671</v>
      </c>
      <c r="H36" s="14">
        <v>6</v>
      </c>
      <c r="I3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UI_Tutorial_SubText_6</v>
      </c>
    </row>
    <row r="37" spans="2:9">
      <c r="B37" t="str">
        <f>LocaleTable[[#This Row],['#인덱스제너레이터]]</f>
        <v>UI_Tutorial_SubText_7</v>
      </c>
      <c r="C37" s="52" t="s">
        <v>687</v>
      </c>
      <c r="D37" s="52" t="s">
        <v>688</v>
      </c>
      <c r="E37" s="14" t="s">
        <v>492</v>
      </c>
      <c r="F37" s="55" t="s">
        <v>517</v>
      </c>
      <c r="G37" s="55" t="s">
        <v>671</v>
      </c>
      <c r="H37" s="14">
        <v>7</v>
      </c>
      <c r="I3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UI_Tutorial_SubText_7</v>
      </c>
    </row>
    <row r="38" spans="2:9">
      <c r="B38" t="str">
        <f>LocaleTable[[#This Row],['#인덱스제너레이터]]</f>
        <v>UI_Tutorial_SubText_8</v>
      </c>
      <c r="C38" s="52" t="s">
        <v>674</v>
      </c>
      <c r="D38" s="52" t="s">
        <v>686</v>
      </c>
      <c r="E38" s="14" t="s">
        <v>492</v>
      </c>
      <c r="F38" s="55" t="s">
        <v>517</v>
      </c>
      <c r="G38" s="55" t="s">
        <v>671</v>
      </c>
      <c r="H38" s="14">
        <v>8</v>
      </c>
      <c r="I3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UI_Tutorial_SubText_8</v>
      </c>
    </row>
    <row r="39" spans="2:9">
      <c r="B39" t="str">
        <f>LocaleTable[[#This Row],['#인덱스제너레이터]]</f>
        <v>UI_Setting_Title</v>
      </c>
      <c r="C39" s="52" t="s">
        <v>584</v>
      </c>
      <c r="D39" s="52" t="s">
        <v>579</v>
      </c>
      <c r="E39" s="14" t="s">
        <v>492</v>
      </c>
      <c r="F39" s="14" t="s">
        <v>579</v>
      </c>
      <c r="G39" s="55" t="s">
        <v>526</v>
      </c>
      <c r="H39" s="14"/>
      <c r="I3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UI_Setting_Title</v>
      </c>
    </row>
    <row r="40" spans="2:9">
      <c r="B40" t="str">
        <f>LocaleTable[[#This Row],['#인덱스제너레이터]]</f>
        <v>UI_Setting_MasterVolume</v>
      </c>
      <c r="C40" s="52" t="s">
        <v>586</v>
      </c>
      <c r="D40" s="52" t="s">
        <v>585</v>
      </c>
      <c r="E40" s="14" t="s">
        <v>492</v>
      </c>
      <c r="F40" s="14" t="s">
        <v>579</v>
      </c>
      <c r="G40" s="55" t="s">
        <v>580</v>
      </c>
      <c r="H40" s="14"/>
      <c r="I4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UI_Setting_MasterVolume</v>
      </c>
    </row>
    <row r="41" spans="2:9">
      <c r="B41" t="str">
        <f>LocaleTable[[#This Row],['#인덱스제너레이터]]</f>
        <v>UI_Setting_BGMVolume</v>
      </c>
      <c r="C41" s="52" t="s">
        <v>587</v>
      </c>
      <c r="D41" s="52" t="s">
        <v>590</v>
      </c>
      <c r="E41" s="14" t="s">
        <v>492</v>
      </c>
      <c r="F41" s="14" t="s">
        <v>579</v>
      </c>
      <c r="G41" s="55" t="s">
        <v>581</v>
      </c>
      <c r="H41" s="14"/>
      <c r="I4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UI_Setting_BGMVolume</v>
      </c>
    </row>
    <row r="42" spans="2:9">
      <c r="B42" t="str">
        <f>LocaleTable[[#This Row],['#인덱스제너레이터]]</f>
        <v>UI_Setting_SFXVolume</v>
      </c>
      <c r="C42" s="52" t="s">
        <v>588</v>
      </c>
      <c r="D42" s="52" t="s">
        <v>589</v>
      </c>
      <c r="E42" s="14" t="s">
        <v>492</v>
      </c>
      <c r="F42" s="14" t="s">
        <v>579</v>
      </c>
      <c r="G42" s="55" t="s">
        <v>582</v>
      </c>
      <c r="H42" s="14"/>
      <c r="I4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UI_Setting_SFXVolume</v>
      </c>
    </row>
    <row r="43" spans="2:9">
      <c r="B43" t="str">
        <f>LocaleTable[[#This Row],['#인덱스제너레이터]]</f>
        <v>UI_Setting_Language</v>
      </c>
      <c r="C43" s="52" t="s">
        <v>591</v>
      </c>
      <c r="D43" s="52" t="s">
        <v>583</v>
      </c>
      <c r="E43" s="14" t="s">
        <v>492</v>
      </c>
      <c r="F43" s="14" t="s">
        <v>579</v>
      </c>
      <c r="G43" s="55" t="s">
        <v>583</v>
      </c>
      <c r="H43" s="14"/>
      <c r="I4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UI_Setting_Language</v>
      </c>
    </row>
    <row r="44" spans="2:9">
      <c r="B44" t="str">
        <f>LocaleTable[[#This Row],['#인덱스제너레이터]]</f>
        <v>UI_Setting_GoToTitle</v>
      </c>
      <c r="C44" s="52" t="s">
        <v>593</v>
      </c>
      <c r="D44" s="52" t="s">
        <v>594</v>
      </c>
      <c r="E44" s="14" t="s">
        <v>492</v>
      </c>
      <c r="F44" s="14" t="s">
        <v>579</v>
      </c>
      <c r="G44" s="55" t="s">
        <v>592</v>
      </c>
      <c r="H44" s="14"/>
      <c r="I4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UI_Setting_GoToTitle</v>
      </c>
    </row>
    <row r="45" spans="2:9">
      <c r="B45" t="str">
        <f>LocaleTable[[#This Row],['#인덱스제너레이터]]</f>
        <v>UI_Setting_Tutorial</v>
      </c>
      <c r="C45" s="52" t="s">
        <v>595</v>
      </c>
      <c r="D45" s="52" t="s">
        <v>517</v>
      </c>
      <c r="E45" s="14" t="s">
        <v>492</v>
      </c>
      <c r="F45" s="14" t="s">
        <v>579</v>
      </c>
      <c r="G45" s="55" t="s">
        <v>517</v>
      </c>
      <c r="H45" s="14"/>
      <c r="I4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UI_Setting_Tutorial</v>
      </c>
    </row>
    <row r="46" spans="2:9">
      <c r="B46" t="str">
        <f>LocaleTable[[#This Row],['#인덱스제너레이터]]</f>
        <v>UI_Tap_Subtitle_Items</v>
      </c>
      <c r="C46" s="52" t="s">
        <v>527</v>
      </c>
      <c r="D46" s="52" t="s">
        <v>606</v>
      </c>
      <c r="E46" s="14" t="s">
        <v>492</v>
      </c>
      <c r="F46" s="14" t="s">
        <v>524</v>
      </c>
      <c r="G46" s="14" t="s">
        <v>525</v>
      </c>
      <c r="H46" s="14" t="s">
        <v>606</v>
      </c>
      <c r="I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UI_Tap_Subtitle_Items</v>
      </c>
    </row>
    <row r="47" spans="2:9">
      <c r="B47" t="str">
        <f>LocaleTable[[#This Row],['#인덱스제너레이터]]</f>
        <v>UI_Tap_Subtitle_Map</v>
      </c>
      <c r="C47" s="52" t="s">
        <v>507</v>
      </c>
      <c r="D47" s="52" t="s">
        <v>493</v>
      </c>
      <c r="E47" s="14" t="s">
        <v>492</v>
      </c>
      <c r="F47" s="14" t="s">
        <v>524</v>
      </c>
      <c r="G47" s="14" t="s">
        <v>525</v>
      </c>
      <c r="H47" s="14" t="s">
        <v>494</v>
      </c>
      <c r="I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UI_Tap_Subtitle_Map</v>
      </c>
    </row>
    <row r="48" spans="2:9">
      <c r="B48" t="str">
        <f>LocaleTable[[#This Row],['#인덱스제너레이터]]</f>
        <v>UI_Tap_MapInfo</v>
      </c>
      <c r="C48" s="52" t="s">
        <v>801</v>
      </c>
      <c r="D48" s="52" t="s">
        <v>813</v>
      </c>
      <c r="E48" s="14" t="s">
        <v>492</v>
      </c>
      <c r="F48" s="14" t="s">
        <v>524</v>
      </c>
      <c r="G48" s="14" t="s">
        <v>802</v>
      </c>
      <c r="H48" s="14"/>
      <c r="I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v>
      </c>
    </row>
    <row r="49" spans="2:9">
      <c r="B49" t="str">
        <f>LocaleTable[[#This Row],['#인덱스제너레이터]]</f>
        <v>UI_Tap_MapInfo_Player</v>
      </c>
      <c r="C49" s="52" t="s">
        <v>806</v>
      </c>
      <c r="D49" s="52" t="s">
        <v>812</v>
      </c>
      <c r="E49" s="14" t="s">
        <v>492</v>
      </c>
      <c r="F49" s="14" t="s">
        <v>524</v>
      </c>
      <c r="G49" s="14" t="s">
        <v>802</v>
      </c>
      <c r="H49" s="14" t="s">
        <v>338</v>
      </c>
      <c r="I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UI_Tap_MapInfo_Player</v>
      </c>
    </row>
    <row r="50" spans="2:9">
      <c r="B50" t="str">
        <f>LocaleTable[[#This Row],['#인덱스제너레이터]]</f>
        <v>UI_Tap_MapInfo_Shop</v>
      </c>
      <c r="C50" s="52" t="s">
        <v>807</v>
      </c>
      <c r="D50" s="52" t="s">
        <v>803</v>
      </c>
      <c r="E50" s="14" t="s">
        <v>492</v>
      </c>
      <c r="F50" s="14" t="s">
        <v>524</v>
      </c>
      <c r="G50" s="14" t="s">
        <v>802</v>
      </c>
      <c r="H50" s="14" t="s">
        <v>803</v>
      </c>
      <c r="I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UI_Tap_MapInfo_Shop</v>
      </c>
    </row>
    <row r="51" spans="2:9">
      <c r="B51" t="str">
        <f>LocaleTable[[#This Row],['#인덱스제너레이터]]</f>
        <v>UI_Tap_MapInfo_Reward</v>
      </c>
      <c r="C51" s="52" t="s">
        <v>808</v>
      </c>
      <c r="D51" s="52" t="s">
        <v>804</v>
      </c>
      <c r="E51" s="14" t="s">
        <v>492</v>
      </c>
      <c r="F51" s="14" t="s">
        <v>524</v>
      </c>
      <c r="G51" s="14" t="s">
        <v>802</v>
      </c>
      <c r="H51" s="14" t="s">
        <v>804</v>
      </c>
      <c r="I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UI_Tap_MapInfo_Reward</v>
      </c>
    </row>
    <row r="52" spans="2:9">
      <c r="B52" t="str">
        <f>LocaleTable[[#This Row],['#인덱스제너레이터]]</f>
        <v>UI_Tap_MapInfo_Next</v>
      </c>
      <c r="C52" s="52" t="s">
        <v>809</v>
      </c>
      <c r="D52" s="52" t="s">
        <v>811</v>
      </c>
      <c r="E52" s="14" t="s">
        <v>492</v>
      </c>
      <c r="F52" s="14" t="s">
        <v>524</v>
      </c>
      <c r="G52" s="14" t="s">
        <v>802</v>
      </c>
      <c r="H52" s="14" t="s">
        <v>805</v>
      </c>
      <c r="I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UI_Tap_MapInfo_Next</v>
      </c>
    </row>
    <row r="53" spans="2:9">
      <c r="B53" t="str">
        <f>LocaleTable[[#This Row],['#인덱스제너레이터]]</f>
        <v>UI_Tap_MapInfo_Boss</v>
      </c>
      <c r="C53" s="52" t="s">
        <v>810</v>
      </c>
      <c r="D53" s="52" t="s">
        <v>596</v>
      </c>
      <c r="E53" s="14" t="s">
        <v>492</v>
      </c>
      <c r="F53" s="14" t="s">
        <v>524</v>
      </c>
      <c r="G53" s="14" t="s">
        <v>802</v>
      </c>
      <c r="H53" s="14" t="s">
        <v>596</v>
      </c>
      <c r="I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UI_Tap_MapInfo_Boss</v>
      </c>
    </row>
    <row r="54" spans="2:9">
      <c r="B54" t="str">
        <f>LocaleTable[[#This Row],['#인덱스제너레이터]]</f>
        <v>UI_Tap_Stat_AtkDmg</v>
      </c>
      <c r="C54" s="52" t="s">
        <v>508</v>
      </c>
      <c r="D54" s="52" t="s">
        <v>496</v>
      </c>
      <c r="E54" s="19" t="s">
        <v>492</v>
      </c>
      <c r="F54" s="14" t="s">
        <v>524</v>
      </c>
      <c r="G54" s="19" t="s">
        <v>495</v>
      </c>
      <c r="H54" s="14" t="s">
        <v>497</v>
      </c>
      <c r="I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UI_Tap_Stat_AtkDmg</v>
      </c>
    </row>
    <row r="55" spans="2:9">
      <c r="B55" t="str">
        <f>LocaleTable[[#This Row],['#인덱스제너레이터]]</f>
        <v>UI_Tap_Stat_AtkSpd</v>
      </c>
      <c r="C55" s="52" t="s">
        <v>509</v>
      </c>
      <c r="D55" s="52" t="s">
        <v>503</v>
      </c>
      <c r="E55" s="19" t="s">
        <v>492</v>
      </c>
      <c r="F55" s="14" t="s">
        <v>524</v>
      </c>
      <c r="G55" s="19" t="s">
        <v>495</v>
      </c>
      <c r="H55" s="14" t="s">
        <v>504</v>
      </c>
      <c r="I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UI_Tap_Stat_AtkSpd</v>
      </c>
    </row>
    <row r="56" spans="2:9">
      <c r="B56" t="str">
        <f>LocaleTable[[#This Row],['#인덱스제너레이터]]</f>
        <v>UI_Tap_Stat_AtkLength</v>
      </c>
      <c r="C56" s="52" t="s">
        <v>510</v>
      </c>
      <c r="D56" s="52" t="s">
        <v>500</v>
      </c>
      <c r="E56" s="14" t="s">
        <v>492</v>
      </c>
      <c r="F56" s="14" t="s">
        <v>524</v>
      </c>
      <c r="G56" s="14" t="s">
        <v>495</v>
      </c>
      <c r="H56" s="14" t="s">
        <v>501</v>
      </c>
      <c r="I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UI_Tap_Stat_AtkLength</v>
      </c>
    </row>
    <row r="57" spans="2:9">
      <c r="B57" t="str">
        <f>LocaleTable[[#This Row],['#인덱스제너레이터]]</f>
        <v>UI_Tap_Stat_ChargeSpd</v>
      </c>
      <c r="C57" s="52" t="s">
        <v>512</v>
      </c>
      <c r="D57" s="52" t="s">
        <v>498</v>
      </c>
      <c r="E57" s="14" t="s">
        <v>492</v>
      </c>
      <c r="F57" s="14" t="s">
        <v>524</v>
      </c>
      <c r="G57" s="14" t="s">
        <v>495</v>
      </c>
      <c r="H57" s="14" t="s">
        <v>499</v>
      </c>
      <c r="I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UI_Tap_Stat_ChargeSpd</v>
      </c>
    </row>
    <row r="58" spans="2:9">
      <c r="B58" t="str">
        <f>LocaleTable[[#This Row],['#인덱스제너레이터]]</f>
        <v>UI_Tap_Stat_MoveSpd</v>
      </c>
      <c r="C58" s="52" t="s">
        <v>511</v>
      </c>
      <c r="D58" s="52" t="s">
        <v>505</v>
      </c>
      <c r="E58" s="14" t="s">
        <v>492</v>
      </c>
      <c r="F58" s="14" t="s">
        <v>524</v>
      </c>
      <c r="G58" s="14" t="s">
        <v>495</v>
      </c>
      <c r="H58" s="14" t="s">
        <v>506</v>
      </c>
      <c r="I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UI_Tap_Stat_MoveSpd</v>
      </c>
    </row>
    <row r="59" spans="2:9">
      <c r="B59" t="str">
        <f>LocaleTable[[#This Row],['#인덱스제너레이터]]</f>
        <v>UI_Tap_Stat_GoldGain</v>
      </c>
      <c r="C59" s="52" t="s">
        <v>513</v>
      </c>
      <c r="D59" s="52" t="s">
        <v>156</v>
      </c>
      <c r="E59" s="14" t="s">
        <v>492</v>
      </c>
      <c r="F59" s="14" t="s">
        <v>524</v>
      </c>
      <c r="G59" s="14" t="s">
        <v>495</v>
      </c>
      <c r="H59" s="14" t="s">
        <v>502</v>
      </c>
      <c r="I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UI_Tap_Stat_GoldGain</v>
      </c>
    </row>
    <row r="60" spans="2:9">
      <c r="B60" t="str">
        <f>LocaleTable[[#This Row],['#인덱스제너레이터]]</f>
        <v>UI_GameOver_Title</v>
      </c>
      <c r="C60" s="52" t="s">
        <v>605</v>
      </c>
      <c r="D60" s="52" t="s">
        <v>526</v>
      </c>
      <c r="E60" s="14" t="s">
        <v>492</v>
      </c>
      <c r="F60" s="14" t="s">
        <v>602</v>
      </c>
      <c r="G60" s="14" t="s">
        <v>526</v>
      </c>
      <c r="H60" s="14"/>
      <c r="I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UI_GameOver_Title</v>
      </c>
    </row>
    <row r="61" spans="2:9">
      <c r="B61" t="str">
        <f>LocaleTable[[#This Row],['#인덱스제너레이터]]</f>
        <v>UI_GameOver_Restart</v>
      </c>
      <c r="C61" s="52" t="s">
        <v>604</v>
      </c>
      <c r="D61" s="52" t="s">
        <v>603</v>
      </c>
      <c r="E61" s="14" t="s">
        <v>492</v>
      </c>
      <c r="F61" s="14" t="s">
        <v>602</v>
      </c>
      <c r="G61" s="14" t="s">
        <v>603</v>
      </c>
      <c r="H61" s="14"/>
      <c r="I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UI_GameOver_Restart</v>
      </c>
    </row>
    <row r="62" spans="2:9">
      <c r="B62" t="str">
        <f>LocaleTable[[#This Row],['#인덱스제너레이터]]</f>
        <v>UI_ItemHolder_Select</v>
      </c>
      <c r="C62" s="52" t="s">
        <v>825</v>
      </c>
      <c r="D62" s="52" t="s">
        <v>823</v>
      </c>
      <c r="E62" s="14" t="s">
        <v>492</v>
      </c>
      <c r="F62" s="14" t="s">
        <v>821</v>
      </c>
      <c r="G62" s="14" t="s">
        <v>823</v>
      </c>
      <c r="H62" s="14"/>
      <c r="I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UI_ItemHolder_Select</v>
      </c>
    </row>
    <row r="63" spans="2:9">
      <c r="B63" t="str">
        <f>LocaleTable[[#This Row],['#인덱스제너레이터]]</f>
        <v>UI_ItemHolder_Buy</v>
      </c>
      <c r="C63" s="52" t="s">
        <v>824</v>
      </c>
      <c r="D63" s="52" t="s">
        <v>822</v>
      </c>
      <c r="E63" s="14" t="s">
        <v>492</v>
      </c>
      <c r="F63" s="14" t="s">
        <v>821</v>
      </c>
      <c r="G63" s="14" t="s">
        <v>822</v>
      </c>
      <c r="H63" s="14"/>
      <c r="I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UI_ItemHolder_Buy</v>
      </c>
    </row>
    <row r="64" spans="2:9">
      <c r="B64" t="str">
        <f>LocaleTable[[#This Row],['#인덱스제너레이터]]</f>
        <v>UI_Loading_Tip_1</v>
      </c>
      <c r="C64" s="52" t="s">
        <v>814</v>
      </c>
      <c r="D64" s="52" t="s">
        <v>815</v>
      </c>
      <c r="E64" s="14" t="s">
        <v>492</v>
      </c>
      <c r="F64" s="14" t="s">
        <v>648</v>
      </c>
      <c r="G64" s="14" t="s">
        <v>649</v>
      </c>
      <c r="H64" s="14">
        <v>1</v>
      </c>
      <c r="I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v>
      </c>
    </row>
    <row r="65" spans="2:9">
      <c r="B65" t="str">
        <f>LocaleTable[[#This Row],['#인덱스제너레이터]]</f>
        <v>UI_Loading_Tip_2</v>
      </c>
      <c r="C65" s="52" t="s">
        <v>650</v>
      </c>
      <c r="D65" s="52" t="s">
        <v>776</v>
      </c>
      <c r="E65" s="14" t="s">
        <v>492</v>
      </c>
      <c r="F65" s="14" t="s">
        <v>648</v>
      </c>
      <c r="G65" s="14" t="s">
        <v>649</v>
      </c>
      <c r="H65" s="14">
        <v>2</v>
      </c>
      <c r="I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UI_Loading_Tip_2</v>
      </c>
    </row>
    <row r="66" spans="2:9">
      <c r="B66" t="str">
        <f>LocaleTable[[#This Row],['#인덱스제너레이터]]</f>
        <v>UI_Loading_Tip_3</v>
      </c>
      <c r="C66" s="52" t="s">
        <v>651</v>
      </c>
      <c r="D66" s="52" t="s">
        <v>775</v>
      </c>
      <c r="E66" s="14" t="s">
        <v>492</v>
      </c>
      <c r="F66" s="14" t="s">
        <v>648</v>
      </c>
      <c r="G66" s="14" t="s">
        <v>649</v>
      </c>
      <c r="H66" s="14">
        <v>3</v>
      </c>
      <c r="I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UI_Loading_Tip_3</v>
      </c>
    </row>
    <row r="67" spans="2:9">
      <c r="B67" t="str">
        <f>LocaleTable[[#This Row],['#인덱스제너레이터]]</f>
        <v>UI_Loading_Tip_4</v>
      </c>
      <c r="C67" s="52" t="s">
        <v>652</v>
      </c>
      <c r="D67" s="52" t="s">
        <v>777</v>
      </c>
      <c r="E67" s="14" t="s">
        <v>492</v>
      </c>
      <c r="F67" s="14" t="s">
        <v>648</v>
      </c>
      <c r="G67" s="14" t="s">
        <v>649</v>
      </c>
      <c r="H67" s="14">
        <v>4</v>
      </c>
      <c r="I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UI_Loading_Tip_4</v>
      </c>
    </row>
    <row r="68" spans="2:9">
      <c r="B68" t="str">
        <f>LocaleTable[[#This Row],['#인덱스제너레이터]]</f>
        <v>UI_Loading_Tip_5</v>
      </c>
      <c r="C68" s="52" t="s">
        <v>778</v>
      </c>
      <c r="D68" s="52" t="s">
        <v>779</v>
      </c>
      <c r="E68" s="14" t="s">
        <v>492</v>
      </c>
      <c r="F68" s="14" t="s">
        <v>648</v>
      </c>
      <c r="G68" s="14" t="s">
        <v>649</v>
      </c>
      <c r="H68" s="14">
        <v>5</v>
      </c>
      <c r="I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UI_Loading_Tip_5</v>
      </c>
    </row>
    <row r="69" spans="2:9">
      <c r="B69" t="str">
        <f>LocaleTable[[#This Row],['#인덱스제너레이터]]</f>
        <v>UI_Loading_Tip_6</v>
      </c>
      <c r="C69" s="52" t="s">
        <v>653</v>
      </c>
      <c r="D69" s="52" t="s">
        <v>656</v>
      </c>
      <c r="E69" s="14" t="s">
        <v>492</v>
      </c>
      <c r="F69" s="14" t="s">
        <v>648</v>
      </c>
      <c r="G69" s="14" t="s">
        <v>649</v>
      </c>
      <c r="H69" s="14">
        <v>6</v>
      </c>
      <c r="I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UI_Loading_Tip_6</v>
      </c>
    </row>
    <row r="70" spans="2:9" ht="34.799999999999997">
      <c r="B70" t="str">
        <f>LocaleTable[[#This Row],['#인덱스제너레이터]]</f>
        <v>UI_Loading_Tip_7</v>
      </c>
      <c r="C70" s="52" t="s">
        <v>654</v>
      </c>
      <c r="D70" s="52" t="s">
        <v>780</v>
      </c>
      <c r="E70" s="14" t="s">
        <v>492</v>
      </c>
      <c r="F70" s="14" t="s">
        <v>648</v>
      </c>
      <c r="G70" s="14" t="s">
        <v>649</v>
      </c>
      <c r="H70" s="14">
        <v>7</v>
      </c>
      <c r="I7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UI_Loading_Tip_7</v>
      </c>
    </row>
    <row r="71" spans="2:9">
      <c r="B71" t="str">
        <f>LocaleTable[[#This Row],['#인덱스제너레이터]]</f>
        <v>UI_Loading_Tip_8</v>
      </c>
      <c r="C71" s="52" t="s">
        <v>655</v>
      </c>
      <c r="D71" s="52" t="s">
        <v>657</v>
      </c>
      <c r="E71" s="14" t="s">
        <v>492</v>
      </c>
      <c r="F71" s="14" t="s">
        <v>648</v>
      </c>
      <c r="G71" s="14" t="s">
        <v>649</v>
      </c>
      <c r="H71" s="14">
        <v>8</v>
      </c>
      <c r="I7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UI_Loading_Tip_8</v>
      </c>
    </row>
    <row r="72" spans="2:9">
      <c r="B72" t="str">
        <f>LocaleTable[[#This Row],['#인덱스제너레이터]]</f>
        <v>UI_Loading_Tip_9</v>
      </c>
      <c r="C72" s="52" t="s">
        <v>782</v>
      </c>
      <c r="D72" s="52" t="s">
        <v>781</v>
      </c>
      <c r="E72" s="14" t="s">
        <v>492</v>
      </c>
      <c r="F72" s="14" t="s">
        <v>648</v>
      </c>
      <c r="G72" s="14" t="s">
        <v>649</v>
      </c>
      <c r="H72" s="14">
        <v>9</v>
      </c>
      <c r="I7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UI_Loading_Tip_9</v>
      </c>
    </row>
    <row r="73" spans="2:9">
      <c r="B73" t="str">
        <f>LocaleTable[[#This Row],['#인덱스제너레이터]]</f>
        <v>UI_Loading_Tip_10</v>
      </c>
      <c r="C73" s="52" t="s">
        <v>818</v>
      </c>
      <c r="D73" s="52" t="s">
        <v>819</v>
      </c>
      <c r="E73" s="14" t="s">
        <v>492</v>
      </c>
      <c r="F73" s="14" t="s">
        <v>648</v>
      </c>
      <c r="G73" s="14" t="s">
        <v>649</v>
      </c>
      <c r="H73" s="14">
        <v>10</v>
      </c>
      <c r="I7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UI_Loading_Tip_10</v>
      </c>
    </row>
    <row r="74" spans="2:9">
      <c r="B74" t="str">
        <f>LocaleTable[[#This Row],['#인덱스제너레이터]]</f>
        <v>UI_Loading_Tip_11</v>
      </c>
      <c r="C74" s="52" t="s">
        <v>816</v>
      </c>
      <c r="D74" s="52" t="s">
        <v>817</v>
      </c>
      <c r="E74" s="14" t="s">
        <v>492</v>
      </c>
      <c r="F74" s="14" t="s">
        <v>648</v>
      </c>
      <c r="G74" s="14" t="s">
        <v>649</v>
      </c>
      <c r="H74" s="14">
        <v>11</v>
      </c>
      <c r="I7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UI_Loading_Tip_11</v>
      </c>
    </row>
    <row r="75" spans="2:9">
      <c r="B75" t="str">
        <f>LocaleTable[[#This Row],['#인덱스제너레이터]]</f>
        <v>UI_Loading_Tip_12</v>
      </c>
      <c r="C75" s="52" t="s">
        <v>799</v>
      </c>
      <c r="D75" s="52" t="s">
        <v>800</v>
      </c>
      <c r="E75" s="14" t="s">
        <v>492</v>
      </c>
      <c r="F75" s="14" t="s">
        <v>648</v>
      </c>
      <c r="G75" s="14" t="s">
        <v>649</v>
      </c>
      <c r="H75" s="14">
        <v>12</v>
      </c>
      <c r="I7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UI_Loading_Tip_12</v>
      </c>
    </row>
    <row r="76" spans="2:9">
      <c r="B76" t="str">
        <f>LocaleTable[[#This Row],['#인덱스제너레이터]]</f>
        <v>UI_Boss_Dulahan_Title</v>
      </c>
      <c r="C76" s="52" t="s">
        <v>598</v>
      </c>
      <c r="D76" s="52" t="s">
        <v>601</v>
      </c>
      <c r="E76" s="14" t="s">
        <v>492</v>
      </c>
      <c r="F76" s="14" t="s">
        <v>596</v>
      </c>
      <c r="G76" s="14" t="s">
        <v>597</v>
      </c>
      <c r="H76" s="14" t="s">
        <v>526</v>
      </c>
      <c r="I7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UI_Boss_Dulahan_Title</v>
      </c>
    </row>
    <row r="77" spans="2:9">
      <c r="B77" t="str">
        <f>LocaleTable[[#This Row],['#인덱스제너레이터]]</f>
        <v>UI_Boss_Dulahan_Name</v>
      </c>
      <c r="C77" s="52" t="s">
        <v>599</v>
      </c>
      <c r="D77" s="52" t="s">
        <v>600</v>
      </c>
      <c r="E77" s="14" t="s">
        <v>492</v>
      </c>
      <c r="F77" s="14" t="s">
        <v>596</v>
      </c>
      <c r="G77" s="14" t="s">
        <v>597</v>
      </c>
      <c r="H77" s="14" t="s">
        <v>318</v>
      </c>
      <c r="I7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UI_Boss_Dulahan_Name</v>
      </c>
    </row>
    <row r="78" spans="2:9">
      <c r="B78" t="str">
        <f>LocaleTable[[#This Row],['#인덱스제너레이터]]</f>
        <v>Item_Name_2000</v>
      </c>
      <c r="C78" s="52" t="s">
        <v>207</v>
      </c>
      <c r="D78" s="52" t="s">
        <v>478</v>
      </c>
      <c r="E78" s="14" t="s">
        <v>486</v>
      </c>
      <c r="F78" s="14" t="s">
        <v>318</v>
      </c>
      <c r="G78" s="19">
        <v>2000</v>
      </c>
      <c r="H78" s="19"/>
      <c r="I7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Item_Name_2000</v>
      </c>
    </row>
    <row r="79" spans="2:9">
      <c r="B79" t="str">
        <f>LocaleTable[[#This Row],['#인덱스제너레이터]]</f>
        <v>Item_Name_2001</v>
      </c>
      <c r="C79" s="52" t="s">
        <v>888</v>
      </c>
      <c r="D79" s="52" t="s">
        <v>889</v>
      </c>
      <c r="E79" s="14" t="s">
        <v>486</v>
      </c>
      <c r="F79" s="14" t="s">
        <v>318</v>
      </c>
      <c r="G79" s="19">
        <v>2001</v>
      </c>
      <c r="H79" s="19"/>
      <c r="I7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Item_Name_2001</v>
      </c>
    </row>
    <row r="80" spans="2:9">
      <c r="B80" t="str">
        <f>LocaleTable[[#This Row],['#인덱스제너레이터]]</f>
        <v>Item_Name_2002</v>
      </c>
      <c r="C80" s="52" t="s">
        <v>98</v>
      </c>
      <c r="D80" s="52" t="s">
        <v>479</v>
      </c>
      <c r="E80" s="14" t="s">
        <v>486</v>
      </c>
      <c r="F80" s="14" t="s">
        <v>318</v>
      </c>
      <c r="G80" s="19">
        <v>2002</v>
      </c>
      <c r="H80" s="19"/>
      <c r="I8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Item_Name_2002</v>
      </c>
    </row>
    <row r="81" spans="2:9">
      <c r="B81" t="str">
        <f>LocaleTable[[#This Row],['#인덱스제너레이터]]</f>
        <v>Item_Name_2003</v>
      </c>
      <c r="C81" s="52" t="s">
        <v>97</v>
      </c>
      <c r="D81" s="52" t="s">
        <v>529</v>
      </c>
      <c r="E81" s="14" t="s">
        <v>486</v>
      </c>
      <c r="F81" s="14" t="s">
        <v>318</v>
      </c>
      <c r="G81" s="19">
        <v>2003</v>
      </c>
      <c r="H81" s="19"/>
      <c r="I8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Item_Name_2003</v>
      </c>
    </row>
    <row r="82" spans="2:9">
      <c r="B82" t="str">
        <f>LocaleTable[[#This Row],['#인덱스제너레이터]]</f>
        <v>Item_Name_2004</v>
      </c>
      <c r="C82" s="52" t="s">
        <v>94</v>
      </c>
      <c r="D82" s="52" t="s">
        <v>484</v>
      </c>
      <c r="E82" s="14" t="s">
        <v>486</v>
      </c>
      <c r="F82" s="14" t="s">
        <v>318</v>
      </c>
      <c r="G82" s="19">
        <v>2004</v>
      </c>
      <c r="H82" s="19"/>
      <c r="I8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Item_Name_2004</v>
      </c>
    </row>
    <row r="83" spans="2:9">
      <c r="B83" t="str">
        <f>LocaleTable[[#This Row],['#인덱스제너레이터]]</f>
        <v>Item_Name_2005</v>
      </c>
      <c r="C83" s="52" t="s">
        <v>99</v>
      </c>
      <c r="D83" s="52" t="s">
        <v>540</v>
      </c>
      <c r="E83" s="14" t="s">
        <v>486</v>
      </c>
      <c r="F83" s="14" t="s">
        <v>318</v>
      </c>
      <c r="G83" s="19">
        <v>2005</v>
      </c>
      <c r="H83" s="19"/>
      <c r="I8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Item_Name_2005</v>
      </c>
    </row>
    <row r="84" spans="2:9">
      <c r="B84" t="str">
        <f>LocaleTable[[#This Row],['#인덱스제너레이터]]</f>
        <v>Item_Name_3000</v>
      </c>
      <c r="C84" s="52" t="s">
        <v>33</v>
      </c>
      <c r="D84" s="52" t="s">
        <v>480</v>
      </c>
      <c r="E84" s="14" t="s">
        <v>486</v>
      </c>
      <c r="F84" s="14" t="s">
        <v>318</v>
      </c>
      <c r="G84" s="19">
        <v>3000</v>
      </c>
      <c r="H84" s="19"/>
      <c r="I8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Item_Name_3000</v>
      </c>
    </row>
    <row r="85" spans="2:9">
      <c r="B85" t="str">
        <f>LocaleTable[[#This Row],['#인덱스제너레이터]]</f>
        <v>Item_Name_3001</v>
      </c>
      <c r="C85" s="52" t="s">
        <v>898</v>
      </c>
      <c r="D85" s="52" t="s">
        <v>899</v>
      </c>
      <c r="E85" s="14" t="s">
        <v>486</v>
      </c>
      <c r="F85" s="14" t="s">
        <v>318</v>
      </c>
      <c r="G85" s="19">
        <v>3001</v>
      </c>
      <c r="H85" s="19"/>
      <c r="I8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Item_Name_3001</v>
      </c>
    </row>
    <row r="86" spans="2:9">
      <c r="B86" t="str">
        <f>LocaleTable[[#This Row],['#인덱스제너레이터]]</f>
        <v>Item_Name_3002</v>
      </c>
      <c r="C86" s="52" t="s">
        <v>35</v>
      </c>
      <c r="D86" s="52" t="s">
        <v>485</v>
      </c>
      <c r="E86" s="14" t="s">
        <v>486</v>
      </c>
      <c r="F86" s="14" t="s">
        <v>318</v>
      </c>
      <c r="G86" s="19">
        <v>3002</v>
      </c>
      <c r="H86" s="19"/>
      <c r="I8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Item_Name_3002</v>
      </c>
    </row>
    <row r="87" spans="2:9">
      <c r="B87" t="str">
        <f>LocaleTable[[#This Row],['#인덱스제너레이터]]</f>
        <v>Item_Name_3003</v>
      </c>
      <c r="C87" s="52" t="s">
        <v>204</v>
      </c>
      <c r="D87" s="52" t="s">
        <v>530</v>
      </c>
      <c r="E87" s="14" t="s">
        <v>486</v>
      </c>
      <c r="F87" s="14" t="s">
        <v>318</v>
      </c>
      <c r="G87" s="19">
        <v>3003</v>
      </c>
      <c r="H87" s="19"/>
      <c r="I8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Item_Name_3003</v>
      </c>
    </row>
    <row r="88" spans="2:9">
      <c r="B88" t="str">
        <f>LocaleTable[[#This Row],['#인덱스제너레이터]]</f>
        <v>Item_Name_3004</v>
      </c>
      <c r="C88" s="52" t="s">
        <v>214</v>
      </c>
      <c r="D88" s="52" t="s">
        <v>531</v>
      </c>
      <c r="E88" s="14" t="s">
        <v>486</v>
      </c>
      <c r="F88" s="14" t="s">
        <v>318</v>
      </c>
      <c r="G88" s="19">
        <v>3004</v>
      </c>
      <c r="H88" s="19"/>
      <c r="I8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Item_Name_3004</v>
      </c>
    </row>
    <row r="89" spans="2:9">
      <c r="B89" t="str">
        <f>LocaleTable[[#This Row],['#인덱스제너레이터]]</f>
        <v>Item_Name_3005</v>
      </c>
      <c r="C89" s="52" t="s">
        <v>101</v>
      </c>
      <c r="D89" s="52" t="s">
        <v>532</v>
      </c>
      <c r="E89" s="14" t="s">
        <v>486</v>
      </c>
      <c r="F89" s="14" t="s">
        <v>318</v>
      </c>
      <c r="G89" s="19">
        <v>3005</v>
      </c>
      <c r="H89" s="19"/>
      <c r="I8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Item_Name_3005</v>
      </c>
    </row>
    <row r="90" spans="2:9">
      <c r="B90" t="str">
        <f>LocaleTable[[#This Row],['#인덱스제너레이터]]</f>
        <v>Item_Name_3006</v>
      </c>
      <c r="C90" s="53" t="s">
        <v>354</v>
      </c>
      <c r="D90" s="52" t="s">
        <v>533</v>
      </c>
      <c r="E90" s="14" t="s">
        <v>486</v>
      </c>
      <c r="F90" s="14" t="s">
        <v>318</v>
      </c>
      <c r="G90" s="19">
        <v>3006</v>
      </c>
      <c r="H90" s="19"/>
      <c r="I9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Item_Name_3006</v>
      </c>
    </row>
    <row r="91" spans="2:9">
      <c r="B91" t="str">
        <f>LocaleTable[[#This Row],['#인덱스제너레이터]]</f>
        <v>Item_Name_3007</v>
      </c>
      <c r="C91" s="53" t="s">
        <v>923</v>
      </c>
      <c r="D91" s="52" t="s">
        <v>924</v>
      </c>
      <c r="E91" s="14" t="s">
        <v>486</v>
      </c>
      <c r="F91" s="14" t="s">
        <v>318</v>
      </c>
      <c r="G91" s="19">
        <v>3007</v>
      </c>
      <c r="H91" s="19"/>
      <c r="I9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Item_Name_3007</v>
      </c>
    </row>
    <row r="92" spans="2:9">
      <c r="B92" t="str">
        <f>LocaleTable[[#This Row],['#인덱스제너레이터]]</f>
        <v>Item_Name_4000</v>
      </c>
      <c r="C92" s="52" t="s">
        <v>96</v>
      </c>
      <c r="D92" s="52" t="s">
        <v>534</v>
      </c>
      <c r="E92" s="14" t="s">
        <v>486</v>
      </c>
      <c r="F92" s="14" t="s">
        <v>318</v>
      </c>
      <c r="G92" s="19">
        <v>4000</v>
      </c>
      <c r="H92" s="19"/>
      <c r="I9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Item_Name_4000</v>
      </c>
    </row>
    <row r="93" spans="2:9">
      <c r="B93" t="str">
        <f>LocaleTable[[#This Row],['#인덱스제너레이터]]</f>
        <v>Item_Name_4001</v>
      </c>
      <c r="C93" s="52" t="s">
        <v>93</v>
      </c>
      <c r="D93" s="52" t="s">
        <v>481</v>
      </c>
      <c r="E93" s="14" t="s">
        <v>486</v>
      </c>
      <c r="F93" s="14" t="s">
        <v>318</v>
      </c>
      <c r="G93" s="19">
        <v>4001</v>
      </c>
      <c r="H93" s="19"/>
      <c r="I9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Item_Name_4001</v>
      </c>
    </row>
    <row r="94" spans="2:9">
      <c r="B94" t="str">
        <f>LocaleTable[[#This Row],['#인덱스제너레이터]]</f>
        <v>Item_Name_4002</v>
      </c>
      <c r="C94" s="52" t="s">
        <v>903</v>
      </c>
      <c r="D94" s="52" t="s">
        <v>900</v>
      </c>
      <c r="E94" s="14" t="s">
        <v>486</v>
      </c>
      <c r="F94" s="14" t="s">
        <v>318</v>
      </c>
      <c r="G94" s="19">
        <v>4002</v>
      </c>
      <c r="H94" s="19"/>
      <c r="I9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Item_Name_4002</v>
      </c>
    </row>
    <row r="95" spans="2:9">
      <c r="B95" t="str">
        <f>LocaleTable[[#This Row],['#인덱스제너레이터]]</f>
        <v>Item_Name_4003</v>
      </c>
      <c r="C95" s="52" t="s">
        <v>205</v>
      </c>
      <c r="D95" s="52" t="s">
        <v>904</v>
      </c>
      <c r="E95" s="14" t="s">
        <v>486</v>
      </c>
      <c r="F95" s="14" t="s">
        <v>318</v>
      </c>
      <c r="G95" s="19">
        <v>4003</v>
      </c>
      <c r="H95" s="19"/>
      <c r="I9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Item_Name_4003</v>
      </c>
    </row>
    <row r="96" spans="2:9">
      <c r="B96" t="str">
        <f>LocaleTable[[#This Row],['#인덱스제너레이터]]</f>
        <v>Item_Name_4004</v>
      </c>
      <c r="C96" s="52" t="s">
        <v>359</v>
      </c>
      <c r="D96" s="52" t="s">
        <v>535</v>
      </c>
      <c r="E96" s="14" t="s">
        <v>486</v>
      </c>
      <c r="F96" s="14" t="s">
        <v>318</v>
      </c>
      <c r="G96" s="19">
        <v>4004</v>
      </c>
      <c r="H96" s="19"/>
      <c r="I9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Item_Name_4004</v>
      </c>
    </row>
    <row r="97" spans="2:9">
      <c r="B97" t="str">
        <f>LocaleTable[[#This Row],['#인덱스제너레이터]]</f>
        <v>Item_Name_4005</v>
      </c>
      <c r="C97" s="52" t="s">
        <v>434</v>
      </c>
      <c r="D97" s="52" t="s">
        <v>536</v>
      </c>
      <c r="E97" s="14" t="s">
        <v>486</v>
      </c>
      <c r="F97" s="14" t="s">
        <v>318</v>
      </c>
      <c r="G97" s="19">
        <v>4005</v>
      </c>
      <c r="H97" s="19"/>
      <c r="I9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Item_Name_4005</v>
      </c>
    </row>
    <row r="98" spans="2:9">
      <c r="B98" t="str">
        <f>LocaleTable[[#This Row],['#인덱스제너레이터]]</f>
        <v>Item_Name_4006</v>
      </c>
      <c r="C98" s="52" t="s">
        <v>437</v>
      </c>
      <c r="D98" s="52" t="s">
        <v>756</v>
      </c>
      <c r="E98" s="14" t="s">
        <v>486</v>
      </c>
      <c r="F98" s="14" t="s">
        <v>318</v>
      </c>
      <c r="G98" s="19">
        <v>4006</v>
      </c>
      <c r="H98" s="19"/>
      <c r="I9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Item_Name_4006</v>
      </c>
    </row>
    <row r="99" spans="2:9">
      <c r="B99" t="str">
        <f>LocaleTable[[#This Row],['#인덱스제너레이터]]</f>
        <v>Item_Name_4007</v>
      </c>
      <c r="C99" s="53" t="s">
        <v>910</v>
      </c>
      <c r="D99" s="53" t="s">
        <v>909</v>
      </c>
      <c r="E99" s="14" t="s">
        <v>486</v>
      </c>
      <c r="F99" s="14" t="s">
        <v>318</v>
      </c>
      <c r="G99" s="19">
        <v>4007</v>
      </c>
      <c r="H99" s="19"/>
      <c r="I9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Item_Name_4007</v>
      </c>
    </row>
    <row r="100" spans="2:9">
      <c r="B100" t="str">
        <f>LocaleTable[[#This Row],['#인덱스제너레이터]]</f>
        <v>Item_Name_10000</v>
      </c>
      <c r="C100" s="52" t="s">
        <v>350</v>
      </c>
      <c r="D100" s="52" t="s">
        <v>537</v>
      </c>
      <c r="E100" s="14" t="s">
        <v>486</v>
      </c>
      <c r="F100" s="14" t="s">
        <v>318</v>
      </c>
      <c r="G100" s="19">
        <v>10000</v>
      </c>
      <c r="H100" s="19"/>
      <c r="I10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Item_Name_10000</v>
      </c>
    </row>
    <row r="101" spans="2:9">
      <c r="B101" t="str">
        <f>LocaleTable[[#This Row],['#인덱스제너레이터]]</f>
        <v>Item_Name_10001</v>
      </c>
      <c r="C101" s="53" t="s">
        <v>364</v>
      </c>
      <c r="D101" s="52" t="s">
        <v>538</v>
      </c>
      <c r="E101" s="14" t="s">
        <v>486</v>
      </c>
      <c r="F101" s="14" t="s">
        <v>318</v>
      </c>
      <c r="G101" s="19">
        <v>10001</v>
      </c>
      <c r="H101" s="19"/>
      <c r="I10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Item_Name_10001</v>
      </c>
    </row>
    <row r="102" spans="2:9">
      <c r="B102" t="str">
        <f>LocaleTable[[#This Row],['#인덱스제너레이터]]</f>
        <v>Item_Name_10002</v>
      </c>
      <c r="C102" s="53" t="s">
        <v>476</v>
      </c>
      <c r="D102" s="52" t="s">
        <v>482</v>
      </c>
      <c r="E102" s="14" t="s">
        <v>486</v>
      </c>
      <c r="F102" s="14" t="s">
        <v>318</v>
      </c>
      <c r="G102" s="19">
        <v>10002</v>
      </c>
      <c r="H102" s="19"/>
      <c r="I10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Item_Name_10002</v>
      </c>
    </row>
    <row r="103" spans="2:9">
      <c r="B103" t="str">
        <f>LocaleTable[[#This Row],['#인덱스제너레이터]]</f>
        <v>Item_Name_10003</v>
      </c>
      <c r="C103" s="53" t="s">
        <v>352</v>
      </c>
      <c r="D103" s="52" t="s">
        <v>539</v>
      </c>
      <c r="E103" s="14" t="s">
        <v>486</v>
      </c>
      <c r="F103" s="14" t="s">
        <v>318</v>
      </c>
      <c r="G103" s="19">
        <v>10003</v>
      </c>
      <c r="H103" s="19"/>
      <c r="I10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Item_Name_10003</v>
      </c>
    </row>
    <row r="104" spans="2:9">
      <c r="B104" t="str">
        <f>LocaleTable[[#This Row],['#인덱스제너레이터]]</f>
        <v>Item_Name_10004</v>
      </c>
      <c r="C104" s="52" t="s">
        <v>439</v>
      </c>
      <c r="D104" s="52" t="s">
        <v>483</v>
      </c>
      <c r="E104" s="14" t="s">
        <v>486</v>
      </c>
      <c r="F104" s="14" t="s">
        <v>318</v>
      </c>
      <c r="G104" s="19">
        <v>10004</v>
      </c>
      <c r="H104" s="19"/>
      <c r="I10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Item_Name_10004</v>
      </c>
    </row>
    <row r="105" spans="2:9">
      <c r="B105" t="str">
        <f>LocaleTable[[#This Row],['#인덱스제너레이터]]</f>
        <v>Item_Name_10005</v>
      </c>
      <c r="C105" s="52" t="s">
        <v>448</v>
      </c>
      <c r="D105" s="52" t="s">
        <v>757</v>
      </c>
      <c r="E105" s="14" t="s">
        <v>486</v>
      </c>
      <c r="F105" s="14" t="s">
        <v>318</v>
      </c>
      <c r="G105" s="19">
        <v>10005</v>
      </c>
      <c r="H105" s="19"/>
      <c r="I10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Item_Name_10005</v>
      </c>
    </row>
    <row r="106" spans="2:9">
      <c r="B106" t="str">
        <f>LocaleTable[[#This Row],['#인덱스제너레이터]]</f>
        <v>Item_Desc_2000</v>
      </c>
      <c r="C106" s="52" t="s">
        <v>392</v>
      </c>
      <c r="D106" s="52" t="s">
        <v>542</v>
      </c>
      <c r="E106" s="14" t="s">
        <v>486</v>
      </c>
      <c r="F106" s="14" t="s">
        <v>491</v>
      </c>
      <c r="G106" s="19">
        <v>2000</v>
      </c>
      <c r="H106" s="19"/>
      <c r="I10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Item_Desc_2000</v>
      </c>
    </row>
    <row r="107" spans="2:9" ht="34.799999999999997">
      <c r="B107" t="str">
        <f>LocaleTable[[#This Row],['#인덱스제너레이터]]</f>
        <v>Item_Desc_2001</v>
      </c>
      <c r="C107" s="53" t="s">
        <v>905</v>
      </c>
      <c r="D107" s="52" t="s">
        <v>906</v>
      </c>
      <c r="E107" s="14" t="s">
        <v>486</v>
      </c>
      <c r="F107" s="14" t="s">
        <v>491</v>
      </c>
      <c r="G107" s="19">
        <v>2001</v>
      </c>
      <c r="H107" s="19"/>
      <c r="I10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Item_Desc_2001</v>
      </c>
    </row>
    <row r="108" spans="2:9">
      <c r="B108" t="str">
        <f>LocaleTable[[#This Row],['#인덱스제너레이터]]</f>
        <v>Item_Desc_2002</v>
      </c>
      <c r="C108" s="53" t="s">
        <v>224</v>
      </c>
      <c r="D108" s="52" t="s">
        <v>543</v>
      </c>
      <c r="E108" s="14" t="s">
        <v>486</v>
      </c>
      <c r="F108" s="14" t="s">
        <v>491</v>
      </c>
      <c r="G108" s="19">
        <v>2002</v>
      </c>
      <c r="H108" s="19"/>
      <c r="I10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Item_Desc_2002</v>
      </c>
    </row>
    <row r="109" spans="2:9" ht="34.799999999999997">
      <c r="B109" t="str">
        <f>LocaleTable[[#This Row],['#인덱스제너레이터]]</f>
        <v>Item_Desc_2003</v>
      </c>
      <c r="C109" s="52" t="s">
        <v>225</v>
      </c>
      <c r="D109" s="52" t="s">
        <v>695</v>
      </c>
      <c r="E109" s="14" t="s">
        <v>486</v>
      </c>
      <c r="F109" s="14" t="s">
        <v>491</v>
      </c>
      <c r="G109" s="19">
        <v>2003</v>
      </c>
      <c r="H109" s="19"/>
      <c r="I10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Item_Desc_2003</v>
      </c>
    </row>
    <row r="110" spans="2:9" ht="34.799999999999997">
      <c r="B110" t="str">
        <f>LocaleTable[[#This Row],['#인덱스제너레이터]]</f>
        <v>Item_Desc_2004</v>
      </c>
      <c r="C110" s="54" t="s">
        <v>366</v>
      </c>
      <c r="D110" s="52" t="s">
        <v>544</v>
      </c>
      <c r="E110" s="14" t="s">
        <v>486</v>
      </c>
      <c r="F110" s="14" t="s">
        <v>491</v>
      </c>
      <c r="G110" s="19">
        <v>2004</v>
      </c>
      <c r="H110" s="19"/>
      <c r="I11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Item_Desc_2004</v>
      </c>
    </row>
    <row r="111" spans="2:9">
      <c r="B111" t="str">
        <f>LocaleTable[[#This Row],['#인덱스제너레이터]]</f>
        <v>Item_Desc_2005</v>
      </c>
      <c r="C111" s="52" t="s">
        <v>229</v>
      </c>
      <c r="D111" s="52" t="s">
        <v>696</v>
      </c>
      <c r="E111" s="14" t="s">
        <v>486</v>
      </c>
      <c r="F111" s="14" t="s">
        <v>491</v>
      </c>
      <c r="G111" s="19">
        <v>2005</v>
      </c>
      <c r="H111" s="19"/>
      <c r="I11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Item_Desc_2005</v>
      </c>
    </row>
    <row r="112" spans="2:9">
      <c r="B112" t="str">
        <f>LocaleTable[[#This Row],['#인덱스제너레이터]]</f>
        <v>Item_Desc_3000</v>
      </c>
      <c r="C112" s="54" t="s">
        <v>545</v>
      </c>
      <c r="D112" s="52" t="s">
        <v>697</v>
      </c>
      <c r="E112" s="14" t="s">
        <v>486</v>
      </c>
      <c r="F112" s="14" t="s">
        <v>491</v>
      </c>
      <c r="G112" s="19">
        <v>3000</v>
      </c>
      <c r="H112" s="19"/>
      <c r="I11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Item_Desc_3000</v>
      </c>
    </row>
    <row r="113" spans="2:9">
      <c r="B113" t="str">
        <f>LocaleTable[[#This Row],['#인덱스제너레이터]]</f>
        <v>Item_Desc_3001</v>
      </c>
      <c r="C113" s="78" t="s">
        <v>907</v>
      </c>
      <c r="D113" s="54" t="s">
        <v>908</v>
      </c>
      <c r="E113" s="14" t="s">
        <v>486</v>
      </c>
      <c r="F113" s="14" t="s">
        <v>491</v>
      </c>
      <c r="G113" s="19">
        <v>3001</v>
      </c>
      <c r="H113" s="19"/>
      <c r="I11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Item_Desc_3001</v>
      </c>
    </row>
    <row r="114" spans="2:9">
      <c r="B114" t="str">
        <f>LocaleTable[[#This Row],['#인덱스제너레이터]]</f>
        <v>Item_Desc_3002</v>
      </c>
      <c r="C114" s="53" t="s">
        <v>367</v>
      </c>
      <c r="D114" s="52" t="s">
        <v>829</v>
      </c>
      <c r="E114" s="14" t="s">
        <v>486</v>
      </c>
      <c r="F114" s="14" t="s">
        <v>491</v>
      </c>
      <c r="G114" s="19">
        <v>3002</v>
      </c>
      <c r="H114" s="19"/>
      <c r="I11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Item_Desc_3002</v>
      </c>
    </row>
    <row r="115" spans="2:9" ht="34.799999999999997">
      <c r="B115" t="str">
        <f>LocaleTable[[#This Row],['#인덱스제너레이터]]</f>
        <v>Item_Desc_3003</v>
      </c>
      <c r="C115" s="53" t="s">
        <v>830</v>
      </c>
      <c r="D115" s="52" t="s">
        <v>698</v>
      </c>
      <c r="E115" s="14" t="s">
        <v>486</v>
      </c>
      <c r="F115" s="14" t="s">
        <v>491</v>
      </c>
      <c r="G115" s="19">
        <v>3003</v>
      </c>
      <c r="H115" s="19"/>
      <c r="I11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Item_Desc_3003</v>
      </c>
    </row>
    <row r="116" spans="2:9">
      <c r="B116" t="str">
        <f>LocaleTable[[#This Row],['#인덱스제너레이터]]</f>
        <v>Item_Desc_3004</v>
      </c>
      <c r="C116" s="53" t="s">
        <v>227</v>
      </c>
      <c r="D116" s="52" t="s">
        <v>702</v>
      </c>
      <c r="E116" s="14" t="s">
        <v>486</v>
      </c>
      <c r="F116" s="14" t="s">
        <v>491</v>
      </c>
      <c r="G116" s="19">
        <v>3004</v>
      </c>
      <c r="H116" s="19"/>
      <c r="I11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Item_Desc_3004</v>
      </c>
    </row>
    <row r="117" spans="2:9">
      <c r="B117" t="str">
        <f>LocaleTable[[#This Row],['#인덱스제너레이터]]</f>
        <v>Item_Desc_3005</v>
      </c>
      <c r="C117" s="53" t="s">
        <v>541</v>
      </c>
      <c r="D117" s="52" t="s">
        <v>831</v>
      </c>
      <c r="E117" s="14" t="s">
        <v>486</v>
      </c>
      <c r="F117" s="14" t="s">
        <v>491</v>
      </c>
      <c r="G117" s="19">
        <v>3005</v>
      </c>
      <c r="H117" s="19"/>
      <c r="I11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Item_Desc_3005</v>
      </c>
    </row>
    <row r="118" spans="2:9">
      <c r="B118" t="str">
        <f>LocaleTable[[#This Row],['#인덱스제너레이터]]</f>
        <v>Item_Desc_3006</v>
      </c>
      <c r="C118" s="53" t="s">
        <v>355</v>
      </c>
      <c r="D118" s="52" t="s">
        <v>832</v>
      </c>
      <c r="E118" s="14" t="s">
        <v>486</v>
      </c>
      <c r="F118" s="14" t="s">
        <v>491</v>
      </c>
      <c r="G118" s="19">
        <v>3006</v>
      </c>
      <c r="H118" s="19"/>
      <c r="I11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Item_Desc_3006</v>
      </c>
    </row>
    <row r="119" spans="2:9" ht="69.599999999999994">
      <c r="B119" t="str">
        <f>LocaleTable[[#This Row],['#인덱스제너레이터]]</f>
        <v>Item_Desc_3007</v>
      </c>
      <c r="C119" s="53" t="s">
        <v>925</v>
      </c>
      <c r="D119" s="52" t="s">
        <v>926</v>
      </c>
      <c r="E119" s="14" t="s">
        <v>486</v>
      </c>
      <c r="F119" s="14" t="s">
        <v>491</v>
      </c>
      <c r="G119" s="19">
        <v>3007</v>
      </c>
      <c r="H119" s="19"/>
      <c r="I11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Item_Desc_3007</v>
      </c>
    </row>
    <row r="120" spans="2:9" ht="34.799999999999997">
      <c r="B120" t="str">
        <f>LocaleTable[[#This Row],['#인덱스제너레이터]]</f>
        <v>Item_Desc_4000</v>
      </c>
      <c r="C120" s="52" t="s">
        <v>228</v>
      </c>
      <c r="D120" s="52" t="s">
        <v>833</v>
      </c>
      <c r="E120" s="14" t="s">
        <v>486</v>
      </c>
      <c r="F120" s="14" t="s">
        <v>491</v>
      </c>
      <c r="G120" s="19">
        <v>4000</v>
      </c>
      <c r="H120" s="19"/>
      <c r="I12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Item_Desc_4000</v>
      </c>
    </row>
    <row r="121" spans="2:9">
      <c r="B121" t="str">
        <f>LocaleTable[[#This Row],['#인덱스제너레이터]]</f>
        <v>Item_Desc_4001</v>
      </c>
      <c r="C121" s="52" t="s">
        <v>370</v>
      </c>
      <c r="D121" s="52" t="s">
        <v>834</v>
      </c>
      <c r="E121" s="14" t="s">
        <v>486</v>
      </c>
      <c r="F121" s="14" t="s">
        <v>491</v>
      </c>
      <c r="G121" s="19">
        <v>4001</v>
      </c>
      <c r="H121" s="19"/>
      <c r="I12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Item_Desc_4001</v>
      </c>
    </row>
    <row r="122" spans="2:9" ht="34.799999999999997">
      <c r="B122" t="str">
        <f>LocaleTable[[#This Row],['#인덱스제너레이터]]</f>
        <v>Item_Desc_4002</v>
      </c>
      <c r="C122" s="53" t="s">
        <v>901</v>
      </c>
      <c r="D122" s="52" t="s">
        <v>902</v>
      </c>
      <c r="E122" s="14" t="s">
        <v>486</v>
      </c>
      <c r="F122" s="14" t="s">
        <v>491</v>
      </c>
      <c r="G122" s="19">
        <v>4002</v>
      </c>
      <c r="H122" s="19"/>
      <c r="I12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Item_Desc_4002</v>
      </c>
    </row>
    <row r="123" spans="2:9" ht="34.799999999999997">
      <c r="B123" t="str">
        <f>LocaleTable[[#This Row],['#인덱스제너레이터]]</f>
        <v>Item_Desc_4003</v>
      </c>
      <c r="C123" s="52" t="s">
        <v>226</v>
      </c>
      <c r="D123" s="52" t="s">
        <v>548</v>
      </c>
      <c r="E123" s="14" t="s">
        <v>486</v>
      </c>
      <c r="F123" s="14" t="s">
        <v>491</v>
      </c>
      <c r="G123" s="19">
        <v>4003</v>
      </c>
      <c r="H123" s="19"/>
      <c r="I12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Item_Desc_4003</v>
      </c>
    </row>
    <row r="124" spans="2:9" ht="34.799999999999997">
      <c r="B124" t="str">
        <f>LocaleTable[[#This Row],['#인덱스제너레이터]]</f>
        <v>Item_Desc_4004</v>
      </c>
      <c r="C124" s="52" t="s">
        <v>230</v>
      </c>
      <c r="D124" s="52" t="s">
        <v>547</v>
      </c>
      <c r="E124" s="14" t="s">
        <v>486</v>
      </c>
      <c r="F124" s="14" t="s">
        <v>491</v>
      </c>
      <c r="G124" s="19">
        <v>4004</v>
      </c>
      <c r="H124" s="19"/>
      <c r="I12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Item_Desc_4004</v>
      </c>
    </row>
    <row r="125" spans="2:9">
      <c r="B125" t="str">
        <f>LocaleTable[[#This Row],['#인덱스제너레이터]]</f>
        <v>Item_Desc_4005</v>
      </c>
      <c r="C125" s="52" t="s">
        <v>771</v>
      </c>
      <c r="D125" s="52" t="s">
        <v>699</v>
      </c>
      <c r="E125" s="14" t="s">
        <v>486</v>
      </c>
      <c r="F125" s="14" t="s">
        <v>491</v>
      </c>
      <c r="G125" s="19">
        <v>4005</v>
      </c>
      <c r="H125" s="19"/>
      <c r="I12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Item_Desc_4005</v>
      </c>
    </row>
    <row r="126" spans="2:9">
      <c r="B126" t="str">
        <f>LocaleTable[[#This Row],['#인덱스제너레이터]]</f>
        <v>Item_Desc_4006</v>
      </c>
      <c r="C126" s="52" t="s">
        <v>836</v>
      </c>
      <c r="D126" s="52" t="s">
        <v>549</v>
      </c>
      <c r="E126" s="14" t="s">
        <v>486</v>
      </c>
      <c r="F126" s="14" t="s">
        <v>491</v>
      </c>
      <c r="G126" s="19">
        <v>4006</v>
      </c>
      <c r="H126" s="19"/>
      <c r="I12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Item_Desc_4006</v>
      </c>
    </row>
    <row r="127" spans="2:9" ht="34.799999999999997">
      <c r="B127" t="str">
        <f>LocaleTable[[#This Row],['#인덱스제너레이터]]</f>
        <v>Item_Desc_4007</v>
      </c>
      <c r="C127" s="78" t="s">
        <v>918</v>
      </c>
      <c r="D127" s="54" t="s">
        <v>919</v>
      </c>
      <c r="E127" s="14" t="s">
        <v>486</v>
      </c>
      <c r="F127" s="14" t="s">
        <v>491</v>
      </c>
      <c r="G127" s="19">
        <v>4007</v>
      </c>
      <c r="H127" s="19"/>
      <c r="I12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Item_Desc_4007</v>
      </c>
    </row>
    <row r="128" spans="2:9" ht="34.799999999999997">
      <c r="B128" t="str">
        <f>LocaleTable[[#This Row],['#인덱스제너레이터]]</f>
        <v>Item_Desc_10000</v>
      </c>
      <c r="C128" s="52" t="s">
        <v>838</v>
      </c>
      <c r="D128" s="52" t="s">
        <v>700</v>
      </c>
      <c r="E128" s="14" t="s">
        <v>486</v>
      </c>
      <c r="F128" s="14" t="s">
        <v>491</v>
      </c>
      <c r="G128" s="19">
        <v>10000</v>
      </c>
      <c r="H128" s="19"/>
      <c r="I12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Item_Desc_10000</v>
      </c>
    </row>
    <row r="129" spans="2:9">
      <c r="B129" t="str">
        <f>LocaleTable[[#This Row],['#인덱스제너레이터]]</f>
        <v>Item_Desc_10001</v>
      </c>
      <c r="C129" s="53" t="s">
        <v>368</v>
      </c>
      <c r="D129" s="52" t="s">
        <v>550</v>
      </c>
      <c r="E129" s="14" t="s">
        <v>486</v>
      </c>
      <c r="F129" s="14" t="s">
        <v>491</v>
      </c>
      <c r="G129" s="19">
        <v>10001</v>
      </c>
      <c r="H129" s="19"/>
      <c r="I12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Item_Desc_10001</v>
      </c>
    </row>
    <row r="130" spans="2:9" ht="34.799999999999997">
      <c r="B130" t="str">
        <f>LocaleTable[[#This Row],['#인덱스제너레이터]]</f>
        <v>Item_Desc_10002</v>
      </c>
      <c r="C130" s="53" t="s">
        <v>837</v>
      </c>
      <c r="D130" s="54" t="s">
        <v>701</v>
      </c>
      <c r="E130" s="14" t="s">
        <v>486</v>
      </c>
      <c r="F130" s="14" t="s">
        <v>491</v>
      </c>
      <c r="G130" s="19">
        <v>10002</v>
      </c>
      <c r="H130" s="19"/>
      <c r="I13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Item_Desc_10002</v>
      </c>
    </row>
    <row r="131" spans="2:9">
      <c r="B131" t="str">
        <f>LocaleTable[[#This Row],['#인덱스제너레이터]]</f>
        <v>Item_Desc_10003</v>
      </c>
      <c r="C131" s="53" t="s">
        <v>365</v>
      </c>
      <c r="D131" s="52" t="s">
        <v>764</v>
      </c>
      <c r="E131" s="14" t="s">
        <v>486</v>
      </c>
      <c r="F131" s="14" t="s">
        <v>491</v>
      </c>
      <c r="G131" s="19">
        <v>10003</v>
      </c>
      <c r="H131" s="19"/>
      <c r="I13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Item_Desc_10003</v>
      </c>
    </row>
    <row r="132" spans="2:9">
      <c r="B132" t="str">
        <f>LocaleTable[[#This Row],['#인덱스제너레이터]]</f>
        <v>Item_Desc_10004</v>
      </c>
      <c r="C132" s="52" t="s">
        <v>440</v>
      </c>
      <c r="D132" s="52" t="s">
        <v>556</v>
      </c>
      <c r="E132" s="14" t="s">
        <v>486</v>
      </c>
      <c r="F132" s="14" t="s">
        <v>491</v>
      </c>
      <c r="G132" s="19">
        <v>10004</v>
      </c>
      <c r="H132" s="19"/>
      <c r="I13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Item_Desc_10004</v>
      </c>
    </row>
    <row r="133" spans="2:9">
      <c r="B133" t="str">
        <f>LocaleTable[[#This Row],['#인덱스제너레이터]]</f>
        <v>Item_Desc_10005</v>
      </c>
      <c r="C133" s="52" t="s">
        <v>449</v>
      </c>
      <c r="D133" s="52" t="s">
        <v>557</v>
      </c>
      <c r="E133" s="14" t="s">
        <v>486</v>
      </c>
      <c r="F133" s="14" t="s">
        <v>491</v>
      </c>
      <c r="G133" s="19">
        <v>10005</v>
      </c>
      <c r="H133" s="19"/>
      <c r="I13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Item_Desc_10005</v>
      </c>
    </row>
    <row r="134" spans="2:9">
      <c r="B134" t="str">
        <f>LocaleTable[[#This Row],['#인덱스제너레이터]]</f>
        <v>Item_PlusDesc_2000</v>
      </c>
      <c r="C134" s="53" t="s">
        <v>397</v>
      </c>
      <c r="D134" s="52" t="s">
        <v>558</v>
      </c>
      <c r="E134" s="14" t="s">
        <v>486</v>
      </c>
      <c r="F134" s="14" t="s">
        <v>345</v>
      </c>
      <c r="G134" s="19">
        <v>2000</v>
      </c>
      <c r="H134" s="19"/>
      <c r="I13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Item_PlusDesc_2000</v>
      </c>
    </row>
    <row r="135" spans="2:9">
      <c r="B135" t="str">
        <f>LocaleTable[[#This Row],['#인덱스제너레이터]]</f>
        <v>Item_PlusDesc_2001</v>
      </c>
      <c r="C135" s="52" t="s">
        <v>736</v>
      </c>
      <c r="D135" s="52" t="s">
        <v>746</v>
      </c>
      <c r="E135" s="14" t="s">
        <v>486</v>
      </c>
      <c r="F135" s="14" t="s">
        <v>345</v>
      </c>
      <c r="G135" s="19">
        <v>2001</v>
      </c>
      <c r="H135" s="19"/>
      <c r="I13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Item_PlusDesc_2001</v>
      </c>
    </row>
    <row r="136" spans="2:9">
      <c r="B136" t="str">
        <f>LocaleTable[[#This Row],['#인덱스제너레이터]]</f>
        <v>Item_PlusDesc_2002</v>
      </c>
      <c r="C136" s="52" t="s">
        <v>737</v>
      </c>
      <c r="D136" s="52" t="s">
        <v>745</v>
      </c>
      <c r="E136" s="14" t="s">
        <v>486</v>
      </c>
      <c r="F136" s="14" t="s">
        <v>345</v>
      </c>
      <c r="G136" s="19">
        <v>2002</v>
      </c>
      <c r="H136" s="19"/>
      <c r="I13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Item_PlusDesc_2002</v>
      </c>
    </row>
    <row r="137" spans="2:9">
      <c r="B137" t="str">
        <f>LocaleTable[[#This Row],['#인덱스제너레이터]]</f>
        <v>Item_PlusDesc_2003</v>
      </c>
      <c r="C137" s="52" t="s">
        <v>393</v>
      </c>
      <c r="D137" s="52" t="s">
        <v>763</v>
      </c>
      <c r="E137" s="14" t="s">
        <v>486</v>
      </c>
      <c r="F137" s="14" t="s">
        <v>345</v>
      </c>
      <c r="G137" s="19">
        <v>2003</v>
      </c>
      <c r="H137" s="19"/>
      <c r="I13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Item_PlusDesc_2003</v>
      </c>
    </row>
    <row r="138" spans="2:9">
      <c r="B138" t="str">
        <f>LocaleTable[[#This Row],['#인덱스제너레이터]]</f>
        <v>Item_PlusDesc_2004</v>
      </c>
      <c r="C138" s="52" t="s">
        <v>738</v>
      </c>
      <c r="D138" s="52" t="s">
        <v>744</v>
      </c>
      <c r="E138" s="14" t="s">
        <v>486</v>
      </c>
      <c r="F138" s="14" t="s">
        <v>345</v>
      </c>
      <c r="G138" s="19">
        <v>2004</v>
      </c>
      <c r="H138" s="19"/>
      <c r="I13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Item_PlusDesc_2004</v>
      </c>
    </row>
    <row r="139" spans="2:9">
      <c r="B139" t="str">
        <f>LocaleTable[[#This Row],['#인덱스제너레이터]]</f>
        <v>Item_PlusDesc_2005</v>
      </c>
      <c r="C139" s="16" t="s">
        <v>758</v>
      </c>
      <c r="D139" s="52" t="s">
        <v>911</v>
      </c>
      <c r="E139" s="14" t="s">
        <v>486</v>
      </c>
      <c r="F139" s="14" t="s">
        <v>345</v>
      </c>
      <c r="G139" s="19">
        <v>2005</v>
      </c>
      <c r="H139" s="19"/>
      <c r="I13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Item_PlusDesc_2005</v>
      </c>
    </row>
    <row r="140" spans="2:9" ht="34.799999999999997">
      <c r="B140" t="str">
        <f>LocaleTable[[#This Row],['#인덱스제너레이터]]</f>
        <v>Item_PlusDesc_3000</v>
      </c>
      <c r="C140" s="54" t="s">
        <v>431</v>
      </c>
      <c r="D140" s="52" t="s">
        <v>762</v>
      </c>
      <c r="E140" s="14" t="s">
        <v>486</v>
      </c>
      <c r="F140" s="14" t="s">
        <v>345</v>
      </c>
      <c r="G140" s="19">
        <v>3000</v>
      </c>
      <c r="H140" s="19"/>
      <c r="I14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Item_PlusDesc_3000</v>
      </c>
    </row>
    <row r="141" spans="2:9">
      <c r="B141" t="str">
        <f>LocaleTable[[#This Row],['#인덱스제너레이터]]</f>
        <v>Item_PlusDesc_3001</v>
      </c>
      <c r="C141" s="52" t="s">
        <v>639</v>
      </c>
      <c r="D141" s="52" t="s">
        <v>640</v>
      </c>
      <c r="E141" s="14" t="s">
        <v>486</v>
      </c>
      <c r="F141" s="14" t="s">
        <v>345</v>
      </c>
      <c r="G141" s="19">
        <v>3001</v>
      </c>
      <c r="H141" s="19"/>
      <c r="I14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Item_PlusDesc_3001</v>
      </c>
    </row>
    <row r="142" spans="2:9" ht="34.799999999999997">
      <c r="B142" t="str">
        <f>LocaleTable[[#This Row],['#인덱스제너레이터]]</f>
        <v>Item_PlusDesc_3002</v>
      </c>
      <c r="C142" s="52" t="s">
        <v>740</v>
      </c>
      <c r="D142" s="52" t="s">
        <v>761</v>
      </c>
      <c r="E142" s="14" t="s">
        <v>486</v>
      </c>
      <c r="F142" s="14" t="s">
        <v>345</v>
      </c>
      <c r="G142" s="19">
        <v>3002</v>
      </c>
      <c r="H142" s="19"/>
      <c r="I14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Item_PlusDesc_3002</v>
      </c>
    </row>
    <row r="143" spans="2:9">
      <c r="B143" t="str">
        <f>LocaleTable[[#This Row],['#인덱스제너레이터]]</f>
        <v>Item_PlusDesc_3003</v>
      </c>
      <c r="C143" s="52" t="s">
        <v>363</v>
      </c>
      <c r="D143" s="52" t="s">
        <v>559</v>
      </c>
      <c r="E143" s="14" t="s">
        <v>486</v>
      </c>
      <c r="F143" s="14" t="s">
        <v>345</v>
      </c>
      <c r="G143" s="19">
        <v>3003</v>
      </c>
      <c r="H143" s="19"/>
      <c r="I14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Item_PlusDesc_3003</v>
      </c>
    </row>
    <row r="144" spans="2:9">
      <c r="B144" t="str">
        <f>LocaleTable[[#This Row],['#인덱스제너레이터]]</f>
        <v>Item_PlusDesc_3004</v>
      </c>
      <c r="C144" s="52" t="s">
        <v>373</v>
      </c>
      <c r="D144" s="52" t="s">
        <v>760</v>
      </c>
      <c r="E144" s="14" t="s">
        <v>486</v>
      </c>
      <c r="F144" s="14" t="s">
        <v>345</v>
      </c>
      <c r="G144" s="19">
        <v>3004</v>
      </c>
      <c r="H144" s="19"/>
      <c r="I14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Item_PlusDesc_3004</v>
      </c>
    </row>
    <row r="145" spans="2:9">
      <c r="B145" t="str">
        <f>LocaleTable[[#This Row],['#인덱스제너레이터]]</f>
        <v>Item_PlusDesc_3005</v>
      </c>
      <c r="C145" s="11" t="s">
        <v>913</v>
      </c>
      <c r="D145" s="52" t="s">
        <v>912</v>
      </c>
      <c r="E145" s="14" t="s">
        <v>486</v>
      </c>
      <c r="F145" s="14" t="s">
        <v>345</v>
      </c>
      <c r="G145" s="19">
        <v>3005</v>
      </c>
      <c r="H145" s="19"/>
      <c r="I14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Item_PlusDesc_3005</v>
      </c>
    </row>
    <row r="146" spans="2:9">
      <c r="B146" t="str">
        <f>LocaleTable[[#This Row],['#인덱스제너레이터]]</f>
        <v>Item_PlusDesc_3006</v>
      </c>
      <c r="C146" s="53" t="s">
        <v>432</v>
      </c>
      <c r="D146" s="52" t="s">
        <v>560</v>
      </c>
      <c r="E146" s="14" t="s">
        <v>486</v>
      </c>
      <c r="F146" s="14" t="s">
        <v>345</v>
      </c>
      <c r="G146" s="19">
        <v>3006</v>
      </c>
      <c r="H146" s="19"/>
      <c r="I1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Item_PlusDesc_3006</v>
      </c>
    </row>
    <row r="147" spans="2:9" ht="34.799999999999997">
      <c r="B147" t="str">
        <f>LocaleTable[[#This Row],['#인덱스제너레이터]]</f>
        <v>Item_PlusDesc_3007</v>
      </c>
      <c r="C147" s="53" t="s">
        <v>927</v>
      </c>
      <c r="D147" s="52" t="s">
        <v>928</v>
      </c>
      <c r="E147" s="14" t="s">
        <v>486</v>
      </c>
      <c r="F147" s="14" t="s">
        <v>345</v>
      </c>
      <c r="G147" s="19">
        <v>3007</v>
      </c>
      <c r="H147" s="19"/>
      <c r="I1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Item_PlusDesc_3007</v>
      </c>
    </row>
    <row r="148" spans="2:9">
      <c r="B148" t="str">
        <f>LocaleTable[[#This Row],['#인덱스제너레이터]]</f>
        <v>Item_PlusDesc_4000</v>
      </c>
      <c r="C148" s="52" t="s">
        <v>402</v>
      </c>
      <c r="D148" s="52" t="s">
        <v>561</v>
      </c>
      <c r="E148" s="14" t="s">
        <v>486</v>
      </c>
      <c r="F148" s="14" t="s">
        <v>345</v>
      </c>
      <c r="G148" s="19">
        <v>4000</v>
      </c>
      <c r="H148" s="19"/>
      <c r="I1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Item_PlusDesc_4000</v>
      </c>
    </row>
    <row r="149" spans="2:9" ht="34.799999999999997">
      <c r="B149" t="str">
        <f>LocaleTable[[#This Row],['#인덱스제너레이터]]</f>
        <v>Item_PlusDesc_4001</v>
      </c>
      <c r="C149" s="52" t="s">
        <v>741</v>
      </c>
      <c r="D149" s="52" t="s">
        <v>769</v>
      </c>
      <c r="E149" s="14" t="s">
        <v>486</v>
      </c>
      <c r="F149" s="14" t="s">
        <v>345</v>
      </c>
      <c r="G149" s="19">
        <v>4001</v>
      </c>
      <c r="H149" s="19"/>
      <c r="I1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Item_PlusDesc_4001</v>
      </c>
    </row>
    <row r="150" spans="2:9">
      <c r="B150" t="str">
        <f>LocaleTable[[#This Row],['#인덱스제너레이터]]</f>
        <v>Item_PlusDesc_4002</v>
      </c>
      <c r="C150" s="52" t="s">
        <v>292</v>
      </c>
      <c r="D150" s="52" t="s">
        <v>562</v>
      </c>
      <c r="E150" s="14" t="s">
        <v>486</v>
      </c>
      <c r="F150" s="14" t="s">
        <v>345</v>
      </c>
      <c r="G150" s="19">
        <v>4002</v>
      </c>
      <c r="H150" s="19"/>
      <c r="I1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Item_PlusDesc_4002</v>
      </c>
    </row>
    <row r="151" spans="2:9">
      <c r="B151" t="str">
        <f>LocaleTable[[#This Row],['#인덱스제너레이터]]</f>
        <v>Item_PlusDesc_4003</v>
      </c>
      <c r="C151" s="52" t="s">
        <v>376</v>
      </c>
      <c r="D151" s="52" t="s">
        <v>563</v>
      </c>
      <c r="E151" s="14" t="s">
        <v>486</v>
      </c>
      <c r="F151" s="14" t="s">
        <v>345</v>
      </c>
      <c r="G151" s="19">
        <v>4003</v>
      </c>
      <c r="H151" s="19"/>
      <c r="I1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Item_PlusDesc_4003</v>
      </c>
    </row>
    <row r="152" spans="2:9">
      <c r="B152" t="str">
        <f>LocaleTable[[#This Row],['#인덱스제너레이터]]</f>
        <v>Item_PlusDesc_4004</v>
      </c>
      <c r="C152" s="52" t="s">
        <v>435</v>
      </c>
      <c r="D152" s="52" t="s">
        <v>773</v>
      </c>
      <c r="E152" s="14" t="s">
        <v>486</v>
      </c>
      <c r="F152" s="14" t="s">
        <v>345</v>
      </c>
      <c r="G152" s="19">
        <v>4004</v>
      </c>
      <c r="H152" s="19"/>
      <c r="I1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Item_PlusDesc_4004</v>
      </c>
    </row>
    <row r="153" spans="2:9">
      <c r="B153" t="str">
        <f>LocaleTable[[#This Row],['#인덱스제너레이터]]</f>
        <v>Item_PlusDesc_4005</v>
      </c>
      <c r="C153" s="52" t="s">
        <v>395</v>
      </c>
      <c r="D153" s="52" t="s">
        <v>772</v>
      </c>
      <c r="E153" s="14" t="s">
        <v>486</v>
      </c>
      <c r="F153" s="14" t="s">
        <v>345</v>
      </c>
      <c r="G153" s="19">
        <v>4005</v>
      </c>
      <c r="H153" s="19"/>
      <c r="I1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Item_PlusDesc_4005</v>
      </c>
    </row>
    <row r="154" spans="2:9">
      <c r="B154" t="str">
        <f>LocaleTable[[#This Row],['#인덱스제너레이터]]</f>
        <v>Item_PlusDesc_4006</v>
      </c>
      <c r="C154" s="52" t="s">
        <v>739</v>
      </c>
      <c r="D154" s="52" t="s">
        <v>747</v>
      </c>
      <c r="E154" s="14" t="s">
        <v>486</v>
      </c>
      <c r="F154" s="14" t="s">
        <v>345</v>
      </c>
      <c r="G154" s="19">
        <v>4006</v>
      </c>
      <c r="H154" s="19"/>
      <c r="I1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Item_PlusDesc_4006</v>
      </c>
    </row>
    <row r="155" spans="2:9">
      <c r="B155" t="str">
        <f>LocaleTable[[#This Row],['#인덱스제너레이터]]</f>
        <v>Item_PlusDesc_4007</v>
      </c>
      <c r="C155" s="52" t="s">
        <v>921</v>
      </c>
      <c r="D155" s="52" t="s">
        <v>914</v>
      </c>
      <c r="E155" s="14" t="s">
        <v>486</v>
      </c>
      <c r="F155" s="14" t="s">
        <v>345</v>
      </c>
      <c r="G155" s="19">
        <v>4007</v>
      </c>
      <c r="H155" s="19"/>
      <c r="I1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Item_PlusDesc_4007</v>
      </c>
    </row>
    <row r="156" spans="2:9">
      <c r="B156" t="str">
        <f>LocaleTable[[#This Row],['#인덱스제너레이터]]</f>
        <v>Item_PlusDesc_10000</v>
      </c>
      <c r="C156" s="53" t="s">
        <v>351</v>
      </c>
      <c r="D156" s="52" t="s">
        <v>564</v>
      </c>
      <c r="E156" s="14" t="s">
        <v>486</v>
      </c>
      <c r="F156" s="14" t="s">
        <v>345</v>
      </c>
      <c r="G156" s="19">
        <v>10000</v>
      </c>
      <c r="H156" s="19"/>
      <c r="I1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Item_PlusDesc_10000</v>
      </c>
    </row>
    <row r="157" spans="2:9">
      <c r="B157" t="str">
        <f>LocaleTable[[#This Row],['#인덱스제너레이터]]</f>
        <v>Item_PlusDesc_10001</v>
      </c>
      <c r="C157" s="53" t="s">
        <v>475</v>
      </c>
      <c r="D157" s="52" t="s">
        <v>768</v>
      </c>
      <c r="E157" s="14" t="s">
        <v>486</v>
      </c>
      <c r="F157" s="14" t="s">
        <v>345</v>
      </c>
      <c r="G157" s="19">
        <v>10001</v>
      </c>
      <c r="H157" s="19"/>
      <c r="I1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Item_PlusDesc_10001</v>
      </c>
    </row>
    <row r="158" spans="2:9">
      <c r="B158" t="str">
        <f>LocaleTable[[#This Row],['#인덱스제너레이터]]</f>
        <v>Item_PlusDesc_10002</v>
      </c>
      <c r="C158" s="53" t="s">
        <v>477</v>
      </c>
      <c r="D158" s="52" t="s">
        <v>767</v>
      </c>
      <c r="E158" s="14" t="s">
        <v>486</v>
      </c>
      <c r="F158" s="14" t="s">
        <v>345</v>
      </c>
      <c r="G158" s="19">
        <v>10002</v>
      </c>
      <c r="H158" s="19"/>
      <c r="I1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Item_PlusDesc_10002</v>
      </c>
    </row>
    <row r="159" spans="2:9">
      <c r="B159" t="str">
        <f>LocaleTable[[#This Row],['#인덱스제너레이터]]</f>
        <v>Item_PlusDesc_10003</v>
      </c>
      <c r="C159" s="53" t="s">
        <v>473</v>
      </c>
      <c r="D159" s="52" t="s">
        <v>766</v>
      </c>
      <c r="E159" s="14" t="s">
        <v>486</v>
      </c>
      <c r="F159" s="14" t="s">
        <v>345</v>
      </c>
      <c r="G159" s="19">
        <v>10003</v>
      </c>
      <c r="H159" s="19"/>
      <c r="I1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Item_PlusDesc_10003</v>
      </c>
    </row>
    <row r="160" spans="2:9">
      <c r="B160" t="str">
        <f>LocaleTable[[#This Row],['#인덱스제너레이터]]</f>
        <v>Item_PlusDesc_10004</v>
      </c>
      <c r="C160" s="52" t="s">
        <v>441</v>
      </c>
      <c r="D160" s="52" t="s">
        <v>565</v>
      </c>
      <c r="E160" s="14" t="s">
        <v>486</v>
      </c>
      <c r="F160" s="14" t="s">
        <v>345</v>
      </c>
      <c r="G160" s="19">
        <v>10004</v>
      </c>
      <c r="H160" s="19"/>
      <c r="I1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Item_PlusDesc_10004</v>
      </c>
    </row>
    <row r="161" spans="2:9">
      <c r="B161" t="str">
        <f>LocaleTable[[#This Row],['#인덱스제너레이터]]</f>
        <v>Item_PlusDesc_10005</v>
      </c>
      <c r="C161" s="52" t="s">
        <v>474</v>
      </c>
      <c r="D161" s="52" t="s">
        <v>765</v>
      </c>
      <c r="E161" s="14" t="s">
        <v>486</v>
      </c>
      <c r="F161" s="14" t="s">
        <v>345</v>
      </c>
      <c r="G161" s="19">
        <v>10005</v>
      </c>
      <c r="H161" s="19"/>
      <c r="I1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Item_PlusDesc_10005</v>
      </c>
    </row>
    <row r="162" spans="2:9">
      <c r="B162" t="str">
        <f>LocaleTable[[#This Row],['#인덱스제너레이터]]</f>
        <v>Item_MinusDesc_4000</v>
      </c>
      <c r="C162" s="52" t="s">
        <v>742</v>
      </c>
      <c r="D162" s="61" t="s">
        <v>743</v>
      </c>
      <c r="E162" s="14" t="s">
        <v>486</v>
      </c>
      <c r="F162" s="14" t="s">
        <v>346</v>
      </c>
      <c r="G162" s="19">
        <v>4000</v>
      </c>
      <c r="H162" s="19"/>
      <c r="I1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Item_MinusDesc_4000</v>
      </c>
    </row>
    <row r="163" spans="2:9">
      <c r="B163" t="str">
        <f>LocaleTable[[#This Row],['#인덱스제너레이터]]</f>
        <v>Item_MinusDesc_4001</v>
      </c>
      <c r="C163" s="52" t="s">
        <v>369</v>
      </c>
      <c r="D163" s="61" t="s">
        <v>566</v>
      </c>
      <c r="E163" s="14" t="s">
        <v>486</v>
      </c>
      <c r="F163" s="14" t="s">
        <v>346</v>
      </c>
      <c r="G163" s="19">
        <v>4001</v>
      </c>
      <c r="H163" s="19"/>
      <c r="I1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Item_MinusDesc_4001</v>
      </c>
    </row>
    <row r="164" spans="2:9">
      <c r="B164" t="str">
        <f>LocaleTable[[#This Row],['#인덱스제너레이터]]</f>
        <v>Item_MinusDesc_4002</v>
      </c>
      <c r="C164" s="52" t="s">
        <v>146</v>
      </c>
      <c r="D164" s="52" t="s">
        <v>567</v>
      </c>
      <c r="E164" s="14" t="s">
        <v>486</v>
      </c>
      <c r="F164" s="14" t="s">
        <v>346</v>
      </c>
      <c r="G164" s="19">
        <v>4002</v>
      </c>
      <c r="H164" s="19"/>
      <c r="I1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Item_MinusDesc_4002</v>
      </c>
    </row>
    <row r="165" spans="2:9">
      <c r="B165" t="str">
        <f>LocaleTable[[#This Row],['#인덱스제너레이터]]</f>
        <v>Item_MinusDesc_4003</v>
      </c>
      <c r="C165" s="52" t="s">
        <v>759</v>
      </c>
      <c r="D165" s="52" t="s">
        <v>917</v>
      </c>
      <c r="E165" s="14" t="s">
        <v>486</v>
      </c>
      <c r="F165" s="14" t="s">
        <v>346</v>
      </c>
      <c r="G165" s="19">
        <v>4003</v>
      </c>
      <c r="H165" s="19"/>
      <c r="I1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Item_MinusDesc_4003</v>
      </c>
    </row>
    <row r="166" spans="2:9">
      <c r="B166" t="str">
        <f>LocaleTable[[#This Row],['#인덱스제너레이터]]</f>
        <v>Item_MinusDesc_4004</v>
      </c>
      <c r="C166" s="52" t="s">
        <v>869</v>
      </c>
      <c r="D166" s="52" t="s">
        <v>870</v>
      </c>
      <c r="E166" s="14" t="s">
        <v>486</v>
      </c>
      <c r="F166" s="14" t="s">
        <v>346</v>
      </c>
      <c r="G166" s="19">
        <v>4004</v>
      </c>
      <c r="H166" s="19"/>
      <c r="I1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Item_MinusDesc_4004</v>
      </c>
    </row>
    <row r="167" spans="2:9">
      <c r="B167" t="str">
        <f>LocaleTable[[#This Row],['#인덱스제너레이터]]</f>
        <v>Item_MinusDesc_4005</v>
      </c>
      <c r="C167" s="52" t="s">
        <v>865</v>
      </c>
      <c r="D167" s="52" t="s">
        <v>871</v>
      </c>
      <c r="E167" s="14" t="s">
        <v>486</v>
      </c>
      <c r="F167" s="14" t="s">
        <v>346</v>
      </c>
      <c r="G167" s="19">
        <v>4005</v>
      </c>
      <c r="H167" s="19"/>
      <c r="I1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Item_MinusDesc_4005</v>
      </c>
    </row>
    <row r="168" spans="2:9">
      <c r="B168" t="str">
        <f>LocaleTable[[#This Row],['#인덱스제너레이터]]</f>
        <v>Item_MinusDesc_4006</v>
      </c>
      <c r="C168" s="52" t="s">
        <v>770</v>
      </c>
      <c r="D168" s="52" t="s">
        <v>774</v>
      </c>
      <c r="E168" s="14" t="s">
        <v>486</v>
      </c>
      <c r="F168" s="14" t="s">
        <v>346</v>
      </c>
      <c r="G168" s="19">
        <v>4006</v>
      </c>
      <c r="H168" s="19"/>
      <c r="I1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Item_MinusDesc_4006</v>
      </c>
    </row>
    <row r="169" spans="2:9">
      <c r="B169" t="str">
        <f>LocaleTable[[#This Row],['#인덱스제너레이터]]</f>
        <v>Item_MinusDesc_4007</v>
      </c>
      <c r="C169" s="52" t="s">
        <v>915</v>
      </c>
      <c r="D169" s="52" t="s">
        <v>916</v>
      </c>
      <c r="E169" s="14" t="s">
        <v>486</v>
      </c>
      <c r="F169" s="14" t="s">
        <v>346</v>
      </c>
      <c r="G169" s="19">
        <v>4007</v>
      </c>
      <c r="H169" s="19"/>
      <c r="I1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Item_MinusDesc_4007</v>
      </c>
    </row>
  </sheetData>
  <phoneticPr fontId="6" type="noConversion"/>
  <pageMargins left="0.69999998807907104" right="0.69999998807907104" top="0.75" bottom="0.75" header="0.30000001192092896" footer="0.30000001192092896"/>
  <pageSetup paperSize="9" fitToWidth="0" fitToHeight="0"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18</vt:i4>
      </vt:variant>
    </vt:vector>
  </HeadingPairs>
  <TitlesOfParts>
    <vt:vector size="18" baseType="lpstr">
      <vt:lpstr>#시트별저장버튼</vt:lpstr>
      <vt:lpstr>#스테이지 밸런스 시트</vt:lpstr>
      <vt:lpstr>#전투 밸런스 시트</vt:lpstr>
      <vt:lpstr>#공용데이터(참고용)</vt:lpstr>
      <vt:lpstr>CharacterGameData</vt:lpstr>
      <vt:lpstr>CharacterAtkGameData</vt:lpstr>
      <vt:lpstr>ProductialMapGameData</vt:lpstr>
      <vt:lpstr>DropGameData</vt:lpstr>
      <vt:lpstr>EnemyGameData</vt:lpstr>
      <vt:lpstr>EnemyAtkGameData</vt:lpstr>
      <vt:lpstr>ShootGameData</vt:lpstr>
      <vt:lpstr>ProjectileGameData</vt:lpstr>
      <vt:lpstr>ItemGameData</vt:lpstr>
      <vt:lpstr>ItemEffectGameData</vt:lpstr>
      <vt:lpstr>BuffEffectGameData</vt:lpstr>
      <vt:lpstr>SpecialEffectGameData</vt:lpstr>
      <vt:lpstr>ItemResourceGameData</vt:lpstr>
      <vt:lpstr>LocaleGameData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Kim_Dongju</dc:creator>
  <cp:lastModifiedBy>동주 김</cp:lastModifiedBy>
  <cp:revision>2</cp:revision>
  <dcterms:created xsi:type="dcterms:W3CDTF">2023-03-25T04:43:38Z</dcterms:created>
  <dcterms:modified xsi:type="dcterms:W3CDTF">2023-11-10T16:05:13Z</dcterms:modified>
  <cp:version>1200.0100.01</cp:version>
</cp:coreProperties>
</file>