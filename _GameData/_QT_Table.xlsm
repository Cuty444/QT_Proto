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EDFC12CF-F7F3-9748-9970-F072B87BA4FA}" xr6:coauthVersionLast="47" xr6:coauthVersionMax="47" xr10:uidLastSave="{00000000-0000-0000-0000-000000000000}"/>
  <bookViews>
    <workbookView xWindow="0" yWindow="500" windowWidth="51200" windowHeight="28300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<sst xmlns="http://schemas.openxmlformats.org/spreadsheetml/2006/main" count="1202" uniqueCount="643">
  <si>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</si>
  <si>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</si>
  <si>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</si>
  <si>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</si>
  <si>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</si>
  <si>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</si>
  <si>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</si>
  <si>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</si>
  <si>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</si>
  <si>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</si>
  <si>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</si>
  <si>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</si>
  <si>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</si>
  <si>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</si>
  <si>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</si>
  <si>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</si>
  <si>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</si>
  <si>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</si>
  <si>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</si>
  <si>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</si>
  <si>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</si>
  <si>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</si>
  <si>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</si>
  <si>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</si>
  <si>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</si>
  <si>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</si>
  <si>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</si>
  <si>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</si>
  <si>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</si>
  <si>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</si>
  <si>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</si>
  <si>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</si>
  <si>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</si>
  <si>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</si>
  <si>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</si>
  <si>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</si>
  <si>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</si>
  <si>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</si>
  <si>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</si>
  <si>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</si>
  <si>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</si>
  <si>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</si>
  <si>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</si>
  <si>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</si>
  <si>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</si>
  <si>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</si>
  <si>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</si>
  <si>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</si>
  <si>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</si>
  <si>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</si>
  <si>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</si>
  <si>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</si>
  <si>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</si>
  <si>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</si>
  <si>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</si>
  <si>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</si>
  <si>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</si>
  <si>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</si>
  <si>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</si>
  <si>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</si>
  <si>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</si>
  <si>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</si>
  <si>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</si>
  <si>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</si>
  <si>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</si>
  <si>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</si>
  <si>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</si>
  <si>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</si>
  <si>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</si>
  <si>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</si>
  <si>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</si>
  <si>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</si>
  <si>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</si>
  <si>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</si>
  <si>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</si>
  <si>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</si>
  <si>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</si>
  <si>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</si>
  <si>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</si>
  <si>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</si>
  <si>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</si>
  <si>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</si>
  <si>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</si>
  <si>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</si>
  <si>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</si>
  <si>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</si>
  <si>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</si>
  <si>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</si>
  <si>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</si>
  <si>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</si>
  <si>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</si>
  <si>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</si>
  <si>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</si>
  <si>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</si>
  <si>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</si>
  <si>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</si>
  <si>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</si>
  <si>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</si>
  <si>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</si>
  <si>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</si>
  <si>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</si>
  <si>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</si>
  <si>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</si>
  <si>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</si>
  <si>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</si>
  <si>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</si>
  <si>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</si>
  <si>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</si>
  <si>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</si>
  <si>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</si>
  <si>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</si>
  <si>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</si>
  <si>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</si>
  <si>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</si>
  <si>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</si>
  <si>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</si>
  <si>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</si>
  <si>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</si>
  <si>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</si>
  <si>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</si>
  <si>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</si>
  <si>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</si>
  <si>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</si>
  <si>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</si>
  <si>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</si>
  <si>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</si>
  <si>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</si>
  <si>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</si>
  <si>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</si>
  <si>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</si>
  <si>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</si>
  <si>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</si>
  <si>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</si>
  <si>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</si>
  <si>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</si>
  <si>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</si>
  <si>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</si>
  <si>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</si>
  <si>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</si>
  <si>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</si>
  <si>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</si>
  <si>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</si>
  <si>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</si>
  <si>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</si>
  <si>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</si>
  <si>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</si>
  <si>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</si>
  <si>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</si>
  <si>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</si>
  <si>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</si>
  <si>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</si>
  <si>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</si>
  <si>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</si>
  <si>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</si>
  <si>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</si>
  <si>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</si>
  <si>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</si>
  <si>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</si>
  <si>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</si>
  <si>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</si>
  <si>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</si>
  <si>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</si>
  <si>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</si>
  <si>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</si>
  <si>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</si>
  <si>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</si>
  <si>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</si>
  <si>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</si>
  <si>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</si>
  <si>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</si>
  <si>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</si>
  <si>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</si>
  <si>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</si>
  <si>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</si>
  <si>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</si>
  <si>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</si>
  <si>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</si>
  <si>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</si>
  <si>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</si>
  <si>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</si>
  <si>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</si>
  <si>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</si>
  <si>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</si>
  <si>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</si>
  <si>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</si>
  <si>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</si>
  <si>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</si>
  <si>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</si>
  <si>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</si>
  <si>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</si>
  <si>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</si>
  <si>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</si>
  <si>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</si>
  <si>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</si>
  <si>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</si>
  <si>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</si>
  <si>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</si>
  <si>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</si>
  <si>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</si>
  <si>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</si>
  <si>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</si>
  <si>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</si>
  <si>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</si>
  <si>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</si>
  <si>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</si>
  <si>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</si>
  <si>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</si>
  <si>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</si>
  <si>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</si>
  <si>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</si>
  <si>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</si>
  <si>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</si>
  <si>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</si>
  <si>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</si>
  <si>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</si>
  <si>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</si>
  <si>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</si>
  <si>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</si>
  <si>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</si>
  <si>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</si>
  <si>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</si>
  <si>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</si>
  <si>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</si>
  <si>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</si>
  <si>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</si>
  <si>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</si>
  <si>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</si>
  <si>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</si>
  <si>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</si>
  <si>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</si>
  <si>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</si>
  <si>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</si>
  <si>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</si>
  <si>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</si>
  <si>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</si>
  <si>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</si>
  <si>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</si>
  <si>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</si>
  <si>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</si>
  <si>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</si>
  <si>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</si>
  <si>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</si>
  <si>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</si>
  <si>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</si>
  <si>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</si>
  <si>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</si>
  <si>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</si>
  <si>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</si>
  <si>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</si>
  <si>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</si>
  <si>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</si>
  <si>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</si>
  <si>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</si>
  <si>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</si>
  <si>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</si>
  <si>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</si>
  <si>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</si>
  <si>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</si>
  <si>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</si>
  <si>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</si>
  <si>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</si>
  <si>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</si>
  <si>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</si>
  <si>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</si>
  <si>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</si>
  <si>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</si>
  <si>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</si>
  <si>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</si>
  <si>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</si>
  <si>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</si>
  <si>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</si>
  <si>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</si>
  <si>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</si>
  <si>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</si>
  <si>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</si>
  <si>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</si>
  <si>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</si>
  <si>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</si>
  <si>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</si>
  <si>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</si>
  <si>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</si>
  <si>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</si>
  <si>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</si>
  <si>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</si>
  <si>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</si>
  <si>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</si>
  <si>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</si>
  <si>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</si>
  <si>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</si>
  <si>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</si>
  <si>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</si>
  <si>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</si>
  <si>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</si>
  <si>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</si>
  <si>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</si>
  <si>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</si>
  <si>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</si>
  <si>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</si>
  <si>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</si>
  <si>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</si>
  <si>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</si>
  <si>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</si>
  <si>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</si>
  <si>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</si>
  <si>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</si>
  <si>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</si>
  <si>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</si>
  <si>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</si>
  <si>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</si>
  <si>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</si>
  <si>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</si>
  <si>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</si>
  <si>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</si>
  <si>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</si>
  <si>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</si>
  <si>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</si>
  <si>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</si>
  <si>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</si>
  <si>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</si>
  <si>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</si>
  <si>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</si>
  <si>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</si>
  <si>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</si>
  <si>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</si>
  <si>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</si>
  <si>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</si>
  <si>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</si>
  <si>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</si>
  <si>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</si>
  <si>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</si>
  <si>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</si>
  <si>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</si>
  <si>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</si>
  <si>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</si>
  <si>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</si>
  <si>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</si>
  <si>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</si>
  <si>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</si>
  <si>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</si>
  <si>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</si>
  <si>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</si>
  <si>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</si>
  <si>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</si>
  <si>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</si>
  <si>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</si>
  <si>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</si>
  <si>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</si>
  <si>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</si>
  <si>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</si>
  <si>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</si>
  <si>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</si>
  <si>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</si>
  <si>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</si>
  <si>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</si>
  <si>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</si>
  <si>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</si>
  <si>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</si>
  <si>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</si>
  <si>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</si>
  <si>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</si>
  <si>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</si>
  <si>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</si>
  <si>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</si>
  <si>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</si>
  <si>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</si>
  <si>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</si>
  <si>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</si>
  <si>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</si>
  <si>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</si>
  <si>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</si>
  <si>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</si>
  <si>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</si>
  <si>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</si>
  <si>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</si>
  <si>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</si>
  <si>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</si>
  <si>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</si>
  <si>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</si>
  <si>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</si>
  <si>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</si>
  <si>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</si>
  <si>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</si>
  <si>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</si>
  <si>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</si>
  <si>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</si>
  <si>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</si>
  <si>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</si>
  <si>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</si>
  <si>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</si>
  <si>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</si>
  <si>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</si>
  <si>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</si>
  <si>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</si>
  <si>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</si>
  <si>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</si>
  <si>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</si>
  <si>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</si>
  <si>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</si>
  <si>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</si>
  <si>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</si>
  <si>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</si>
  <si>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</si>
  <si>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</si>
  <si>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</si>
  <si>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</si>
  <si>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</si>
  <si>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</si>
  <si>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</si>
  <si>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</si>
  <si>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</si>
  <si>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</si>
  <si>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</si>
  <si>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</si>
  <si>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</si>
  <si>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</si>
  <si>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</si>
  <si>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</si>
  <si>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</si>
  <si>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</si>
  <si>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(엘리트)플레이어조준 기관총</t>
    <phoneticPr fontId="7" type="noConversion"/>
  </si>
  <si>
    <t>(엘리트)플레이어조준 튕김공 발사</t>
    <phoneticPr fontId="7" type="noConversion"/>
  </si>
  <si>
    <t>(엘리트)8방향 방사</t>
    <phoneticPr fontId="7" type="noConversion"/>
  </si>
  <si>
    <t>Catcher_Elite</t>
    <phoneticPr fontId="7" type="noConversion"/>
  </si>
  <si>
    <t>Catcher</t>
    <phoneticPr fontId="7" type="noConversion"/>
  </si>
  <si>
    <t>(엘리트)플레이어조준 샷건 3연발</t>
    <phoneticPr fontId="7" type="noConversion"/>
  </si>
  <si>
    <t>폐기</t>
    <phoneticPr fontId="7" type="noConversion"/>
  </si>
  <si>
    <t>(엘리트)박쥐??</t>
    <phoneticPr fontId="7" type="noConversion"/>
  </si>
  <si>
    <t>방사 상하좌우4발</t>
    <phoneticPr fontId="7" type="noConversion"/>
  </si>
  <si>
    <t>Ghost</t>
    <phoneticPr fontId="7" type="noConversion"/>
  </si>
  <si>
    <t>방사 대각 4발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</si>
  <si>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</si>
  <si>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</si>
  <si>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</si>
  <si>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</si>
  <si>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</si>
  <si>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</si>
  <si>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</si>
  <si>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</si>
  <si>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</si>
  <si>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</si>
  <si>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</si>
  <si>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</si>
  <si>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</si>
  <si>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</si>
  <si>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</si>
  <si>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</si>
  <si>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</si>
  <si>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</si>
  <si>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</si>
  <si>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</si>
  <si>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</si>
  <si>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</si>
  <si>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</si>
  <si>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</si>
  <si>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</si>
  <si>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</si>
  <si>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</si>
  <si>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</si>
  <si>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</si>
  <si>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</si>
  <si>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</si>
  <si>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</si>
  <si>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</si>
  <si>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</si>
  <si>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</si>
  <si>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</si>
  <si>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</si>
  <si>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</si>
  <si>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</si>
  <si>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</si>
  <si>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</si>
  <si>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</si>
  <si>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</si>
  <si>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</si>
  <si>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</si>
  <si>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</si>
  <si>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</si>
  <si>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</si>
  <si>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</si>
  <si>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</si>
  <si>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</si>
  <si>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</si>
  <si>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</si>
  <si>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</si>
  <si>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</si>
  <si>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</si>
  <si>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</si>
  <si>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</si>
  <si>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</si>
  <si>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</si>
  <si>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</si>
  <si>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8" type="noConversion"/>
  </si>
  <si>
    <t>Param3</t>
    <phoneticPr fontId="18" type="noConversion"/>
  </si>
  <si>
    <t>float</t>
    <phoneticPr fontId="18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</si>
  <si>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</si>
  <si>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</si>
  <si>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</si>
  <si>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</si>
  <si>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</si>
  <si>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</si>
  <si>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8" type="noConversion"/>
  </si>
  <si>
    <t>Duration</t>
    <phoneticPr fontId="18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</si>
  <si>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</si>
  <si>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</si>
  <si>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</si>
  <si>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</si>
  <si>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</si>
  <si>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</si>
  <si>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</si>
  <si>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8" type="noConversion"/>
  </si>
  <si>
    <t>TimeScale</t>
    <phoneticPr fontId="18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</si>
  <si>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</si>
  <si>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</si>
  <si>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</si>
  <si>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8" type="noConversion"/>
  </si>
  <si>
    <t>EffectType</t>
    <phoneticPr fontId="7" type="noConversion"/>
  </si>
  <si>
    <t>Absorb</t>
    <phoneticPr fontId="18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</si>
  <si>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</si>
  <si>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</si>
  <si>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</si>
  <si>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</si>
  <si>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8" type="noConversion"/>
  </si>
  <si>
    <t>OnSwing</t>
    <phoneticPr fontId="7" type="noConversion"/>
  </si>
  <si>
    <t>Shoot</t>
    <phoneticPr fontId="18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</si>
  <si>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</si>
  <si>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</si>
  <si>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</si>
  <si>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</si>
  <si>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8" type="noConversion"/>
  </si>
  <si>
    <t>#Param1설명</t>
    <phoneticPr fontId="18" type="noConversion"/>
  </si>
  <si>
    <t>#Param2설명</t>
  </si>
  <si>
    <t>#Param3설명</t>
    <phoneticPr fontId="18" type="noConversion"/>
  </si>
  <si>
    <t>시간 배율</t>
    <phoneticPr fontId="18" type="noConversion"/>
  </si>
  <si>
    <t>지속시간(초)</t>
    <phoneticPr fontId="18" type="noConversion"/>
  </si>
  <si>
    <t>공격속도 30% 상승</t>
    <phoneticPr fontId="18" type="noConversion"/>
  </si>
  <si>
    <t>공격범위 20% 상승</t>
    <phoneticPr fontId="18" type="noConversion"/>
  </si>
  <si>
    <t>hp 1칸 증가</t>
    <phoneticPr fontId="18" type="noConversion"/>
  </si>
  <si>
    <t>#폐기여부</t>
    <phoneticPr fontId="18" type="noConversion"/>
  </si>
  <si>
    <t>hp 감소량만큼 피해량 증가</t>
    <phoneticPr fontId="18" type="noConversion"/>
  </si>
  <si>
    <t>이동속도 0.5 증가</t>
    <phoneticPr fontId="18" type="noConversion"/>
  </si>
  <si>
    <t>공격속도 10% 증가</t>
    <phoneticPr fontId="18" type="noConversion"/>
  </si>
  <si>
    <t>피해량 10% 증가</t>
    <phoneticPr fontId="18" type="noConversion"/>
  </si>
  <si>
    <t>골드 획득량 50% 증가</t>
    <phoneticPr fontId="18" type="noConversion"/>
  </si>
  <si>
    <t>피해량 100% 증가</t>
    <phoneticPr fontId="18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</si>
  <si>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</si>
  <si>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</si>
  <si>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</si>
  <si>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</si>
  <si>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</si>
  <si>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</si>
  <si>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8" type="noConversion"/>
  </si>
  <si>
    <t>케르베로스</t>
    <phoneticPr fontId="18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</si>
  <si>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</si>
  <si>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</si>
  <si>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</si>
  <si>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</si>
  <si>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</si>
  <si>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</si>
  <si>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8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</si>
  <si>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</si>
  <si>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</si>
  <si>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</si>
  <si>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</si>
  <si>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</si>
  <si>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</si>
  <si>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</si>
  <si>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</si>
  <si>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</si>
  <si>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</si>
  <si>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</si>
  <si>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</si>
  <si>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</si>
  <si>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</si>
  <si>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</si>
  <si>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</si>
  <si>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8" type="noConversion"/>
  </si>
  <si>
    <t>OnParry</t>
    <phoneticPr fontId="7" type="noConversion"/>
  </si>
  <si>
    <t>공 충돌횟수 +3</t>
    <phoneticPr fontId="7" type="noConversion"/>
  </si>
  <si>
    <t>충돌 횟수 3회 증가</t>
    <phoneticPr fontId="18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</si>
  <si>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</si>
  <si>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8" type="noConversion"/>
  </si>
  <si>
    <t>공격속도 30% 감소</t>
    <phoneticPr fontId="18" type="noConversion"/>
  </si>
  <si>
    <t>OnSwingHit</t>
    <phoneticPr fontId="7" type="noConversion"/>
  </si>
  <si>
    <t>SwingCooldown</t>
    <phoneticPr fontId="18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</si>
  <si>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</si>
  <si>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</si>
  <si>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8" type="noConversion"/>
  </si>
  <si>
    <t>피해량 60% 증가</t>
    <phoneticPr fontId="18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</si>
  <si>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</si>
  <si>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</si>
  <si>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</si>
  <si>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</si>
  <si>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</si>
  <si>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</si>
  <si>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</si>
  <si>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</si>
  <si>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</si>
  <si>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</si>
  <si>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</si>
  <si>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</si>
  <si>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</si>
  <si>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</si>
  <si>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</si>
  <si>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</si>
  <si>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</si>
  <si>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</si>
  <si>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</si>
  <si>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8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</si>
  <si>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</si>
  <si>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</si>
  <si>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</si>
  <si>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</si>
  <si>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</si>
  <si>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8" type="noConversion"/>
  </si>
  <si>
    <t>타격 시마다 4초간 공격속도 15% 상승</t>
    <phoneticPr fontId="18" type="noConversion"/>
  </si>
  <si>
    <t>타격 시마다 4초간\n공격속도 +15%\n(효과는 중첩될 수 있습니다.)</t>
    <phoneticPr fontId="7" type="noConversion"/>
  </si>
  <si>
    <t>ChargeBounceCount</t>
    <phoneticPr fontId="18" type="noConversion"/>
  </si>
  <si>
    <t>배트에 달아놓으면 휘두를 때\n짤랑짤랑 소리가 납니다.</t>
    <phoneticPr fontId="7" type="noConversion"/>
  </si>
  <si>
    <t>패링 시 5초간 피해량 20%증가</t>
    <phoneticPr fontId="18" type="noConversion"/>
  </si>
  <si>
    <t>행성만세</t>
    <phoneticPr fontId="18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</si>
  <si>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</si>
  <si>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</si>
  <si>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</si>
  <si>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8" type="noConversion"/>
  </si>
  <si>
    <t>플레이어의 공이 관통함</t>
    <phoneticPr fontId="18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</si>
  <si>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</si>
  <si>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</si>
  <si>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8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</si>
  <si>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</si>
  <si>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</si>
  <si>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8" type="noConversion"/>
  </si>
  <si>
    <t>회피 재사용 대기 +100%</t>
    <phoneticPr fontId="7" type="noConversion"/>
  </si>
  <si>
    <t>HP</t>
    <phoneticPr fontId="18" type="noConversion"/>
  </si>
  <si>
    <t>HP +2</t>
    <phoneticPr fontId="18" type="noConversion"/>
  </si>
  <si>
    <t>차징속도 50% 상승</t>
    <phoneticPr fontId="18" type="noConversion"/>
  </si>
  <si>
    <t>공격속도 20% 감소</t>
    <phoneticPr fontId="18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</si>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</sst>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7" fillId="0" borderId="0" xfId="0" applyFont="1">
      <alignment vertical="center"/>
    </xf>
    <xf numFmtId="0" fontId="17" fillId="4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1" fillId="5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3" fillId="6" borderId="0" xfId="0" applyFont="1" applyFill="1">
      <alignment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5">
  <autoFilter ref="B12:G42" xr:uid="{B73D1EB2-9631-41EE-AD58-6E2FFBE46994}"/>
  <tableColumns count="6">
    <tableColumn id="11" xr3:uid="{55B6F8E8-6B8B-4ED9-8F5F-483F1DB1EECB}" name="층" dataDxfId="94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3"/>
    <tableColumn id="6" xr3:uid="{4137F677-A56C-450D-803F-BB4DD6A6869A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1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0" totalsRowDxfId="89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100-000001000000}" name="스텟" dataDxfId="84"/>
    <tableColumn id="2" xr3:uid="{00000000-0010-0000-0100-000002000000}" name="참조 테이블" dataDxfId="83"/>
    <tableColumn id="3" xr3:uid="{00000000-0010-0000-0100-000003000000}" name="설명" dataDxfId="82"/>
    <tableColumn id="4" xr3:uid="{00000000-0010-0000-01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0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9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8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7"/>
    <tableColumn id="4" xr3:uid="{00000000-0010-0000-0400-000004000000}" name="획득 무기"/>
    <tableColumn id="5" xr3:uid="{00000000-0010-0000-0400-000005000000}" name="획득 골드" dataDxfId="76">
      <calculatedColumnFormula array="1">밸런스시트[[#This Row],[방 개수]]*표10[방 평균 골드]</calculatedColumnFormula>
    </tableColumn>
    <tableColumn id="6" xr3:uid="{00000000-0010-0000-0400-000006000000}" name="적 체력" dataDxfId="75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4">
      <calculatedColumnFormula array="1">CharacterAtkTable['#던진공 차징1 튕겨내기 DPS]</calculatedColumnFormula>
    </tableColumn>
    <tableColumn id="10" xr3:uid="{00000000-0010-0000-04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2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0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9"/>
    <tableColumn id="3" xr3:uid="{00000000-0010-0000-0600-000003000000}" name="value"/>
    <tableColumn id="4" xr3:uid="{00000000-0010-0000-06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M3" totalsRowShown="0" headerRowDxfId="67">
  <autoFilter ref="B2:M3" xr:uid="{00000000-0009-0000-0100-000006000000}"/>
  <tableColumns count="12">
    <tableColumn id="1" xr3:uid="{00000000-0010-0000-0700-000001000000}" name="Index"/>
    <tableColumn id="2" xr3:uid="{00000000-0010-0000-0700-000002000000}" name="#설명" dataDxfId="66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4" xr3:uid="{00000000-0010-0000-07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W3" totalsRowShown="0" headerRowDxfId="65">
  <autoFilter ref="B2:W3" xr:uid="{00000000-0009-0000-0100-000007000000}"/>
  <tableColumns count="22">
    <tableColumn id="1" xr3:uid="{00000000-0010-0000-0800-000001000000}" name="Index"/>
    <tableColumn id="2" xr3:uid="{00000000-0010-0000-0800-000002000000}" name="#설명" dataDxfId="64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4" xr3:uid="{00000000-0010-0000-0800-00000E000000}" name="ChargeShootSpd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1" xr3:uid="{00000000-0010-0000-0800-000015000000}" name="ChargeProjectileDmg"/>
    <tableColumn id="32" xr3:uid="{72CE4178-5CF6-4FE9-B891-32C6A23D3487}" name="EnemyProjectileDmg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2" t="s">
        <v>307</v>
      </c>
      <c r="C1" s="53"/>
      <c r="D1" s="53"/>
      <c r="E1" s="53"/>
    </row>
    <row r="2" spans="2:5" s="1" customFormat="1">
      <c r="B2" s="53"/>
      <c r="C2" s="53"/>
      <c r="D2" s="53"/>
      <c r="E2" s="53"/>
    </row>
    <row r="3" spans="2:5" s="1" customFormat="1">
      <c r="B3" s="53"/>
      <c r="C3" s="53"/>
      <c r="D3" s="53"/>
      <c r="E3" s="53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2" t="s">
        <v>198</v>
      </c>
      <c r="C1" s="53"/>
      <c r="D1" s="53"/>
      <c r="E1" s="53"/>
    </row>
    <row r="2" spans="2:13" s="1" customFormat="1">
      <c r="B2" s="53"/>
      <c r="C2" s="53"/>
      <c r="D2" s="53"/>
      <c r="E2" s="53"/>
    </row>
    <row r="3" spans="2:13" s="1" customFormat="1">
      <c r="B3" s="53"/>
      <c r="C3" s="53"/>
      <c r="D3" s="53"/>
      <c r="E3" s="53"/>
    </row>
    <row r="5" spans="2:13">
      <c r="B5" s="2" t="s">
        <v>87</v>
      </c>
      <c r="J5" s="2" t="s">
        <v>457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458</v>
      </c>
      <c r="K6" s="12" t="s">
        <v>455</v>
      </c>
      <c r="L6" s="12" t="s">
        <v>452</v>
      </c>
      <c r="M6" s="12" t="s">
        <v>453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459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460</v>
      </c>
      <c r="K8">
        <v>0</v>
      </c>
      <c r="L8">
        <v>6</v>
      </c>
      <c r="M8">
        <v>12</v>
      </c>
    </row>
    <row r="9" spans="2:13">
      <c r="J9" t="s">
        <v>461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456</v>
      </c>
      <c r="C11" s="2"/>
      <c r="D11" s="2"/>
      <c r="J11" s="2" t="s">
        <v>594</v>
      </c>
    </row>
    <row r="12" spans="2:13">
      <c r="B12" s="12" t="s">
        <v>593</v>
      </c>
      <c r="C12" s="12" t="s">
        <v>454</v>
      </c>
      <c r="D12" s="12" t="s">
        <v>455</v>
      </c>
      <c r="E12" s="12" t="s">
        <v>452</v>
      </c>
      <c r="F12" s="12" t="s">
        <v>453</v>
      </c>
      <c r="G12" s="12" t="s">
        <v>602</v>
      </c>
      <c r="H12" s="12"/>
      <c r="J12" s="12" t="s">
        <v>593</v>
      </c>
      <c r="K12" s="12" t="s">
        <v>601</v>
      </c>
      <c r="L12" s="12" t="s">
        <v>603</v>
      </c>
      <c r="M12" s="12" t="s">
        <v>604</v>
      </c>
    </row>
    <row r="13" spans="2:13">
      <c r="B13" s="12" t="s">
        <v>596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596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596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598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595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600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595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461</v>
      </c>
      <c r="M16">
        <f>SUBTOTAL(109,표24[층 완료 획득])</f>
        <v>508</v>
      </c>
    </row>
    <row r="17" spans="2:13">
      <c r="B17" s="12" t="s">
        <v>595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595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605</v>
      </c>
      <c r="M18" s="12">
        <f>표24[[#Totals],[층 완료 획득]]/30</f>
        <v>16.933333333333334</v>
      </c>
    </row>
    <row r="19" spans="2:13">
      <c r="B19" s="12" t="s">
        <v>595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606</v>
      </c>
      <c r="M19" s="12">
        <f>표24[[#Totals],[층 완료 획득]]/50</f>
        <v>10.16</v>
      </c>
    </row>
    <row r="20" spans="2:13">
      <c r="B20" s="12" t="s">
        <v>595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595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595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598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598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597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597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597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597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597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597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597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597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600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600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599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599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599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599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599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599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599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599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2" t="s">
        <v>285</v>
      </c>
      <c r="C1" s="53"/>
      <c r="D1" s="53"/>
      <c r="E1" s="53"/>
      <c r="F1" s="53"/>
    </row>
    <row r="2" spans="1:21" s="1" customFormat="1">
      <c r="B2" s="53"/>
      <c r="C2" s="53"/>
      <c r="D2" s="53"/>
      <c r="E2" s="53"/>
      <c r="F2" s="53"/>
    </row>
    <row r="3" spans="1:21" s="1" customFormat="1">
      <c r="B3" s="53"/>
      <c r="C3" s="53"/>
      <c r="D3" s="53"/>
      <c r="E3" s="53"/>
      <c r="F3" s="53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325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289</v>
      </c>
      <c r="O6" t="s">
        <v>323</v>
      </c>
      <c r="P6" t="s">
        <v>287</v>
      </c>
      <c r="R6" t="s">
        <v>102</v>
      </c>
      <c r="S6" s="12" t="s">
        <v>462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262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320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274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311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283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237</v>
      </c>
      <c r="E16" s="8">
        <v>40</v>
      </c>
    </row>
    <row r="17" spans="1:5" ht="18">
      <c r="A17" s="9"/>
      <c r="B17" s="9" t="s">
        <v>312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332</v>
      </c>
      <c r="C18" s="9" t="s">
        <v>20</v>
      </c>
      <c r="D18" t="s">
        <v>322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234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252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244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318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319</v>
      </c>
      <c r="E24">
        <f>50/25</f>
        <v>2</v>
      </c>
    </row>
    <row r="25" spans="1:5" ht="18">
      <c r="A25" s="9"/>
      <c r="B25" s="9" t="s">
        <v>243</v>
      </c>
      <c r="C25" s="9" t="s">
        <v>20</v>
      </c>
      <c r="D25" t="s">
        <v>337</v>
      </c>
      <c r="E25">
        <v>2</v>
      </c>
    </row>
    <row r="26" spans="1:5" ht="18">
      <c r="A26" s="9"/>
      <c r="B26" s="9" t="s">
        <v>265</v>
      </c>
      <c r="C26" s="9" t="s">
        <v>20</v>
      </c>
      <c r="D26" t="s">
        <v>338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275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364</v>
      </c>
      <c r="E30">
        <v>50</v>
      </c>
    </row>
    <row r="31" spans="1:5" ht="18">
      <c r="A31" s="9"/>
      <c r="B31" s="9" t="s">
        <v>273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241</v>
      </c>
      <c r="C4">
        <v>5</v>
      </c>
      <c r="D4" s="4" t="s">
        <v>178</v>
      </c>
    </row>
    <row r="5" spans="1:4">
      <c r="A5">
        <v>3</v>
      </c>
      <c r="B5" s="4" t="s">
        <v>266</v>
      </c>
      <c r="C5">
        <v>20</v>
      </c>
      <c r="D5" s="4" t="s">
        <v>8</v>
      </c>
    </row>
    <row r="6" spans="1:4">
      <c r="A6">
        <v>4</v>
      </c>
      <c r="B6" s="4" t="s">
        <v>268</v>
      </c>
      <c r="C6">
        <v>0.5</v>
      </c>
      <c r="D6" s="4" t="s">
        <v>194</v>
      </c>
    </row>
    <row r="7" spans="1:4">
      <c r="A7">
        <v>5</v>
      </c>
      <c r="B7" s="4" t="s">
        <v>314</v>
      </c>
      <c r="C7">
        <v>50</v>
      </c>
      <c r="D7" s="4" t="s">
        <v>363</v>
      </c>
    </row>
    <row r="8" spans="1:4">
      <c r="A8">
        <v>6</v>
      </c>
      <c r="B8" s="4" t="s">
        <v>317</v>
      </c>
      <c r="C8">
        <v>1</v>
      </c>
      <c r="D8" s="4" t="s">
        <v>167</v>
      </c>
    </row>
    <row r="9" spans="1:4">
      <c r="A9">
        <v>7</v>
      </c>
      <c r="B9" s="4" t="s">
        <v>362</v>
      </c>
      <c r="C9">
        <v>10</v>
      </c>
      <c r="D9" s="4" t="s">
        <v>360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topLeftCell="B1" zoomScaleNormal="75" zoomScaleSheetLayoutView="100" workbookViewId="0">
      <selection activeCell="L7" sqref="L7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281</v>
      </c>
      <c r="F2" t="s">
        <v>2</v>
      </c>
      <c r="G2" s="12" t="s">
        <v>556</v>
      </c>
      <c r="H2" t="s">
        <v>14</v>
      </c>
      <c r="I2" s="17" t="s">
        <v>519</v>
      </c>
      <c r="J2" t="s">
        <v>12</v>
      </c>
      <c r="K2" t="s">
        <v>26</v>
      </c>
      <c r="L2" t="s">
        <v>222</v>
      </c>
      <c r="M2" t="s">
        <v>274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5"/>
  <sheetViews>
    <sheetView tabSelected="1" zoomScaleNormal="75" zoomScaleSheetLayoutView="100" workbookViewId="0">
      <selection activeCell="K7" sqref="K7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9" t="s">
        <v>520</v>
      </c>
      <c r="E2" s="6" t="s">
        <v>311</v>
      </c>
      <c r="F2" s="6" t="s">
        <v>17</v>
      </c>
      <c r="G2" s="6" t="s">
        <v>332</v>
      </c>
      <c r="H2" s="6" t="s">
        <v>184</v>
      </c>
      <c r="I2" s="39" t="s">
        <v>642</v>
      </c>
      <c r="J2" s="51" t="s">
        <v>626</v>
      </c>
      <c r="K2" s="6" t="s">
        <v>29</v>
      </c>
      <c r="L2" s="7" t="s">
        <v>216</v>
      </c>
      <c r="M2" s="7" t="s">
        <v>224</v>
      </c>
      <c r="N2" s="54" t="s">
        <v>640</v>
      </c>
      <c r="O2" s="31" t="s">
        <v>641</v>
      </c>
      <c r="P2" s="1" t="s">
        <v>312</v>
      </c>
      <c r="Q2" s="5" t="s">
        <v>326</v>
      </c>
      <c r="R2" s="5" t="s">
        <v>217</v>
      </c>
      <c r="S2" s="5" t="s">
        <v>240</v>
      </c>
      <c r="T2" s="5" t="s">
        <v>220</v>
      </c>
      <c r="U2" s="5" t="s">
        <v>239</v>
      </c>
      <c r="V2" s="5" t="s">
        <v>231</v>
      </c>
      <c r="W2" s="5" t="s">
        <v>24</v>
      </c>
    </row>
    <row r="3" spans="2:23">
      <c r="B3">
        <v>200</v>
      </c>
      <c r="C3" s="4" t="s">
        <v>288</v>
      </c>
      <c r="D3">
        <v>1.2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20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16.666666666666668</v>
      </c>
      <c r="S3">
        <f>CharacterAtkTable[[#This Row],[ChargeRigidDmg2]]/(CharacterAtkTable[[#This Row],[SwingCooldown]]+CharacterAtkTable[[#This Row],[ChargeTime]])</f>
        <v>22.222222222222225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282</v>
      </c>
      <c r="G2" t="s">
        <v>15</v>
      </c>
      <c r="H2" t="s">
        <v>300</v>
      </c>
      <c r="I2" t="s">
        <v>207</v>
      </c>
      <c r="J2" t="s">
        <v>205</v>
      </c>
      <c r="K2" t="s">
        <v>286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596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598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600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524</v>
      </c>
      <c r="H2" t="s">
        <v>46</v>
      </c>
      <c r="I2" t="s">
        <v>91</v>
      </c>
    </row>
    <row r="3" spans="1:11">
      <c r="B3" s="25">
        <v>9001</v>
      </c>
      <c r="C3" s="28" t="s">
        <v>479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478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475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392</v>
      </c>
      <c r="B6">
        <v>9100</v>
      </c>
      <c r="C6" s="14" t="s">
        <v>476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477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292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301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L20" sqref="L2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498</v>
      </c>
      <c r="D1" s="12" t="s">
        <v>392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482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6" t="s">
        <v>497</v>
      </c>
      <c r="D2" s="13" t="s">
        <v>392</v>
      </c>
      <c r="E2" t="s">
        <v>126</v>
      </c>
      <c r="F2" s="17" t="s">
        <v>474</v>
      </c>
      <c r="G2" t="s">
        <v>294</v>
      </c>
      <c r="H2" t="s">
        <v>296</v>
      </c>
      <c r="I2" s="17" t="s">
        <v>502</v>
      </c>
      <c r="J2" t="s">
        <v>2</v>
      </c>
      <c r="K2" s="17" t="s">
        <v>483</v>
      </c>
      <c r="L2" t="s">
        <v>197</v>
      </c>
      <c r="M2" t="s">
        <v>193</v>
      </c>
      <c r="N2" t="s">
        <v>195</v>
      </c>
      <c r="O2" t="s">
        <v>293</v>
      </c>
      <c r="P2" t="s">
        <v>203</v>
      </c>
      <c r="Q2" t="s">
        <v>299</v>
      </c>
      <c r="R2" t="s">
        <v>297</v>
      </c>
      <c r="S2" t="s">
        <v>11</v>
      </c>
      <c r="T2" t="s">
        <v>302</v>
      </c>
      <c r="U2" s="5" t="s">
        <v>304</v>
      </c>
      <c r="V2" s="5" t="s">
        <v>321</v>
      </c>
    </row>
    <row r="3" spans="2:22">
      <c r="B3">
        <v>500</v>
      </c>
      <c r="C3" s="4" t="s">
        <v>38</v>
      </c>
      <c r="D3" s="14" t="s">
        <v>393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495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427</v>
      </c>
      <c r="D4" s="14" t="s">
        <v>395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513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496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329</v>
      </c>
      <c r="D5" s="14" t="s">
        <v>398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496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238</v>
      </c>
      <c r="D6" s="14" t="s">
        <v>417</v>
      </c>
      <c r="E6">
        <f>표14[적 기준 체력]*EnemyGameData[[#This Row],['#기준 적 체력 비율]]</f>
        <v>80</v>
      </c>
      <c r="F6">
        <v>12</v>
      </c>
      <c r="G6" t="s">
        <v>303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496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>
        <v>504</v>
      </c>
      <c r="C7" s="22" t="s">
        <v>229</v>
      </c>
      <c r="D7" s="22" t="s">
        <v>425</v>
      </c>
      <c r="E7" s="21">
        <f>표14[적 기준 체력]*EnemyGameData[[#This Row],['#기준 적 체력 비율]]</f>
        <v>80</v>
      </c>
      <c r="F7">
        <v>12</v>
      </c>
      <c r="G7" s="21" t="s">
        <v>303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496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>
        <v>505</v>
      </c>
      <c r="C8" s="22" t="s">
        <v>230</v>
      </c>
      <c r="D8" s="22" t="s">
        <v>425</v>
      </c>
      <c r="E8" s="21">
        <f>표14[적 기준 체력]*EnemyGameData[[#This Row],['#기준 적 체력 비율]]</f>
        <v>100</v>
      </c>
      <c r="F8">
        <v>12</v>
      </c>
      <c r="G8" s="21" t="s">
        <v>303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496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" t="s">
        <v>233</v>
      </c>
      <c r="D9" s="14" t="s">
        <v>423</v>
      </c>
      <c r="E9">
        <f>표14[적 기준 체력]*EnemyGameData[[#This Row],['#기준 적 체력 비율]]</f>
        <v>100</v>
      </c>
      <c r="F9">
        <v>12</v>
      </c>
      <c r="G9" t="s">
        <v>303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496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353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429</v>
      </c>
      <c r="D11" s="14" t="s">
        <v>428</v>
      </c>
      <c r="E11">
        <f>표14[적 기준 체력]*EnemyGameData[[#This Row],['#기준 적 체력 비율]]</f>
        <v>80</v>
      </c>
      <c r="F11">
        <v>12</v>
      </c>
      <c r="G11" t="s">
        <v>303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496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421</v>
      </c>
      <c r="D12" s="14" t="s">
        <v>394</v>
      </c>
      <c r="E12">
        <f>표14[적 기준 체력]*EnemyGameData[[#This Row],['#기준 적 체력 비율]]</f>
        <v>140</v>
      </c>
      <c r="F12">
        <v>12</v>
      </c>
      <c r="G12" s="17" t="s">
        <v>639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496</v>
      </c>
      <c r="U12">
        <v>1.4</v>
      </c>
      <c r="V12">
        <v>7</v>
      </c>
    </row>
    <row r="13" spans="2:22">
      <c r="B13" s="33">
        <v>551</v>
      </c>
      <c r="C13" s="34" t="s">
        <v>419</v>
      </c>
      <c r="D13" s="34" t="s">
        <v>399</v>
      </c>
      <c r="E13" s="33">
        <f>표14[적 기준 체력]*EnemyGameData[[#This Row],['#기준 적 체력 비율]]</f>
        <v>160</v>
      </c>
      <c r="F13">
        <v>12</v>
      </c>
      <c r="G13" s="33" t="s">
        <v>120</v>
      </c>
      <c r="H13" s="33">
        <v>0.5</v>
      </c>
      <c r="I13" s="33">
        <v>1.2</v>
      </c>
      <c r="J13" s="33">
        <v>3</v>
      </c>
      <c r="K13">
        <v>0</v>
      </c>
      <c r="L13" s="33">
        <v>1.5</v>
      </c>
      <c r="M13" s="33" t="s">
        <v>121</v>
      </c>
      <c r="N13" s="33">
        <v>3.5</v>
      </c>
      <c r="O13" s="33">
        <v>651</v>
      </c>
      <c r="P13" s="33">
        <v>0</v>
      </c>
      <c r="Q13" s="33">
        <v>3</v>
      </c>
      <c r="R13" s="33">
        <v>5</v>
      </c>
      <c r="S13" s="33">
        <v>501</v>
      </c>
      <c r="T13" s="33" t="s">
        <v>496</v>
      </c>
      <c r="U13" s="33">
        <v>1.6</v>
      </c>
      <c r="V13" s="33">
        <v>7</v>
      </c>
    </row>
    <row r="14" spans="2:22">
      <c r="B14">
        <v>552</v>
      </c>
      <c r="C14" s="14" t="s">
        <v>420</v>
      </c>
      <c r="D14" s="14" t="s">
        <v>418</v>
      </c>
      <c r="E14">
        <f>표14[적 기준 체력]*EnemyGameData[[#This Row],['#기준 적 체력 비율]]</f>
        <v>140</v>
      </c>
      <c r="F14">
        <v>12</v>
      </c>
      <c r="G14" t="s">
        <v>303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496</v>
      </c>
      <c r="U14">
        <v>1.4</v>
      </c>
      <c r="V14">
        <v>7</v>
      </c>
    </row>
    <row r="15" spans="2:22">
      <c r="B15">
        <v>553</v>
      </c>
      <c r="C15" s="15" t="s">
        <v>424</v>
      </c>
      <c r="D15" s="14" t="s">
        <v>422</v>
      </c>
      <c r="E15">
        <f>표14[적 기준 체력]*EnemyGameData[[#This Row],['#기준 적 체력 비율]]</f>
        <v>160</v>
      </c>
      <c r="F15">
        <v>12</v>
      </c>
      <c r="G15" t="s">
        <v>303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496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>
        <v>554</v>
      </c>
      <c r="C16" s="23" t="s">
        <v>426</v>
      </c>
      <c r="D16" s="22" t="s">
        <v>425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495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G13" sqref="G1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392</v>
      </c>
      <c r="I1" s="12" t="s">
        <v>392</v>
      </c>
    </row>
    <row r="2" spans="2:9">
      <c r="B2" t="s">
        <v>73</v>
      </c>
      <c r="C2" s="5" t="s">
        <v>41</v>
      </c>
      <c r="D2" t="s">
        <v>309</v>
      </c>
      <c r="E2" t="s">
        <v>124</v>
      </c>
      <c r="F2" t="s">
        <v>308</v>
      </c>
      <c r="G2" t="s">
        <v>305</v>
      </c>
      <c r="H2" s="12" t="s">
        <v>392</v>
      </c>
      <c r="I2" s="12" t="s">
        <v>451</v>
      </c>
    </row>
    <row r="3" spans="2:9">
      <c r="B3">
        <v>600</v>
      </c>
      <c r="C3" s="16" t="s">
        <v>443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400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400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400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400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400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400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400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400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400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439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447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447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447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438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334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334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334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437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444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445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446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468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18" t="s">
        <v>468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18" t="s">
        <v>468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18" t="s">
        <v>468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18" t="s">
        <v>468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18" t="s">
        <v>468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18" t="s">
        <v>468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18" t="s">
        <v>468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18" t="s">
        <v>468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18" t="s">
        <v>468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18" t="s">
        <v>468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18" t="s">
        <v>468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18" t="s">
        <v>468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18" t="s">
        <v>468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18" t="s">
        <v>468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18" t="s">
        <v>468</v>
      </c>
      <c r="D41">
        <v>717</v>
      </c>
      <c r="E41" t="s">
        <v>146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18" t="s">
        <v>448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449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450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432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432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432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432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432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432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432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432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432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432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432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432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433</v>
      </c>
      <c r="D57">
        <v>725</v>
      </c>
      <c r="E57" s="17" t="s">
        <v>430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433</v>
      </c>
      <c r="D58">
        <v>725</v>
      </c>
      <c r="E58" s="17" t="s">
        <v>430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434</v>
      </c>
      <c r="D59">
        <v>999</v>
      </c>
      <c r="E59" s="17" t="s">
        <v>431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310</v>
      </c>
      <c r="E2" t="s">
        <v>11</v>
      </c>
      <c r="F2" t="s">
        <v>212</v>
      </c>
      <c r="G2" t="s">
        <v>313</v>
      </c>
    </row>
    <row r="3" spans="2:7">
      <c r="B3">
        <v>700</v>
      </c>
      <c r="C3" s="4" t="s">
        <v>327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410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411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412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401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402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440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235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235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235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235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235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235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235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235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481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481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480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480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480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480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480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480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481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481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480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480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480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480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480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480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552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552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552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610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610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610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610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435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324</v>
      </c>
      <c r="E2" t="s">
        <v>166</v>
      </c>
      <c r="F2" t="s">
        <v>295</v>
      </c>
      <c r="G2" t="s">
        <v>302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359</v>
      </c>
    </row>
    <row r="4" spans="2:7">
      <c r="B4">
        <v>201</v>
      </c>
      <c r="C4" s="12" t="s">
        <v>553</v>
      </c>
      <c r="D4" t="b">
        <v>1</v>
      </c>
      <c r="E4">
        <v>0.8</v>
      </c>
      <c r="F4">
        <v>15</v>
      </c>
      <c r="G4" s="12" t="s">
        <v>612</v>
      </c>
    </row>
    <row r="5" spans="2:7">
      <c r="B5">
        <v>203</v>
      </c>
      <c r="C5" s="12" t="s">
        <v>611</v>
      </c>
      <c r="D5" t="b">
        <v>1</v>
      </c>
      <c r="E5">
        <v>1.2</v>
      </c>
      <c r="F5">
        <v>30</v>
      </c>
      <c r="G5" s="12" t="s">
        <v>629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358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358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358</v>
      </c>
    </row>
    <row r="9" spans="2:7">
      <c r="B9">
        <v>401</v>
      </c>
      <c r="C9" s="4" t="s">
        <v>336</v>
      </c>
      <c r="D9" s="3" t="b">
        <v>1</v>
      </c>
      <c r="E9">
        <v>0.25</v>
      </c>
      <c r="F9">
        <v>25</v>
      </c>
      <c r="G9" t="s">
        <v>358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358</v>
      </c>
    </row>
    <row r="11" spans="2:7">
      <c r="B11">
        <v>403</v>
      </c>
      <c r="C11" s="14" t="s">
        <v>441</v>
      </c>
      <c r="D11" s="3" t="b">
        <v>0</v>
      </c>
      <c r="E11">
        <v>0.8</v>
      </c>
      <c r="F11">
        <v>25</v>
      </c>
      <c r="G11" t="s">
        <v>358</v>
      </c>
    </row>
    <row r="12" spans="2:7">
      <c r="B12">
        <v>404</v>
      </c>
      <c r="C12" s="14" t="s">
        <v>442</v>
      </c>
      <c r="D12" s="3" t="b">
        <v>1</v>
      </c>
      <c r="E12">
        <v>0.8</v>
      </c>
      <c r="F12">
        <v>25</v>
      </c>
      <c r="G12" t="s">
        <v>358</v>
      </c>
    </row>
    <row r="13" spans="2:7">
      <c r="B13">
        <v>999</v>
      </c>
      <c r="C13" s="19" t="s">
        <v>436</v>
      </c>
      <c r="D13" t="b">
        <v>1</v>
      </c>
      <c r="E13">
        <v>1</v>
      </c>
      <c r="F13">
        <v>25</v>
      </c>
      <c r="G13" s="17" t="s">
        <v>473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D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525</v>
      </c>
      <c r="F2" s="17" t="s">
        <v>526</v>
      </c>
      <c r="G2" t="s">
        <v>276</v>
      </c>
      <c r="H2" t="s">
        <v>86</v>
      </c>
      <c r="I2" t="s">
        <v>90</v>
      </c>
      <c r="J2" t="s">
        <v>277</v>
      </c>
      <c r="K2" t="s">
        <v>16</v>
      </c>
      <c r="L2" t="s">
        <v>191</v>
      </c>
      <c r="M2" s="5" t="s">
        <v>348</v>
      </c>
      <c r="N2" s="1" t="s">
        <v>47</v>
      </c>
      <c r="O2" s="1" t="s">
        <v>385</v>
      </c>
      <c r="P2" s="1" t="s">
        <v>386</v>
      </c>
      <c r="Q2" s="1" t="s">
        <v>387</v>
      </c>
      <c r="R2" s="24" t="s">
        <v>469</v>
      </c>
      <c r="S2" s="24" t="s">
        <v>464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40"/>
      <c r="O3" s="40"/>
      <c r="P3" s="40"/>
      <c r="Q3" s="40"/>
      <c r="R3" s="40"/>
      <c r="S3" s="40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40"/>
      <c r="O4" s="40"/>
      <c r="P4" s="40"/>
      <c r="Q4" s="40"/>
      <c r="R4" s="40"/>
      <c r="S4" s="40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40"/>
      <c r="O5" s="40"/>
      <c r="P5" s="40"/>
      <c r="Q5" s="40"/>
      <c r="R5" s="40"/>
      <c r="S5" s="40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40"/>
      <c r="O6" s="40"/>
      <c r="P6" s="40"/>
      <c r="Q6" s="40"/>
      <c r="R6" s="40"/>
      <c r="S6" s="40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40"/>
      <c r="O7" s="40"/>
      <c r="P7" s="40"/>
      <c r="Q7" s="40"/>
      <c r="R7" s="40"/>
      <c r="S7" s="40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333</v>
      </c>
      <c r="D8" s="12" t="s">
        <v>617</v>
      </c>
      <c r="E8" s="17" t="s">
        <v>625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250</v>
      </c>
      <c r="M8" s="20" t="str">
        <f>MID(ItemTable[[#This Row],[ItemIconPath]],FIND("icon",ItemTable[[#This Row],[ItemIconPath]]),999)</f>
        <v>icon/item/item_02.png</v>
      </c>
      <c r="N8" s="41" t="s">
        <v>372</v>
      </c>
      <c r="O8" s="40" t="s">
        <v>349</v>
      </c>
      <c r="P8" s="40"/>
      <c r="Q8" s="40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0"/>
      <c r="S8" s="40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388</v>
      </c>
      <c r="E9" t="s">
        <v>356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253</v>
      </c>
      <c r="M9" s="20" t="str">
        <f>MID(ItemTable[[#This Row],[ItemIconPath]],FIND("icon",ItemTable[[#This Row],[ItemIconPath]]),999)</f>
        <v>icon/item/item_04.png</v>
      </c>
      <c r="N9" s="41" t="s">
        <v>388</v>
      </c>
      <c r="O9" s="40" t="s">
        <v>356</v>
      </c>
      <c r="P9" s="40"/>
      <c r="Q9" s="40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0"/>
      <c r="S9" s="40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370</v>
      </c>
      <c r="E10" t="s">
        <v>345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247</v>
      </c>
      <c r="M10" s="20" t="str">
        <f>MID(ItemTable[[#This Row],[ItemIconPath]],FIND("icon",ItemTable[[#This Row],[ItemIconPath]]),999)</f>
        <v>icon/item/item_05.png</v>
      </c>
      <c r="N10" s="41" t="s">
        <v>370</v>
      </c>
      <c r="O10" s="40" t="s">
        <v>345</v>
      </c>
      <c r="P10" s="40"/>
      <c r="Q10" s="40" t="str">
        <f t="shared" si="0"/>
        <v>얼.죽.아 클럽의 새로운 유행입니다.\n\n&lt;size=20&gt;&lt;color=#97C456&gt;차징속도 +20%&lt;/color&gt;&lt;/size&gt;</v>
      </c>
      <c r="R10" s="40"/>
      <c r="S10" s="40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371</v>
      </c>
      <c r="E11" s="25" t="s">
        <v>620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245</v>
      </c>
      <c r="M11" s="20" t="str">
        <f>MID(ItemTable[[#This Row],[ItemIconPath]],FIND("icon",ItemTable[[#This Row],[ItemIconPath]]),999)</f>
        <v>icon/item/item_07.png</v>
      </c>
      <c r="N11" s="41" t="s">
        <v>371</v>
      </c>
      <c r="O11" s="40" t="s">
        <v>344</v>
      </c>
      <c r="P11" s="40"/>
      <c r="Q11" s="40" t="str">
        <f t="shared" si="0"/>
        <v>배트 이외의 물건에 사용하지 마시오\nQT추출물 0.0006% 함유\nQT향 0.1%함유\n\n&lt;size=20&gt;&lt;color=#97C456&gt;공 충돌횟수 +1&lt;/color&gt;&lt;/size&gt;</v>
      </c>
      <c r="R11" s="40"/>
      <c r="S11" s="40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570</v>
      </c>
      <c r="E12" s="12" t="s">
        <v>527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248</v>
      </c>
      <c r="M12" s="20" t="str">
        <f>MID(ItemTable[[#This Row],[ItemIconPath]],FIND("icon",ItemTable[[#This Row],[ItemIconPath]]),999)</f>
        <v>icon/item/item_11.png</v>
      </c>
      <c r="N12" s="41" t="s">
        <v>471</v>
      </c>
      <c r="O12" s="41" t="s">
        <v>465</v>
      </c>
      <c r="P12" s="40"/>
      <c r="Q12" s="40" t="str">
        <f t="shared" si="0"/>
        <v>시크한 표정이 매력적입니다.\n세 나라 이야기의 붉은 목마 입니다.\n\n&lt;size=20&gt;&lt;color=#97C456&gt;이동속도 +6&lt;/color&gt;&lt;/size&gt;</v>
      </c>
      <c r="R12" s="40"/>
      <c r="S12" s="40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384</v>
      </c>
      <c r="E13" s="12" t="s">
        <v>585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249</v>
      </c>
      <c r="M13" s="20" t="str">
        <f>MID(ItemTable[[#This Row],[ItemIconPath]],FIND("icon",ItemTable[[#This Row],[ItemIconPath]]),999)</f>
        <v>icon/item/item_15.png</v>
      </c>
      <c r="N13" s="41" t="s">
        <v>384</v>
      </c>
      <c r="O13" s="40" t="s">
        <v>342</v>
      </c>
      <c r="P13" s="40"/>
      <c r="Q13" s="40" t="str">
        <f t="shared" si="0"/>
        <v>대나무 향을 머금은 흰 밥이\n까만 김을 만나 완성된 환상적인 조합.\n\n&lt;size=20&gt;&lt;color=#97C456&gt;최대 체력 +1하트&lt;/color&gt;&lt;/size&gt;</v>
      </c>
      <c r="R13" s="40"/>
      <c r="S13" s="40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7" t="s">
        <v>391</v>
      </c>
      <c r="E14" s="47" t="s">
        <v>584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251</v>
      </c>
      <c r="M14" s="20" t="str">
        <f>MID(ItemTable[[#This Row],[ItemIconPath]],FIND("icon",ItemTable[[#This Row],[ItemIconPath]]),999)</f>
        <v>icon/item/item_17.png</v>
      </c>
      <c r="N14" s="41" t="s">
        <v>391</v>
      </c>
      <c r="O14" s="41" t="s">
        <v>466</v>
      </c>
      <c r="P14" s="40"/>
      <c r="Q14" s="4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1" t="s">
        <v>472</v>
      </c>
      <c r="S14" s="40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373</v>
      </c>
      <c r="D15" s="17" t="s">
        <v>390</v>
      </c>
      <c r="E15" s="12" t="s">
        <v>609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254</v>
      </c>
      <c r="M15" s="20" t="str">
        <f>MID(ItemTable[[#This Row],[ItemIconPath]],FIND("icon",ItemTable[[#This Row],[ItemIconPath]]),999)</f>
        <v>icon/item/item_12.png</v>
      </c>
      <c r="N15" s="41" t="s">
        <v>390</v>
      </c>
      <c r="O15" s="40" t="s">
        <v>34</v>
      </c>
      <c r="P15" s="40"/>
      <c r="Q15" s="4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0"/>
      <c r="S15" s="40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571</v>
      </c>
      <c r="E16" s="12" t="s">
        <v>637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256</v>
      </c>
      <c r="M16" s="20" t="str">
        <f>MID(ItemTable[[#This Row],[ItemIconPath]],FIND("icon",ItemTable[[#This Row],[ItemIconPath]]),999)</f>
        <v>icon/item/item_09.png</v>
      </c>
      <c r="N16" s="41" t="s">
        <v>383</v>
      </c>
      <c r="O16" s="41" t="s">
        <v>467</v>
      </c>
      <c r="P16" s="40"/>
      <c r="Q16" s="4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0"/>
      <c r="S16" s="40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330</v>
      </c>
      <c r="D17" s="17" t="s">
        <v>374</v>
      </c>
      <c r="E17" s="12" t="s">
        <v>562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257</v>
      </c>
      <c r="M17" s="20" t="str">
        <f>MID(ItemTable[[#This Row],[ItemIconPath]],FIND("icon",ItemTable[[#This Row],[ItemIconPath]]),999)</f>
        <v>icon/item/item_10.png</v>
      </c>
      <c r="N17" s="41" t="s">
        <v>374</v>
      </c>
      <c r="O17" s="40" t="s">
        <v>341</v>
      </c>
      <c r="P17" s="40"/>
      <c r="Q17" s="4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0"/>
      <c r="S17" s="40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347</v>
      </c>
      <c r="D18" s="17" t="s">
        <v>378</v>
      </c>
      <c r="E18" s="12" t="s">
        <v>577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258</v>
      </c>
      <c r="M18" s="20" t="str">
        <f>MID(ItemTable[[#This Row],[ItemIconPath]],FIND("icon",ItemTable[[#This Row],[ItemIconPath]]),999)</f>
        <v>icon/item/item_16.png</v>
      </c>
      <c r="N18" s="41" t="s">
        <v>378</v>
      </c>
      <c r="O18" s="40" t="s">
        <v>343</v>
      </c>
      <c r="P18" s="40"/>
      <c r="Q18" s="40" t="str">
        <f t="shared" si="0"/>
        <v>종교적인 용도로 보이는 컵입니다.\n잠깐, 방금 조금 움직인 것 같은데요?\n\n&lt;size=20&gt;&lt;color=#97C456&gt;공 충돌횟수 +2&lt;/color&gt;&lt;/size&gt;</v>
      </c>
      <c r="R18" s="40"/>
      <c r="S18" s="40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8" t="s">
        <v>579</v>
      </c>
      <c r="E19" s="25" t="s">
        <v>590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260</v>
      </c>
      <c r="M19" s="20" t="str">
        <f>MID(ItemTable[[#This Row],[ItemIconPath]],FIND("icon",ItemTable[[#This Row],[ItemIconPath]]),999)</f>
        <v>icon/item/item_03.png</v>
      </c>
      <c r="N19" s="41" t="s">
        <v>375</v>
      </c>
      <c r="O19" s="41" t="s">
        <v>379</v>
      </c>
      <c r="P19" s="40"/>
      <c r="Q19" s="4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0"/>
      <c r="S19" s="40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548</v>
      </c>
      <c r="D20" s="17" t="s">
        <v>549</v>
      </c>
      <c r="E20" s="17" t="s">
        <v>628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564</v>
      </c>
      <c r="M20" s="20" t="str">
        <f>MID(ItemTable[[#This Row],[ItemIconPath]],FIND("icon",ItemTable[[#This Row],[ItemIconPath]]),999)</f>
        <v>icon/item/item_18.png</v>
      </c>
      <c r="N20" s="41" t="s">
        <v>375</v>
      </c>
      <c r="O20" s="41" t="s">
        <v>379</v>
      </c>
      <c r="P20" s="40"/>
      <c r="Q20" s="40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0"/>
      <c r="S20" s="40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382</v>
      </c>
      <c r="E21" s="25" t="s">
        <v>638</v>
      </c>
      <c r="F21" s="25" t="s">
        <v>636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269</v>
      </c>
      <c r="M21" s="20" t="str">
        <f>MID(ItemTable[[#This Row],[ItemIconPath]],FIND("icon",ItemTable[[#This Row],[ItemIconPath]]),999)</f>
        <v>icon/item/item_06.png</v>
      </c>
      <c r="N21" s="41" t="s">
        <v>382</v>
      </c>
      <c r="O21" s="40" t="s">
        <v>355</v>
      </c>
      <c r="P21" s="40" t="s">
        <v>351</v>
      </c>
      <c r="Q21" s="4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0"/>
      <c r="S21" s="40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574</v>
      </c>
      <c r="E22" s="25" t="s">
        <v>615</v>
      </c>
      <c r="F22" s="25" t="s">
        <v>573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272</v>
      </c>
      <c r="M22" s="20" t="str">
        <f>MID(ItemTable[[#This Row],[ItemIconPath]],FIND("icon",ItemTable[[#This Row],[ItemIconPath]]),999)</f>
        <v>icon/item/item_08.png</v>
      </c>
      <c r="N22" s="41" t="s">
        <v>376</v>
      </c>
      <c r="O22" s="40" t="s">
        <v>350</v>
      </c>
      <c r="P22" s="40" t="s">
        <v>352</v>
      </c>
      <c r="Q22" s="4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0"/>
      <c r="S22" s="40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339</v>
      </c>
      <c r="D23" s="17" t="s">
        <v>381</v>
      </c>
      <c r="E23" s="12" t="s">
        <v>463</v>
      </c>
      <c r="F23" t="s">
        <v>236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270</v>
      </c>
      <c r="M23" s="20" t="str">
        <f>MID(ItemTable[[#This Row],[ItemIconPath]],FIND("icon",ItemTable[[#This Row],[ItemIconPath]]),999)</f>
        <v>icon/item/item_14.png</v>
      </c>
      <c r="N23" s="41" t="s">
        <v>381</v>
      </c>
      <c r="O23" s="41" t="s">
        <v>463</v>
      </c>
      <c r="P23" s="40" t="s">
        <v>236</v>
      </c>
      <c r="Q23" s="4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1" t="s">
        <v>470</v>
      </c>
      <c r="S23" s="40" t="str">
        <f>IF(ItemTable[[#This Row],['#4]]=ItemTable[[#This Row],[Desc]],"T","F")</f>
        <v>F</v>
      </c>
    </row>
    <row r="24" spans="2:19">
      <c r="B24" s="50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0" t="s">
        <v>331</v>
      </c>
      <c r="D24" s="50" t="s">
        <v>377</v>
      </c>
      <c r="E24" s="50" t="s">
        <v>589</v>
      </c>
      <c r="F24" s="50" t="s">
        <v>588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271</v>
      </c>
      <c r="M24" s="20" t="str">
        <f>MID(ItemTable[[#This Row],[ItemIconPath]],FIND("icon",ItemTable[[#This Row],[ItemIconPath]]),999)</f>
        <v>icon/item/item_01.png</v>
      </c>
      <c r="N24" s="41" t="s">
        <v>377</v>
      </c>
      <c r="O24" s="40" t="s">
        <v>346</v>
      </c>
      <c r="P24" s="40" t="s">
        <v>354</v>
      </c>
      <c r="Q24" s="4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0"/>
      <c r="S24" s="40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555</v>
      </c>
      <c r="D25" s="25" t="s">
        <v>389</v>
      </c>
      <c r="E25" s="25" t="s">
        <v>622</v>
      </c>
      <c r="F25" s="25" t="s">
        <v>631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255</v>
      </c>
      <c r="M25" s="20" t="str">
        <f>MID(ItemTable[[#This Row],[ItemIconPath]],FIND("icon",ItemTable[[#This Row],[ItemIconPath]]),999)</f>
        <v>icon/item/item_13.png</v>
      </c>
      <c r="N25" s="41" t="s">
        <v>389</v>
      </c>
      <c r="O25" s="41" t="s">
        <v>380</v>
      </c>
      <c r="P25" s="40" t="s">
        <v>357</v>
      </c>
      <c r="Q25" s="4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0"/>
      <c r="S25" s="40" t="str">
        <f>IF(ItemTable[[#This Row],['#4]]=ItemTable[[#This Row],[Desc]],"T","F")</f>
        <v>F</v>
      </c>
    </row>
    <row r="26" spans="2:19">
      <c r="B26" s="20">
        <v>10000</v>
      </c>
      <c r="C26" s="15" t="s">
        <v>544</v>
      </c>
      <c r="D26" s="15" t="s">
        <v>591</v>
      </c>
      <c r="E26" s="19" t="s">
        <v>545</v>
      </c>
      <c r="F26" s="19"/>
      <c r="G26" s="17" t="s">
        <v>524</v>
      </c>
      <c r="H26">
        <v>1</v>
      </c>
      <c r="I26">
        <v>50</v>
      </c>
      <c r="J26">
        <v>100</v>
      </c>
      <c r="K26">
        <v>10000</v>
      </c>
      <c r="L26" s="12" t="s">
        <v>560</v>
      </c>
      <c r="M26" s="20" t="str">
        <f>MID(ItemTable[[#This Row],[ItemIconPath]],FIND("icon",ItemTable[[#This Row],[ItemIconPath]]),999)</f>
        <v>icon/item/A_item_02.png</v>
      </c>
      <c r="N26" s="40"/>
      <c r="O26" s="40"/>
      <c r="P26" s="40"/>
      <c r="Q26" s="40"/>
      <c r="R26" s="40"/>
      <c r="S26" s="40" t="str">
        <f>IF(ItemTable[[#This Row],['#4]]=ItemTable[[#This Row],[Desc]],"T","F")</f>
        <v>F</v>
      </c>
    </row>
    <row r="27" spans="2:19">
      <c r="B27" s="37">
        <v>10001</v>
      </c>
      <c r="C27" s="38" t="s">
        <v>565</v>
      </c>
      <c r="D27" s="38" t="s">
        <v>572</v>
      </c>
      <c r="E27" s="38" t="s">
        <v>563</v>
      </c>
      <c r="F27" s="38"/>
      <c r="G27" s="17" t="s">
        <v>524</v>
      </c>
      <c r="H27">
        <v>1</v>
      </c>
      <c r="I27">
        <v>50</v>
      </c>
      <c r="J27">
        <v>100</v>
      </c>
      <c r="K27">
        <v>10001</v>
      </c>
      <c r="L27" s="12" t="s">
        <v>561</v>
      </c>
      <c r="M27" s="20" t="str">
        <f>MID(ItemTable[[#This Row],[ItemIconPath]],FIND("icon",ItemTable[[#This Row],[ItemIconPath]]),999)</f>
        <v>icon/item/A_item_03.png</v>
      </c>
      <c r="N27" s="40"/>
      <c r="O27" s="40"/>
      <c r="P27" s="40"/>
      <c r="Q27" s="40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0"/>
      <c r="S27" s="40" t="str">
        <f>IF(ItemTable[[#This Row],['#4]]=ItemTable[[#This Row],[Desc]],"T","F")</f>
        <v>F</v>
      </c>
    </row>
    <row r="28" spans="2:19">
      <c r="B28" s="37">
        <v>10002</v>
      </c>
      <c r="C28" s="38" t="s">
        <v>566</v>
      </c>
      <c r="D28" s="38" t="s">
        <v>568</v>
      </c>
      <c r="E28" s="38" t="s">
        <v>569</v>
      </c>
      <c r="F28" s="38"/>
      <c r="G28" s="17" t="s">
        <v>524</v>
      </c>
      <c r="H28">
        <v>1</v>
      </c>
      <c r="I28">
        <v>50</v>
      </c>
      <c r="J28">
        <v>100</v>
      </c>
      <c r="K28">
        <v>10002</v>
      </c>
      <c r="L28" s="12" t="s">
        <v>592</v>
      </c>
      <c r="M28" s="20" t="str">
        <f>MID(ItemTable[[#This Row],[ItemIconPath]],FIND("icon",ItemTable[[#This Row],[ItemIconPath]]),999)</f>
        <v>icon/item/A_item_06.png</v>
      </c>
      <c r="N28" s="40"/>
      <c r="O28" s="40"/>
      <c r="P28" s="40"/>
      <c r="Q28" s="40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0"/>
      <c r="S28" s="40" t="str">
        <f>IF(ItemTable[[#This Row],['#4]]=ItemTable[[#This Row],[Desc]],"T","F")</f>
        <v>F</v>
      </c>
    </row>
    <row r="29" spans="2:19">
      <c r="B29" s="37">
        <v>10003</v>
      </c>
      <c r="C29" s="38" t="s">
        <v>546</v>
      </c>
      <c r="D29" s="38" t="s">
        <v>567</v>
      </c>
      <c r="E29" s="38" t="s">
        <v>554</v>
      </c>
      <c r="F29" s="38"/>
      <c r="G29" s="17" t="s">
        <v>524</v>
      </c>
      <c r="H29">
        <v>1</v>
      </c>
      <c r="I29">
        <v>50</v>
      </c>
      <c r="J29">
        <v>100</v>
      </c>
      <c r="K29">
        <v>10003</v>
      </c>
      <c r="L29" s="12" t="s">
        <v>559</v>
      </c>
      <c r="M29" s="20" t="str">
        <f>MID(ItemTable[[#This Row],[ItemIconPath]],FIND("icon",ItemTable[[#This Row],[ItemIconPath]]),999)</f>
        <v>icon/item/A_item_01.png</v>
      </c>
      <c r="N29" s="40"/>
      <c r="O29" s="40"/>
      <c r="P29" s="40"/>
      <c r="Q29" s="40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0"/>
      <c r="S29" s="40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J34" sqref="J34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482</v>
      </c>
      <c r="F1" s="17" t="s">
        <v>482</v>
      </c>
      <c r="G1" s="17" t="s">
        <v>484</v>
      </c>
      <c r="H1" t="s">
        <v>122</v>
      </c>
      <c r="I1" s="17" t="s">
        <v>498</v>
      </c>
      <c r="J1" t="s">
        <v>122</v>
      </c>
      <c r="K1" s="17" t="s">
        <v>484</v>
      </c>
    </row>
    <row r="2" spans="2:11">
      <c r="B2" s="5" t="s">
        <v>123</v>
      </c>
      <c r="C2" s="5" t="s">
        <v>125</v>
      </c>
      <c r="D2" t="s">
        <v>73</v>
      </c>
      <c r="E2" s="17" t="s">
        <v>507</v>
      </c>
      <c r="F2" s="17" t="s">
        <v>508</v>
      </c>
      <c r="G2" s="17" t="s">
        <v>485</v>
      </c>
      <c r="H2" s="17" t="s">
        <v>486</v>
      </c>
      <c r="I2" s="35" t="s">
        <v>488</v>
      </c>
      <c r="J2" s="17" t="s">
        <v>487</v>
      </c>
      <c r="K2" s="35" t="s">
        <v>503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505</v>
      </c>
      <c r="I3" s="17"/>
      <c r="J3" s="17" t="s">
        <v>504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505</v>
      </c>
      <c r="J4" s="17" t="s">
        <v>504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505</v>
      </c>
      <c r="I5" s="17"/>
      <c r="J5" s="17" t="s">
        <v>504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576</v>
      </c>
      <c r="J6" s="17" t="s">
        <v>504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505</v>
      </c>
      <c r="J7" s="17" t="s">
        <v>504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/>
      <c r="G8">
        <v>0</v>
      </c>
      <c r="H8" s="17" t="s">
        <v>505</v>
      </c>
      <c r="J8" s="17" t="s">
        <v>504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547</v>
      </c>
      <c r="J9" s="17" t="s">
        <v>504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512</v>
      </c>
      <c r="J10" s="17" t="s">
        <v>504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505</v>
      </c>
      <c r="J11" s="17" t="s">
        <v>504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505</v>
      </c>
      <c r="J12" s="17" t="s">
        <v>504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505</v>
      </c>
      <c r="J13" s="17" t="s">
        <v>504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/>
      <c r="G14">
        <v>0</v>
      </c>
      <c r="H14" s="17" t="s">
        <v>505</v>
      </c>
      <c r="J14" s="17" t="s">
        <v>504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522</v>
      </c>
      <c r="J15" s="17" t="s">
        <v>504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505</v>
      </c>
      <c r="J16" s="17" t="s">
        <v>504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582</v>
      </c>
      <c r="J17" s="17" t="s">
        <v>504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505</v>
      </c>
      <c r="J18" s="17" t="s">
        <v>504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505</v>
      </c>
      <c r="J19" s="17" t="s">
        <v>504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505</v>
      </c>
      <c r="J20" s="17" t="s">
        <v>504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621</v>
      </c>
      <c r="J21" s="17" t="s">
        <v>504</v>
      </c>
    </row>
    <row r="22" spans="2:11">
      <c r="B22" s="4" t="str">
        <f>INDEX(ItemTable[Name],MATCH(ItemEffectTable[[#This Row],[Index]],ItemTable[ItemEffectDataId],0))</f>
        <v>행성 만세</v>
      </c>
      <c r="C22" s="37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505</v>
      </c>
      <c r="J22" s="17" t="s">
        <v>504</v>
      </c>
    </row>
    <row r="23" spans="2:11">
      <c r="B23" s="4" t="str">
        <f>INDEX(ItemTable[Name],MATCH(ItemEffectTable[[#This Row],[Index]],ItemTable[ItemEffectDataId],0))</f>
        <v>인피니티 도넛</v>
      </c>
      <c r="C23" s="37" t="str">
        <f>INDEX(ItemTable[GradeType],MATCH(ItemEffectTable[[#This Row],[Index]],ItemTable[ItemEffectDataId],0))</f>
        <v>Active</v>
      </c>
      <c r="D23" s="37">
        <v>10000</v>
      </c>
      <c r="F23">
        <v>10000</v>
      </c>
      <c r="G23">
        <v>0</v>
      </c>
      <c r="H23" s="17" t="s">
        <v>511</v>
      </c>
      <c r="I23" s="17"/>
      <c r="J23" s="17" t="s">
        <v>504</v>
      </c>
    </row>
    <row r="24" spans="2:11">
      <c r="B24" s="4" t="str">
        <f>INDEX(ItemTable[Name],MATCH(ItemEffectTable[[#This Row],[Index]],ItemTable[ItemEffectDataId],0))</f>
        <v>초소형 블랙홀</v>
      </c>
      <c r="C24" s="37" t="str">
        <f>INDEX(ItemTable[GradeType],MATCH(ItemEffectTable[[#This Row],[Index]],ItemTable[ItemEffectDataId],0))</f>
        <v>Active</v>
      </c>
      <c r="D24" s="37">
        <v>10001</v>
      </c>
      <c r="F24">
        <v>10001</v>
      </c>
      <c r="G24">
        <v>6</v>
      </c>
      <c r="H24" s="17" t="s">
        <v>511</v>
      </c>
      <c r="I24" s="17" t="s">
        <v>518</v>
      </c>
      <c r="J24" s="17" t="s">
        <v>517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7" t="str">
        <f>INDEX(ItemTable[GradeType],MATCH(ItemEffectTable[[#This Row],[Index]],ItemTable[ItemEffectDataId],0))</f>
        <v>Active</v>
      </c>
      <c r="D25" s="37">
        <v>10002</v>
      </c>
      <c r="E25">
        <v>10002</v>
      </c>
      <c r="F25">
        <v>10002</v>
      </c>
      <c r="G25">
        <v>12</v>
      </c>
      <c r="H25" s="17" t="s">
        <v>511</v>
      </c>
      <c r="J25" s="17" t="s">
        <v>504</v>
      </c>
    </row>
    <row r="26" spans="2:11">
      <c r="B26" s="4" t="str">
        <f>INDEX(ItemTable[Name],MATCH(ItemEffectTable[[#This Row],[Index]],ItemTable[ItemEffectDataId],0))</f>
        <v>미사일 백팩</v>
      </c>
      <c r="C26" s="37" t="str">
        <f>INDEX(ItemTable[GradeType],MATCH(ItemEffectTable[[#This Row],[Index]],ItemTable[ItemEffectDataId],0))</f>
        <v>Active</v>
      </c>
      <c r="D26" s="37">
        <v>10003</v>
      </c>
      <c r="F26">
        <v>10003</v>
      </c>
      <c r="G26">
        <v>6</v>
      </c>
      <c r="H26" s="17" t="s">
        <v>511</v>
      </c>
      <c r="J26" s="17" t="s">
        <v>504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D25" sqref="D25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44</v>
      </c>
      <c r="C1" t="s">
        <v>122</v>
      </c>
      <c r="D1" s="17" t="s">
        <v>498</v>
      </c>
      <c r="E1" s="17" t="s">
        <v>500</v>
      </c>
      <c r="F1" s="17" t="s">
        <v>493</v>
      </c>
      <c r="G1" s="17"/>
      <c r="H1" s="17"/>
    </row>
    <row r="2" spans="2:11">
      <c r="B2" t="s">
        <v>73</v>
      </c>
      <c r="C2" s="17" t="s">
        <v>489</v>
      </c>
      <c r="D2" s="17" t="s">
        <v>499</v>
      </c>
      <c r="E2" s="1" t="s">
        <v>13</v>
      </c>
      <c r="F2" s="35" t="s">
        <v>501</v>
      </c>
      <c r="G2" s="42" t="s">
        <v>528</v>
      </c>
      <c r="H2" s="35" t="s">
        <v>537</v>
      </c>
    </row>
    <row r="3" spans="2:11">
      <c r="B3">
        <v>7000</v>
      </c>
      <c r="C3" s="17" t="s">
        <v>184</v>
      </c>
      <c r="D3" s="17">
        <v>1</v>
      </c>
      <c r="E3" s="12" t="s">
        <v>623</v>
      </c>
      <c r="F3" s="17">
        <v>-1</v>
      </c>
      <c r="G3" s="19" t="s">
        <v>624</v>
      </c>
      <c r="H3" s="19"/>
    </row>
    <row r="4" spans="2:11" ht="18">
      <c r="B4" s="17">
        <v>7001</v>
      </c>
      <c r="C4" s="9" t="s">
        <v>311</v>
      </c>
      <c r="D4" s="9">
        <v>1.2</v>
      </c>
      <c r="E4" t="s">
        <v>340</v>
      </c>
      <c r="F4">
        <v>-1</v>
      </c>
      <c r="G4" s="15" t="s">
        <v>535</v>
      </c>
      <c r="H4" s="15"/>
    </row>
    <row r="5" spans="2:11">
      <c r="B5" s="17">
        <v>7002</v>
      </c>
      <c r="C5" s="17" t="s">
        <v>514</v>
      </c>
      <c r="D5" s="9">
        <v>0.5</v>
      </c>
      <c r="E5" t="s">
        <v>340</v>
      </c>
      <c r="F5">
        <v>-1</v>
      </c>
      <c r="G5" s="15" t="s">
        <v>634</v>
      </c>
      <c r="H5" s="15"/>
    </row>
    <row r="6" spans="2:11" ht="18">
      <c r="B6" s="25">
        <v>7003</v>
      </c>
      <c r="C6" s="46" t="s">
        <v>575</v>
      </c>
      <c r="D6" s="25">
        <v>0.2</v>
      </c>
      <c r="E6" t="s">
        <v>506</v>
      </c>
      <c r="F6" s="25">
        <v>5</v>
      </c>
      <c r="G6" s="18" t="s">
        <v>618</v>
      </c>
      <c r="H6" s="15"/>
    </row>
    <row r="7" spans="2:11" ht="18">
      <c r="B7" s="17">
        <v>7004</v>
      </c>
      <c r="C7" s="9" t="s">
        <v>213</v>
      </c>
      <c r="D7">
        <v>0.7</v>
      </c>
      <c r="E7" t="s">
        <v>340</v>
      </c>
      <c r="F7">
        <v>-1</v>
      </c>
      <c r="G7" s="15" t="s">
        <v>534</v>
      </c>
      <c r="H7" s="15"/>
    </row>
    <row r="8" spans="2:11" ht="18">
      <c r="B8" s="17">
        <v>7005</v>
      </c>
      <c r="C8" s="9" t="s">
        <v>53</v>
      </c>
      <c r="D8">
        <v>25</v>
      </c>
      <c r="E8" t="s">
        <v>506</v>
      </c>
      <c r="F8">
        <v>-1</v>
      </c>
      <c r="G8" s="15" t="s">
        <v>536</v>
      </c>
      <c r="H8" s="15"/>
    </row>
    <row r="9" spans="2:11" ht="18">
      <c r="B9" s="25">
        <v>8000</v>
      </c>
      <c r="C9" s="46" t="s">
        <v>312</v>
      </c>
      <c r="D9" s="25">
        <v>0.4</v>
      </c>
      <c r="E9" s="25" t="s">
        <v>506</v>
      </c>
      <c r="F9" s="25">
        <v>4</v>
      </c>
      <c r="G9" s="18" t="s">
        <v>607</v>
      </c>
      <c r="H9" s="44"/>
    </row>
    <row r="10" spans="2:11" ht="18">
      <c r="B10" s="17">
        <v>8001</v>
      </c>
      <c r="C10" s="9" t="s">
        <v>312</v>
      </c>
      <c r="D10" s="12" t="s">
        <v>608</v>
      </c>
      <c r="E10" t="s">
        <v>506</v>
      </c>
      <c r="F10">
        <v>-1</v>
      </c>
      <c r="G10" s="15" t="s">
        <v>538</v>
      </c>
      <c r="H10" s="20"/>
      <c r="K10" s="12"/>
    </row>
    <row r="11" spans="2:11">
      <c r="B11" s="17">
        <v>8002</v>
      </c>
      <c r="C11" t="s">
        <v>312</v>
      </c>
      <c r="D11">
        <v>0.1</v>
      </c>
      <c r="E11" t="s">
        <v>506</v>
      </c>
      <c r="F11">
        <v>-1</v>
      </c>
      <c r="G11" s="15" t="s">
        <v>541</v>
      </c>
      <c r="H11" s="20"/>
    </row>
    <row r="12" spans="2:11">
      <c r="B12" s="17">
        <v>8002</v>
      </c>
      <c r="C12" t="s">
        <v>2</v>
      </c>
      <c r="D12">
        <v>0.5</v>
      </c>
      <c r="E12" t="s">
        <v>506</v>
      </c>
      <c r="F12">
        <v>-1</v>
      </c>
      <c r="G12" s="15" t="s">
        <v>539</v>
      </c>
      <c r="H12" s="20"/>
    </row>
    <row r="13" spans="2:11">
      <c r="B13" s="17">
        <v>8002</v>
      </c>
      <c r="C13" t="s">
        <v>213</v>
      </c>
      <c r="D13">
        <v>-0.1</v>
      </c>
      <c r="E13" t="s">
        <v>506</v>
      </c>
      <c r="F13">
        <v>-1</v>
      </c>
      <c r="G13" s="15" t="s">
        <v>540</v>
      </c>
      <c r="H13" s="20"/>
    </row>
    <row r="14" spans="2:11">
      <c r="B14" s="17">
        <v>8003</v>
      </c>
      <c r="C14" t="s">
        <v>274</v>
      </c>
      <c r="D14">
        <v>0.5</v>
      </c>
      <c r="E14" t="s">
        <v>506</v>
      </c>
      <c r="F14">
        <v>-1</v>
      </c>
      <c r="G14" s="15" t="s">
        <v>542</v>
      </c>
      <c r="H14" s="20"/>
    </row>
    <row r="15" spans="2:11" ht="18">
      <c r="B15" s="17">
        <v>8004</v>
      </c>
      <c r="C15" s="49" t="s">
        <v>616</v>
      </c>
      <c r="D15">
        <v>3</v>
      </c>
      <c r="E15" t="s">
        <v>506</v>
      </c>
      <c r="F15">
        <v>-1</v>
      </c>
      <c r="G15" s="15" t="s">
        <v>578</v>
      </c>
      <c r="H15" s="20"/>
    </row>
    <row r="16" spans="2:11" ht="18">
      <c r="B16" s="17">
        <v>8005</v>
      </c>
      <c r="C16" s="49" t="s">
        <v>632</v>
      </c>
      <c r="D16">
        <v>50</v>
      </c>
      <c r="E16" t="s">
        <v>506</v>
      </c>
      <c r="F16">
        <v>-1</v>
      </c>
      <c r="G16" s="15" t="s">
        <v>633</v>
      </c>
      <c r="H16" s="20"/>
    </row>
    <row r="17" spans="2:8" ht="18">
      <c r="B17" s="25">
        <v>9000</v>
      </c>
      <c r="C17" s="46" t="s">
        <v>213</v>
      </c>
      <c r="D17" s="25">
        <v>1.2</v>
      </c>
      <c r="E17" s="25" t="s">
        <v>340</v>
      </c>
      <c r="F17" s="25">
        <v>-1</v>
      </c>
      <c r="G17" s="18" t="s">
        <v>635</v>
      </c>
      <c r="H17" s="20"/>
    </row>
    <row r="18" spans="2:8" ht="18">
      <c r="B18" s="25">
        <v>9000</v>
      </c>
      <c r="C18" s="46" t="s">
        <v>332</v>
      </c>
      <c r="D18" s="25">
        <v>0</v>
      </c>
      <c r="E18" s="25" t="s">
        <v>340</v>
      </c>
      <c r="F18" s="25">
        <v>-1</v>
      </c>
      <c r="G18" s="18" t="s">
        <v>580</v>
      </c>
      <c r="H18" s="20"/>
    </row>
    <row r="19" spans="2:8" ht="18">
      <c r="B19" s="25">
        <v>9001</v>
      </c>
      <c r="C19" s="46" t="s">
        <v>583</v>
      </c>
      <c r="D19" s="25">
        <v>0.85</v>
      </c>
      <c r="E19" s="25" t="s">
        <v>340</v>
      </c>
      <c r="F19" s="25">
        <v>4</v>
      </c>
      <c r="G19" s="18" t="s">
        <v>614</v>
      </c>
      <c r="H19" s="20"/>
    </row>
    <row r="20" spans="2:8" ht="18">
      <c r="B20" s="25">
        <v>9101</v>
      </c>
      <c r="C20" s="46" t="s">
        <v>583</v>
      </c>
      <c r="D20" s="25">
        <v>1.3</v>
      </c>
      <c r="E20" s="25" t="s">
        <v>340</v>
      </c>
      <c r="F20" s="25">
        <v>-1</v>
      </c>
      <c r="G20" s="18" t="s">
        <v>581</v>
      </c>
      <c r="H20" s="20"/>
    </row>
    <row r="21" spans="2:8">
      <c r="B21" s="17">
        <v>9002</v>
      </c>
      <c r="C21" t="s">
        <v>312</v>
      </c>
      <c r="D21">
        <v>1</v>
      </c>
      <c r="E21" t="s">
        <v>506</v>
      </c>
      <c r="F21">
        <v>-1</v>
      </c>
      <c r="G21" s="15" t="s">
        <v>543</v>
      </c>
      <c r="H21" s="20"/>
    </row>
    <row r="22" spans="2:8" ht="18">
      <c r="B22" s="17">
        <v>9003</v>
      </c>
      <c r="C22" s="9" t="s">
        <v>53</v>
      </c>
      <c r="D22">
        <v>-50</v>
      </c>
      <c r="E22" t="s">
        <v>506</v>
      </c>
      <c r="F22">
        <v>-1</v>
      </c>
      <c r="G22" s="15" t="s">
        <v>586</v>
      </c>
      <c r="H22" s="20"/>
    </row>
    <row r="23" spans="2:8" ht="18">
      <c r="B23" s="17">
        <v>9003</v>
      </c>
      <c r="C23" s="49" t="s">
        <v>575</v>
      </c>
      <c r="D23">
        <v>0.6</v>
      </c>
      <c r="E23" t="s">
        <v>506</v>
      </c>
      <c r="F23">
        <v>-1</v>
      </c>
      <c r="G23" s="15" t="s">
        <v>587</v>
      </c>
      <c r="H23" s="20"/>
    </row>
    <row r="24" spans="2:8">
      <c r="B24" s="17">
        <v>9104</v>
      </c>
      <c r="C24" s="12" t="s">
        <v>627</v>
      </c>
      <c r="D24">
        <v>2</v>
      </c>
      <c r="E24" s="12" t="s">
        <v>613</v>
      </c>
      <c r="F24">
        <v>-1</v>
      </c>
      <c r="G24" s="15" t="s">
        <v>630</v>
      </c>
      <c r="H24" s="20"/>
    </row>
    <row r="25" spans="2:8">
      <c r="B25" s="37">
        <v>10002</v>
      </c>
      <c r="C25" t="s">
        <v>2</v>
      </c>
      <c r="D25">
        <v>2.5</v>
      </c>
      <c r="E25" t="s">
        <v>340</v>
      </c>
      <c r="F25">
        <v>5</v>
      </c>
      <c r="G25" s="20"/>
      <c r="H25" s="20"/>
    </row>
    <row r="26" spans="2:8">
      <c r="B26" s="37">
        <v>10002</v>
      </c>
      <c r="C26" t="s">
        <v>26</v>
      </c>
      <c r="D26">
        <v>0.2</v>
      </c>
      <c r="E26" t="s">
        <v>340</v>
      </c>
      <c r="F26">
        <v>5</v>
      </c>
      <c r="G26" s="20"/>
      <c r="H26" s="20"/>
    </row>
    <row r="27" spans="2:8">
      <c r="B27" s="37">
        <v>10002</v>
      </c>
      <c r="C27" t="s">
        <v>222</v>
      </c>
      <c r="D27">
        <v>3</v>
      </c>
      <c r="E27" t="s">
        <v>340</v>
      </c>
      <c r="F27">
        <v>5</v>
      </c>
      <c r="G27" s="20"/>
      <c r="H27" s="20"/>
    </row>
    <row r="28" spans="2:8">
      <c r="B28" s="37">
        <v>10002</v>
      </c>
      <c r="C28" t="s">
        <v>213</v>
      </c>
      <c r="D28">
        <v>0.3</v>
      </c>
      <c r="E28" t="s">
        <v>340</v>
      </c>
      <c r="F28">
        <v>5</v>
      </c>
      <c r="G28" s="20"/>
      <c r="H28" s="20"/>
    </row>
    <row r="29" spans="2:8">
      <c r="B29" s="37">
        <v>10002</v>
      </c>
      <c r="C29" t="s">
        <v>27</v>
      </c>
      <c r="D29">
        <v>2.5</v>
      </c>
      <c r="E29" t="s">
        <v>340</v>
      </c>
      <c r="F29">
        <v>5</v>
      </c>
      <c r="G29" s="20"/>
      <c r="H29" s="20"/>
    </row>
  </sheetData>
  <phoneticPr fontId="1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200" zoomScaleNormal="200" zoomScaleSheetLayoutView="100" workbookViewId="0">
      <selection activeCell="F16" sqref="F16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44</v>
      </c>
      <c r="D1" t="s">
        <v>122</v>
      </c>
      <c r="E1" s="17" t="s">
        <v>484</v>
      </c>
      <c r="F1" s="17"/>
      <c r="G1" s="17" t="s">
        <v>493</v>
      </c>
      <c r="H1" s="17"/>
      <c r="I1" s="17" t="s">
        <v>493</v>
      </c>
      <c r="J1" s="17"/>
      <c r="K1" s="17" t="s">
        <v>493</v>
      </c>
    </row>
    <row r="2" spans="2:12">
      <c r="B2" t="s">
        <v>73</v>
      </c>
      <c r="C2" s="45" t="s">
        <v>550</v>
      </c>
      <c r="D2" s="17" t="s">
        <v>515</v>
      </c>
      <c r="E2" s="17" t="s">
        <v>490</v>
      </c>
      <c r="F2" s="17" t="s">
        <v>529</v>
      </c>
      <c r="G2" s="35" t="s">
        <v>491</v>
      </c>
      <c r="H2" s="17" t="s">
        <v>530</v>
      </c>
      <c r="I2" s="35" t="s">
        <v>492</v>
      </c>
      <c r="J2" s="35" t="s">
        <v>531</v>
      </c>
      <c r="K2" s="35" t="s">
        <v>558</v>
      </c>
      <c r="L2" s="35" t="s">
        <v>557</v>
      </c>
    </row>
    <row r="3" spans="2:12">
      <c r="B3" s="17">
        <v>8006</v>
      </c>
      <c r="C3" s="19" t="s">
        <v>551</v>
      </c>
      <c r="D3" s="17" t="s">
        <v>523</v>
      </c>
      <c r="E3">
        <v>800</v>
      </c>
      <c r="F3" s="15"/>
      <c r="G3">
        <v>1</v>
      </c>
      <c r="H3" s="20"/>
      <c r="J3" s="20"/>
      <c r="L3" s="20"/>
    </row>
    <row r="4" spans="2:12">
      <c r="B4" s="17">
        <v>9004</v>
      </c>
      <c r="C4" s="19" t="s">
        <v>619</v>
      </c>
      <c r="D4" s="17" t="s">
        <v>523</v>
      </c>
      <c r="E4">
        <v>802</v>
      </c>
      <c r="F4" s="15"/>
      <c r="G4">
        <v>0</v>
      </c>
      <c r="H4" s="20"/>
      <c r="J4" s="20"/>
      <c r="L4" s="20"/>
    </row>
    <row r="5" spans="2:12">
      <c r="B5" s="17">
        <v>9002</v>
      </c>
      <c r="C5" s="19"/>
      <c r="D5" s="17" t="s">
        <v>509</v>
      </c>
      <c r="E5" s="9"/>
      <c r="F5" s="43"/>
      <c r="H5" s="43"/>
      <c r="J5" s="20"/>
      <c r="L5" s="20"/>
    </row>
    <row r="6" spans="2:12">
      <c r="B6" s="17">
        <v>10000</v>
      </c>
      <c r="C6" s="19"/>
      <c r="D6" s="17" t="s">
        <v>494</v>
      </c>
      <c r="E6" s="9">
        <v>8</v>
      </c>
      <c r="F6" s="43"/>
      <c r="H6" s="43"/>
      <c r="J6" s="20"/>
      <c r="L6" s="20"/>
    </row>
    <row r="7" spans="2:12">
      <c r="B7">
        <v>10001</v>
      </c>
      <c r="C7" s="20"/>
      <c r="D7" s="17" t="s">
        <v>516</v>
      </c>
      <c r="E7">
        <v>6</v>
      </c>
      <c r="F7" s="20"/>
      <c r="G7">
        <v>30</v>
      </c>
      <c r="H7" s="20"/>
      <c r="I7">
        <v>3</v>
      </c>
      <c r="J7" s="20"/>
      <c r="K7">
        <v>4</v>
      </c>
      <c r="L7" s="20"/>
    </row>
    <row r="8" spans="2:12">
      <c r="B8">
        <v>10002</v>
      </c>
      <c r="C8" s="20"/>
      <c r="D8" s="17" t="s">
        <v>510</v>
      </c>
      <c r="E8">
        <v>0.5</v>
      </c>
      <c r="F8" s="15" t="s">
        <v>532</v>
      </c>
      <c r="G8">
        <v>5</v>
      </c>
      <c r="H8" s="15" t="s">
        <v>533</v>
      </c>
      <c r="J8" s="20"/>
      <c r="L8" s="20"/>
    </row>
    <row r="9" spans="2:12">
      <c r="B9">
        <v>10003</v>
      </c>
      <c r="C9" s="20"/>
      <c r="D9" s="17" t="s">
        <v>521</v>
      </c>
      <c r="E9">
        <v>10</v>
      </c>
      <c r="F9" s="20"/>
      <c r="G9">
        <v>90</v>
      </c>
      <c r="H9" s="20"/>
      <c r="I9">
        <v>1.2</v>
      </c>
      <c r="J9" s="20"/>
      <c r="L9" s="20"/>
    </row>
  </sheetData>
  <phoneticPr fontId="18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315</v>
      </c>
      <c r="E3" t="s">
        <v>54</v>
      </c>
      <c r="F3" t="s">
        <v>242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291</v>
      </c>
      <c r="F4" t="s">
        <v>366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315</v>
      </c>
      <c r="E5" t="s">
        <v>54</v>
      </c>
      <c r="F5" t="s">
        <v>365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290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316</v>
      </c>
      <c r="E7" t="s">
        <v>298</v>
      </c>
      <c r="F7" t="s">
        <v>368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315</v>
      </c>
      <c r="E8" t="s">
        <v>54</v>
      </c>
      <c r="F8" t="s">
        <v>367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316</v>
      </c>
      <c r="E9" t="s">
        <v>298</v>
      </c>
      <c r="F9" t="s">
        <v>264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280</v>
      </c>
      <c r="C2" t="s">
        <v>278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246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261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259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267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263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2023-09-04T14:50:10Z</dcterms:modified>
  <cp:version>1200.0100.01</cp:version>
</cp:coreProperties>
</file>