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7AA9133B-0738-3967-A58A-2178011A57A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Unity\QT\_GameData\"/>
    </mc:Choice>
  </mc:AlternateContent>
  <xr:revisionPtr revIDLastSave="0" documentId="13_ncr:1_{01B75690-27D3-4D48-9BD8-CD44C9407424}" xr6:coauthVersionLast="47" xr6:coauthVersionMax="47" xr10:uidLastSave="{00000000-0000-0000-0000-000000000000}"/>
  <bookViews>
    <workbookView xWindow="-120" yWindow="-120" windowWidth="29040" windowHeight="16440" activeTab="5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15" l="1"/>
  <c r="D10" i="15"/>
  <c r="S9" i="15"/>
  <c r="D9" i="15"/>
  <c r="D8" i="15"/>
  <c r="S8" i="15"/>
  <c r="D7" i="15"/>
  <c r="S7" i="15"/>
  <c r="D6" i="15"/>
  <c r="S6" i="15"/>
  <c r="M5" i="2" a="1"/>
  <c r="M5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 s="1"/>
  <c r="M15" i="2" a="1"/>
  <c r="M15" i="2" s="1"/>
  <c r="M16" i="2" a="1"/>
  <c r="M16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 s="1"/>
  <c r="M25" i="2" a="1"/>
  <c r="M25" i="2" s="1"/>
  <c r="M26" i="2" a="1"/>
  <c r="M26" i="2" s="1"/>
  <c r="M27" i="2" a="1"/>
  <c r="M27" i="2" s="1"/>
  <c r="M28" i="2" a="1"/>
  <c r="M28" i="2" s="1"/>
  <c r="M30" i="2" a="1"/>
  <c r="M30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 s="1"/>
  <c r="M39" i="2" a="1"/>
  <c r="M39" i="2" s="1"/>
  <c r="M40" i="2" a="1"/>
  <c r="M40" i="2" s="1"/>
  <c r="M41" i="2" a="1"/>
  <c r="M41" i="2" s="1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1" i="2" a="1"/>
  <c r="M51" i="2" s="1"/>
  <c r="M52" i="2" a="1"/>
  <c r="M52" i="2" s="1"/>
  <c r="M53" i="2" a="1"/>
  <c r="M53" i="2" s="1"/>
  <c r="M54" i="2" a="1"/>
  <c r="M54" i="2" s="1"/>
  <c r="M55" i="2" a="1"/>
  <c r="M55" i="2" s="1"/>
  <c r="M56" i="2" a="1"/>
  <c r="M56" i="2" s="1"/>
  <c r="M57" i="2" a="1"/>
  <c r="M57" i="2" s="1"/>
  <c r="M58" i="2" a="1"/>
  <c r="M58" i="2" s="1"/>
  <c r="L3" i="2"/>
  <c r="M3" i="2" s="1" a="1"/>
  <c r="M3" i="2" s="1"/>
  <c r="L4" i="2"/>
  <c r="M4" i="2" s="1" a="1"/>
  <c r="M4" i="2" s="1"/>
  <c r="L5" i="2"/>
  <c r="L6" i="2"/>
  <c r="M6" i="2" s="1" a="1"/>
  <c r="M6" i="2" s="1"/>
  <c r="L7" i="2"/>
  <c r="L8" i="2"/>
  <c r="L9" i="2"/>
  <c r="L10" i="2"/>
  <c r="L11" i="2"/>
  <c r="L12" i="2"/>
  <c r="L13" i="2"/>
  <c r="L14" i="2"/>
  <c r="L15" i="2"/>
  <c r="L16" i="2"/>
  <c r="L17" i="2"/>
  <c r="M17" i="2" s="1" a="1"/>
  <c r="M17" i="2" s="1"/>
  <c r="L18" i="2"/>
  <c r="L19" i="2"/>
  <c r="L20" i="2"/>
  <c r="L21" i="2"/>
  <c r="L22" i="2"/>
  <c r="L23" i="2"/>
  <c r="L24" i="2"/>
  <c r="L25" i="2"/>
  <c r="L26" i="2"/>
  <c r="L27" i="2"/>
  <c r="L28" i="2"/>
  <c r="L29" i="2"/>
  <c r="M29" i="2" s="1" a="1"/>
  <c r="M29" i="2" s="1"/>
  <c r="L30" i="2"/>
  <c r="L31" i="2"/>
  <c r="M31" i="2" s="1" a="1"/>
  <c r="M31" i="2" s="1"/>
  <c r="L32" i="2"/>
  <c r="M32" i="2" s="1" a="1"/>
  <c r="M32" i="2" s="1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M50" i="2" s="1" a="1"/>
  <c r="M50" i="2" s="1"/>
  <c r="L51" i="2"/>
  <c r="L52" i="2"/>
  <c r="L53" i="2"/>
  <c r="L54" i="2"/>
  <c r="L55" i="2"/>
  <c r="L56" i="2"/>
  <c r="L57" i="2"/>
  <c r="L58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N28" i="2" a="1"/>
  <c r="N28" i="2" s="1"/>
  <c r="N27" i="2"/>
  <c r="N24" i="2" a="1"/>
  <c r="N24" i="2" s="1"/>
  <c r="N18" i="2" a="1"/>
  <c r="N18" i="2" s="1"/>
  <c r="E17" i="8"/>
  <c r="E12" i="8"/>
  <c r="E15" i="8"/>
  <c r="E16" i="8"/>
  <c r="E30" i="8"/>
  <c r="E31" i="8"/>
  <c r="E32" i="8"/>
  <c r="E29" i="8"/>
  <c r="E26" i="8"/>
  <c r="E27" i="8"/>
  <c r="E28" i="8"/>
  <c r="E25" i="8"/>
  <c r="E22" i="8"/>
  <c r="E23" i="8"/>
  <c r="E24" i="8"/>
  <c r="E21" i="8"/>
  <c r="E9" i="8"/>
  <c r="E8" i="8"/>
  <c r="E10" i="8"/>
  <c r="E13" i="8"/>
  <c r="E14" i="8"/>
  <c r="E19" i="8"/>
  <c r="E20" i="8"/>
  <c r="E18" i="8"/>
  <c r="AG3" i="10"/>
  <c r="O11" i="8" s="1" a="1"/>
  <c r="O11" i="8" s="1"/>
  <c r="AF3" i="10"/>
  <c r="AE3" i="10"/>
  <c r="AD3" i="10"/>
  <c r="Y3" i="10"/>
  <c r="AC3" i="10"/>
  <c r="AB3" i="10"/>
  <c r="AA3" i="10"/>
  <c r="Z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O7" i="8" l="1" a="1"/>
  <c r="O7" i="8" s="1"/>
  <c r="O32" i="2" a="1"/>
  <c r="O24" i="2" a="1"/>
  <c r="O20" i="2" a="1"/>
  <c r="O50" i="2" a="1"/>
  <c r="O56" i="2" a="1"/>
  <c r="O55" i="2" a="1"/>
  <c r="O47" i="2" a="1"/>
  <c r="O39" i="2" a="1"/>
  <c r="O23" i="2" a="1"/>
  <c r="O14" i="2" a="1"/>
  <c r="O6" i="2" a="1"/>
  <c r="O54" i="2" a="1"/>
  <c r="O46" i="2" a="1"/>
  <c r="O38" i="2" a="1"/>
  <c r="O30" i="2" a="1"/>
  <c r="O22" i="2" a="1"/>
  <c r="O13" i="2" a="1"/>
  <c r="O5" i="2" a="1"/>
  <c r="O53" i="2" a="1"/>
  <c r="O45" i="2" a="1"/>
  <c r="O37" i="2" a="1"/>
  <c r="O29" i="2" a="1"/>
  <c r="O4" i="2" a="1"/>
  <c r="O52" i="2" a="1"/>
  <c r="O44" i="2" a="1"/>
  <c r="O36" i="2" a="1"/>
  <c r="O28" i="2" a="1"/>
  <c r="O19" i="2" a="1"/>
  <c r="O11" i="2" a="1"/>
  <c r="O3" i="2" a="1"/>
  <c r="O26" i="2" a="1"/>
  <c r="O51" i="2" a="1"/>
  <c r="O27" i="2" a="1"/>
  <c r="O18" i="2" a="1"/>
  <c r="O10" i="2" a="1"/>
  <c r="O34" i="2" a="1"/>
  <c r="O17" i="2" a="1"/>
  <c r="O9" i="2" a="1"/>
  <c r="O58" i="2" a="1"/>
  <c r="O57" i="2" a="1"/>
  <c r="O49" i="2" a="1"/>
  <c r="O41" i="2" a="1"/>
  <c r="O25" i="2" a="1"/>
  <c r="O16" i="2" a="1"/>
  <c r="O8" i="2" a="1"/>
  <c r="O9" i="8" a="1"/>
  <c r="O9" i="8" s="1"/>
  <c r="O8" i="8" a="1"/>
  <c r="O8" i="8" s="1"/>
  <c r="O10" i="8" a="1"/>
  <c r="O10" i="8" s="1"/>
  <c r="O12" i="8" a="1"/>
  <c r="O12" i="8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B3" i="6" a="1"/>
  <c r="B3" i="6" s="1"/>
  <c r="B4" i="6" s="1" a="1"/>
  <c r="B4" i="6" s="1"/>
  <c r="B5" i="6" a="1"/>
  <c r="B5" i="6" s="1"/>
  <c r="B6" i="6" s="1" a="1"/>
  <c r="B6" i="6" s="1"/>
  <c r="B7" i="6" s="1" a="1"/>
  <c r="B7" i="6" s="1"/>
  <c r="B8" i="6" s="1" a="1"/>
  <c r="B8" i="6" s="1"/>
  <c r="B9" i="6" a="1"/>
  <c r="B9" i="6" s="1"/>
  <c r="B10" i="6" s="1" a="1"/>
  <c r="B10" i="6" s="1"/>
  <c r="B11" i="6" s="1" a="1"/>
  <c r="B11" i="6" s="1"/>
  <c r="B12" i="6" a="1"/>
  <c r="B12" i="6" s="1"/>
  <c r="B13" i="6" s="1" a="1"/>
  <c r="B13" i="6" s="1"/>
  <c r="B14" i="6" s="1" a="1"/>
  <c r="B14" i="6" s="1"/>
  <c r="B15" i="6" s="1" a="1"/>
  <c r="B15" i="6" s="1"/>
  <c r="B16" i="6" s="1" a="1"/>
  <c r="B16" i="6" s="1"/>
  <c r="B17" i="6" s="1" a="1"/>
  <c r="B17" i="6" s="1"/>
  <c r="B18" i="6" s="1" a="1"/>
  <c r="B18" i="6" s="1"/>
  <c r="B19" i="6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B24" i="6" s="1" a="1"/>
  <c r="B24" i="6" s="1"/>
  <c r="B25" i="6" s="1" a="1"/>
  <c r="B25" i="6" s="1"/>
  <c r="B26" i="6" s="1" a="1"/>
  <c r="B26" i="6" s="1"/>
  <c r="B27" i="6" s="1" a="1"/>
  <c r="B27" i="6" s="1"/>
  <c r="B28" i="6" s="1" a="1"/>
  <c r="B28" i="6" s="1"/>
  <c r="B29" i="6" s="1" a="1"/>
  <c r="B29" i="6" s="1"/>
  <c r="B30" i="6" s="1" a="1"/>
  <c r="B30" i="6" s="1"/>
  <c r="B31" i="6" s="1" a="1"/>
  <c r="B31" i="6" s="1"/>
  <c r="B32" i="6" a="1"/>
  <c r="B32" i="6" s="1"/>
  <c r="B33" i="6" s="1" a="1"/>
  <c r="B33" i="6" s="1"/>
  <c r="B34" i="6" s="1" a="1"/>
  <c r="B34" i="6" s="1"/>
  <c r="B35" i="6" s="1" a="1"/>
  <c r="B35" i="6" s="1"/>
  <c r="B36" i="6" s="1" a="1"/>
  <c r="B36" i="6" s="1"/>
  <c r="B37" i="6" s="1" a="1"/>
  <c r="B37" i="6" s="1"/>
  <c r="B38" i="6" s="1" a="1"/>
  <c r="B38" i="6" s="1"/>
  <c r="B39" i="6" s="1" a="1"/>
  <c r="B39" i="6" s="1"/>
  <c r="T3" i="2" a="1"/>
  <c r="T3" i="2" s="1"/>
  <c r="T4" i="2" s="1" a="1"/>
  <c r="T4" i="2" s="1"/>
  <c r="T5" i="2" s="1" a="1"/>
  <c r="T5" i="2" s="1"/>
  <c r="T6" i="2" s="1" a="1"/>
  <c r="T6" i="2" s="1"/>
  <c r="G11" i="6"/>
  <c r="H11" i="6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D7" i="7"/>
  <c r="G6" i="6" s="1"/>
  <c r="G3" i="6"/>
  <c r="H3" i="6"/>
  <c r="H4" i="6"/>
  <c r="H5" i="6"/>
  <c r="H6" i="6"/>
  <c r="H7" i="6"/>
  <c r="H8" i="6"/>
  <c r="H9" i="6"/>
  <c r="H10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G4" i="6"/>
  <c r="G9" i="6"/>
  <c r="G10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O40" i="2" a="1"/>
  <c r="O15" i="2" a="1"/>
  <c r="O31" i="2" a="1"/>
  <c r="O43" i="2" a="1"/>
  <c r="O7" i="2" a="1"/>
  <c r="O33" i="2" a="1"/>
  <c r="O35" i="2" a="1"/>
  <c r="O21" i="2" a="1"/>
  <c r="O12" i="2" a="1"/>
  <c r="O48" i="2" a="1"/>
  <c r="O42" i="2" a="1"/>
  <c r="O50" i="2" l="1"/>
  <c r="P50" i="2" s="1" a="1"/>
  <c r="P50" i="2" s="1"/>
  <c r="O16" i="2"/>
  <c r="P16" i="2" s="1" a="1"/>
  <c r="P16" i="2" s="1"/>
  <c r="O17" i="2"/>
  <c r="P17" i="2" s="1" a="1"/>
  <c r="P17" i="2" s="1"/>
  <c r="O26" i="2"/>
  <c r="P26" i="2" s="1" a="1"/>
  <c r="P26" i="2" s="1"/>
  <c r="O4" i="2"/>
  <c r="P4" i="2" s="1" a="1"/>
  <c r="P4" i="2" s="1"/>
  <c r="O13" i="2"/>
  <c r="P13" i="2" s="1" a="1"/>
  <c r="P13" i="2" s="1"/>
  <c r="O14" i="2"/>
  <c r="P14" i="2" s="1" a="1"/>
  <c r="P14" i="2" s="1"/>
  <c r="O20" i="2"/>
  <c r="P20" i="2" s="1" a="1"/>
  <c r="P20" i="2" s="1"/>
  <c r="O6" i="2"/>
  <c r="P6" i="2" s="1" a="1"/>
  <c r="P6" i="2" s="1"/>
  <c r="O25" i="2"/>
  <c r="P25" i="2" s="1" a="1"/>
  <c r="P25" i="2" s="1"/>
  <c r="O34" i="2"/>
  <c r="P34" i="2" s="1" a="1"/>
  <c r="P34" i="2" s="1"/>
  <c r="O3" i="2"/>
  <c r="P3" i="2" s="1" a="1"/>
  <c r="P3" i="2" s="1"/>
  <c r="O12" i="2"/>
  <c r="P12" i="2" s="1" a="1"/>
  <c r="P12" i="2" s="1"/>
  <c r="O22" i="2"/>
  <c r="P22" i="2" s="1" a="1"/>
  <c r="P22" i="2" s="1"/>
  <c r="O23" i="2"/>
  <c r="P23" i="2" s="1" a="1"/>
  <c r="P23" i="2" s="1"/>
  <c r="O7" i="2"/>
  <c r="P7" i="2" s="1" a="1"/>
  <c r="P7" i="2" s="1"/>
  <c r="O5" i="2"/>
  <c r="P5" i="2" s="1" a="1"/>
  <c r="P5" i="2" s="1"/>
  <c r="O33" i="2"/>
  <c r="P33" i="2" s="1" a="1"/>
  <c r="P33" i="2" s="1"/>
  <c r="O10" i="2"/>
  <c r="P10" i="2" s="1" a="1"/>
  <c r="P10" i="2" s="1"/>
  <c r="O11" i="2"/>
  <c r="P11" i="2" s="1" a="1"/>
  <c r="P11" i="2" s="1"/>
  <c r="O21" i="2"/>
  <c r="P21" i="2" s="1" a="1"/>
  <c r="P21" i="2" s="1"/>
  <c r="O30" i="2"/>
  <c r="P30" i="2" s="1" a="1"/>
  <c r="P30" i="2" s="1"/>
  <c r="O31" i="2"/>
  <c r="P31" i="2" s="1" a="1"/>
  <c r="P31" i="2" s="1"/>
  <c r="O15" i="2"/>
  <c r="P15" i="2" s="1" a="1"/>
  <c r="P15" i="2" s="1"/>
  <c r="O52" i="2"/>
  <c r="P52" i="2" s="1" a="1"/>
  <c r="P52" i="2" s="1"/>
  <c r="O41" i="2"/>
  <c r="P41" i="2" s="1" a="1"/>
  <c r="P41" i="2" s="1"/>
  <c r="O18" i="2"/>
  <c r="P18" i="2" s="1" a="1"/>
  <c r="P18" i="2" s="1"/>
  <c r="O19" i="2"/>
  <c r="P19" i="2" s="1" a="1"/>
  <c r="P19" i="2" s="1"/>
  <c r="O29" i="2"/>
  <c r="P29" i="2" s="1" a="1"/>
  <c r="P29" i="2" s="1"/>
  <c r="O38" i="2"/>
  <c r="P38" i="2" s="1" a="1"/>
  <c r="P38" i="2" s="1"/>
  <c r="O39" i="2"/>
  <c r="P39" i="2" s="1" a="1"/>
  <c r="P39" i="2" s="1"/>
  <c r="O24" i="2"/>
  <c r="P24" i="2" s="1" a="1"/>
  <c r="P24" i="2" s="1"/>
  <c r="O9" i="2"/>
  <c r="P9" i="2" s="1" a="1"/>
  <c r="P9" i="2" s="1"/>
  <c r="O49" i="2"/>
  <c r="P49" i="2" s="1" a="1"/>
  <c r="P49" i="2" s="1"/>
  <c r="O27" i="2"/>
  <c r="P27" i="2" s="1" a="1"/>
  <c r="P27" i="2" s="1"/>
  <c r="O28" i="2"/>
  <c r="P28" i="2" s="1" a="1"/>
  <c r="P28" i="2" s="1"/>
  <c r="O37" i="2"/>
  <c r="P37" i="2" s="1" a="1"/>
  <c r="P37" i="2" s="1"/>
  <c r="O46" i="2"/>
  <c r="P46" i="2" s="1" a="1"/>
  <c r="P46" i="2" s="1"/>
  <c r="O47" i="2"/>
  <c r="P47" i="2" s="1" a="1"/>
  <c r="P47" i="2" s="1"/>
  <c r="O32" i="2"/>
  <c r="P32" i="2" s="1" a="1"/>
  <c r="P32" i="2" s="1"/>
  <c r="O51" i="2"/>
  <c r="P51" i="2" s="1" a="1"/>
  <c r="P51" i="2" s="1"/>
  <c r="O57" i="2"/>
  <c r="P57" i="2" s="1" a="1"/>
  <c r="P57" i="2" s="1"/>
  <c r="O35" i="2"/>
  <c r="P35" i="2" s="1" a="1"/>
  <c r="P35" i="2" s="1"/>
  <c r="O36" i="2"/>
  <c r="P36" i="2" s="1" a="1"/>
  <c r="P36" i="2" s="1"/>
  <c r="O45" i="2"/>
  <c r="P45" i="2" s="1" a="1"/>
  <c r="P45" i="2" s="1"/>
  <c r="O54" i="2"/>
  <c r="P54" i="2" s="1" a="1"/>
  <c r="P54" i="2" s="1"/>
  <c r="O55" i="2"/>
  <c r="P55" i="2" s="1" a="1"/>
  <c r="P55" i="2" s="1"/>
  <c r="O40" i="2"/>
  <c r="P40" i="2" s="1" a="1"/>
  <c r="P40" i="2" s="1"/>
  <c r="O8" i="2"/>
  <c r="P8" i="2" s="1" a="1"/>
  <c r="P8" i="2" s="1"/>
  <c r="O58" i="2"/>
  <c r="P58" i="2" s="1" a="1"/>
  <c r="P58" i="2" s="1"/>
  <c r="O43" i="2"/>
  <c r="P43" i="2" s="1" a="1"/>
  <c r="P43" i="2" s="1"/>
  <c r="O44" i="2"/>
  <c r="P44" i="2" s="1" a="1"/>
  <c r="P44" i="2" s="1"/>
  <c r="O53" i="2"/>
  <c r="P53" i="2" s="1" a="1"/>
  <c r="P53" i="2" s="1"/>
  <c r="O42" i="2"/>
  <c r="P42" i="2" s="1" a="1"/>
  <c r="P42" i="2" s="1"/>
  <c r="O56" i="2"/>
  <c r="P56" i="2" s="1" a="1"/>
  <c r="P56" i="2" s="1"/>
  <c r="O48" i="2"/>
  <c r="P48" i="2" s="1" a="1"/>
  <c r="P48" i="2" s="1"/>
  <c r="T7" i="2" a="1"/>
  <c r="T7" i="2" s="1"/>
  <c r="T8" i="2" s="1" a="1"/>
  <c r="T8" i="2" s="1"/>
  <c r="T9" i="2" s="1" a="1"/>
  <c r="T9" i="2" s="1"/>
  <c r="P7" i="8"/>
  <c r="P9" i="8"/>
  <c r="P12" i="8"/>
  <c r="P8" i="8"/>
  <c r="P10" i="8"/>
  <c r="G7" i="6"/>
  <c r="E6" i="2" a="1"/>
  <c r="E6" i="2" s="1"/>
  <c r="E5" i="2" a="1"/>
  <c r="E5" i="2" s="1"/>
  <c r="E4" i="2" a="1"/>
  <c r="E4" i="2" s="1"/>
  <c r="A5" i="5"/>
  <c r="D5" i="6"/>
  <c r="C5" i="6"/>
  <c r="I5" i="6" a="1"/>
  <c r="I5" i="6" s="1"/>
  <c r="I4" i="6" a="1"/>
  <c r="I4" i="6" s="1"/>
  <c r="D4" i="6"/>
  <c r="C4" i="6"/>
  <c r="A4" i="5"/>
  <c r="A3" i="5"/>
  <c r="I3" i="6" a="1"/>
  <c r="I3" i="6" s="1"/>
  <c r="D3" i="6"/>
  <c r="C3" i="6"/>
  <c r="I10" i="8"/>
  <c r="I12" i="8"/>
  <c r="I8" i="8"/>
  <c r="I9" i="8"/>
  <c r="I7" i="8"/>
  <c r="H11" i="8"/>
  <c r="G8" i="6"/>
  <c r="G5" i="6"/>
  <c r="T10" i="2" l="1" a="1"/>
  <c r="T10" i="2" s="1"/>
  <c r="E9" i="2" a="1"/>
  <c r="E9" i="2" s="1"/>
  <c r="E7" i="2" a="1"/>
  <c r="E7" i="2" s="1"/>
  <c r="E8" i="2" a="1"/>
  <c r="E8" i="2" s="1"/>
  <c r="K3" i="6"/>
  <c r="K5" i="6"/>
  <c r="C6" i="6"/>
  <c r="I6" i="6" a="1"/>
  <c r="I6" i="6" s="1"/>
  <c r="D6" i="6"/>
  <c r="A6" i="5"/>
  <c r="K4" i="6"/>
  <c r="T11" i="2" l="1" a="1"/>
  <c r="T11" i="2" s="1"/>
  <c r="E10" i="2" a="1"/>
  <c r="E10" i="2" s="1"/>
  <c r="D15" i="5" a="1"/>
  <c r="D15" i="5" s="1"/>
  <c r="D27" i="5" a="1"/>
  <c r="D27" i="5" s="1"/>
  <c r="D39" i="5" a="1"/>
  <c r="D39" i="5" s="1"/>
  <c r="D16" i="5" a="1"/>
  <c r="D16" i="5" s="1"/>
  <c r="D28" i="5" a="1"/>
  <c r="D28" i="5" s="1"/>
  <c r="D40" i="5" a="1"/>
  <c r="D40" i="5" s="1"/>
  <c r="D17" i="5" a="1"/>
  <c r="D17" i="5" s="1"/>
  <c r="D29" i="5" a="1"/>
  <c r="D29" i="5" s="1"/>
  <c r="D41" i="5" a="1"/>
  <c r="D41" i="5" s="1"/>
  <c r="D6" i="5" a="1"/>
  <c r="D6" i="5" s="1"/>
  <c r="D18" i="5" a="1"/>
  <c r="D18" i="5" s="1"/>
  <c r="D30" i="5" a="1"/>
  <c r="D30" i="5" s="1"/>
  <c r="D42" i="5" a="1"/>
  <c r="D42" i="5" s="1"/>
  <c r="D19" i="5" a="1"/>
  <c r="D19" i="5" s="1"/>
  <c r="D31" i="5" a="1"/>
  <c r="D31" i="5" s="1"/>
  <c r="D20" i="5" a="1"/>
  <c r="D20" i="5" s="1"/>
  <c r="D32" i="5" a="1"/>
  <c r="D32" i="5" s="1"/>
  <c r="D21" i="5" a="1"/>
  <c r="D21" i="5" s="1"/>
  <c r="D33" i="5" a="1"/>
  <c r="D33" i="5" s="1"/>
  <c r="D22" i="5" a="1"/>
  <c r="D22" i="5" s="1"/>
  <c r="D34" i="5" a="1"/>
  <c r="D34" i="5" s="1"/>
  <c r="D11" i="5" a="1"/>
  <c r="D11" i="5" s="1"/>
  <c r="D23" i="5" a="1"/>
  <c r="D23" i="5" s="1"/>
  <c r="D35" i="5" a="1"/>
  <c r="D35" i="5" s="1"/>
  <c r="D12" i="5" a="1"/>
  <c r="D12" i="5" s="1"/>
  <c r="D24" i="5" a="1"/>
  <c r="D24" i="5" s="1"/>
  <c r="D36" i="5" a="1"/>
  <c r="D36" i="5" s="1"/>
  <c r="D13" i="5" a="1"/>
  <c r="D13" i="5" s="1"/>
  <c r="D25" i="5" a="1"/>
  <c r="D25" i="5" s="1"/>
  <c r="D37" i="5" a="1"/>
  <c r="D37" i="5" s="1"/>
  <c r="D14" i="5" a="1"/>
  <c r="D14" i="5" s="1"/>
  <c r="D26" i="5" a="1"/>
  <c r="D26" i="5" s="1"/>
  <c r="D38" i="5" a="1"/>
  <c r="D38" i="5" s="1"/>
  <c r="D5" i="5" a="1"/>
  <c r="D5" i="5" s="1"/>
  <c r="D3" i="5" a="1"/>
  <c r="D3" i="5" s="1"/>
  <c r="D4" i="5" a="1"/>
  <c r="D4" i="5" s="1"/>
  <c r="K6" i="6"/>
  <c r="I7" i="6" a="1"/>
  <c r="I7" i="6" s="1"/>
  <c r="A7" i="5"/>
  <c r="D7" i="5" s="1" a="1"/>
  <c r="D7" i="5" s="1"/>
  <c r="C7" i="6"/>
  <c r="D7" i="6"/>
  <c r="E3" i="2" a="1"/>
  <c r="E3" i="2" s="1"/>
  <c r="T12" i="2" l="1" a="1"/>
  <c r="T12" i="2" s="1"/>
  <c r="E11" i="2" a="1"/>
  <c r="E11" i="2" s="1"/>
  <c r="D43" i="5" a="1"/>
  <c r="D43" i="5" s="1"/>
  <c r="K7" i="6"/>
  <c r="C8" i="6"/>
  <c r="I8" i="6" a="1"/>
  <c r="I8" i="6" s="1"/>
  <c r="A8" i="5"/>
  <c r="D8" i="6"/>
  <c r="T13" i="2" l="1" a="1"/>
  <c r="T13" i="2" s="1"/>
  <c r="E12" i="2" a="1"/>
  <c r="E12" i="2" s="1"/>
  <c r="D8" i="5" a="1"/>
  <c r="D8" i="5" s="1"/>
  <c r="D44" i="5" a="1"/>
  <c r="D44" i="5" s="1"/>
  <c r="K8" i="6"/>
  <c r="I9" i="6" a="1"/>
  <c r="I9" i="6" s="1"/>
  <c r="A9" i="5"/>
  <c r="D9" i="5" s="1" a="1"/>
  <c r="D9" i="5" s="1"/>
  <c r="D9" i="6"/>
  <c r="C9" i="6"/>
  <c r="T14" i="2" l="1" a="1"/>
  <c r="T14" i="2" s="1"/>
  <c r="E13" i="2" a="1"/>
  <c r="E13" i="2" s="1"/>
  <c r="D45" i="5" a="1"/>
  <c r="D45" i="5" s="1"/>
  <c r="D46" i="5" a="1"/>
  <c r="D46" i="5" s="1"/>
  <c r="A10" i="5"/>
  <c r="I10" i="6" a="1"/>
  <c r="I10" i="6" s="1"/>
  <c r="C10" i="6"/>
  <c r="D10" i="6"/>
  <c r="K9" i="6"/>
  <c r="L8" i="6"/>
  <c r="T15" i="2" l="1" a="1"/>
  <c r="T15" i="2" s="1"/>
  <c r="E14" i="2" a="1"/>
  <c r="E14" i="2" s="1"/>
  <c r="L4" i="6"/>
  <c r="D10" i="5" a="1"/>
  <c r="D10" i="5" s="1"/>
  <c r="D47" i="5" a="1"/>
  <c r="D47" i="5" s="1"/>
  <c r="L9" i="6"/>
  <c r="L10" i="6"/>
  <c r="K10" i="6"/>
  <c r="L3" i="6"/>
  <c r="L6" i="6"/>
  <c r="L5" i="6"/>
  <c r="L7" i="6"/>
  <c r="C11" i="6"/>
  <c r="K11" i="6" s="1"/>
  <c r="I11" i="6" a="1"/>
  <c r="I11" i="6" s="1"/>
  <c r="D11" i="6"/>
  <c r="L11" i="6" s="1"/>
  <c r="T16" i="2" l="1" a="1"/>
  <c r="T16" i="2" s="1"/>
  <c r="E15" i="2" a="1"/>
  <c r="E15" i="2" s="1"/>
  <c r="D12" i="6"/>
  <c r="L12" i="6" s="1"/>
  <c r="I12" i="6" a="1"/>
  <c r="I12" i="6" s="1"/>
  <c r="C12" i="6"/>
  <c r="K12" i="6" s="1"/>
  <c r="E16" i="2" l="1" a="1"/>
  <c r="E16" i="2" s="1"/>
  <c r="T17" i="2" a="1"/>
  <c r="T17" i="2" s="1"/>
  <c r="D13" i="6"/>
  <c r="L13" i="6" s="1"/>
  <c r="C13" i="6"/>
  <c r="K13" i="6" s="1"/>
  <c r="I13" i="6" a="1"/>
  <c r="I13" i="6" s="1"/>
  <c r="T18" i="2" l="1" a="1"/>
  <c r="T18" i="2" s="1"/>
  <c r="E17" i="2" a="1"/>
  <c r="E17" i="2" s="1"/>
  <c r="D14" i="6"/>
  <c r="L14" i="6" s="1"/>
  <c r="C14" i="6"/>
  <c r="K14" i="6" s="1"/>
  <c r="I14" i="6" a="1"/>
  <c r="I14" i="6" s="1"/>
  <c r="T19" i="2" l="1" a="1"/>
  <c r="T19" i="2" s="1"/>
  <c r="E18" i="2" a="1"/>
  <c r="E18" i="2" s="1"/>
  <c r="D15" i="6"/>
  <c r="L15" i="6" s="1"/>
  <c r="I15" i="6" a="1"/>
  <c r="I15" i="6" s="1"/>
  <c r="C15" i="6"/>
  <c r="K15" i="6" s="1"/>
  <c r="T20" i="2" l="1" a="1"/>
  <c r="T20" i="2" s="1"/>
  <c r="E20" i="2" s="1" a="1"/>
  <c r="E20" i="2" s="1"/>
  <c r="T21" i="2" a="1"/>
  <c r="T21" i="2" s="1"/>
  <c r="E19" i="2" a="1"/>
  <c r="E19" i="2" s="1"/>
  <c r="C16" i="6"/>
  <c r="K16" i="6" s="1"/>
  <c r="D16" i="6"/>
  <c r="L16" i="6" s="1"/>
  <c r="I16" i="6" a="1"/>
  <c r="I16" i="6" s="1"/>
  <c r="V14" i="2" s="1"/>
  <c r="X14" i="2" s="1"/>
  <c r="U14" i="2" s="1"/>
  <c r="T22" i="2" l="1" a="1"/>
  <c r="T22" i="2" s="1"/>
  <c r="E21" i="2" a="1"/>
  <c r="E21" i="2" s="1"/>
  <c r="C17" i="6"/>
  <c r="K17" i="6" s="1"/>
  <c r="D17" i="6"/>
  <c r="L17" i="6" s="1"/>
  <c r="I17" i="6" a="1"/>
  <c r="I17" i="6" s="1"/>
  <c r="E22" i="2" l="1" a="1"/>
  <c r="E22" i="2" s="1"/>
  <c r="T23" i="2" a="1"/>
  <c r="T23" i="2" s="1"/>
  <c r="C18" i="6"/>
  <c r="K18" i="6" s="1"/>
  <c r="D18" i="6"/>
  <c r="L18" i="6" s="1"/>
  <c r="I18" i="6" a="1"/>
  <c r="I18" i="6" s="1"/>
  <c r="E23" i="2" l="1" a="1"/>
  <c r="E23" i="2" s="1"/>
  <c r="T24" i="2" a="1"/>
  <c r="T24" i="2" s="1"/>
  <c r="C19" i="6"/>
  <c r="K19" i="6" s="1"/>
  <c r="D19" i="6"/>
  <c r="L19" i="6" s="1"/>
  <c r="I19" i="6" a="1"/>
  <c r="I19" i="6" s="1"/>
  <c r="E24" i="2" l="1" a="1"/>
  <c r="E24" i="2" s="1"/>
  <c r="T25" i="2" a="1"/>
  <c r="T25" i="2" s="1"/>
  <c r="I20" i="6" a="1"/>
  <c r="I20" i="6" s="1"/>
  <c r="C20" i="6"/>
  <c r="K20" i="6" s="1"/>
  <c r="D20" i="6"/>
  <c r="L20" i="6" s="1"/>
  <c r="E25" i="2" l="1" a="1"/>
  <c r="E25" i="2" s="1"/>
  <c r="T26" i="2" a="1"/>
  <c r="T26" i="2" s="1"/>
  <c r="I21" i="6" a="1"/>
  <c r="I21" i="6" s="1"/>
  <c r="W20" i="2" s="1"/>
  <c r="Y20" i="2" s="1"/>
  <c r="C21" i="6"/>
  <c r="K21" i="6" s="1"/>
  <c r="D21" i="6"/>
  <c r="L21" i="6" s="1"/>
  <c r="T27" i="2" l="1" a="1"/>
  <c r="T27" i="2" s="1"/>
  <c r="E26" i="2" a="1"/>
  <c r="E26" i="2" s="1"/>
  <c r="I22" i="6" a="1"/>
  <c r="I22" i="6" s="1"/>
  <c r="C22" i="6"/>
  <c r="K22" i="6" s="1"/>
  <c r="D22" i="6"/>
  <c r="L22" i="6" s="1"/>
  <c r="T28" i="2" l="1" a="1"/>
  <c r="T28" i="2" s="1"/>
  <c r="E27" i="2" a="1"/>
  <c r="E27" i="2" s="1"/>
  <c r="D23" i="6"/>
  <c r="L23" i="6" s="1"/>
  <c r="I23" i="6" a="1"/>
  <c r="I23" i="6" s="1"/>
  <c r="C23" i="6"/>
  <c r="K23" i="6" s="1"/>
  <c r="T29" i="2" l="1" a="1"/>
  <c r="T29" i="2" s="1"/>
  <c r="E28" i="2" a="1"/>
  <c r="E28" i="2" s="1"/>
  <c r="D24" i="6"/>
  <c r="L24" i="6" s="1"/>
  <c r="I24" i="6" a="1"/>
  <c r="I24" i="6" s="1"/>
  <c r="C24" i="6"/>
  <c r="K24" i="6" s="1"/>
  <c r="T30" i="2" l="1" a="1"/>
  <c r="T30" i="2" s="1"/>
  <c r="E29" i="2" a="1"/>
  <c r="E29" i="2" s="1"/>
  <c r="D25" i="6"/>
  <c r="L25" i="6" s="1"/>
  <c r="C25" i="6"/>
  <c r="K25" i="6" s="1"/>
  <c r="I25" i="6" a="1"/>
  <c r="I25" i="6" s="1"/>
  <c r="T31" i="2" l="1" a="1"/>
  <c r="T31" i="2" s="1"/>
  <c r="E30" i="2" a="1"/>
  <c r="E30" i="2" s="1"/>
  <c r="D26" i="6"/>
  <c r="L26" i="6" s="1"/>
  <c r="I26" i="6" a="1"/>
  <c r="I26" i="6" s="1"/>
  <c r="C26" i="6"/>
  <c r="K26" i="6" s="1"/>
  <c r="T32" i="2" l="1" a="1"/>
  <c r="T32" i="2" s="1"/>
  <c r="E31" i="2" a="1"/>
  <c r="E31" i="2" s="1"/>
  <c r="D27" i="6"/>
  <c r="L27" i="6" s="1"/>
  <c r="I27" i="6" a="1"/>
  <c r="I27" i="6" s="1"/>
  <c r="C27" i="6"/>
  <c r="K27" i="6" s="1"/>
  <c r="T33" i="2" l="1" a="1"/>
  <c r="T33" i="2" s="1"/>
  <c r="E32" i="2" a="1"/>
  <c r="E32" i="2" s="1"/>
  <c r="D28" i="6"/>
  <c r="L28" i="6" s="1"/>
  <c r="I28" i="6" a="1"/>
  <c r="I28" i="6" s="1"/>
  <c r="C28" i="6"/>
  <c r="K28" i="6" s="1"/>
  <c r="E33" i="2" l="1" a="1"/>
  <c r="E33" i="2" s="1"/>
  <c r="T34" i="2" a="1"/>
  <c r="T34" i="2" s="1"/>
  <c r="I29" i="6" a="1"/>
  <c r="I29" i="6" s="1"/>
  <c r="D29" i="6"/>
  <c r="L29" i="6" s="1"/>
  <c r="C29" i="6"/>
  <c r="K29" i="6" s="1"/>
  <c r="E34" i="2" l="1" a="1"/>
  <c r="E34" i="2" s="1"/>
  <c r="T35" i="2" a="1"/>
  <c r="T35" i="2" s="1"/>
  <c r="I30" i="6" a="1"/>
  <c r="I30" i="6" s="1"/>
  <c r="C30" i="6"/>
  <c r="K30" i="6" s="1"/>
  <c r="D30" i="6"/>
  <c r="L30" i="6" s="1"/>
  <c r="E35" i="2" l="1" a="1"/>
  <c r="E35" i="2" s="1"/>
  <c r="T36" i="2" a="1"/>
  <c r="T36" i="2" s="1"/>
  <c r="C31" i="6"/>
  <c r="K31" i="6" s="1"/>
  <c r="D31" i="6"/>
  <c r="L31" i="6" s="1"/>
  <c r="I31" i="6" a="1"/>
  <c r="I31" i="6" s="1"/>
  <c r="E36" i="2" l="1" a="1"/>
  <c r="E36" i="2" s="1"/>
  <c r="T37" i="2" a="1"/>
  <c r="T37" i="2" s="1"/>
  <c r="I32" i="6" a="1"/>
  <c r="I32" i="6" s="1"/>
  <c r="C32" i="6"/>
  <c r="K32" i="6" s="1"/>
  <c r="D32" i="6"/>
  <c r="L32" i="6" s="1"/>
  <c r="T38" i="2" l="1" a="1"/>
  <c r="T38" i="2" s="1"/>
  <c r="E37" i="2" a="1"/>
  <c r="E37" i="2" s="1"/>
  <c r="I33" i="6" a="1"/>
  <c r="I33" i="6" s="1"/>
  <c r="C33" i="6"/>
  <c r="K33" i="6" s="1"/>
  <c r="D33" i="6"/>
  <c r="L33" i="6" s="1"/>
  <c r="T39" i="2" l="1" a="1"/>
  <c r="T39" i="2" s="1"/>
  <c r="E38" i="2" a="1"/>
  <c r="E38" i="2" s="1"/>
  <c r="I34" i="6" a="1"/>
  <c r="I34" i="6" s="1"/>
  <c r="C34" i="6"/>
  <c r="K34" i="6" s="1"/>
  <c r="D34" i="6"/>
  <c r="L34" i="6" s="1"/>
  <c r="T40" i="2" l="1" a="1"/>
  <c r="T40" i="2" s="1"/>
  <c r="E39" i="2" a="1"/>
  <c r="E39" i="2" s="1"/>
  <c r="I35" i="6" a="1"/>
  <c r="I35" i="6" s="1"/>
  <c r="C35" i="6"/>
  <c r="K35" i="6" s="1"/>
  <c r="D35" i="6"/>
  <c r="L35" i="6" s="1"/>
  <c r="T41" i="2" l="1" a="1"/>
  <c r="T41" i="2" s="1"/>
  <c r="E40" i="2" a="1"/>
  <c r="E40" i="2" s="1"/>
  <c r="I36" i="6" a="1"/>
  <c r="I36" i="6" s="1"/>
  <c r="D36" i="6"/>
  <c r="L36" i="6" s="1"/>
  <c r="C36" i="6"/>
  <c r="K36" i="6" s="1"/>
  <c r="E41" i="2" l="1" a="1"/>
  <c r="E41" i="2" s="1"/>
  <c r="T42" i="2" a="1"/>
  <c r="T42" i="2" s="1"/>
  <c r="D37" i="6"/>
  <c r="L37" i="6" s="1"/>
  <c r="C37" i="6"/>
  <c r="K37" i="6" s="1"/>
  <c r="I37" i="6" a="1"/>
  <c r="I37" i="6" s="1"/>
  <c r="E42" i="2" l="1" a="1"/>
  <c r="E42" i="2" s="1"/>
  <c r="T43" i="2" a="1"/>
  <c r="T43" i="2" s="1"/>
  <c r="D38" i="6"/>
  <c r="L38" i="6" s="1"/>
  <c r="I38" i="6" a="1"/>
  <c r="I38" i="6" s="1"/>
  <c r="C38" i="6"/>
  <c r="K38" i="6" s="1"/>
  <c r="E43" i="2" l="1" a="1"/>
  <c r="E43" i="2" s="1"/>
  <c r="T44" i="2" a="1"/>
  <c r="T44" i="2" s="1"/>
  <c r="D39" i="6"/>
  <c r="L39" i="6" s="1"/>
  <c r="I39" i="6" a="1"/>
  <c r="I39" i="6" s="1"/>
  <c r="C39" i="6"/>
  <c r="K39" i="6" s="1"/>
  <c r="V13" i="2" l="1"/>
  <c r="X13" i="2" s="1"/>
  <c r="U13" i="2" s="1"/>
  <c r="W13" i="2"/>
  <c r="Y13" i="2" s="1"/>
  <c r="W14" i="2"/>
  <c r="Y14" i="2" s="1"/>
  <c r="V20" i="2"/>
  <c r="X20" i="2" s="1"/>
  <c r="U20" i="2" s="1"/>
  <c r="T45" i="2" a="1"/>
  <c r="T45" i="2" s="1"/>
  <c r="E44" i="2" a="1"/>
  <c r="E44" i="2" s="1"/>
  <c r="W44" i="2" s="1"/>
  <c r="Y44" i="2" s="1"/>
  <c r="V8" i="2"/>
  <c r="X8" i="2" s="1"/>
  <c r="U8" i="2" s="1"/>
  <c r="W7" i="2"/>
  <c r="Y7" i="2" s="1"/>
  <c r="V17" i="2"/>
  <c r="X17" i="2" s="1"/>
  <c r="U17" i="2" s="1"/>
  <c r="V21" i="2"/>
  <c r="X21" i="2" s="1"/>
  <c r="U21" i="2" s="1"/>
  <c r="W39" i="2"/>
  <c r="Y39" i="2" s="1"/>
  <c r="V36" i="2"/>
  <c r="X36" i="2" s="1"/>
  <c r="U36" i="2" s="1"/>
  <c r="W19" i="2"/>
  <c r="Y19" i="2" s="1"/>
  <c r="W26" i="2"/>
  <c r="Y26" i="2" s="1"/>
  <c r="V43" i="2"/>
  <c r="X43" i="2" s="1"/>
  <c r="U43" i="2" s="1"/>
  <c r="V27" i="2"/>
  <c r="X27" i="2" s="1"/>
  <c r="U27" i="2" s="1"/>
  <c r="V11" i="2"/>
  <c r="X11" i="2" s="1"/>
  <c r="U11" i="2" s="1"/>
  <c r="W5" i="2"/>
  <c r="Y5" i="2" s="1"/>
  <c r="V9" i="2"/>
  <c r="X9" i="2" s="1"/>
  <c r="U9" i="2" s="1"/>
  <c r="V12" i="2"/>
  <c r="X12" i="2" s="1"/>
  <c r="U12" i="2" s="1"/>
  <c r="W10" i="2"/>
  <c r="Y10" i="2" s="1"/>
  <c r="W40" i="2"/>
  <c r="Y40" i="2" s="1"/>
  <c r="W43" i="2"/>
  <c r="Y43" i="2" s="1"/>
  <c r="V32" i="2"/>
  <c r="X32" i="2" s="1"/>
  <c r="U32" i="2" s="1"/>
  <c r="V42" i="2"/>
  <c r="X42" i="2" s="1"/>
  <c r="U42" i="2" s="1"/>
  <c r="W12" i="2"/>
  <c r="Y12" i="2" s="1"/>
  <c r="V7" i="2"/>
  <c r="X7" i="2" s="1"/>
  <c r="U7" i="2" s="1"/>
  <c r="V30" i="2"/>
  <c r="X30" i="2" s="1"/>
  <c r="U30" i="2" s="1"/>
  <c r="V4" i="2"/>
  <c r="X4" i="2" s="1"/>
  <c r="W3" i="2"/>
  <c r="Y3" i="2" s="1"/>
  <c r="V16" i="2"/>
  <c r="X16" i="2" s="1"/>
  <c r="U16" i="2" s="1"/>
  <c r="W4" i="2"/>
  <c r="Y4" i="2" s="1"/>
  <c r="V40" i="2"/>
  <c r="X40" i="2" s="1"/>
  <c r="U40" i="2" s="1"/>
  <c r="V10" i="2"/>
  <c r="X10" i="2" s="1"/>
  <c r="U10" i="2" s="1"/>
  <c r="V23" i="2"/>
  <c r="X23" i="2" s="1"/>
  <c r="U23" i="2" s="1"/>
  <c r="V39" i="2"/>
  <c r="X39" i="2" s="1"/>
  <c r="U39" i="2" s="1"/>
  <c r="V15" i="2"/>
  <c r="X15" i="2" s="1"/>
  <c r="U15" i="2" s="1"/>
  <c r="W18" i="2"/>
  <c r="Y18" i="2" s="1"/>
  <c r="W9" i="2"/>
  <c r="Y9" i="2" s="1"/>
  <c r="V31" i="2"/>
  <c r="X31" i="2" s="1"/>
  <c r="U31" i="2" s="1"/>
  <c r="W28" i="2"/>
  <c r="Y28" i="2" s="1"/>
  <c r="W27" i="2"/>
  <c r="Y27" i="2" s="1"/>
  <c r="V44" i="2"/>
  <c r="X44" i="2" s="1"/>
  <c r="U44" i="2" s="1"/>
  <c r="W15" i="2"/>
  <c r="Y15" i="2" s="1"/>
  <c r="W11" i="2"/>
  <c r="Y11" i="2" s="1"/>
  <c r="W25" i="2"/>
  <c r="Y25" i="2" s="1"/>
  <c r="V6" i="2"/>
  <c r="X6" i="2" s="1"/>
  <c r="V5" i="2"/>
  <c r="X5" i="2" s="1"/>
  <c r="U5" i="2" s="1"/>
  <c r="W8" i="2"/>
  <c r="Y8" i="2" s="1"/>
  <c r="V37" i="2"/>
  <c r="X37" i="2" s="1"/>
  <c r="U37" i="2" s="1"/>
  <c r="V34" i="2"/>
  <c r="X34" i="2" s="1"/>
  <c r="U34" i="2" s="1"/>
  <c r="V18" i="2"/>
  <c r="X18" i="2" s="1"/>
  <c r="U18" i="2" s="1"/>
  <c r="V22" i="2"/>
  <c r="X22" i="2" s="1"/>
  <c r="U22" i="2" s="1"/>
  <c r="V35" i="2"/>
  <c r="X35" i="2" s="1"/>
  <c r="U35" i="2" s="1"/>
  <c r="W24" i="2"/>
  <c r="Y24" i="2" s="1"/>
  <c r="V29" i="2"/>
  <c r="X29" i="2" s="1"/>
  <c r="U29" i="2" s="1"/>
  <c r="W36" i="2"/>
  <c r="Y36" i="2" s="1"/>
  <c r="V33" i="2"/>
  <c r="X33" i="2" s="1"/>
  <c r="U33" i="2" s="1"/>
  <c r="V38" i="2"/>
  <c r="X38" i="2" s="1"/>
  <c r="U38" i="2" s="1"/>
  <c r="W32" i="2"/>
  <c r="Y32" i="2" s="1"/>
  <c r="W22" i="2"/>
  <c r="Y22" i="2" s="1"/>
  <c r="W38" i="2"/>
  <c r="Y38" i="2" s="1"/>
  <c r="V28" i="2"/>
  <c r="X28" i="2" s="1"/>
  <c r="U28" i="2" s="1"/>
  <c r="V24" i="2"/>
  <c r="X24" i="2" s="1"/>
  <c r="U24" i="2" s="1"/>
  <c r="W17" i="2"/>
  <c r="Y17" i="2" s="1"/>
  <c r="W16" i="2"/>
  <c r="Y16" i="2" s="1"/>
  <c r="W21" i="2"/>
  <c r="Y21" i="2" s="1"/>
  <c r="W31" i="2"/>
  <c r="Y31" i="2" s="1"/>
  <c r="V25" i="2"/>
  <c r="X25" i="2" s="1"/>
  <c r="U25" i="2" s="1"/>
  <c r="V19" i="2"/>
  <c r="X19" i="2" s="1"/>
  <c r="U19" i="2" s="1"/>
  <c r="W42" i="2"/>
  <c r="Y42" i="2" s="1"/>
  <c r="V41" i="2"/>
  <c r="X41" i="2" s="1"/>
  <c r="U41" i="2" s="1"/>
  <c r="V26" i="2"/>
  <c r="X26" i="2" s="1"/>
  <c r="U26" i="2" s="1"/>
  <c r="W30" i="2"/>
  <c r="Y30" i="2" s="1"/>
  <c r="W34" i="2"/>
  <c r="Y34" i="2" s="1"/>
  <c r="W6" i="2"/>
  <c r="Y6" i="2" s="1"/>
  <c r="W35" i="2"/>
  <c r="Y35" i="2" s="1"/>
  <c r="W37" i="2"/>
  <c r="Y37" i="2" s="1"/>
  <c r="W33" i="2"/>
  <c r="Y33" i="2" s="1"/>
  <c r="W41" i="2"/>
  <c r="Y41" i="2" s="1"/>
  <c r="V3" i="2"/>
  <c r="X3" i="2" s="1"/>
  <c r="W29" i="2"/>
  <c r="Y29" i="2" s="1"/>
  <c r="W23" i="2"/>
  <c r="Y23" i="2" s="1"/>
  <c r="T46" i="2" l="1" a="1"/>
  <c r="T46" i="2" s="1"/>
  <c r="E45" i="2" a="1"/>
  <c r="E45" i="2" s="1"/>
  <c r="U4" i="2"/>
  <c r="C7" i="13"/>
  <c r="C6" i="13"/>
  <c r="C5" i="13"/>
  <c r="U3" i="2"/>
  <c r="C3" i="13"/>
  <c r="C4" i="13"/>
  <c r="U6" i="2"/>
  <c r="C9" i="13"/>
  <c r="C8" i="13"/>
  <c r="T47" i="2" l="1" a="1"/>
  <c r="T47" i="2" s="1"/>
  <c r="E46" i="2" a="1"/>
  <c r="E46" i="2" s="1"/>
  <c r="V45" i="2"/>
  <c r="X45" i="2" s="1"/>
  <c r="U45" i="2" s="1"/>
  <c r="W45" i="2"/>
  <c r="Y45" i="2" s="1"/>
  <c r="W46" i="2" l="1"/>
  <c r="Y46" i="2" s="1"/>
  <c r="V46" i="2"/>
  <c r="X46" i="2" s="1"/>
  <c r="U46" i="2" s="1"/>
  <c r="E47" i="2" a="1"/>
  <c r="E47" i="2" s="1"/>
  <c r="T48" i="2" a="1"/>
  <c r="T48" i="2" s="1"/>
  <c r="T49" i="2" l="1" a="1"/>
  <c r="T49" i="2" s="1"/>
  <c r="E48" i="2" a="1"/>
  <c r="E48" i="2" s="1"/>
  <c r="W47" i="2"/>
  <c r="Y47" i="2" s="1"/>
  <c r="V47" i="2"/>
  <c r="X47" i="2" s="1"/>
  <c r="U47" i="2" s="1"/>
  <c r="V48" i="2" l="1"/>
  <c r="X48" i="2" s="1"/>
  <c r="U48" i="2" s="1"/>
  <c r="W48" i="2"/>
  <c r="Y48" i="2" s="1"/>
  <c r="T50" i="2" a="1"/>
  <c r="T50" i="2" s="1"/>
  <c r="E49" i="2" a="1"/>
  <c r="E49" i="2" s="1"/>
  <c r="T51" i="2" l="1" a="1"/>
  <c r="T51" i="2" s="1"/>
  <c r="E50" i="2" a="1"/>
  <c r="E50" i="2" s="1"/>
  <c r="W49" i="2"/>
  <c r="Y49" i="2" s="1"/>
  <c r="V49" i="2"/>
  <c r="X49" i="2" s="1"/>
  <c r="U49" i="2" s="1"/>
  <c r="W50" i="2" l="1"/>
  <c r="Y50" i="2" s="1"/>
  <c r="V50" i="2"/>
  <c r="X50" i="2" s="1"/>
  <c r="U50" i="2" s="1"/>
  <c r="T52" i="2" a="1"/>
  <c r="T52" i="2" s="1"/>
  <c r="E51" i="2" a="1"/>
  <c r="E51" i="2" s="1"/>
  <c r="E52" i="2" l="1" a="1"/>
  <c r="E52" i="2" s="1"/>
  <c r="T53" i="2" a="1"/>
  <c r="T53" i="2" s="1"/>
  <c r="V51" i="2"/>
  <c r="X51" i="2" s="1"/>
  <c r="U51" i="2" s="1"/>
  <c r="W51" i="2"/>
  <c r="Y51" i="2" s="1"/>
  <c r="E53" i="2" l="1" a="1"/>
  <c r="E53" i="2" s="1"/>
  <c r="T54" i="2" a="1"/>
  <c r="T54" i="2" s="1"/>
  <c r="V52" i="2"/>
  <c r="X52" i="2" s="1"/>
  <c r="U52" i="2" s="1"/>
  <c r="W52" i="2"/>
  <c r="Y52" i="2" s="1"/>
  <c r="E54" i="2" l="1" a="1"/>
  <c r="E54" i="2" s="1"/>
  <c r="T55" i="2" a="1"/>
  <c r="T55" i="2" s="1"/>
  <c r="W53" i="2"/>
  <c r="Y53" i="2" s="1"/>
  <c r="V53" i="2"/>
  <c r="X53" i="2" s="1"/>
  <c r="U53" i="2" s="1"/>
  <c r="E55" i="2" l="1" a="1"/>
  <c r="E55" i="2" s="1"/>
  <c r="T56" i="2" a="1"/>
  <c r="T56" i="2" s="1"/>
  <c r="V54" i="2"/>
  <c r="X54" i="2" s="1"/>
  <c r="U54" i="2" s="1"/>
  <c r="W54" i="2"/>
  <c r="Y54" i="2" s="1"/>
  <c r="T57" i="2" l="1" a="1"/>
  <c r="T57" i="2" s="1"/>
  <c r="E56" i="2" a="1"/>
  <c r="E56" i="2" s="1"/>
  <c r="V55" i="2"/>
  <c r="X55" i="2" s="1"/>
  <c r="U55" i="2" s="1"/>
  <c r="W55" i="2"/>
  <c r="Y55" i="2" s="1"/>
  <c r="V56" i="2" l="1"/>
  <c r="X56" i="2" s="1"/>
  <c r="U56" i="2" s="1"/>
  <c r="W56" i="2"/>
  <c r="Y56" i="2" s="1"/>
  <c r="T58" i="2" a="1"/>
  <c r="T58" i="2" s="1"/>
  <c r="E58" i="2" s="1" a="1"/>
  <c r="E58" i="2" s="1"/>
  <c r="E57" i="2" a="1"/>
  <c r="E57" i="2" s="1"/>
  <c r="Q27" i="2" s="1" a="1"/>
  <c r="Q27" i="2" s="1"/>
  <c r="R27" i="2" s="1"/>
  <c r="Q24" i="2" l="1" a="1"/>
  <c r="Q24" i="2" s="1"/>
  <c r="R24" i="2" s="1"/>
  <c r="Q18" i="2" a="1"/>
  <c r="Q18" i="2" s="1"/>
  <c r="R18" i="2" s="1"/>
  <c r="Q28" i="2" a="1"/>
  <c r="Q28" i="2" s="1"/>
  <c r="R28" i="2" s="1"/>
  <c r="Q7" i="2" a="1"/>
  <c r="Q7" i="2" s="1"/>
  <c r="R7" i="2" s="1"/>
  <c r="Q51" i="2" a="1"/>
  <c r="Q51" i="2" s="1"/>
  <c r="R51" i="2" s="1"/>
  <c r="Q50" i="2" a="1"/>
  <c r="Q50" i="2" s="1"/>
  <c r="R50" i="2" s="1"/>
  <c r="Q30" i="2" a="1"/>
  <c r="Q30" i="2" s="1"/>
  <c r="R30" i="2" s="1"/>
  <c r="Q11" i="2" a="1"/>
  <c r="Q11" i="2" s="1"/>
  <c r="R11" i="2" s="1"/>
  <c r="Q23" i="2" a="1"/>
  <c r="Q23" i="2" s="1"/>
  <c r="R23" i="2" s="1"/>
  <c r="Q44" i="2" a="1"/>
  <c r="Q44" i="2" s="1"/>
  <c r="R44" i="2" s="1"/>
  <c r="Q47" i="2" a="1"/>
  <c r="Q47" i="2" s="1"/>
  <c r="R47" i="2" s="1"/>
  <c r="Q57" i="2" a="1"/>
  <c r="Q57" i="2" s="1"/>
  <c r="R57" i="2" s="1"/>
  <c r="V57" i="2"/>
  <c r="X57" i="2" s="1"/>
  <c r="U57" i="2" s="1"/>
  <c r="W57" i="2"/>
  <c r="Y57" i="2" s="1"/>
  <c r="Q15" i="2" a="1"/>
  <c r="Q15" i="2" s="1"/>
  <c r="R15" i="2" s="1"/>
  <c r="Q42" i="2" a="1"/>
  <c r="Q42" i="2" s="1"/>
  <c r="R42" i="2" s="1"/>
  <c r="Q45" i="2" a="1"/>
  <c r="Q45" i="2" s="1"/>
  <c r="R45" i="2" s="1"/>
  <c r="Q35" i="2" a="1"/>
  <c r="Q35" i="2" s="1"/>
  <c r="R35" i="2" s="1"/>
  <c r="Q37" i="2" a="1"/>
  <c r="Q37" i="2" s="1"/>
  <c r="R37" i="2" s="1"/>
  <c r="Q41" i="2" a="1"/>
  <c r="Q41" i="2" s="1"/>
  <c r="R41" i="2" s="1"/>
  <c r="Q40" i="2" a="1"/>
  <c r="Q40" i="2" s="1"/>
  <c r="R40" i="2" s="1"/>
  <c r="Q9" i="2" a="1"/>
  <c r="Q9" i="2" s="1"/>
  <c r="R9" i="2" s="1"/>
  <c r="Q12" i="2" a="1"/>
  <c r="Q12" i="2" s="1"/>
  <c r="R12" i="2" s="1"/>
  <c r="Q3" i="2" a="1"/>
  <c r="Q3" i="2" s="1"/>
  <c r="R3" i="2" s="1"/>
  <c r="Q49" i="2" a="1"/>
  <c r="Q49" i="2" s="1"/>
  <c r="R49" i="2" s="1"/>
  <c r="Q25" i="2" a="1"/>
  <c r="Q25" i="2" s="1"/>
  <c r="R25" i="2" s="1"/>
  <c r="Q21" i="2" a="1"/>
  <c r="Q21" i="2" s="1"/>
  <c r="R21" i="2" s="1"/>
  <c r="Q36" i="2" a="1"/>
  <c r="Q36" i="2" s="1"/>
  <c r="R36" i="2" s="1"/>
  <c r="Q46" i="2" a="1"/>
  <c r="Q46" i="2" s="1"/>
  <c r="R46" i="2" s="1"/>
  <c r="Q13" i="2" a="1"/>
  <c r="Q13" i="2" s="1"/>
  <c r="R13" i="2" s="1"/>
  <c r="Q58" i="2" a="1"/>
  <c r="Q58" i="2" s="1"/>
  <c r="R58" i="2" s="1"/>
  <c r="W58" i="2"/>
  <c r="Y58" i="2" s="1"/>
  <c r="V58" i="2"/>
  <c r="X58" i="2" s="1"/>
  <c r="U58" i="2" s="1"/>
  <c r="Q4" i="2" a="1"/>
  <c r="Q4" i="2" s="1"/>
  <c r="R4" i="2" s="1"/>
  <c r="Q31" i="2" a="1"/>
  <c r="Q31" i="2" s="1"/>
  <c r="R31" i="2" s="1"/>
  <c r="Q10" i="2" a="1"/>
  <c r="Q10" i="2" s="1"/>
  <c r="R10" i="2" s="1"/>
  <c r="Q17" i="2" a="1"/>
  <c r="Q17" i="2" s="1"/>
  <c r="R17" i="2" s="1"/>
  <c r="Q56" i="2" a="1"/>
  <c r="Q56" i="2" s="1"/>
  <c r="R56" i="2" s="1"/>
  <c r="Q5" i="2" a="1"/>
  <c r="Q5" i="2" s="1"/>
  <c r="R5" i="2" s="1"/>
  <c r="Q8" i="2" a="1"/>
  <c r="Q8" i="2" s="1"/>
  <c r="R8" i="2" s="1"/>
  <c r="Q55" i="2" a="1"/>
  <c r="Q55" i="2" s="1"/>
  <c r="R55" i="2" s="1"/>
  <c r="Q16" i="2" a="1"/>
  <c r="Q16" i="2" s="1"/>
  <c r="R16" i="2" s="1"/>
  <c r="Q19" i="2" a="1"/>
  <c r="Q19" i="2" s="1"/>
  <c r="R19" i="2" s="1"/>
  <c r="Q33" i="2" a="1"/>
  <c r="Q33" i="2" s="1"/>
  <c r="R33" i="2" s="1"/>
  <c r="Q20" i="2" a="1"/>
  <c r="Q20" i="2" s="1"/>
  <c r="R20" i="2" s="1"/>
  <c r="Q32" i="2" a="1"/>
  <c r="Q32" i="2" s="1"/>
  <c r="R32" i="2" s="1"/>
  <c r="Q39" i="2" a="1"/>
  <c r="Q39" i="2" s="1"/>
  <c r="R39" i="2" s="1"/>
  <c r="Q22" i="2" a="1"/>
  <c r="Q22" i="2" s="1"/>
  <c r="R22" i="2" s="1"/>
  <c r="Q38" i="2" a="1"/>
  <c r="Q38" i="2" s="1"/>
  <c r="R38" i="2" s="1"/>
  <c r="Q34" i="2" a="1"/>
  <c r="Q34" i="2" s="1"/>
  <c r="R34" i="2" s="1"/>
  <c r="Q52" i="2" a="1"/>
  <c r="Q52" i="2" s="1"/>
  <c r="R52" i="2" s="1"/>
  <c r="Q14" i="2" a="1"/>
  <c r="Q14" i="2" s="1"/>
  <c r="R14" i="2" s="1"/>
  <c r="Q6" i="2" a="1"/>
  <c r="Q6" i="2" s="1"/>
  <c r="R6" i="2" s="1"/>
  <c r="Q48" i="2" a="1"/>
  <c r="Q48" i="2" s="1"/>
  <c r="R48" i="2" s="1"/>
  <c r="Q29" i="2" a="1"/>
  <c r="Q29" i="2" s="1"/>
  <c r="R29" i="2" s="1"/>
  <c r="Q54" i="2" a="1"/>
  <c r="Q54" i="2" s="1"/>
  <c r="R54" i="2" s="1"/>
  <c r="Q53" i="2" a="1"/>
  <c r="Q53" i="2" s="1"/>
  <c r="R53" i="2" s="1"/>
  <c r="Q43" i="2" a="1"/>
  <c r="Q43" i="2" s="1"/>
  <c r="R43" i="2" s="1"/>
  <c r="Q26" i="2" a="1"/>
  <c r="Q26" i="2" s="1"/>
  <c r="R2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R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<sst xmlns="http://schemas.openxmlformats.org/spreadsheetml/2006/main" count="1229" uniqueCount="467">
  <si>
    <t>value</t>
  </si>
  <si>
    <t>무지개빛 총공격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</si>
  <si>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</si>
  <si>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</si>
  <si>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</si>
  <si>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</si>
  <si>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</si>
  <si>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</si>
  <si>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게이볼그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</si>
  <si>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</si>
  <si>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</si>
  <si>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</si>
  <si>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</si>
  <si>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</si>
  <si>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</si>
  <si>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</si>
  <si>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</si>
  <si>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</si>
  <si>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</si>
  <si>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</si>
  <si>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</si>
  <si>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</si>
  <si>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</si>
  <si>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</si>
  <si>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</si>
  <si>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</si>
  <si>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ㄱㄱ</t>
  </si>
  <si>
    <t>ResourceChange</t>
  </si>
  <si>
    <t>None</t>
  </si>
  <si>
    <t>롤 - 룰루 맞죠?</t>
  </si>
  <si>
    <t>ChargeAtkPierce</t>
  </si>
  <si>
    <t>Hard</t>
  </si>
  <si>
    <t>이동속도가 조금 빨라집니다.</t>
  </si>
  <si>
    <t>MovementSpd</t>
  </si>
  <si>
    <t>Addition</t>
  </si>
  <si>
    <t>Multiply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</si>
  <si>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</si>
  <si>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</si>
  <si>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</si>
  <si>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</si>
  <si>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</si>
  <si>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MaxHp</t>
  </si>
  <si>
    <t>공 던지기 가능 개수가 1개 증가합니다.</t>
  </si>
  <si>
    <t>하드코딩</t>
  </si>
  <si>
    <t>다이슨 청소기</t>
  </si>
  <si>
    <t>차징중에 공을 끌어당김</t>
  </si>
  <si>
    <t>BlackHole</t>
  </si>
  <si>
    <t>[배트]로 쳐낸 공이 적을 관통합니다.</t>
  </si>
  <si>
    <t>죠죠</t>
  </si>
  <si>
    <t>[하트]가 1개 증가합니다. 이동속도, 공격속도가 10% 빨라집니다.</t>
  </si>
  <si>
    <t>최대 [하트] 1개 당 5% 만큼 피해량이 증가합니다.</t>
  </si>
  <si>
    <t>페이트 - 길가메시</t>
  </si>
  <si>
    <t>골드를 20%씩 더 획득합니다.</t>
  </si>
  <si>
    <t>GoldGain</t>
  </si>
  <si>
    <t>“공이 복사가 된다고” 공 던지기 개수가 2개 증가합니다.</t>
  </si>
  <si>
    <t>블루아카이브</t>
  </si>
  <si>
    <t>소지중인 골드의 1%만큼 데미지 상승</t>
  </si>
  <si>
    <t>빈 하트 1개당 피해량 5% 상승</t>
  </si>
  <si>
    <t>RowCollider을 무시하고 이동함.</t>
  </si>
  <si>
    <t>Fly</t>
  </si>
  <si>
    <t>몬티파이튼의 성배</t>
  </si>
  <si>
    <t>피해량이 20% 증가합니다.</t>
  </si>
  <si>
    <t>슈퍼 핫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</si>
  <si>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</si>
  <si>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</si>
  <si>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</si>
  <si>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</si>
  <si>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</si>
  <si>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</si>
  <si>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</si>
  <si>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</si>
  <si>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007 북경특급</t>
  </si>
  <si>
    <t>공격을 반대로 합니다. 대신 피해량이 25% 증가합니다.</t>
  </si>
  <si>
    <t>Reverse</t>
  </si>
  <si>
    <t>OnCharging</t>
  </si>
  <si>
    <t>MovementSpdChanged</t>
  </si>
  <si>
    <t>GoldChanged</t>
  </si>
  <si>
    <t>HpChanged</t>
  </si>
  <si>
    <t>Equip</t>
  </si>
  <si>
    <t>OnStop</t>
  </si>
  <si>
    <t>OnSwing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</si>
  <si>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</si>
  <si>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</si>
  <si>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</si>
  <si>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</si>
  <si>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</si>
  <si>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</si>
  <si>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Desc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</si>
  <si>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</si>
  <si>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</si>
  <si>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</si>
  <si>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</si>
  <si>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</si>
  <si>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</si>
  <si>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</si>
  <si>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</si>
  <si>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</si>
  <si>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</si>
  <si>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</si>
  <si>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</si>
  <si>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</si>
  <si>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</si>
  <si>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</si>
  <si>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</si>
  <si>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</si>
  <si>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</si>
  <si>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</si>
  <si>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</si>
  <si>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</si>
  <si>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</si>
  <si>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</si>
  <si>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</si>
  <si>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</si>
  <si>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</si>
  <si>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</si>
  <si>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</si>
  <si>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</si>
  <si>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</si>
  <si>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</si>
  <si>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</si>
  <si>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</si>
  <si>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</si>
  <si>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</si>
  <si>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</si>
  <si>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</si>
  <si>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</si>
  <si>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</si>
  <si>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</si>
  <si>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</si>
  <si>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</si>
  <si>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</si>
  <si>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</si>
  <si>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</si>
  <si>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</si>
  <si>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</si>
  <si>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</si>
  <si>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</si>
  <si>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</si>
  <si>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</si>
  <si>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</si>
  <si>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</si>
  <si>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</si>
  <si>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</si>
  <si>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</si>
  <si>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</si>
  <si>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</si>
  <si>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</si>
  <si>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</si>
  <si>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</si>
  <si>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</si>
  <si>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</si>
  <si>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</si>
  <si>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</si>
  <si>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</si>
  <si>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</si>
  <si>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</si>
  <si>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</si>
  <si>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</si>
  <si>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</si>
  <si>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</si>
  <si>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</si>
  <si>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</si>
  <si>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</si>
  <si>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</si>
  <si>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#Name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</si>
  <si>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</si>
  <si>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</si>
  <si>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</si>
  <si>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</si>
  <si>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</si>
  <si>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</si>
  <si>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</si>
  <si>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</si>
  <si>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</si>
  <si>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</si>
  <si>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</si>
  <si>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</si>
  <si>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</si>
  <si>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</si>
  <si>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</si>
  <si>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</si>
  <si>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</si>
  <si>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None</t>
    <phoneticPr fontId="1" type="noConversion"/>
  </si>
  <si>
    <t>(MaxHp-Hp)*0.5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</si>
  <si>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</si>
  <si>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</si>
  <si>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</si>
  <si>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</si>
  <si>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</si>
  <si>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</si>
  <si>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</si>
  <si>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</si>
  <si>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</si>
  <si>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</si>
  <si>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</si>
  <si>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</si>
  <si>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</si>
  <si>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</si>
  <si>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</si>
  <si>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</si>
  <si>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</si>
  <si>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</si>
  <si>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</si>
  <si>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</si>
  <si>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</si>
  <si>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</si>
  <si>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</si>
  <si>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</si>
  <si>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</si>
  <si>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</si>
  <si>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</si>
  <si>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</si>
  <si>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</si>
  <si>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</si>
  <si>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</si>
  <si>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</si>
  <si>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</si>
  <si>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</si>
  <si>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</si>
  <si>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</si>
  <si>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</si>
  <si>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</si>
  <si>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</si>
  <si>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</si>
  <si>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</si>
  <si>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</si>
  <si>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</si>
  <si>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</si>
  <si>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</si>
  <si>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</si>
  <si>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</si>
  <si>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</si>
  <si>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</si>
  <si>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</si>
  <si>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</si>
  <si>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</si>
  <si>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트럼펫</t>
  </si>
  <si>
    <t>ㄱㄱ</t>
    <phoneticPr fontId="1" type="noConversion"/>
  </si>
  <si>
    <t>#효과 한글</t>
    <phoneticPr fontId="1" type="noConversion"/>
  </si>
  <si>
    <t>롱기누스</t>
  </si>
  <si>
    <t>#개발여부</t>
    <phoneticPr fontId="1" type="noConversion"/>
  </si>
  <si>
    <t>#이름값</t>
    <phoneticPr fontId="1" type="noConversion"/>
  </si>
  <si>
    <t>#이름 일치 여부</t>
    <phoneticPr fontId="1" type="noConversion"/>
  </si>
  <si>
    <t>#Desc</t>
    <phoneticPr fontId="1" type="noConversion"/>
  </si>
  <si>
    <t>#Grade</t>
    <phoneticPr fontId="1" type="noConversion"/>
  </si>
  <si>
    <t>#인덱스 수식용</t>
    <phoneticPr fontId="1" type="noConversion"/>
  </si>
  <si>
    <t>#패러디</t>
    <phoneticPr fontId="1" type="noConversion"/>
  </si>
  <si>
    <t>#NameIndex</t>
    <phoneticPr fontId="1" type="noConversion"/>
  </si>
  <si>
    <t>#DescIndex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</si>
  <si>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</si>
  <si>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</si>
  <si>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</si>
  <si>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</si>
  <si>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</si>
  <si>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</si>
  <si>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</si>
  <si>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</si>
  <si>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</si>
  <si>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</si>
  <si>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</si>
  <si>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</si>
  <si>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</si>
  <si>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</si>
  <si>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#패러디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</si>
  <si>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</si>
  <si>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</si>
  <si>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</si>
  <si>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</si>
  <si>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</si>
  <si>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</si>
  <si>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</si>
  <si>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</si>
  <si>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</si>
  <si>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</si>
  <si>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ChargeShootSpd3</t>
    <phoneticPr fontId="1" type="noConversion"/>
  </si>
  <si>
    <t>ChargeShootSpd4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</si>
  <si>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</si>
  <si>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</si>
  <si>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</si>
  <si>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</si>
  <si>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</si>
  <si>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ChargeRigidDmg3</t>
    <phoneticPr fontId="1" type="noConversion"/>
  </si>
  <si>
    <t>ChargeRigidDmg4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</si>
  <si>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</si>
  <si>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</si>
  <si>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</si>
  <si>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</si>
  <si>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</si>
  <si>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</si>
  <si>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</si>
  <si>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</si>
  <si>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</si>
  <si>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</si>
  <si>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</si>
  <si>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</si>
  <si>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</si>
  <si>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</si>
  <si>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</si>
  <si>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</si>
  <si>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</si>
  <si>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</si>
  <si>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</si>
  <si>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</si>
  <si>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</si>
  <si>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</si>
  <si>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</si>
  <si>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</si>
  <si>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</si>
  <si>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</si>
  <si>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</si>
  <si>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</si>
  <si>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</si>
  <si>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</si>
  <si>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</si>
  <si>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</si>
  <si>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</si>
  <si>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</si>
  <si>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</si>
  <si>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</si>
  <si>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</si>
  <si>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</si>
  <si>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</si>
  <si>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ChargeTime1</t>
  </si>
  <si>
    <t>ChargeTime2</t>
  </si>
  <si>
    <t>ChargeTime3</t>
  </si>
  <si>
    <t>ChargeShootSpd1</t>
  </si>
  <si>
    <t>ChargeShootSpd2</t>
  </si>
  <si>
    <t>ChargeShootSpd3</t>
  </si>
  <si>
    <t>ChargeShootSpd4</t>
  </si>
  <si>
    <t>ChargeBounceCount1</t>
  </si>
  <si>
    <t>ChargeBounceCount2</t>
  </si>
  <si>
    <t>ChargeBounceCount3</t>
  </si>
  <si>
    <t>ChargeBounceCount4</t>
  </si>
  <si>
    <t>ChargeRigidDmg1</t>
  </si>
  <si>
    <t>ChargeRigidDmg2</t>
  </si>
  <si>
    <t>ChargeRigidDmg3</t>
  </si>
  <si>
    <t>ChargeRigidDmg4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</si>
  <si>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</si>
  <si>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</si>
  <si>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</si>
  <si>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</si>
  <si>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</si>
  <si>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</si>
  <si>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</si>
  <si>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</si>
  <si>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</si>
  <si>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</si>
  <si>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차징속도변경-2단계</t>
  </si>
  <si>
    <t>차징속도변경-3단계</t>
  </si>
  <si>
    <t>튕겨내기탄환속도변경-미차징</t>
  </si>
  <si>
    <t>튕겨내기탄환속도변경-1단계</t>
  </si>
  <si>
    <t>튕겨내기탄환속도변경-2단계</t>
  </si>
  <si>
    <t>튕겨내기탄환속도변경-3단계</t>
  </si>
  <si>
    <t>직접공격피해량-미차징</t>
  </si>
  <si>
    <t>직접공격피해량-1단계</t>
  </si>
  <si>
    <t>직접공격피해량-2단계</t>
  </si>
  <si>
    <t>직접공격피해량-3단계</t>
  </si>
  <si>
    <t>차징에 따른 충돌 횟수 변경 - 1단계</t>
    <phoneticPr fontId="1" type="noConversion"/>
  </si>
  <si>
    <t>차징에 따른 충돌 횟수 변경 - 2단계</t>
    <phoneticPr fontId="1" type="noConversion"/>
  </si>
  <si>
    <t>차징에 따른 충돌 횟수 변경 - 3단계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</si>
  <si>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</si>
  <si>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</si>
  <si>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</si>
  <si>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</si>
  <si>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</si>
  <si>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</si>
  <si>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</si>
  <si>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</si>
  <si>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자동 인덱싱을 위한 값들 ▶</t>
    <phoneticPr fontId="1" type="noConversion"/>
  </si>
  <si>
    <t>효력 검사 ▶</t>
    <phoneticPr fontId="1" type="noConversion"/>
  </si>
  <si>
    <t>ChargeTime1</t>
    <phoneticPr fontId="1" type="noConversion"/>
  </si>
  <si>
    <t>ChargeTime2</t>
    <phoneticPr fontId="1" type="noConversion"/>
  </si>
  <si>
    <t>ChargeTime3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</si>
  <si>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</si>
  <si>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</si>
  <si>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</si>
  <si>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</si>
  <si>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</si>
  <si>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</si>
  <si>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</si>
  <si>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</si>
  <si>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#던진공 차징2 튕겨내기 DPS3</t>
    <phoneticPr fontId="1" type="noConversion"/>
  </si>
  <si>
    <t>#던진공 차징3 튕겨내기 DPS4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</si>
  <si>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</si>
  <si>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</si>
  <si>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</si>
  <si>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</si>
  <si>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</si>
  <si>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</si>
  <si>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</si>
  <si>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</si>
  <si>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</si>
  <si>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</si>
  <si>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</si>
  <si>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</si>
  <si>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</si>
  <si>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Addition</t>
    <phoneticPr fontId="1" type="noConversion"/>
  </si>
  <si>
    <t>Multiply</t>
    <phoneticPr fontId="1" type="noConversion"/>
  </si>
  <si>
    <t>#오차값</t>
    <phoneticPr fontId="1" type="noConversion"/>
  </si>
  <si>
    <t>#ApplyValue 수식</t>
    <phoneticPr fontId="1" type="noConversion"/>
  </si>
  <si>
    <t>MovementSpd*-0.01</t>
    <phoneticPr fontId="1" type="noConversion"/>
  </si>
  <si>
    <t>MaxHp/500</t>
    <phoneticPr fontId="1" type="noConversion"/>
  </si>
  <si>
    <t>1+Gold*0.005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</si>
  <si>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</si>
  <si>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</si>
  <si>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</si>
  <si>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</si>
  <si>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</si>
  <si>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</si>
  <si>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</si>
  <si>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</si>
  <si>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</si>
  <si>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</si>
  <si>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</si>
  <si>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</si>
  <si>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</si>
  <si>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</si>
  <si>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</si>
  <si>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</si>
  <si>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</si>
  <si>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</si>
  <si>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</si>
  <si>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</si>
  <si>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</si>
  <si>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</si>
  <si>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</si>
  <si>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</si>
  <si>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</si>
  <si>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</si>
  <si>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</si>
  <si>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</si>
  <si>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</si>
  <si>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</si>
  <si>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</si>
  <si>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</si>
  <si>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</si>
  <si>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</si>
  <si>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</si>
  <si>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StatChange</t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</si>
  <si>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</si>
  <si>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</si>
  <si>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</si>
  <si>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</si>
  <si>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</si>
  <si>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</si>
  <si>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</si>
  <si>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</si>
  <si>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</si>
  <si>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</si>
  <si>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</si>
  <si>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</si>
  <si>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</si>
  <si>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</si>
  <si>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</si>
  <si>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</si>
  <si>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</si>
  <si>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</si>
  <si>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</si>
  <si>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</si>
  <si>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</si>
  <si>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</si>
  <si>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</si>
  <si>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</si>
  <si>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</si>
  <si>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</si>
  <si>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</si>
  <si>
    <t>TeleportAllowableDistance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</si>
</sst>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88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표 스타일 1" defaultPivotStyle="PivotStyleLight16">
    <tableStyle name="표 스타일 1" pivot="0" count="4" xr9:uid="{00000000-0011-0000-FFFF-FFFF00000000}">
      <tableStyleElement type="wholeTable" dxfId="87"/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8" totalsRowShown="0" headerRowDxfId="82" dataDxfId="81">
  <autoFilter ref="B6:E38" xr:uid="{00000000-0009-0000-0100-000008000000}"/>
  <tableColumns count="4">
    <tableColumn id="1" xr3:uid="{00000000-0010-0000-0100-000001000000}" name="스텟" dataDxfId="80"/>
    <tableColumn id="4" xr3:uid="{00000000-0010-0000-0100-000004000000}" name="참조 테이블" dataDxfId="79"/>
    <tableColumn id="2" xr3:uid="{00000000-0010-0000-0100-000002000000}" name="설명" dataDxfId="78"/>
    <tableColumn id="3" xr3:uid="{00000000-0010-0000-0100-000003000000}" name="Value 1당 가치" dataDxfId="77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73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72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71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70">
      <calculatedColumnFormula array="1">CharacterAtkTable['#던진공 차징3 튕겨내기 DPS4]</calculatedColumnFormula>
    </tableColumn>
    <tableColumn id="9" xr3:uid="{00000000-0010-0000-0400-000009000000}" name="예상 전투 시간" dataDxfId="69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65"/>
    <tableColumn id="2" xr3:uid="{00000000-0010-0000-0600-000002000000}" name="value"/>
    <tableColumn id="3" xr3:uid="{00000000-0010-0000-0600-000003000000}" name="#설명" dataDxfId="64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62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0" xr3:uid="{00000000-0010-0000-0800-000014000000}" name="#설명" dataDxfId="60"/>
    <tableColumn id="7" xr3:uid="{00000000-0010-0000-0800-000007000000}" name="ThrowCooldown" dataDxfId="59"/>
    <tableColumn id="33" xr3:uid="{00000000-0010-0000-0800-000021000000}" name="ThrowAfterDelay" dataDxfId="58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57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0" xr3:uid="{FADD3816-3440-45EC-BB57-EE9C9468F425}" name="TeleportAllowableDistance"/>
    <tableColumn id="19" xr3:uid="{00000000-0010-0000-0800-000013000000}" name="AtkDmgPer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  <tableColumn id="39" xr3:uid="{00000000-0010-0000-0800-000027000000}" name="#던진공 차징2 튕겨내기 DPS3">
      <calculatedColumnFormula>( INDEX(ProjectileTable[DirectDmg],MATCH(CharacterTable[[#This Row],[DefaultBallDataId]],ProjectileTable[Index],0))+#REF! )
/ ( CharacterAtkTable[[#This Row],[SwingCooldown]] +#REF! + CharacterAtkTable[[#This Row],[ThrowAfterDelay]])
* (1 + (#REF!/2))</calculatedColumnFormula>
    </tableColumn>
    <tableColumn id="40" xr3:uid="{00000000-0010-0000-0800-000028000000}" name="#던진공 차징3 튕겨내기 DPS4">
      <calculatedColumnFormula>( INDEX(ProjectileTable[DirectDmg],MATCH(CharacterTable[[#This Row],[DefaultBallDataId]],ProjectileTable[Index],0))+#REF! )
/ ( CharacterAtkTable[[#This Row],[SwingCooldown]] +#REF! + CharacterAtkTable[[#This Row],[ThrowAfterDelay]])
* (1 + (#REF!/2))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6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55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54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53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52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51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50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9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0" totalsRowShown="0">
  <autoFilter ref="B2:S10" xr:uid="{00000000-0009-0000-0100-000012000000}"/>
  <tableColumns count="18">
    <tableColumn id="2" xr3:uid="{00000000-0010-0000-0B00-000002000000}" name="Index"/>
    <tableColumn id="1" xr3:uid="{00000000-0010-0000-0B00-000001000000}" name="#이름" dataDxfId="46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45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44"/>
    <tableColumn id="6" xr3:uid="{00000000-0010-0000-0C00-000006000000}" name="ShootDataId" dataDxfId="43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42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41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40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M39" totalsRowShown="0" headerRowDxfId="39">
  <autoFilter ref="B2:M39" xr:uid="{00000000-0009-0000-0100-000004000000}"/>
  <tableColumns count="12">
    <tableColumn id="2" xr3:uid="{00000000-0010-0000-0F00-000002000000}" name="Index" dataDxfId="38"/>
    <tableColumn id="5" xr3:uid="{00000000-0010-0000-0F00-000005000000}" name="Name" dataDxfId="37">
      <calculatedColumnFormula>ItemTable[[#This Row],[Index]]+10000</calculatedColumnFormula>
    </tableColumn>
    <tableColumn id="7" xr3:uid="{00000000-0010-0000-0F00-000007000000}" name="Desc" dataDxfId="36">
      <calculatedColumnFormula>ItemTable[[#This Row],[Index]]+20000</calculatedColumnFormula>
    </tableColumn>
    <tableColumn id="4" xr3:uid="{00000000-0010-0000-0F00-000004000000}" name="GradeType" dataDxfId="35"/>
    <tableColumn id="21" xr3:uid="{00000000-0010-0000-0F00-000015000000}" name="Value" dataDxfId="34"/>
    <tableColumn id="22" xr3:uid="{00000000-0010-0000-0F00-000016000000}" name="CostHp" dataDxfId="33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32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31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30"/>
    <tableColumn id="15" xr3:uid="{00000000-0010-0000-0F00-00000F000000}" name="#이름" dataDxfId="29">
      <calculatedColumnFormula>INDEX(LocaleTable[LocaleKR],MATCH(ItemTable[[#This Row],[Name]],LocaleTable[Index],0))</calculatedColumnFormula>
    </tableColumn>
    <tableColumn id="16" xr3:uid="{00000000-0010-0000-0F00-000010000000}" name="#설명" dataDxfId="28">
      <calculatedColumnFormula>INDEX(LocaleTable[LocaleKR],MATCH(ItemTable[[#This Row],[Desc]],LocaleTable[Index],0))</calculatedColumnFormula>
    </tableColumn>
    <tableColumn id="6" xr3:uid="{00000000-0010-0000-0F00-000006000000}" name="#패러디" dataDxfId="27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Y58" totalsRowShown="0" headerRowDxfId="26">
  <autoFilter ref="B2:Y58" xr:uid="{00000000-0009-0000-0100-000001000000}"/>
  <tableColumns count="24">
    <tableColumn id="1" xr3:uid="{00000000-0010-0000-1000-000001000000}" name="#개발여부" dataDxfId="25"/>
    <tableColumn id="12" xr3:uid="{00000000-0010-0000-1000-00000C000000}" name="#이름값" dataDxfId="24"/>
    <tableColumn id="4" xr3:uid="{00000000-0010-0000-1000-000004000000}" name="#Grade" dataDxfId="23"/>
    <tableColumn id="2" xr3:uid="{00000000-0010-0000-1000-000002000000}" name="Index" dataDxfId="22">
      <calculatedColumnFormula array="1">_xlfn.IFS(ItemEffectTable[[#This Row],['#Grade]]="Weapon",6000,
ItemEffectTable[[#This Row],['#Grade]]="Normal",7000,
ItemEffectTable[[#This Row],['#Grade]]="Rare",8000,
ItemEffectTable[[#This Row],['#Grade]]="Cursed",9000)
+ COUNTIF($D$3:D3,ItemEffectTable[[#This Row],['#Grade]])
-ItemEffectTable[[#This Row],['#인덱스 수식용]]-1</calculatedColumnFormula>
    </tableColumn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21">
      <calculatedColumnFormula>IF(ItemEffectTable[[#This Row],[ApplyType]]="StatChange",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20">
      <calculatedColumnFormula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19">
      <calculatedColumnFormula array="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8">
      <calculatedColumnFormula array="1">CharacterTable[MovementSpd]*0.01</calculatedColumnFormula>
    </tableColumn>
    <tableColumn id="17" xr3:uid="{00000000-0010-0000-1000-000011000000}" name="#적용 후" dataDxfId="17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16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15">
      <calculatedColumnFormula array="1">SUM(IF($E$3:$E$58=E3,$P$3:$P$58))</calculatedColumnFormula>
    </tableColumn>
    <tableColumn id="18" xr3:uid="{00000000-0010-0000-1000-000012000000}" name="#오차값" dataDxfId="14">
      <calculatedColumnFormula>INDEX(표9[],MATCH(ItemEffectTable[[#This Row],['#Grade]],표9[#Headers],0))-ItemEffectTable[[#This Row],['#총 효력가치]]</calculatedColumnFormula>
    </tableColumn>
    <tableColumn id="6" xr3:uid="{00000000-0010-0000-1000-000006000000}" name="#패러디" dataDxfId="13"/>
    <tableColumn id="14" xr3:uid="{00000000-0010-0000-1000-00000E000000}" name="#인덱스 수식용" dataDxfId="12">
      <calculatedColumnFormula array="1">_xlfn.IFS(
ISTEXT(T2),0,
AND(ItemEffectTable[[#This Row],['#Grade]]=D2,ItemEffectTable[[#This Row],['#이름값]]=C2),T2+1,
ItemEffectTable[[#This Row],['#Grade]]&lt;&gt;D2,0,
ItemEffectTable[[#This Row],['#Grade]]=D2,T2
)</calculatedColumnFormula>
    </tableColumn>
    <tableColumn id="13" xr3:uid="{00000000-0010-0000-1000-00000D000000}" name="#이름 일치 여부" dataDxfId="11">
      <calculatedColumnFormula>IF(ItemEffectTable[[#This Row],['#이름값]]=ItemEffectTable[[#This Row],['#Name]],"TRUE","FALSE")</calculatedColumnFormula>
    </tableColumn>
    <tableColumn id="5" xr3:uid="{00000000-0010-0000-1000-000005000000}" name="#NameIndex" dataDxfId="10">
      <calculatedColumnFormula>INDEX(ItemTable[Name],MATCH(ItemEffectTable[[#This Row],[Index]],ItemTable[ItemEffectDataId],0))</calculatedColumnFormula>
    </tableColumn>
    <tableColumn id="7" xr3:uid="{00000000-0010-0000-1000-000007000000}" name="#DescIndex" dataDxfId="9">
      <calculatedColumnFormula>INDEX(ItemTable[Desc],MATCH(ItemEffectTable[[#This Row],[Index]],ItemTable[ItemEffectDataId],0))</calculatedColumnFormula>
    </tableColumn>
    <tableColumn id="15" xr3:uid="{00000000-0010-0000-1000-00000F000000}" name="#Name" dataDxfId="8">
      <calculatedColumnFormula>INDEX(LocaleTable[LocaleKR],MATCH(ItemEffectTable[[#This Row],['#NameIndex]],LocaleTable[Index],0))</calculatedColumnFormula>
    </tableColumn>
    <tableColumn id="16" xr3:uid="{00000000-0010-0000-1000-000010000000}" name="#Desc" dataDxfId="7">
      <calculatedColumnFormula>INDEX(LocaleTable[LocaleKR],MATCH(ItemEffectTable[[#This Row],['#DescIndex]],LocaleTable[Index],0))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>
      <calculatedColumnFormula>INDEX(ItemEffectTable['#Name],MATCH(ItemResourceTable[[#This Row],[Index]],ItemEffectTable[ApplyValue],0))</calculatedColumnFormula>
    </tableColumn>
    <tableColumn id="5" xr3:uid="{00000000-0010-0000-1100-000005000000}" name="#리소스 유형" dataDxfId="4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2" xr3:uid="{00000000-0010-0000-1200-000002000000}" name="Index" dataDxfId="2"/>
    <tableColumn id="5" xr3:uid="{00000000-0010-0000-1200-000005000000}" name="LocaleKR" dataDxfId="1"/>
    <tableColumn id="16" xr3:uid="{00000000-0010-0000-1200-000010000000}" name="LocaleUS"/>
    <tableColumn id="1" xr3:uid="{00000000-0010-0000-1200-000001000000}" name="#설명값참조" dataDxfId="0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defaultColWidth="8.875" defaultRowHeight="16.5"/>
  <sheetData>
    <row r="1" spans="2:5" s="1" customFormat="1">
      <c r="B1" s="25" t="s">
        <v>250</v>
      </c>
      <c r="C1" s="26"/>
      <c r="D1" s="26"/>
      <c r="E1" s="26"/>
    </row>
    <row r="2" spans="2:5" s="1" customFormat="1">
      <c r="B2" s="26"/>
      <c r="C2" s="26"/>
      <c r="D2" s="26"/>
      <c r="E2" s="26"/>
    </row>
    <row r="3" spans="2:5" s="1" customFormat="1">
      <c r="B3" s="26"/>
      <c r="C3" s="26"/>
      <c r="D3" s="26"/>
      <c r="E3" s="26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D22" sqref="D22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25" t="s">
        <v>249</v>
      </c>
      <c r="C1" s="26"/>
      <c r="D1" s="26"/>
      <c r="E1" s="26"/>
    </row>
    <row r="2" spans="2:8" s="1" customFormat="1">
      <c r="B2" s="26"/>
      <c r="C2" s="26"/>
      <c r="D2" s="26"/>
      <c r="E2" s="26"/>
    </row>
    <row r="3" spans="2:8" s="1" customFormat="1">
      <c r="B3" s="26"/>
      <c r="C3" s="26"/>
      <c r="D3" s="26"/>
      <c r="E3" s="26"/>
    </row>
    <row r="5" spans="2:8">
      <c r="B5" s="2" t="s">
        <v>107</v>
      </c>
    </row>
    <row r="6" spans="2:8">
      <c r="B6" t="s">
        <v>108</v>
      </c>
      <c r="C6" t="s">
        <v>109</v>
      </c>
      <c r="D6" t="s">
        <v>98</v>
      </c>
      <c r="E6" t="s">
        <v>91</v>
      </c>
      <c r="F6" t="s">
        <v>93</v>
      </c>
      <c r="G6" t="s">
        <v>94</v>
      </c>
      <c r="H6" t="s">
        <v>92</v>
      </c>
    </row>
    <row r="7" spans="2:8">
      <c r="B7" t="s">
        <v>109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98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8"/>
  <sheetViews>
    <sheetView topLeftCell="E1" workbookViewId="0">
      <selection activeCell="O7" sqref="O7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25" t="s">
        <v>170</v>
      </c>
      <c r="C1" s="26"/>
      <c r="D1" s="26"/>
      <c r="E1" s="26"/>
      <c r="F1" s="26"/>
    </row>
    <row r="2" spans="1:21" s="1" customFormat="1">
      <c r="B2" s="26"/>
      <c r="C2" s="26"/>
      <c r="D2" s="26"/>
      <c r="E2" s="26"/>
      <c r="F2" s="26"/>
    </row>
    <row r="3" spans="1:21" s="1" customFormat="1">
      <c r="B3" s="26"/>
      <c r="C3" s="26"/>
      <c r="D3" s="26"/>
      <c r="E3" s="26"/>
      <c r="F3" s="26"/>
    </row>
    <row r="5" spans="1:21">
      <c r="B5" s="3" t="s">
        <v>137</v>
      </c>
      <c r="G5" s="2" t="s">
        <v>173</v>
      </c>
      <c r="R5" s="3" t="s">
        <v>178</v>
      </c>
    </row>
    <row r="6" spans="1:21">
      <c r="B6" t="s">
        <v>134</v>
      </c>
      <c r="C6" t="s">
        <v>387</v>
      </c>
      <c r="D6" t="s">
        <v>337</v>
      </c>
      <c r="E6" s="4" t="s">
        <v>367</v>
      </c>
      <c r="G6" t="s">
        <v>169</v>
      </c>
      <c r="H6" t="s">
        <v>91</v>
      </c>
      <c r="I6" t="s">
        <v>93</v>
      </c>
      <c r="J6" t="s">
        <v>181</v>
      </c>
      <c r="K6" t="s">
        <v>180</v>
      </c>
      <c r="L6" t="s">
        <v>171</v>
      </c>
      <c r="M6" t="s">
        <v>176</v>
      </c>
      <c r="N6" t="s">
        <v>177</v>
      </c>
      <c r="O6" t="s">
        <v>384</v>
      </c>
      <c r="P6" t="s">
        <v>172</v>
      </c>
      <c r="R6" t="s">
        <v>136</v>
      </c>
      <c r="S6" t="s">
        <v>179</v>
      </c>
    </row>
    <row r="7" spans="1:21">
      <c r="A7" s="20"/>
      <c r="B7" s="18" t="s">
        <v>27</v>
      </c>
      <c r="C7" s="20" t="s">
        <v>318</v>
      </c>
      <c r="D7" t="s">
        <v>338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 cm="1">
        <f t="array" ref="O7">CharacterAtkTable['#던진공 차징3 튕겨내기 DPS4]</f>
        <v>#REF!</v>
      </c>
      <c r="P7" t="e">
        <f>(밸런스시트[[#This Row],[레벨당 평균 적]]*밸런스시트[[#This Row],[방 개수]]*밸런스시트[[#This Row],[적 체력]])
/밸런스시트[[#This Row],[PC 최대 DPS]]</f>
        <v>#REF!</v>
      </c>
      <c r="R7">
        <f>1/15</f>
        <v>6.6666666666666666E-2</v>
      </c>
      <c r="S7">
        <v>3</v>
      </c>
    </row>
    <row r="8" spans="1:21">
      <c r="A8" s="17"/>
      <c r="B8" s="17" t="s">
        <v>33</v>
      </c>
      <c r="C8" s="17" t="s">
        <v>319</v>
      </c>
      <c r="D8" t="s">
        <v>341</v>
      </c>
      <c r="E8" s="4">
        <f>50/3</f>
        <v>16.666666666666668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CharacterAtkTable['#던진공 차징3 튕겨내기 DPS4]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>
      <c r="A9" s="17"/>
      <c r="B9" s="17" t="s">
        <v>41</v>
      </c>
      <c r="C9" s="17" t="s">
        <v>319</v>
      </c>
      <c r="D9" t="s">
        <v>343</v>
      </c>
      <c r="E9" s="4">
        <f>50/150</f>
        <v>0.33333333333333331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CharacterAtkTable['#던진공 차징3 튕겨내기 DPS4]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135</v>
      </c>
      <c r="S9" s="3"/>
      <c r="T9" s="3"/>
    </row>
    <row r="10" spans="1:21">
      <c r="A10" s="17"/>
      <c r="B10" s="17" t="s">
        <v>131</v>
      </c>
      <c r="C10" s="17" t="s">
        <v>319</v>
      </c>
      <c r="D10" t="s">
        <v>344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CharacterAtkTable['#던진공 차징3 튕겨내기 DPS4]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91</v>
      </c>
      <c r="S10" t="s">
        <v>93</v>
      </c>
      <c r="T10" t="s">
        <v>94</v>
      </c>
      <c r="U10" t="s">
        <v>92</v>
      </c>
    </row>
    <row r="11" spans="1:21">
      <c r="A11" s="17"/>
      <c r="B11" s="17" t="s">
        <v>53</v>
      </c>
      <c r="C11" s="17" t="s">
        <v>319</v>
      </c>
      <c r="D11" t="s">
        <v>345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CharacterAtkTable['#던진공 차징3 튕겨내기 DPS4]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>
      <c r="A12" s="17"/>
      <c r="B12" s="17" t="s">
        <v>38</v>
      </c>
      <c r="C12" s="17" t="s">
        <v>320</v>
      </c>
      <c r="D12" t="s">
        <v>342</v>
      </c>
      <c r="E12" s="4">
        <f>50/2.5</f>
        <v>20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CharacterAtkTable['#던진공 차징3 튕겨내기 DPS4]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>
      <c r="A13" s="17"/>
      <c r="B13" s="18" t="s">
        <v>267</v>
      </c>
      <c r="C13" s="17" t="s">
        <v>321</v>
      </c>
      <c r="D13" s="4" t="s">
        <v>385</v>
      </c>
      <c r="E13" s="4">
        <f>50/2.5</f>
        <v>20</v>
      </c>
      <c r="R13" s="2" t="s">
        <v>174</v>
      </c>
    </row>
    <row r="14" spans="1:21">
      <c r="A14" s="17"/>
      <c r="B14" s="18" t="s">
        <v>268</v>
      </c>
      <c r="C14" s="17" t="s">
        <v>321</v>
      </c>
      <c r="D14" s="4" t="s">
        <v>386</v>
      </c>
      <c r="E14" s="4">
        <f>50/360</f>
        <v>0.1388888888888889</v>
      </c>
      <c r="R14" t="s">
        <v>175</v>
      </c>
      <c r="S14" t="s">
        <v>168</v>
      </c>
    </row>
    <row r="15" spans="1:21">
      <c r="A15" s="17"/>
      <c r="B15" s="17" t="s">
        <v>317</v>
      </c>
      <c r="C15" s="17" t="s">
        <v>321</v>
      </c>
      <c r="D15" t="s">
        <v>361</v>
      </c>
      <c r="E15" s="4">
        <f>30/-0.2</f>
        <v>-150</v>
      </c>
      <c r="R15">
        <v>100</v>
      </c>
      <c r="S15">
        <v>0.2</v>
      </c>
    </row>
    <row r="16" spans="1:21">
      <c r="A16" s="17"/>
      <c r="B16" s="18" t="s">
        <v>30</v>
      </c>
      <c r="C16" s="17" t="s">
        <v>321</v>
      </c>
      <c r="D16" s="4" t="s">
        <v>339</v>
      </c>
      <c r="E16" s="16">
        <f>30/7</f>
        <v>4.2857142857142856</v>
      </c>
    </row>
    <row r="17" spans="1:5">
      <c r="A17" s="17"/>
      <c r="B17" s="18" t="s">
        <v>284</v>
      </c>
      <c r="C17" s="17" t="s">
        <v>321</v>
      </c>
      <c r="D17" s="4" t="s">
        <v>340</v>
      </c>
      <c r="E17" s="4">
        <f>50/0.3</f>
        <v>166.66666666666669</v>
      </c>
    </row>
    <row r="18" spans="1:5">
      <c r="A18" s="17"/>
      <c r="B18" s="18" t="s">
        <v>322</v>
      </c>
      <c r="C18" s="17" t="s">
        <v>321</v>
      </c>
      <c r="D18" s="4" t="s">
        <v>346</v>
      </c>
      <c r="E18" s="19">
        <f>(50/3)/-0.3</f>
        <v>-55.555555555555564</v>
      </c>
    </row>
    <row r="19" spans="1:5">
      <c r="A19" s="17"/>
      <c r="B19" s="18" t="s">
        <v>323</v>
      </c>
      <c r="C19" s="17" t="s">
        <v>321</v>
      </c>
      <c r="D19" s="4" t="s">
        <v>347</v>
      </c>
      <c r="E19" s="19">
        <f t="shared" ref="E19:E20" si="0">(50/3)/-0.3</f>
        <v>-55.555555555555564</v>
      </c>
    </row>
    <row r="20" spans="1:5">
      <c r="A20" s="17"/>
      <c r="B20" s="18" t="s">
        <v>324</v>
      </c>
      <c r="C20" s="17" t="s">
        <v>321</v>
      </c>
      <c r="D20" s="4" t="s">
        <v>348</v>
      </c>
      <c r="E20" s="19">
        <f t="shared" si="0"/>
        <v>-55.555555555555564</v>
      </c>
    </row>
    <row r="21" spans="1:5">
      <c r="A21" s="17"/>
      <c r="B21" s="18" t="s">
        <v>325</v>
      </c>
      <c r="C21" s="17" t="s">
        <v>321</v>
      </c>
      <c r="D21" s="4" t="s">
        <v>349</v>
      </c>
      <c r="E21" s="4">
        <f>50/100</f>
        <v>0.5</v>
      </c>
    </row>
    <row r="22" spans="1:5">
      <c r="A22" s="17"/>
      <c r="B22" s="18" t="s">
        <v>326</v>
      </c>
      <c r="C22" s="17" t="s">
        <v>321</v>
      </c>
      <c r="D22" s="4" t="s">
        <v>350</v>
      </c>
      <c r="E22" s="4">
        <f t="shared" ref="E22:E24" si="1">50/100</f>
        <v>0.5</v>
      </c>
    </row>
    <row r="23" spans="1:5">
      <c r="A23" s="17"/>
      <c r="B23" s="18" t="s">
        <v>327</v>
      </c>
      <c r="C23" s="17" t="s">
        <v>321</v>
      </c>
      <c r="D23" s="4" t="s">
        <v>351</v>
      </c>
      <c r="E23" s="4">
        <f t="shared" si="1"/>
        <v>0.5</v>
      </c>
    </row>
    <row r="24" spans="1:5">
      <c r="A24" s="17"/>
      <c r="B24" s="18" t="s">
        <v>328</v>
      </c>
      <c r="C24" s="17" t="s">
        <v>321</v>
      </c>
      <c r="D24" s="4" t="s">
        <v>352</v>
      </c>
      <c r="E24" s="4">
        <f t="shared" si="1"/>
        <v>0.5</v>
      </c>
    </row>
    <row r="25" spans="1:5">
      <c r="A25" s="17"/>
      <c r="B25" s="18" t="s">
        <v>329</v>
      </c>
      <c r="C25" s="17" t="s">
        <v>321</v>
      </c>
      <c r="D25" s="4" t="s">
        <v>360</v>
      </c>
      <c r="E25" s="4">
        <f>50/2</f>
        <v>25</v>
      </c>
    </row>
    <row r="26" spans="1:5">
      <c r="A26" s="17"/>
      <c r="B26" s="18" t="s">
        <v>330</v>
      </c>
      <c r="C26" s="17" t="s">
        <v>321</v>
      </c>
      <c r="D26" s="4" t="s">
        <v>357</v>
      </c>
      <c r="E26" s="4">
        <f t="shared" ref="E26:E28" si="2">50/2</f>
        <v>25</v>
      </c>
    </row>
    <row r="27" spans="1:5">
      <c r="A27" s="17"/>
      <c r="B27" s="18" t="s">
        <v>331</v>
      </c>
      <c r="C27" s="17" t="s">
        <v>321</v>
      </c>
      <c r="D27" s="4" t="s">
        <v>358</v>
      </c>
      <c r="E27" s="4">
        <f t="shared" si="2"/>
        <v>25</v>
      </c>
    </row>
    <row r="28" spans="1:5">
      <c r="A28" s="17"/>
      <c r="B28" s="18" t="s">
        <v>332</v>
      </c>
      <c r="C28" s="17" t="s">
        <v>321</v>
      </c>
      <c r="D28" s="4" t="s">
        <v>359</v>
      </c>
      <c r="E28" s="4">
        <f t="shared" si="2"/>
        <v>25</v>
      </c>
    </row>
    <row r="29" spans="1:5">
      <c r="A29" s="17"/>
      <c r="B29" s="18" t="s">
        <v>333</v>
      </c>
      <c r="C29" s="17" t="s">
        <v>321</v>
      </c>
      <c r="D29" s="4" t="s">
        <v>353</v>
      </c>
      <c r="E29" s="4">
        <f>50/25</f>
        <v>2</v>
      </c>
    </row>
    <row r="30" spans="1:5">
      <c r="A30" s="17"/>
      <c r="B30" s="18" t="s">
        <v>334</v>
      </c>
      <c r="C30" s="17" t="s">
        <v>321</v>
      </c>
      <c r="D30" s="4" t="s">
        <v>354</v>
      </c>
      <c r="E30" s="4">
        <f t="shared" ref="E30:E32" si="3">50/25</f>
        <v>2</v>
      </c>
    </row>
    <row r="31" spans="1:5">
      <c r="A31" s="17"/>
      <c r="B31" s="18" t="s">
        <v>335</v>
      </c>
      <c r="C31" s="17" t="s">
        <v>321</v>
      </c>
      <c r="D31" s="4" t="s">
        <v>355</v>
      </c>
      <c r="E31" s="4">
        <f t="shared" si="3"/>
        <v>2</v>
      </c>
    </row>
    <row r="32" spans="1:5">
      <c r="A32" s="17"/>
      <c r="B32" s="18" t="s">
        <v>336</v>
      </c>
      <c r="C32" s="17" t="s">
        <v>321</v>
      </c>
      <c r="D32" s="4" t="s">
        <v>356</v>
      </c>
      <c r="E32" s="4">
        <f t="shared" si="3"/>
        <v>2</v>
      </c>
    </row>
    <row r="33" spans="1:5">
      <c r="A33" s="17"/>
      <c r="B33" s="18" t="s">
        <v>67</v>
      </c>
      <c r="C33" s="18" t="s">
        <v>388</v>
      </c>
      <c r="D33" s="18" t="s">
        <v>362</v>
      </c>
      <c r="E33" s="4">
        <v>-50</v>
      </c>
    </row>
    <row r="34" spans="1:5">
      <c r="A34" s="17"/>
      <c r="B34" s="18" t="s">
        <v>389</v>
      </c>
      <c r="C34" s="18" t="s">
        <v>388</v>
      </c>
      <c r="D34" s="18" t="s">
        <v>390</v>
      </c>
      <c r="E34" s="4">
        <v>-25</v>
      </c>
    </row>
    <row r="35" spans="1:5">
      <c r="A35" s="17"/>
      <c r="B35" s="18" t="s">
        <v>64</v>
      </c>
      <c r="C35" s="18" t="s">
        <v>388</v>
      </c>
      <c r="D35" s="18" t="s">
        <v>363</v>
      </c>
      <c r="E35" s="4">
        <v>50</v>
      </c>
    </row>
    <row r="36" spans="1:5">
      <c r="A36" s="17"/>
      <c r="B36" s="18" t="s">
        <v>59</v>
      </c>
      <c r="C36" s="18" t="s">
        <v>388</v>
      </c>
      <c r="D36" s="18" t="s">
        <v>364</v>
      </c>
      <c r="E36" s="4">
        <v>50</v>
      </c>
    </row>
    <row r="37" spans="1:5">
      <c r="A37" s="17"/>
      <c r="B37" s="18" t="s">
        <v>46</v>
      </c>
      <c r="C37" s="18" t="s">
        <v>388</v>
      </c>
      <c r="D37" s="18" t="s">
        <v>365</v>
      </c>
      <c r="E37" s="4">
        <v>50</v>
      </c>
    </row>
    <row r="38" spans="1:5">
      <c r="A38" s="17"/>
      <c r="B38" s="18" t="s">
        <v>66</v>
      </c>
      <c r="C38" s="18" t="s">
        <v>388</v>
      </c>
      <c r="D38" s="18" t="s">
        <v>366</v>
      </c>
      <c r="E38" s="4">
        <v>50</v>
      </c>
    </row>
  </sheetData>
  <mergeCells count="1">
    <mergeCell ref="B1:F3"/>
  </mergeCells>
  <phoneticPr fontId="1" type="noConversion"/>
  <pageMargins left="0.7" right="0.7" top="0.75" bottom="0.75" header="0.3" footer="0.3"/>
  <ignoredErrors>
    <ignoredError sqref="E9" formula="1"/>
  </ignoredErrors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112</v>
      </c>
      <c r="B1" t="s">
        <v>89</v>
      </c>
      <c r="C1" t="s">
        <v>118</v>
      </c>
      <c r="D1" t="s">
        <v>89</v>
      </c>
    </row>
    <row r="2" spans="1:4">
      <c r="A2" t="s">
        <v>81</v>
      </c>
      <c r="B2" s="8" t="s">
        <v>186</v>
      </c>
      <c r="C2" t="s">
        <v>0</v>
      </c>
      <c r="D2" s="8" t="s">
        <v>185</v>
      </c>
    </row>
    <row r="3" spans="1:4">
      <c r="A3">
        <v>1</v>
      </c>
      <c r="B3" s="6" t="s">
        <v>298</v>
      </c>
      <c r="C3">
        <v>5</v>
      </c>
      <c r="D3" s="6" t="s">
        <v>95</v>
      </c>
    </row>
    <row r="4" spans="1:4">
      <c r="A4">
        <v>2</v>
      </c>
      <c r="B4" s="6" t="s">
        <v>276</v>
      </c>
      <c r="C4">
        <v>5</v>
      </c>
      <c r="D4" s="6" t="s">
        <v>277</v>
      </c>
    </row>
    <row r="5" spans="1:4">
      <c r="A5">
        <v>3</v>
      </c>
      <c r="B5" s="6" t="s">
        <v>299</v>
      </c>
      <c r="C5">
        <v>20</v>
      </c>
      <c r="D5" s="6" t="s">
        <v>300</v>
      </c>
    </row>
    <row r="6" spans="1:4">
      <c r="A6">
        <v>4</v>
      </c>
      <c r="B6" s="6" t="s">
        <v>286</v>
      </c>
      <c r="C6">
        <v>0.5</v>
      </c>
      <c r="D6" s="6" t="s">
        <v>96</v>
      </c>
    </row>
    <row r="7" spans="1:4">
      <c r="A7">
        <v>5</v>
      </c>
      <c r="B7" s="6" t="s">
        <v>287</v>
      </c>
      <c r="C7">
        <v>50</v>
      </c>
      <c r="D7" s="6" t="s">
        <v>97</v>
      </c>
    </row>
    <row r="8" spans="1:4">
      <c r="A8">
        <v>6</v>
      </c>
      <c r="B8" s="6" t="s">
        <v>288</v>
      </c>
      <c r="C8">
        <v>1</v>
      </c>
      <c r="D8" s="6" t="s">
        <v>115</v>
      </c>
    </row>
    <row r="9" spans="1:4">
      <c r="A9">
        <v>7</v>
      </c>
      <c r="B9" s="6" t="s">
        <v>289</v>
      </c>
      <c r="C9">
        <v>10</v>
      </c>
      <c r="D9" s="6" t="s">
        <v>116</v>
      </c>
    </row>
    <row r="10" spans="1:4">
      <c r="A10">
        <v>8</v>
      </c>
      <c r="B10" s="6" t="s">
        <v>290</v>
      </c>
      <c r="C10">
        <v>5</v>
      </c>
      <c r="D10" s="6" t="s">
        <v>117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workbookViewId="0">
      <selection activeCell="J3" sqref="J3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113</v>
      </c>
      <c r="C1" t="s">
        <v>89</v>
      </c>
      <c r="D1" t="s">
        <v>113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441</v>
      </c>
      <c r="L1" t="s">
        <v>441</v>
      </c>
      <c r="M1" t="s">
        <v>113</v>
      </c>
      <c r="N1" t="s">
        <v>113</v>
      </c>
      <c r="O1" t="s">
        <v>113</v>
      </c>
      <c r="P1" t="s">
        <v>113</v>
      </c>
    </row>
    <row r="2" spans="2:16">
      <c r="B2" t="s">
        <v>81</v>
      </c>
      <c r="C2" s="8" t="s">
        <v>185</v>
      </c>
      <c r="D2" t="s">
        <v>393</v>
      </c>
      <c r="E2" t="s">
        <v>126</v>
      </c>
      <c r="F2" t="s">
        <v>127</v>
      </c>
      <c r="G2" t="s">
        <v>285</v>
      </c>
      <c r="H2" t="s">
        <v>188</v>
      </c>
      <c r="I2" t="s">
        <v>128</v>
      </c>
      <c r="J2" t="s">
        <v>129</v>
      </c>
      <c r="K2" t="s">
        <v>439</v>
      </c>
      <c r="L2" t="s">
        <v>440</v>
      </c>
      <c r="M2" t="s">
        <v>130</v>
      </c>
      <c r="N2" t="s">
        <v>131</v>
      </c>
      <c r="O2" t="s">
        <v>143</v>
      </c>
      <c r="P2" t="s">
        <v>144</v>
      </c>
    </row>
    <row r="3" spans="2:16">
      <c r="B3">
        <v>100</v>
      </c>
      <c r="C3" s="6" t="s">
        <v>189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G3"/>
  <sheetViews>
    <sheetView tabSelected="1" topLeftCell="Q1" workbookViewId="0">
      <selection activeCell="W8" sqref="W8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28.875" bestFit="1" customWidth="1"/>
    <col min="24" max="24" width="14.12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3" width="27.125" bestFit="1" customWidth="1"/>
  </cols>
  <sheetData>
    <row r="1" spans="2:33">
      <c r="B1" t="s">
        <v>113</v>
      </c>
      <c r="C1" t="s">
        <v>89</v>
      </c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260</v>
      </c>
      <c r="L1" t="s">
        <v>118</v>
      </c>
      <c r="M1" t="s">
        <v>113</v>
      </c>
      <c r="N1" t="s">
        <v>113</v>
      </c>
      <c r="O1" t="s">
        <v>113</v>
      </c>
      <c r="P1" t="s">
        <v>113</v>
      </c>
      <c r="Q1" t="s">
        <v>113</v>
      </c>
      <c r="R1" t="s">
        <v>113</v>
      </c>
      <c r="S1" t="s">
        <v>113</v>
      </c>
      <c r="T1" t="s">
        <v>113</v>
      </c>
      <c r="U1" t="s">
        <v>113</v>
      </c>
      <c r="V1" t="s">
        <v>113</v>
      </c>
      <c r="W1" t="s">
        <v>118</v>
      </c>
      <c r="X1" t="s">
        <v>113</v>
      </c>
      <c r="AD1" s="16" t="s">
        <v>383</v>
      </c>
    </row>
    <row r="2" spans="2:33">
      <c r="B2" t="s">
        <v>81</v>
      </c>
      <c r="C2" s="8" t="s">
        <v>185</v>
      </c>
      <c r="D2" s="11" t="s">
        <v>270</v>
      </c>
      <c r="E2" s="10" t="s">
        <v>132</v>
      </c>
      <c r="F2" s="10" t="s">
        <v>259</v>
      </c>
      <c r="G2" s="11" t="s">
        <v>271</v>
      </c>
      <c r="H2" s="12" t="s">
        <v>266</v>
      </c>
      <c r="I2" s="12" t="s">
        <v>269</v>
      </c>
      <c r="J2" s="12" t="s">
        <v>267</v>
      </c>
      <c r="K2" s="12" t="s">
        <v>268</v>
      </c>
      <c r="L2" s="12" t="s">
        <v>465</v>
      </c>
      <c r="M2" s="12" t="s">
        <v>133</v>
      </c>
      <c r="N2" s="12" t="s">
        <v>272</v>
      </c>
      <c r="O2" s="12" t="s">
        <v>273</v>
      </c>
      <c r="P2" s="12" t="s">
        <v>303</v>
      </c>
      <c r="Q2" s="12" t="s">
        <v>302</v>
      </c>
      <c r="R2" s="12" t="s">
        <v>443</v>
      </c>
      <c r="S2" s="13" t="s">
        <v>279</v>
      </c>
      <c r="T2" s="13" t="s">
        <v>280</v>
      </c>
      <c r="U2" s="13" t="s">
        <v>283</v>
      </c>
      <c r="V2" s="13" t="s">
        <v>278</v>
      </c>
      <c r="W2" s="13" t="s">
        <v>466</v>
      </c>
      <c r="X2" s="1" t="s">
        <v>284</v>
      </c>
      <c r="Y2" s="8" t="s">
        <v>374</v>
      </c>
      <c r="Z2" s="8" t="s">
        <v>375</v>
      </c>
      <c r="AA2" s="8" t="s">
        <v>376</v>
      </c>
      <c r="AB2" s="8" t="s">
        <v>377</v>
      </c>
      <c r="AC2" s="8" t="s">
        <v>378</v>
      </c>
      <c r="AD2" s="8" t="s">
        <v>379</v>
      </c>
      <c r="AE2" s="8" t="s">
        <v>380</v>
      </c>
      <c r="AF2" s="9" t="s">
        <v>381</v>
      </c>
      <c r="AG2" s="9" t="s">
        <v>382</v>
      </c>
    </row>
    <row r="3" spans="2:33">
      <c r="B3">
        <v>200</v>
      </c>
      <c r="C3" s="6" t="s">
        <v>190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0.5</v>
      </c>
      <c r="M3">
        <v>8</v>
      </c>
      <c r="N3">
        <v>20</v>
      </c>
      <c r="O3">
        <v>25</v>
      </c>
      <c r="P3">
        <v>1</v>
      </c>
      <c r="Q3">
        <v>2</v>
      </c>
      <c r="R3">
        <v>0</v>
      </c>
      <c r="S3">
        <v>15</v>
      </c>
      <c r="T3">
        <v>30</v>
      </c>
      <c r="U3">
        <v>15</v>
      </c>
      <c r="V3">
        <v>30</v>
      </c>
      <c r="W3">
        <v>5</v>
      </c>
      <c r="X3">
        <v>1</v>
      </c>
      <c r="Y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28.466666666666669</v>
      </c>
      <c r="AE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34.375</v>
      </c>
      <c r="AF3" t="e">
        <f>( INDEX(ProjectileTable[DirectDmg],MATCH(CharacterTable[[#This Row],[DefaultBallDataId]],ProjectileTable[Index],0))+#REF! )
/ ( CharacterAtkTable[[#This Row],[SwingCooldown]] +#REF! + CharacterAtkTable[[#This Row],[ThrowAfterDelay]])
* (1 + (#REF!/2))</f>
        <v>#REF!</v>
      </c>
      <c r="AG3" t="e">
        <f>( INDEX(ProjectileTable[DirectDmg],MATCH(CharacterTable[[#This Row],[DefaultBallDataId]],ProjectileTable[Index],0))+#REF! )
/ ( CharacterAtkTable[[#This Row],[SwingCooldown]] +#REF! + CharacterAtkTable[[#This Row],[ThrowAfterDelay]])
* (1 + (#REF!/2))</f>
        <v>#REF!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workbookViewId="0">
      <selection activeCell="D3" sqref="D3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113</v>
      </c>
      <c r="C1" s="4" t="s">
        <v>89</v>
      </c>
      <c r="D1" t="s">
        <v>113</v>
      </c>
      <c r="E1" t="s">
        <v>118</v>
      </c>
      <c r="F1" t="s">
        <v>118</v>
      </c>
      <c r="G1" t="s">
        <v>118</v>
      </c>
      <c r="H1" t="s">
        <v>113</v>
      </c>
      <c r="I1" t="s">
        <v>113</v>
      </c>
      <c r="J1" t="s">
        <v>113</v>
      </c>
      <c r="K1" t="s">
        <v>113</v>
      </c>
      <c r="L1" t="s">
        <v>113</v>
      </c>
      <c r="M1" t="s">
        <v>113</v>
      </c>
      <c r="N1" t="s">
        <v>89</v>
      </c>
      <c r="O1" t="s">
        <v>89</v>
      </c>
      <c r="P1" t="s">
        <v>89</v>
      </c>
      <c r="Q1" t="s">
        <v>89</v>
      </c>
      <c r="R1" t="s">
        <v>89</v>
      </c>
      <c r="S1" t="s">
        <v>89</v>
      </c>
    </row>
    <row r="2" spans="1:19">
      <c r="B2" t="s">
        <v>81</v>
      </c>
      <c r="C2" s="8" t="s">
        <v>253</v>
      </c>
      <c r="D2" t="s">
        <v>154</v>
      </c>
      <c r="E2" t="s">
        <v>155</v>
      </c>
      <c r="F2" t="s">
        <v>156</v>
      </c>
      <c r="G2" t="s">
        <v>157</v>
      </c>
      <c r="H2" t="s">
        <v>202</v>
      </c>
      <c r="I2" t="s">
        <v>158</v>
      </c>
      <c r="J2" t="s">
        <v>159</v>
      </c>
      <c r="K2" t="s">
        <v>160</v>
      </c>
      <c r="L2" t="s">
        <v>161</v>
      </c>
      <c r="M2" t="s">
        <v>166</v>
      </c>
      <c r="N2" s="8" t="s">
        <v>291</v>
      </c>
      <c r="O2" s="8" t="s">
        <v>292</v>
      </c>
      <c r="P2" s="9" t="s">
        <v>293</v>
      </c>
      <c r="Q2" s="9" t="s">
        <v>294</v>
      </c>
      <c r="R2" s="9" t="s">
        <v>295</v>
      </c>
      <c r="S2" s="9" t="s">
        <v>296</v>
      </c>
    </row>
    <row r="3" spans="1:19">
      <c r="B3">
        <v>800</v>
      </c>
      <c r="C3" s="6" t="s">
        <v>162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89</v>
      </c>
      <c r="B4">
        <v>801</v>
      </c>
      <c r="C4" s="6" t="s">
        <v>163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113</v>
      </c>
      <c r="C1" t="s">
        <v>89</v>
      </c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</row>
    <row r="2" spans="1:9">
      <c r="B2" t="s">
        <v>81</v>
      </c>
      <c r="C2" s="8" t="s">
        <v>138</v>
      </c>
      <c r="D2" t="s">
        <v>91</v>
      </c>
      <c r="E2" t="s">
        <v>93</v>
      </c>
      <c r="F2" t="s">
        <v>94</v>
      </c>
      <c r="G2" t="s">
        <v>92</v>
      </c>
      <c r="H2" t="s">
        <v>109</v>
      </c>
      <c r="I2" t="s">
        <v>98</v>
      </c>
    </row>
    <row r="3" spans="1:9">
      <c r="B3">
        <v>9000</v>
      </c>
      <c r="C3" s="6" t="s">
        <v>203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165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167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140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139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141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89</v>
      </c>
      <c r="B9">
        <v>9100</v>
      </c>
      <c r="C9" s="14" t="s">
        <v>204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89</v>
      </c>
      <c r="B10">
        <v>9101</v>
      </c>
      <c r="C10" s="14" t="s">
        <v>297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89</v>
      </c>
      <c r="B11">
        <v>9102</v>
      </c>
      <c r="C11" s="14" t="s">
        <v>206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89</v>
      </c>
      <c r="B12">
        <v>9103</v>
      </c>
      <c r="C12" s="14" t="s">
        <v>208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89</v>
      </c>
      <c r="B13">
        <v>9104</v>
      </c>
      <c r="C13" s="14" t="s">
        <v>207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89</v>
      </c>
      <c r="B14">
        <v>9105</v>
      </c>
      <c r="C14" s="14" t="s">
        <v>205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0"/>
  <sheetViews>
    <sheetView topLeftCell="A2" workbookViewId="0">
      <selection activeCell="F6" sqref="F6"/>
    </sheetView>
  </sheetViews>
  <sheetFormatPr defaultColWidth="8.875" defaultRowHeight="16.5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>
      <c r="B1" t="s">
        <v>113</v>
      </c>
      <c r="C1" t="s">
        <v>89</v>
      </c>
      <c r="D1" t="s">
        <v>113</v>
      </c>
      <c r="E1" t="s">
        <v>227</v>
      </c>
      <c r="F1" t="s">
        <v>113</v>
      </c>
      <c r="G1" t="s">
        <v>118</v>
      </c>
      <c r="H1" t="s">
        <v>118</v>
      </c>
      <c r="I1" t="s">
        <v>118</v>
      </c>
      <c r="J1" t="s">
        <v>227</v>
      </c>
      <c r="K1" t="s">
        <v>118</v>
      </c>
      <c r="L1" t="s">
        <v>113</v>
      </c>
      <c r="M1" t="s">
        <v>113</v>
      </c>
      <c r="N1" t="s">
        <v>113</v>
      </c>
      <c r="O1" t="s">
        <v>113</v>
      </c>
      <c r="P1" t="s">
        <v>113</v>
      </c>
      <c r="Q1" t="s">
        <v>112</v>
      </c>
      <c r="R1" t="s">
        <v>251</v>
      </c>
      <c r="S1" t="s">
        <v>89</v>
      </c>
    </row>
    <row r="2" spans="2:19">
      <c r="B2" t="s">
        <v>191</v>
      </c>
      <c r="C2" s="8" t="s">
        <v>226</v>
      </c>
      <c r="D2" t="s">
        <v>255</v>
      </c>
      <c r="E2" t="s">
        <v>212</v>
      </c>
      <c r="F2" t="s">
        <v>213</v>
      </c>
      <c r="G2" t="s">
        <v>301</v>
      </c>
      <c r="H2" t="s">
        <v>127</v>
      </c>
      <c r="I2" t="s">
        <v>220</v>
      </c>
      <c r="J2" t="s">
        <v>214</v>
      </c>
      <c r="K2" t="s">
        <v>215</v>
      </c>
      <c r="L2" t="s">
        <v>216</v>
      </c>
      <c r="M2" t="s">
        <v>217</v>
      </c>
      <c r="N2" t="s">
        <v>218</v>
      </c>
      <c r="O2" t="s">
        <v>219</v>
      </c>
      <c r="P2" t="s">
        <v>265</v>
      </c>
      <c r="Q2" t="s">
        <v>211</v>
      </c>
      <c r="R2" s="8" t="s">
        <v>252</v>
      </c>
      <c r="S2" s="8" t="s">
        <v>316</v>
      </c>
    </row>
    <row r="3" spans="2:19">
      <c r="B3">
        <v>500</v>
      </c>
      <c r="C3" s="6" t="s">
        <v>403</v>
      </c>
      <c r="D3">
        <f>표14[적 기준 체력]*EnemyGameData[[#This Row],['#기준 적 체력 비율]]</f>
        <v>20</v>
      </c>
      <c r="E3" t="s">
        <v>222</v>
      </c>
      <c r="F3">
        <v>0</v>
      </c>
      <c r="G3">
        <v>0.3</v>
      </c>
      <c r="H3">
        <v>1.8</v>
      </c>
      <c r="I3">
        <v>0</v>
      </c>
      <c r="J3" t="s">
        <v>28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433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457</v>
      </c>
      <c r="D4">
        <f>표14[적 기준 체력]*EnemyGameData[[#This Row],['#기준 적 체력 비율]]</f>
        <v>80</v>
      </c>
      <c r="E4" t="s">
        <v>223</v>
      </c>
      <c r="F4">
        <v>6</v>
      </c>
      <c r="G4">
        <v>2</v>
      </c>
      <c r="H4">
        <v>2</v>
      </c>
      <c r="I4">
        <v>2.5</v>
      </c>
      <c r="J4" t="s">
        <v>224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434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453</v>
      </c>
      <c r="D5">
        <f>표14[적 기준 체력]*EnemyGameData[[#This Row],['#기준 적 체력 비율]]</f>
        <v>100</v>
      </c>
      <c r="E5" t="s">
        <v>408</v>
      </c>
      <c r="F5">
        <v>3</v>
      </c>
      <c r="G5">
        <v>1.2</v>
      </c>
      <c r="H5">
        <v>2</v>
      </c>
      <c r="I5">
        <v>3.5</v>
      </c>
      <c r="J5" t="s">
        <v>225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434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454</v>
      </c>
      <c r="D6">
        <f>표14[적 기준 체력]*EnemyGameData[[#This Row],['#기준 적 체력 비율]]</f>
        <v>80</v>
      </c>
      <c r="E6" t="s">
        <v>223</v>
      </c>
      <c r="F6">
        <v>6</v>
      </c>
      <c r="G6">
        <v>1.2</v>
      </c>
      <c r="H6">
        <v>2</v>
      </c>
      <c r="I6">
        <v>2</v>
      </c>
      <c r="J6" t="s">
        <v>225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434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455</v>
      </c>
      <c r="D7">
        <f>표14[적 기준 체력]*EnemyGameData[[#This Row],['#기준 적 체력 비율]]</f>
        <v>80</v>
      </c>
      <c r="E7" t="s">
        <v>223</v>
      </c>
      <c r="F7">
        <v>4</v>
      </c>
      <c r="G7">
        <v>1.5</v>
      </c>
      <c r="H7">
        <v>2</v>
      </c>
      <c r="I7">
        <v>2.5</v>
      </c>
      <c r="J7" t="s">
        <v>225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434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456</v>
      </c>
      <c r="D8">
        <f>표14[적 기준 체력]*EnemyGameData[[#This Row],['#기준 적 체력 비율]]</f>
        <v>100</v>
      </c>
      <c r="E8" t="s">
        <v>223</v>
      </c>
      <c r="F8">
        <v>4</v>
      </c>
      <c r="G8">
        <v>1.8</v>
      </c>
      <c r="H8">
        <v>2</v>
      </c>
      <c r="I8">
        <v>3.5</v>
      </c>
      <c r="J8" t="s">
        <v>225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434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464</v>
      </c>
      <c r="D9">
        <f>표14[적 기준 체력]*EnemyGameData[[#This Row],['#기준 적 체력 비율]]</f>
        <v>100</v>
      </c>
      <c r="E9" t="s">
        <v>223</v>
      </c>
      <c r="F9">
        <v>4</v>
      </c>
      <c r="G9">
        <v>1.4</v>
      </c>
      <c r="H9">
        <v>2</v>
      </c>
      <c r="I9">
        <v>2</v>
      </c>
      <c r="J9" t="s">
        <v>225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434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464</v>
      </c>
      <c r="D10">
        <f>표14[적 기준 체력]*EnemyGameData[[#This Row],['#기준 적 체력 비율]]</f>
        <v>100</v>
      </c>
      <c r="E10" t="s">
        <v>223</v>
      </c>
      <c r="F10">
        <v>4</v>
      </c>
      <c r="G10">
        <v>1.7</v>
      </c>
      <c r="H10">
        <v>2</v>
      </c>
      <c r="I10">
        <v>3</v>
      </c>
      <c r="J10" t="s">
        <v>225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434</v>
      </c>
      <c r="R10">
        <v>1</v>
      </c>
      <c r="S10">
        <f>AVERAGE(EnemyGameData[[#This Row],[GoldDropMin]],EnemyGameData[[#This Row],[GoldDropMax]])</f>
        <v>4.5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J2" sqref="J2:L32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>
      <c r="B1" t="s">
        <v>113</v>
      </c>
      <c r="C1" t="s">
        <v>89</v>
      </c>
      <c r="D1" t="s">
        <v>113</v>
      </c>
      <c r="E1" t="s">
        <v>227</v>
      </c>
      <c r="F1" t="s">
        <v>118</v>
      </c>
      <c r="G1" t="s">
        <v>118</v>
      </c>
    </row>
    <row r="2" spans="2:7">
      <c r="B2" t="s">
        <v>81</v>
      </c>
      <c r="C2" s="8" t="s">
        <v>185</v>
      </c>
      <c r="D2" t="s">
        <v>230</v>
      </c>
      <c r="E2" t="s">
        <v>254</v>
      </c>
      <c r="F2" t="s">
        <v>229</v>
      </c>
      <c r="G2" t="s">
        <v>228</v>
      </c>
    </row>
    <row r="3" spans="2:7">
      <c r="B3">
        <v>600</v>
      </c>
      <c r="C3" s="6" t="s">
        <v>411</v>
      </c>
      <c r="D3">
        <v>700</v>
      </c>
      <c r="E3" t="s">
        <v>405</v>
      </c>
      <c r="F3">
        <v>0.5</v>
      </c>
      <c r="G3">
        <v>0.3</v>
      </c>
    </row>
    <row r="4" spans="2:7">
      <c r="B4">
        <v>600</v>
      </c>
      <c r="C4" s="6" t="s">
        <v>413</v>
      </c>
      <c r="D4">
        <v>701</v>
      </c>
      <c r="E4" t="s">
        <v>405</v>
      </c>
      <c r="F4">
        <v>0</v>
      </c>
      <c r="G4">
        <v>1</v>
      </c>
    </row>
    <row r="5" spans="2:7">
      <c r="B5">
        <v>601</v>
      </c>
      <c r="C5" s="6" t="s">
        <v>415</v>
      </c>
      <c r="D5">
        <v>702</v>
      </c>
      <c r="E5" t="s">
        <v>416</v>
      </c>
      <c r="F5">
        <v>0.5</v>
      </c>
      <c r="G5">
        <v>0.1</v>
      </c>
    </row>
    <row r="6" spans="2:7">
      <c r="B6">
        <v>601</v>
      </c>
      <c r="C6" s="6" t="s">
        <v>415</v>
      </c>
      <c r="D6">
        <v>706</v>
      </c>
      <c r="E6" t="s">
        <v>416</v>
      </c>
      <c r="F6">
        <v>0</v>
      </c>
      <c r="G6">
        <v>0.1</v>
      </c>
    </row>
    <row r="7" spans="2:7">
      <c r="B7">
        <v>601</v>
      </c>
      <c r="C7" s="6" t="s">
        <v>414</v>
      </c>
      <c r="D7">
        <v>712</v>
      </c>
      <c r="E7" t="s">
        <v>416</v>
      </c>
      <c r="F7">
        <v>0</v>
      </c>
      <c r="G7">
        <v>0.1</v>
      </c>
    </row>
    <row r="8" spans="2:7">
      <c r="B8">
        <v>601</v>
      </c>
      <c r="C8" s="6" t="s">
        <v>414</v>
      </c>
      <c r="D8">
        <v>709</v>
      </c>
      <c r="E8" t="s">
        <v>416</v>
      </c>
      <c r="F8">
        <v>0</v>
      </c>
      <c r="G8">
        <v>0.1</v>
      </c>
    </row>
    <row r="9" spans="2:7">
      <c r="B9">
        <v>601</v>
      </c>
      <c r="C9" s="6" t="s">
        <v>414</v>
      </c>
      <c r="D9">
        <v>711</v>
      </c>
      <c r="E9" t="s">
        <v>416</v>
      </c>
      <c r="F9">
        <v>0</v>
      </c>
      <c r="G9">
        <v>0.1</v>
      </c>
    </row>
    <row r="10" spans="2:7">
      <c r="B10">
        <v>601</v>
      </c>
      <c r="C10" s="6" t="s">
        <v>414</v>
      </c>
      <c r="D10">
        <v>708</v>
      </c>
      <c r="E10" t="s">
        <v>416</v>
      </c>
      <c r="F10">
        <v>0</v>
      </c>
      <c r="G10">
        <v>0.1</v>
      </c>
    </row>
    <row r="11" spans="2:7">
      <c r="B11">
        <v>601</v>
      </c>
      <c r="C11" s="6" t="s">
        <v>414</v>
      </c>
      <c r="D11">
        <v>718</v>
      </c>
      <c r="E11" t="s">
        <v>416</v>
      </c>
      <c r="F11">
        <v>0</v>
      </c>
      <c r="G11">
        <v>0.1</v>
      </c>
    </row>
    <row r="12" spans="2:7">
      <c r="B12">
        <v>601</v>
      </c>
      <c r="C12" s="6" t="s">
        <v>414</v>
      </c>
      <c r="D12">
        <v>710</v>
      </c>
      <c r="E12" t="s">
        <v>416</v>
      </c>
      <c r="F12">
        <v>0</v>
      </c>
      <c r="G12">
        <v>0.1</v>
      </c>
    </row>
    <row r="13" spans="2:7">
      <c r="B13">
        <v>601</v>
      </c>
      <c r="C13" s="6" t="s">
        <v>414</v>
      </c>
      <c r="D13">
        <v>703</v>
      </c>
      <c r="E13" t="s">
        <v>416</v>
      </c>
      <c r="F13">
        <v>0</v>
      </c>
      <c r="G13">
        <v>0.1</v>
      </c>
    </row>
    <row r="14" spans="2:7">
      <c r="B14">
        <v>601</v>
      </c>
      <c r="C14" s="6" t="s">
        <v>414</v>
      </c>
      <c r="D14">
        <v>715</v>
      </c>
      <c r="E14" t="s">
        <v>416</v>
      </c>
      <c r="F14">
        <v>0</v>
      </c>
      <c r="G14">
        <v>0.1</v>
      </c>
    </row>
    <row r="15" spans="2:7">
      <c r="B15">
        <v>601</v>
      </c>
      <c r="C15" s="6" t="s">
        <v>414</v>
      </c>
      <c r="D15">
        <v>707</v>
      </c>
      <c r="E15" t="s">
        <v>416</v>
      </c>
      <c r="F15">
        <v>0</v>
      </c>
      <c r="G15">
        <v>0.1</v>
      </c>
    </row>
    <row r="16" spans="2:7">
      <c r="B16">
        <v>601</v>
      </c>
      <c r="C16" s="6" t="s">
        <v>414</v>
      </c>
      <c r="D16">
        <v>705</v>
      </c>
      <c r="E16" t="s">
        <v>416</v>
      </c>
      <c r="F16">
        <v>0</v>
      </c>
      <c r="G16">
        <v>0.1</v>
      </c>
    </row>
    <row r="17" spans="2:7">
      <c r="B17">
        <v>601</v>
      </c>
      <c r="C17" s="6" t="s">
        <v>414</v>
      </c>
      <c r="D17">
        <v>716</v>
      </c>
      <c r="E17" t="s">
        <v>416</v>
      </c>
      <c r="F17">
        <v>0</v>
      </c>
      <c r="G17">
        <v>0.1</v>
      </c>
    </row>
    <row r="18" spans="2:7">
      <c r="B18">
        <v>601</v>
      </c>
      <c r="C18" s="6" t="s">
        <v>414</v>
      </c>
      <c r="D18">
        <v>717</v>
      </c>
      <c r="E18" t="s">
        <v>416</v>
      </c>
      <c r="F18">
        <v>0</v>
      </c>
      <c r="G18">
        <v>0.1</v>
      </c>
    </row>
    <row r="19" spans="2:7">
      <c r="B19">
        <v>601</v>
      </c>
      <c r="C19" s="6" t="s">
        <v>414</v>
      </c>
      <c r="D19">
        <v>704</v>
      </c>
      <c r="E19" t="s">
        <v>416</v>
      </c>
      <c r="F19">
        <v>0</v>
      </c>
      <c r="G19">
        <v>0.1</v>
      </c>
    </row>
    <row r="20" spans="2:7">
      <c r="B20">
        <v>601</v>
      </c>
      <c r="C20" s="6" t="s">
        <v>414</v>
      </c>
      <c r="D20">
        <v>714</v>
      </c>
      <c r="E20" t="s">
        <v>416</v>
      </c>
      <c r="F20">
        <v>0</v>
      </c>
      <c r="G20">
        <v>0.1</v>
      </c>
    </row>
    <row r="21" spans="2:7">
      <c r="B21">
        <v>601</v>
      </c>
      <c r="C21" s="6" t="s">
        <v>414</v>
      </c>
      <c r="D21">
        <v>713</v>
      </c>
      <c r="E21" t="s">
        <v>416</v>
      </c>
      <c r="F21">
        <v>0</v>
      </c>
      <c r="G21">
        <v>0.5</v>
      </c>
    </row>
    <row r="22" spans="2:7">
      <c r="B22">
        <v>602</v>
      </c>
      <c r="C22" s="6" t="s">
        <v>445</v>
      </c>
      <c r="D22">
        <v>719</v>
      </c>
      <c r="E22" t="s">
        <v>406</v>
      </c>
      <c r="F22">
        <v>0</v>
      </c>
      <c r="G22">
        <v>1</v>
      </c>
    </row>
    <row r="23" spans="2:7">
      <c r="B23">
        <v>603</v>
      </c>
      <c r="C23" s="6" t="s">
        <v>446</v>
      </c>
      <c r="D23">
        <v>720</v>
      </c>
      <c r="E23" t="s">
        <v>406</v>
      </c>
      <c r="F23">
        <v>0.5</v>
      </c>
      <c r="G23">
        <v>1</v>
      </c>
    </row>
    <row r="24" spans="2:7">
      <c r="B24">
        <v>604</v>
      </c>
      <c r="C24" s="6" t="s">
        <v>447</v>
      </c>
      <c r="D24">
        <v>721</v>
      </c>
      <c r="E24" t="s">
        <v>406</v>
      </c>
      <c r="F24">
        <v>0.5</v>
      </c>
      <c r="G24">
        <v>0.5</v>
      </c>
    </row>
    <row r="25" spans="2:7">
      <c r="B25">
        <v>604</v>
      </c>
      <c r="C25" s="6" t="s">
        <v>447</v>
      </c>
      <c r="D25">
        <v>722</v>
      </c>
      <c r="E25" t="s">
        <v>406</v>
      </c>
      <c r="F25">
        <v>0</v>
      </c>
      <c r="G25">
        <v>0.5</v>
      </c>
    </row>
    <row r="26" spans="2:7">
      <c r="B26">
        <v>604</v>
      </c>
      <c r="C26" s="6" t="s">
        <v>447</v>
      </c>
      <c r="D26">
        <v>723</v>
      </c>
      <c r="E26" t="s">
        <v>406</v>
      </c>
      <c r="F26">
        <v>0</v>
      </c>
      <c r="G26">
        <v>1</v>
      </c>
    </row>
    <row r="27" spans="2:7">
      <c r="B27">
        <v>605</v>
      </c>
      <c r="C27" s="6" t="s">
        <v>462</v>
      </c>
      <c r="D27">
        <v>724</v>
      </c>
      <c r="E27" t="s">
        <v>406</v>
      </c>
      <c r="F27">
        <v>0.5</v>
      </c>
      <c r="G27">
        <v>1</v>
      </c>
    </row>
    <row r="28" spans="2:7">
      <c r="B28">
        <v>606</v>
      </c>
      <c r="C28" s="6" t="s">
        <v>463</v>
      </c>
      <c r="D28">
        <v>724</v>
      </c>
      <c r="E28" t="s">
        <v>406</v>
      </c>
      <c r="F28">
        <v>0.5</v>
      </c>
      <c r="G28">
        <v>0</v>
      </c>
    </row>
    <row r="29" spans="2:7">
      <c r="B29">
        <v>606</v>
      </c>
      <c r="C29" s="6" t="s">
        <v>463</v>
      </c>
      <c r="D29">
        <v>724</v>
      </c>
      <c r="E29" t="s">
        <v>406</v>
      </c>
      <c r="F29">
        <v>0.2</v>
      </c>
      <c r="G29">
        <v>0</v>
      </c>
    </row>
    <row r="30" spans="2:7">
      <c r="B30">
        <v>606</v>
      </c>
      <c r="C30" s="6" t="s">
        <v>463</v>
      </c>
      <c r="D30">
        <v>724</v>
      </c>
      <c r="E30" t="s">
        <v>406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113</v>
      </c>
      <c r="C1" t="s">
        <v>89</v>
      </c>
      <c r="D1" t="s">
        <v>227</v>
      </c>
      <c r="E1" t="s">
        <v>113</v>
      </c>
      <c r="F1" t="s">
        <v>258</v>
      </c>
      <c r="G1" t="s">
        <v>113</v>
      </c>
    </row>
    <row r="2" spans="2:7">
      <c r="B2" t="s">
        <v>81</v>
      </c>
      <c r="C2" s="8" t="s">
        <v>185</v>
      </c>
      <c r="D2" t="s">
        <v>231</v>
      </c>
      <c r="E2" t="s">
        <v>265</v>
      </c>
      <c r="F2" t="s">
        <v>257</v>
      </c>
      <c r="G2" t="s">
        <v>256</v>
      </c>
    </row>
    <row r="3" spans="2:7">
      <c r="B3">
        <v>700</v>
      </c>
      <c r="C3" s="6" t="s">
        <v>409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409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409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409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410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410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410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410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412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418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422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419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420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421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423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424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425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417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426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427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428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429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430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431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432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444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461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461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460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460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460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460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460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460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449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449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448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448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448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448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448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448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451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451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450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450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450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450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450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450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452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452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452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452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452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452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452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452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462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462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462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G34" sqref="G3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113</v>
      </c>
      <c r="C1" t="s">
        <v>89</v>
      </c>
      <c r="D1" t="s">
        <v>264</v>
      </c>
      <c r="E1" t="s">
        <v>118</v>
      </c>
      <c r="F1" t="s">
        <v>113</v>
      </c>
      <c r="G1" t="s">
        <v>112</v>
      </c>
    </row>
    <row r="2" spans="2:7">
      <c r="B2" t="s">
        <v>191</v>
      </c>
      <c r="C2" s="8" t="s">
        <v>185</v>
      </c>
      <c r="D2" t="s">
        <v>407</v>
      </c>
      <c r="E2" t="s">
        <v>38</v>
      </c>
      <c r="F2" t="s">
        <v>209</v>
      </c>
      <c r="G2" t="s">
        <v>211</v>
      </c>
    </row>
    <row r="3" spans="2:7">
      <c r="B3">
        <v>200</v>
      </c>
      <c r="C3" s="6" t="s">
        <v>210</v>
      </c>
      <c r="D3" t="b">
        <v>1</v>
      </c>
      <c r="E3">
        <v>0.8</v>
      </c>
      <c r="F3">
        <v>25</v>
      </c>
      <c r="G3" t="s">
        <v>435</v>
      </c>
    </row>
    <row r="4" spans="2:7">
      <c r="B4">
        <v>500</v>
      </c>
      <c r="C4" s="6" t="s">
        <v>221</v>
      </c>
      <c r="D4" s="5" t="b">
        <v>0</v>
      </c>
      <c r="E4">
        <v>1</v>
      </c>
      <c r="F4">
        <v>25</v>
      </c>
      <c r="G4" t="s">
        <v>436</v>
      </c>
    </row>
    <row r="5" spans="2:7">
      <c r="B5">
        <v>501</v>
      </c>
      <c r="C5" s="6" t="s">
        <v>404</v>
      </c>
      <c r="D5" s="5" t="b">
        <v>0</v>
      </c>
      <c r="E5">
        <v>1</v>
      </c>
      <c r="F5">
        <v>25</v>
      </c>
      <c r="G5" t="s">
        <v>436</v>
      </c>
    </row>
    <row r="6" spans="2:7">
      <c r="B6">
        <v>400</v>
      </c>
      <c r="C6" s="6" t="s">
        <v>261</v>
      </c>
      <c r="D6" s="5" t="b">
        <v>0</v>
      </c>
      <c r="E6">
        <v>0.25</v>
      </c>
      <c r="F6">
        <v>25</v>
      </c>
      <c r="G6" t="s">
        <v>436</v>
      </c>
    </row>
    <row r="7" spans="2:7">
      <c r="B7">
        <v>401</v>
      </c>
      <c r="C7" s="6" t="s">
        <v>458</v>
      </c>
      <c r="D7" s="5" t="b">
        <v>1</v>
      </c>
      <c r="E7">
        <v>0.25</v>
      </c>
      <c r="F7">
        <v>25</v>
      </c>
      <c r="G7" t="s">
        <v>436</v>
      </c>
    </row>
    <row r="8" spans="2:7">
      <c r="B8">
        <v>402</v>
      </c>
      <c r="C8" s="6" t="s">
        <v>262</v>
      </c>
      <c r="D8" s="5" t="b">
        <v>0</v>
      </c>
      <c r="E8">
        <v>0.4</v>
      </c>
      <c r="F8">
        <v>25</v>
      </c>
      <c r="G8" t="s">
        <v>436</v>
      </c>
    </row>
    <row r="9" spans="2:7">
      <c r="B9">
        <v>403</v>
      </c>
      <c r="C9" s="6" t="s">
        <v>459</v>
      </c>
      <c r="D9" s="5" t="b">
        <v>1</v>
      </c>
      <c r="E9">
        <v>0.4</v>
      </c>
      <c r="F9">
        <v>25</v>
      </c>
      <c r="G9" t="s">
        <v>436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M39"/>
  <sheetViews>
    <sheetView workbookViewId="0">
      <selection activeCell="K1" sqref="K1"/>
    </sheetView>
  </sheetViews>
  <sheetFormatPr defaultColWidth="8.875" defaultRowHeight="16.5"/>
  <cols>
    <col min="2" max="2" width="8.625" bestFit="1" customWidth="1"/>
    <col min="3" max="3" width="9" bestFit="1" customWidth="1"/>
    <col min="4" max="4" width="7.875" bestFit="1" customWidth="1"/>
    <col min="5" max="5" width="13.375" bestFit="1" customWidth="1"/>
    <col min="6" max="6" width="18.5" bestFit="1" customWidth="1"/>
    <col min="7" max="10" width="18.5" customWidth="1"/>
    <col min="11" max="11" width="20" bestFit="1" customWidth="1"/>
    <col min="12" max="12" width="69.625" bestFit="1" customWidth="1"/>
    <col min="13" max="13" width="17.875" bestFit="1" customWidth="1"/>
  </cols>
  <sheetData>
    <row r="1" spans="2:13">
      <c r="B1" t="s">
        <v>90</v>
      </c>
      <c r="C1" t="s">
        <v>90</v>
      </c>
      <c r="D1" t="s">
        <v>86</v>
      </c>
      <c r="E1" t="s">
        <v>85</v>
      </c>
      <c r="F1" t="s">
        <v>113</v>
      </c>
      <c r="G1" t="s">
        <v>113</v>
      </c>
      <c r="H1" t="s">
        <v>113</v>
      </c>
      <c r="I1" t="s">
        <v>113</v>
      </c>
      <c r="J1" t="s">
        <v>112</v>
      </c>
      <c r="K1" t="s">
        <v>89</v>
      </c>
      <c r="L1" t="s">
        <v>89</v>
      </c>
      <c r="M1" t="s">
        <v>89</v>
      </c>
    </row>
    <row r="2" spans="2:13">
      <c r="B2" t="s">
        <v>81</v>
      </c>
      <c r="C2" t="s">
        <v>88</v>
      </c>
      <c r="D2" t="s">
        <v>87</v>
      </c>
      <c r="E2" t="s">
        <v>114</v>
      </c>
      <c r="F2" t="s">
        <v>104</v>
      </c>
      <c r="G2" t="s">
        <v>105</v>
      </c>
      <c r="H2" t="s">
        <v>106</v>
      </c>
      <c r="I2" t="s">
        <v>184</v>
      </c>
      <c r="J2" t="s">
        <v>103</v>
      </c>
      <c r="K2" s="8" t="s">
        <v>226</v>
      </c>
      <c r="L2" s="9" t="s">
        <v>185</v>
      </c>
      <c r="M2" s="9" t="s">
        <v>263</v>
      </c>
    </row>
    <row r="3" spans="2:13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C3">
        <f>ItemTable[[#This Row],[Index]]+10000</f>
        <v>10010</v>
      </c>
      <c r="D3">
        <f>ItemTable[[#This Row],[Index]]+20000</f>
        <v>20010</v>
      </c>
      <c r="E3" t="s">
        <v>109</v>
      </c>
      <c r="F3">
        <v>1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f>INDEX(아이템가격[],MATCH(MID(ItemTable[[#Headers],[CostGold]],5,10),아이템가격[재화],0),MATCH(ItemTable[[#This Row],[GradeType]],아이템가격[#Headers],0))
*ItemTable[[#This Row],[Value]]</f>
        <v>10</v>
      </c>
      <c r="I3" cm="1">
        <f t="array" ref="I3">_xlfn.IFS(OR(ItemTable[[#This Row],[GradeType]]="Hp",ItemTable[[#This Row],[GradeType]]="Gold"),0,
TRUE,5000+ItemTable[[#This Row],[Index]])</f>
        <v>0</v>
      </c>
      <c r="K3" s="7" t="str">
        <f>INDEX(LocaleTable[LocaleKR],MATCH(ItemTable[[#This Row],[Name]],LocaleTable[Index],0))</f>
        <v>하트 1개</v>
      </c>
      <c r="L3" s="7">
        <f>INDEX(LocaleTable[LocaleKR],MATCH(ItemTable[[#This Row],[Desc]],LocaleTable[Index],0))</f>
        <v>0</v>
      </c>
      <c r="M3" s="6"/>
    </row>
    <row r="4" spans="2:13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C4">
        <f>ItemTable[[#This Row],[Index]]+10000</f>
        <v>10011</v>
      </c>
      <c r="D4">
        <f>ItemTable[[#This Row],[Index]]+20000</f>
        <v>20011</v>
      </c>
      <c r="E4" t="s">
        <v>109</v>
      </c>
      <c r="F4">
        <v>2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f>INDEX(아이템가격[],MATCH(MID(ItemTable[[#Headers],[CostGold]],5,10),아이템가격[재화],0),MATCH(ItemTable[[#This Row],[GradeType]],아이템가격[#Headers],0))
*ItemTable[[#This Row],[Value]]</f>
        <v>20</v>
      </c>
      <c r="I4" cm="1">
        <f t="array" ref="I4">_xlfn.IFS(OR(ItemTable[[#This Row],[GradeType]]="Hp",ItemTable[[#This Row],[GradeType]]="Gold"),0,
TRUE,5000+ItemTable[[#This Row],[Index]])</f>
        <v>0</v>
      </c>
      <c r="K4" s="7" t="str">
        <f>INDEX(LocaleTable[LocaleKR],MATCH(ItemTable[[#This Row],[Name]],LocaleTable[Index],0))</f>
        <v>하트 2개</v>
      </c>
      <c r="L4" s="7">
        <f>INDEX(LocaleTable[LocaleKR],MATCH(ItemTable[[#This Row],[Desc]],LocaleTable[Index],0))</f>
        <v>0</v>
      </c>
      <c r="M4" s="6"/>
    </row>
    <row r="5" spans="2:13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C5">
        <f>ItemTable[[#This Row],[Index]]+10000</f>
        <v>10020</v>
      </c>
      <c r="D5">
        <f>ItemTable[[#This Row],[Index]]+20000</f>
        <v>20020</v>
      </c>
      <c r="E5" t="s">
        <v>98</v>
      </c>
      <c r="F5">
        <v>15</v>
      </c>
      <c r="G5">
        <f>INDEX(아이템가격[],MATCH(MID(ItemTable[[#Headers],[CostHp]],5,10),아이템가격[재화],0),MATCH(ItemTable[[#This Row],[GradeType]],아이템가격[#Headers],0))
*ItemTable[[#This Row],[Value]]</f>
        <v>1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K5" s="7" t="str">
        <f>INDEX(LocaleTable[LocaleKR],MATCH(ItemTable[[#This Row],[Name]],LocaleTable[Index],0))</f>
        <v>15 골드</v>
      </c>
      <c r="L5" s="7">
        <f>INDEX(LocaleTable[LocaleKR],MATCH(ItemTable[[#This Row],[Desc]],LocaleTable[Index],0))</f>
        <v>0</v>
      </c>
      <c r="M5" s="6"/>
    </row>
    <row r="6" spans="2:13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C6">
        <f>ItemTable[[#This Row],[Index]]+10000</f>
        <v>10021</v>
      </c>
      <c r="D6">
        <f>ItemTable[[#This Row],[Index]]+20000</f>
        <v>20021</v>
      </c>
      <c r="E6" t="s">
        <v>98</v>
      </c>
      <c r="F6">
        <v>30</v>
      </c>
      <c r="G6">
        <f>INDEX(아이템가격[],MATCH(MID(ItemTable[[#Headers],[CostHp]],5,10),아이템가격[재화],0),MATCH(ItemTable[[#This Row],[GradeType]],아이템가격[#Headers],0))
*ItemTable[[#This Row],[Value]]</f>
        <v>2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K6" s="7" t="str">
        <f>INDEX(LocaleTable[LocaleKR],MATCH(ItemTable[[#This Row],[Name]],LocaleTable[Index],0))</f>
        <v>30 골드</v>
      </c>
      <c r="L6" s="7">
        <f>INDEX(LocaleTable[LocaleKR],MATCH(ItemTable[[#This Row],[Desc]],LocaleTable[Index],0))</f>
        <v>0</v>
      </c>
      <c r="M6" s="6"/>
    </row>
    <row r="7" spans="2:13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C7">
        <f>ItemTable[[#This Row],[Index]]+10000</f>
        <v>10022</v>
      </c>
      <c r="D7">
        <f>ItemTable[[#This Row],[Index]]+20000</f>
        <v>20022</v>
      </c>
      <c r="E7" t="s">
        <v>98</v>
      </c>
      <c r="F7">
        <v>45</v>
      </c>
      <c r="G7">
        <f>INDEX(아이템가격[],MATCH(MID(ItemTable[[#Headers],[CostHp]],5,10),아이템가격[재화],0),MATCH(ItemTable[[#This Row],[GradeType]],아이템가격[#Headers],0))
*ItemTable[[#This Row],[Value]]</f>
        <v>3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K7" s="7" t="str">
        <f>INDEX(LocaleTable[LocaleKR],MATCH(ItemTable[[#This Row],[Name]],LocaleTable[Index],0))</f>
        <v>45 골드</v>
      </c>
      <c r="L7" s="7">
        <f>INDEX(LocaleTable[LocaleKR],MATCH(ItemTable[[#This Row],[Desc]],LocaleTable[Index],0))</f>
        <v>0</v>
      </c>
      <c r="M7" s="6"/>
    </row>
    <row r="8" spans="2:13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23</v>
      </c>
      <c r="C8">
        <f>ItemTable[[#This Row],[Index]]+10000</f>
        <v>10023</v>
      </c>
      <c r="D8">
        <f>ItemTable[[#This Row],[Index]]+20000</f>
        <v>20023</v>
      </c>
      <c r="E8" t="s">
        <v>98</v>
      </c>
      <c r="F8">
        <v>60</v>
      </c>
      <c r="G8">
        <f>INDEX(아이템가격[],MATCH(MID(ItemTable[[#Headers],[CostHp]],5,10),아이템가격[재화],0),MATCH(ItemTable[[#This Row],[GradeType]],아이템가격[#Headers],0))
*ItemTable[[#This Row],[Value]]</f>
        <v>4</v>
      </c>
      <c r="H8">
        <f>INDEX(아이템가격[],MATCH(MID(ItemTable[[#Headers],[CostGold]],5,10),아이템가격[재화],0),MATCH(ItemTable[[#This Row],[GradeType]],아이템가격[#Headers],0))
*ItemTable[[#This Row],[Value]]</f>
        <v>0</v>
      </c>
      <c r="I8" cm="1">
        <f t="array" ref="I8">_xlfn.IFS(OR(ItemTable[[#This Row],[GradeType]]="Hp",ItemTable[[#This Row],[GradeType]]="Gold"),0,
TRUE,5000+ItemTable[[#This Row],[Index]])</f>
        <v>0</v>
      </c>
      <c r="K8" s="7" t="str">
        <f>INDEX(LocaleTable[LocaleKR],MATCH(ItemTable[[#This Row],[Name]],LocaleTable[Index],0))</f>
        <v>60 골드</v>
      </c>
      <c r="L8" s="7">
        <f>INDEX(LocaleTable[LocaleKR],MATCH(ItemTable[[#This Row],[Desc]],LocaleTable[Index],0))</f>
        <v>0</v>
      </c>
      <c r="M8" s="6"/>
    </row>
    <row r="9" spans="2:13">
      <c r="B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1000</v>
      </c>
      <c r="C9">
        <f>ItemTable[[#This Row],[Index]]+10000</f>
        <v>11000</v>
      </c>
      <c r="D9">
        <f>ItemTable[[#This Row],[Index]]+20000</f>
        <v>21000</v>
      </c>
      <c r="E9" t="s">
        <v>92</v>
      </c>
      <c r="F9">
        <v>1</v>
      </c>
      <c r="G9">
        <f>INDEX(아이템가격[],MATCH(MID(ItemTable[[#Headers],[CostHp]],5,10),아이템가격[재화],0),MATCH(ItemTable[[#This Row],[GradeType]],아이템가격[#Headers],0))
*ItemTable[[#This Row],[Value]]</f>
        <v>2</v>
      </c>
      <c r="H9">
        <f>INDEX(아이템가격[],MATCH(MID(ItemTable[[#Headers],[CostGold]],5,10),아이템가격[재화],0),MATCH(ItemTable[[#This Row],[GradeType]],아이템가격[#Headers],0))
*ItemTable[[#This Row],[Value]]</f>
        <v>50</v>
      </c>
      <c r="I9" cm="1">
        <f t="array" ref="I9">_xlfn.IFS(OR(ItemTable[[#This Row],[GradeType]]="Hp",ItemTable[[#This Row],[GradeType]]="Gold"),0,
TRUE,5000+ItemTable[[#This Row],[Index]])</f>
        <v>6000</v>
      </c>
      <c r="K9" s="7" t="str">
        <f>INDEX(LocaleTable[LocaleKR],MATCH(ItemTable[[#This Row],[Name]],LocaleTable[Index],0))</f>
        <v>장난감 배트</v>
      </c>
      <c r="L9" s="7" t="str">
        <f>INDEX(LocaleTable[LocaleKR],MATCH(ItemTable[[#This Row],[Desc]],LocaleTable[Index],0))</f>
        <v>아무 능력이 없지만 이동할 때 뾱뾱 소리가 납니다.</v>
      </c>
      <c r="M9" s="6"/>
    </row>
    <row r="10" spans="2:13">
      <c r="B10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1001</v>
      </c>
      <c r="C10">
        <f>ItemTable[[#This Row],[Index]]+10000</f>
        <v>11001</v>
      </c>
      <c r="D10">
        <f>ItemTable[[#This Row],[Index]]+20000</f>
        <v>21001</v>
      </c>
      <c r="E10" t="s">
        <v>92</v>
      </c>
      <c r="F10">
        <v>1</v>
      </c>
      <c r="G10">
        <f>INDEX(아이템가격[],MATCH(MID(ItemTable[[#Headers],[CostHp]],5,10),아이템가격[재화],0),MATCH(ItemTable[[#This Row],[GradeType]],아이템가격[#Headers],0))
*ItemTable[[#This Row],[Value]]</f>
        <v>2</v>
      </c>
      <c r="H10">
        <f>INDEX(아이템가격[],MATCH(MID(ItemTable[[#Headers],[CostGold]],5,10),아이템가격[재화],0),MATCH(ItemTable[[#This Row],[GradeType]],아이템가격[#Headers],0))
*ItemTable[[#This Row],[Value]]</f>
        <v>50</v>
      </c>
      <c r="I10" cm="1">
        <f t="array" ref="I10">_xlfn.IFS(OR(ItemTable[[#This Row],[GradeType]]="Hp",ItemTable[[#This Row],[GradeType]]="Gold"),0,
TRUE,5000+ItemTable[[#This Row],[Index]])</f>
        <v>6001</v>
      </c>
      <c r="K10" s="7" t="str">
        <f>INDEX(LocaleTable[LocaleKR],MATCH(ItemTable[[#This Row],[Name]],LocaleTable[Index],0))</f>
        <v>무지개빛 총공격</v>
      </c>
      <c r="L10" s="7" t="str">
        <f>INDEX(LocaleTable[LocaleKR],MATCH(ItemTable[[#This Row],[Desc]],LocaleTable[Index],0))</f>
        <v>냥냥냥. 모든 탄환이 적을 관통합니다.</v>
      </c>
      <c r="M10" s="6" t="s">
        <v>29</v>
      </c>
    </row>
    <row r="11" spans="2:13">
      <c r="B11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1002</v>
      </c>
      <c r="C11">
        <f>ItemTable[[#This Row],[Index]]+10000</f>
        <v>11002</v>
      </c>
      <c r="D11">
        <f>ItemTable[[#This Row],[Index]]+20000</f>
        <v>21002</v>
      </c>
      <c r="E11" t="s">
        <v>92</v>
      </c>
      <c r="F11">
        <v>1</v>
      </c>
      <c r="G11">
        <f>INDEX(아이템가격[],MATCH(MID(ItemTable[[#Headers],[CostHp]],5,10),아이템가격[재화],0),MATCH(ItemTable[[#This Row],[GradeType]],아이템가격[#Headers],0))
*ItemTable[[#This Row],[Value]]</f>
        <v>2</v>
      </c>
      <c r="H11">
        <f>INDEX(아이템가격[],MATCH(MID(ItemTable[[#Headers],[CostGold]],5,10),아이템가격[재화],0),MATCH(ItemTable[[#This Row],[GradeType]],아이템가격[#Headers],0))
*ItemTable[[#This Row],[Value]]</f>
        <v>50</v>
      </c>
      <c r="I11" cm="1">
        <f t="array" ref="I11">_xlfn.IFS(OR(ItemTable[[#This Row],[GradeType]]="Hp",ItemTable[[#This Row],[GradeType]]="Gold"),0,
TRUE,5000+ItemTable[[#This Row],[Index]])</f>
        <v>6002</v>
      </c>
      <c r="K11" s="7" t="str">
        <f>INDEX(LocaleTable[LocaleKR],MATCH(ItemTable[[#This Row],[Name]],LocaleTable[Index],0))</f>
        <v>트럼펫</v>
      </c>
      <c r="L11" s="7" t="str">
        <f>INDEX(LocaleTable[LocaleKR],MATCH(ItemTable[[#This Row],[Desc]],LocaleTable[Index],0))</f>
        <v>트럼펫 소리가 납니다. 공격력이 20%증가합니다.</v>
      </c>
      <c r="M11" s="6"/>
    </row>
    <row r="12" spans="2:13">
      <c r="B12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2000</v>
      </c>
      <c r="C12">
        <f>ItemTable[[#This Row],[Index]]+10000</f>
        <v>12000</v>
      </c>
      <c r="D12">
        <f>ItemTable[[#This Row],[Index]]+20000</f>
        <v>22000</v>
      </c>
      <c r="E12" t="s">
        <v>91</v>
      </c>
      <c r="F12">
        <v>1</v>
      </c>
      <c r="G12">
        <f>INDEX(아이템가격[],MATCH(MID(ItemTable[[#Headers],[CostHp]],5,10),아이템가격[재화],0),MATCH(ItemTable[[#This Row],[GradeType]],아이템가격[#Headers],0))
*ItemTable[[#This Row],[Value]]</f>
        <v>1</v>
      </c>
      <c r="H12">
        <f>INDEX(아이템가격[],MATCH(MID(ItemTable[[#Headers],[CostGold]],5,10),아이템가격[재화],0),MATCH(ItemTable[[#This Row],[GradeType]],아이템가격[#Headers],0))
*ItemTable[[#This Row],[Value]]</f>
        <v>30</v>
      </c>
      <c r="I12" cm="1">
        <f t="array" ref="I12">_xlfn.IFS(OR(ItemTable[[#This Row],[GradeType]]="Hp",ItemTable[[#This Row],[GradeType]]="Gold"),0,
TRUE,5000+ItemTable[[#This Row],[Index]])</f>
        <v>7000</v>
      </c>
      <c r="K12" s="7" t="str">
        <f>INDEX(LocaleTable[LocaleKR],MATCH(ItemTable[[#This Row],[Name]],LocaleTable[Index],0))</f>
        <v>신성한 종</v>
      </c>
      <c r="L12" s="7" t="str">
        <f>INDEX(LocaleTable[LocaleKR],MATCH(ItemTable[[#This Row],[Desc]],LocaleTable[Index],0))</f>
        <v>이동속도가 조금 빨라집니다.</v>
      </c>
      <c r="M12" s="6"/>
    </row>
    <row r="13" spans="2:13">
      <c r="B13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2001</v>
      </c>
      <c r="C13">
        <f>ItemTable[[#This Row],[Index]]+10000</f>
        <v>12001</v>
      </c>
      <c r="D13">
        <f>ItemTable[[#This Row],[Index]]+20000</f>
        <v>22001</v>
      </c>
      <c r="E13" t="s">
        <v>91</v>
      </c>
      <c r="F13">
        <v>1</v>
      </c>
      <c r="G13">
        <f>INDEX(아이템가격[],MATCH(MID(ItemTable[[#Headers],[CostHp]],5,10),아이템가격[재화],0),MATCH(ItemTable[[#This Row],[GradeType]],아이템가격[#Headers],0))
*ItemTable[[#This Row],[Value]]</f>
        <v>1</v>
      </c>
      <c r="H13">
        <f>INDEX(아이템가격[],MATCH(MID(ItemTable[[#Headers],[CostGold]],5,10),아이템가격[재화],0),MATCH(ItemTable[[#This Row],[GradeType]],아이템가격[#Headers],0))
*ItemTable[[#This Row],[Value]]</f>
        <v>30</v>
      </c>
      <c r="I13" cm="1">
        <f t="array" ref="I13">_xlfn.IFS(OR(ItemTable[[#This Row],[GradeType]]="Hp",ItemTable[[#This Row],[GradeType]]="Gold"),0,
TRUE,5000+ItemTable[[#This Row],[Index]])</f>
        <v>7001</v>
      </c>
      <c r="K13" s="7" t="str">
        <f>INDEX(LocaleTable[LocaleKR],MATCH(ItemTable[[#This Row],[Name]],LocaleTable[Index],0))</f>
        <v>미정1</v>
      </c>
      <c r="L13" s="7" t="str">
        <f>INDEX(LocaleTable[LocaleKR],MATCH(ItemTable[[#This Row],[Desc]],LocaleTable[Index],0))</f>
        <v>골드를 20% 더 많이 획득할 수 있습니다.</v>
      </c>
      <c r="M13" s="6"/>
    </row>
    <row r="14" spans="2:13">
      <c r="B14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2002</v>
      </c>
      <c r="C14">
        <f>ItemTable[[#This Row],[Index]]+10000</f>
        <v>12002</v>
      </c>
      <c r="D14">
        <f>ItemTable[[#This Row],[Index]]+20000</f>
        <v>22002</v>
      </c>
      <c r="E14" t="s">
        <v>91</v>
      </c>
      <c r="F14">
        <v>1</v>
      </c>
      <c r="G14">
        <f>INDEX(아이템가격[],MATCH(MID(ItemTable[[#Headers],[CostHp]],5,10),아이템가격[재화],0),MATCH(ItemTable[[#This Row],[GradeType]],아이템가격[#Headers],0))
*ItemTable[[#This Row],[Value]]</f>
        <v>1</v>
      </c>
      <c r="H14">
        <f>INDEX(아이템가격[],MATCH(MID(ItemTable[[#Headers],[CostGold]],5,10),아이템가격[재화],0),MATCH(ItemTable[[#This Row],[GradeType]],아이템가격[#Headers],0))
*ItemTable[[#This Row],[Value]]</f>
        <v>30</v>
      </c>
      <c r="I14" cm="1">
        <f t="array" ref="I14">_xlfn.IFS(OR(ItemTable[[#This Row],[GradeType]]="Hp",ItemTable[[#This Row],[GradeType]]="Gold"),0,
TRUE,5000+ItemTable[[#This Row],[Index]])</f>
        <v>7002</v>
      </c>
      <c r="K14" s="7" t="str">
        <f>INDEX(LocaleTable[LocaleKR],MATCH(ItemTable[[#This Row],[Name]],LocaleTable[Index],0))</f>
        <v>무언가 담긴병</v>
      </c>
      <c r="L14" s="7" t="str">
        <f>INDEX(LocaleTable[LocaleKR],MATCH(ItemTable[[#This Row],[Desc]],LocaleTable[Index],0))</f>
        <v>차징 속도 20% 상승</v>
      </c>
      <c r="M14" s="6"/>
    </row>
    <row r="15" spans="2:13">
      <c r="B15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2003</v>
      </c>
      <c r="C15">
        <f>ItemTable[[#This Row],[Index]]+10000</f>
        <v>12003</v>
      </c>
      <c r="D15">
        <f>ItemTable[[#This Row],[Index]]+20000</f>
        <v>22003</v>
      </c>
      <c r="E15" t="s">
        <v>91</v>
      </c>
      <c r="F15">
        <v>1</v>
      </c>
      <c r="G15">
        <f>INDEX(아이템가격[],MATCH(MID(ItemTable[[#Headers],[CostHp]],5,10),아이템가격[재화],0),MATCH(ItemTable[[#This Row],[GradeType]],아이템가격[#Headers],0))
*ItemTable[[#This Row],[Value]]</f>
        <v>1</v>
      </c>
      <c r="H15">
        <f>INDEX(아이템가격[],MATCH(MID(ItemTable[[#Headers],[CostGold]],5,10),아이템가격[재화],0),MATCH(ItemTable[[#This Row],[GradeType]],아이템가격[#Headers],0))
*ItemTable[[#This Row],[Value]]</f>
        <v>30</v>
      </c>
      <c r="I15" cm="1">
        <f t="array" ref="I15">_xlfn.IFS(OR(ItemTable[[#This Row],[GradeType]]="Hp",ItemTable[[#This Row],[GradeType]]="Gold"),0,
TRUE,5000+ItemTable[[#This Row],[Index]])</f>
        <v>7003</v>
      </c>
      <c r="K15" s="7" t="str">
        <f>INDEX(LocaleTable[LocaleKR],MATCH(ItemTable[[#This Row],[Name]],LocaleTable[Index],0))</f>
        <v>아저씨의 금구슬</v>
      </c>
      <c r="L15" s="7" t="str">
        <f>INDEX(LocaleTable[LocaleKR],MATCH(ItemTable[[#This Row],[Desc]],LocaleTable[Index],0))</f>
        <v>공 크기가 3 커집니다.</v>
      </c>
      <c r="M15" s="6"/>
    </row>
    <row r="16" spans="2:13">
      <c r="B16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2004</v>
      </c>
      <c r="C16">
        <f>ItemTable[[#This Row],[Index]]+10000</f>
        <v>12004</v>
      </c>
      <c r="D16">
        <f>ItemTable[[#This Row],[Index]]+20000</f>
        <v>22004</v>
      </c>
      <c r="E16" t="s">
        <v>91</v>
      </c>
      <c r="F16">
        <v>1</v>
      </c>
      <c r="G16">
        <f>INDEX(아이템가격[],MATCH(MID(ItemTable[[#Headers],[CostHp]],5,10),아이템가격[재화],0),MATCH(ItemTable[[#This Row],[GradeType]],아이템가격[#Headers],0))
*ItemTable[[#This Row],[Value]]</f>
        <v>1</v>
      </c>
      <c r="H16">
        <f>INDEX(아이템가격[],MATCH(MID(ItemTable[[#Headers],[CostGold]],5,10),아이템가격[재화],0),MATCH(ItemTable[[#This Row],[GradeType]],아이템가격[#Headers],0))
*ItemTable[[#This Row],[Value]]</f>
        <v>30</v>
      </c>
      <c r="I16" cm="1">
        <f t="array" ref="I16">_xlfn.IFS(OR(ItemTable[[#This Row],[GradeType]]="Hp",ItemTable[[#This Row],[GradeType]]="Gold"),0,
TRUE,5000+ItemTable[[#This Row],[Index]])</f>
        <v>7004</v>
      </c>
      <c r="K16" s="7" t="str">
        <f>INDEX(LocaleTable[LocaleKR],MATCH(ItemTable[[#This Row],[Name]],LocaleTable[Index],0))</f>
        <v>작은 십자가</v>
      </c>
      <c r="L16" s="7" t="str">
        <f>INDEX(LocaleTable[LocaleKR],MATCH(ItemTable[[#This Row],[Desc]],LocaleTable[Index],0))</f>
        <v>공격 범위가 2 증가합니다.</v>
      </c>
      <c r="M16" s="6"/>
    </row>
    <row r="17" spans="2:13">
      <c r="B17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2005</v>
      </c>
      <c r="C17">
        <f>ItemTable[[#This Row],[Index]]+10000</f>
        <v>12005</v>
      </c>
      <c r="D17">
        <f>ItemTable[[#This Row],[Index]]+20000</f>
        <v>22005</v>
      </c>
      <c r="E17" t="s">
        <v>91</v>
      </c>
      <c r="F17">
        <v>1</v>
      </c>
      <c r="G17">
        <f>INDEX(아이템가격[],MATCH(MID(ItemTable[[#Headers],[CostHp]],5,10),아이템가격[재화],0),MATCH(ItemTable[[#This Row],[GradeType]],아이템가격[#Headers],0))
*ItemTable[[#This Row],[Value]]</f>
        <v>1</v>
      </c>
      <c r="H17">
        <f>INDEX(아이템가격[],MATCH(MID(ItemTable[[#Headers],[CostGold]],5,10),아이템가격[재화],0),MATCH(ItemTable[[#This Row],[GradeType]],아이템가격[#Headers],0))
*ItemTable[[#This Row],[Value]]</f>
        <v>30</v>
      </c>
      <c r="I17" cm="1">
        <f t="array" ref="I17">_xlfn.IFS(OR(ItemTable[[#This Row],[GradeType]]="Hp",ItemTable[[#This Row],[GradeType]]="Gold"),0,
TRUE,5000+ItemTable[[#This Row],[Index]])</f>
        <v>7005</v>
      </c>
      <c r="K17" s="7" t="str">
        <f>INDEX(LocaleTable[LocaleKR],MATCH(ItemTable[[#This Row],[Name]],LocaleTable[Index],0))</f>
        <v>목없는 갑옷</v>
      </c>
      <c r="L17" s="7" t="str">
        <f>INDEX(LocaleTable[LocaleKR],MATCH(ItemTable[[#This Row],[Desc]],LocaleTable[Index],0))</f>
        <v>[하트]가 1개 증가합니다.</v>
      </c>
      <c r="M17" s="6"/>
    </row>
    <row r="18" spans="2:13">
      <c r="B18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2006</v>
      </c>
      <c r="C18">
        <f>ItemTable[[#This Row],[Index]]+10000</f>
        <v>12006</v>
      </c>
      <c r="D18">
        <f>ItemTable[[#This Row],[Index]]+20000</f>
        <v>22006</v>
      </c>
      <c r="E18" t="s">
        <v>91</v>
      </c>
      <c r="F18">
        <v>1</v>
      </c>
      <c r="G18">
        <f>INDEX(아이템가격[],MATCH(MID(ItemTable[[#Headers],[CostHp]],5,10),아이템가격[재화],0),MATCH(ItemTable[[#This Row],[GradeType]],아이템가격[#Headers],0))
*ItemTable[[#This Row],[Value]]</f>
        <v>1</v>
      </c>
      <c r="H18">
        <f>INDEX(아이템가격[],MATCH(MID(ItemTable[[#Headers],[CostGold]],5,10),아이템가격[재화],0),MATCH(ItemTable[[#This Row],[GradeType]],아이템가격[#Headers],0))
*ItemTable[[#This Row],[Value]]</f>
        <v>30</v>
      </c>
      <c r="I18" cm="1">
        <f t="array" ref="I18">_xlfn.IFS(OR(ItemTable[[#This Row],[GradeType]]="Hp",ItemTable[[#This Row],[GradeType]]="Gold"),0,
TRUE,5000+ItemTable[[#This Row],[Index]])</f>
        <v>7006</v>
      </c>
      <c r="K18" s="7" t="str">
        <f>INDEX(LocaleTable[LocaleKR],MATCH(ItemTable[[#This Row],[Name]],LocaleTable[Index],0))</f>
        <v>미정2</v>
      </c>
      <c r="L18" s="7" t="str">
        <f>INDEX(LocaleTable[LocaleKR],MATCH(ItemTable[[#This Row],[Desc]],LocaleTable[Index],0))</f>
        <v>공 던지기 가능 개수가 1개 증가합니다.</v>
      </c>
      <c r="M18" s="6"/>
    </row>
    <row r="19" spans="2:13">
      <c r="B1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3000</v>
      </c>
      <c r="C19">
        <f>ItemTable[[#This Row],[Index]]+10000</f>
        <v>13000</v>
      </c>
      <c r="D19">
        <f>ItemTable[[#This Row],[Index]]+20000</f>
        <v>23000</v>
      </c>
      <c r="E19" t="s">
        <v>93</v>
      </c>
      <c r="F19">
        <v>1</v>
      </c>
      <c r="G19">
        <f>INDEX(아이템가격[],MATCH(MID(ItemTable[[#Headers],[CostHp]],5,10),아이템가격[재화],0),MATCH(ItemTable[[#This Row],[GradeType]],아이템가격[#Headers],0))
*ItemTable[[#This Row],[Value]]</f>
        <v>2</v>
      </c>
      <c r="H19">
        <f>INDEX(아이템가격[],MATCH(MID(ItemTable[[#Headers],[CostGold]],5,10),아이템가격[재화],0),MATCH(ItemTable[[#This Row],[GradeType]],아이템가격[#Headers],0))
*ItemTable[[#This Row],[Value]]</f>
        <v>50</v>
      </c>
      <c r="I19" cm="1">
        <f t="array" ref="I19">_xlfn.IFS(OR(ItemTable[[#This Row],[GradeType]]="Hp",ItemTable[[#This Row],[GradeType]]="Gold"),0,
TRUE,5000+ItemTable[[#This Row],[Index]])</f>
        <v>8000</v>
      </c>
      <c r="K19" s="7" t="str">
        <f>INDEX(LocaleTable[LocaleKR],MATCH(ItemTable[[#This Row],[Name]],LocaleTable[Index],0))</f>
        <v>Dys : 0N Mk2</v>
      </c>
      <c r="L19" s="7" t="str">
        <f>INDEX(LocaleTable[LocaleKR],MATCH(ItemTable[[#This Row],[Desc]],LocaleTable[Index],0))</f>
        <v>차징중에 공을 끌어당김</v>
      </c>
      <c r="M19" s="6" t="s">
        <v>44</v>
      </c>
    </row>
    <row r="20" spans="2:13">
      <c r="B20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3001</v>
      </c>
      <c r="C20">
        <f>ItemTable[[#This Row],[Index]]+10000</f>
        <v>13001</v>
      </c>
      <c r="D20">
        <f>ItemTable[[#This Row],[Index]]+20000</f>
        <v>23001</v>
      </c>
      <c r="E20" t="s">
        <v>93</v>
      </c>
      <c r="F20">
        <v>1</v>
      </c>
      <c r="G20">
        <f>INDEX(아이템가격[],MATCH(MID(ItemTable[[#Headers],[CostHp]],5,10),아이템가격[재화],0),MATCH(ItemTable[[#This Row],[GradeType]],아이템가격[#Headers],0))
*ItemTable[[#This Row],[Value]]</f>
        <v>2</v>
      </c>
      <c r="H20">
        <f>INDEX(아이템가격[],MATCH(MID(ItemTable[[#Headers],[CostGold]],5,10),아이템가격[재화],0),MATCH(ItemTable[[#This Row],[GradeType]],아이템가격[#Headers],0))
*ItemTable[[#This Row],[Value]]</f>
        <v>50</v>
      </c>
      <c r="I20" cm="1">
        <f t="array" ref="I20">_xlfn.IFS(OR(ItemTable[[#This Row],[GradeType]]="Hp",ItemTable[[#This Row],[GradeType]]="Gold"),0,
TRUE,5000+ItemTable[[#This Row],[Index]])</f>
        <v>8001</v>
      </c>
      <c r="K20" s="7" t="str">
        <f>INDEX(LocaleTable[LocaleKR],MATCH(ItemTable[[#This Row],[Name]],LocaleTable[Index],0))</f>
        <v>무해한 불꽃</v>
      </c>
      <c r="L20" s="7" t="str">
        <f>INDEX(LocaleTable[LocaleKR],MATCH(ItemTable[[#This Row],[Desc]],LocaleTable[Index],0))</f>
        <v>“실례지만 불타고 계십니다” 현재의 이동속도 비례하여 공격속도 증가</v>
      </c>
      <c r="M20" s="6"/>
    </row>
    <row r="21" spans="2:13">
      <c r="B21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3002</v>
      </c>
      <c r="C21">
        <f>ItemTable[[#This Row],[Index]]+10000</f>
        <v>13002</v>
      </c>
      <c r="D21">
        <f>ItemTable[[#This Row],[Index]]+20000</f>
        <v>23002</v>
      </c>
      <c r="E21" t="s">
        <v>93</v>
      </c>
      <c r="F21">
        <v>1</v>
      </c>
      <c r="G21">
        <f>INDEX(아이템가격[],MATCH(MID(ItemTable[[#Headers],[CostHp]],5,10),아이템가격[재화],0),MATCH(ItemTable[[#This Row],[GradeType]],아이템가격[#Headers],0))
*ItemTable[[#This Row],[Value]]</f>
        <v>2</v>
      </c>
      <c r="H21">
        <f>INDEX(아이템가격[],MATCH(MID(ItemTable[[#Headers],[CostGold]],5,10),아이템가격[재화],0),MATCH(ItemTable[[#This Row],[GradeType]],아이템가격[#Headers],0))
*ItemTable[[#This Row],[Value]]</f>
        <v>50</v>
      </c>
      <c r="I21" cm="1">
        <f t="array" ref="I21">_xlfn.IFS(OR(ItemTable[[#This Row],[GradeType]]="Hp",ItemTable[[#This Row],[GradeType]]="Gold"),0,
TRUE,5000+ItemTable[[#This Row],[Index]])</f>
        <v>8002</v>
      </c>
      <c r="K21" s="7" t="str">
        <f>INDEX(LocaleTable[LocaleKR],MATCH(ItemTable[[#This Row],[Name]],LocaleTable[Index],0))</f>
        <v>롱기누스</v>
      </c>
      <c r="L21" s="7" t="str">
        <f>INDEX(LocaleTable[LocaleKR],MATCH(ItemTable[[#This Row],[Desc]],LocaleTable[Index],0))</f>
        <v>[배트]로 쳐낸 공이 적을 관통합니다.</v>
      </c>
      <c r="M21" s="6"/>
    </row>
    <row r="22" spans="2:13">
      <c r="B22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3003</v>
      </c>
      <c r="C22">
        <f>ItemTable[[#This Row],[Index]]+10000</f>
        <v>13003</v>
      </c>
      <c r="D22">
        <f>ItemTable[[#This Row],[Index]]+20000</f>
        <v>23003</v>
      </c>
      <c r="E22" t="s">
        <v>93</v>
      </c>
      <c r="F22">
        <v>1</v>
      </c>
      <c r="G22">
        <f>INDEX(아이템가격[],MATCH(MID(ItemTable[[#Headers],[CostHp]],5,10),아이템가격[재화],0),MATCH(ItemTable[[#This Row],[GradeType]],아이템가격[#Headers],0))
*ItemTable[[#This Row],[Value]]</f>
        <v>2</v>
      </c>
      <c r="H22">
        <f>INDEX(아이템가격[],MATCH(MID(ItemTable[[#Headers],[CostGold]],5,10),아이템가격[재화],0),MATCH(ItemTable[[#This Row],[GradeType]],아이템가격[#Headers],0))
*ItemTable[[#This Row],[Value]]</f>
        <v>50</v>
      </c>
      <c r="I22" cm="1">
        <f t="array" ref="I22">_xlfn.IFS(OR(ItemTable[[#This Row],[GradeType]]="Hp",ItemTable[[#This Row],[GradeType]]="Gold"),0,
TRUE,5000+ItemTable[[#This Row],[Index]])</f>
        <v>8003</v>
      </c>
      <c r="K22" s="7" t="str">
        <f>INDEX(LocaleTable[LocaleKR],MATCH(ItemTable[[#This Row],[Name]],LocaleTable[Index],0))</f>
        <v>석가면</v>
      </c>
      <c r="L22" s="7" t="str">
        <f>INDEX(LocaleTable[LocaleKR],MATCH(ItemTable[[#This Row],[Desc]],LocaleTable[Index],0))</f>
        <v>[하트]가 1개 증가합니다. 이동속도, 공격속도가 10% 빨라집니다.</v>
      </c>
      <c r="M22" s="6" t="s">
        <v>48</v>
      </c>
    </row>
    <row r="23" spans="2:13">
      <c r="B23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3004</v>
      </c>
      <c r="C23">
        <f>ItemTable[[#This Row],[Index]]+10000</f>
        <v>13004</v>
      </c>
      <c r="D23">
        <f>ItemTable[[#This Row],[Index]]+20000</f>
        <v>23004</v>
      </c>
      <c r="E23" t="s">
        <v>93</v>
      </c>
      <c r="F23">
        <v>1</v>
      </c>
      <c r="G23">
        <f>INDEX(아이템가격[],MATCH(MID(ItemTable[[#Headers],[CostHp]],5,10),아이템가격[재화],0),MATCH(ItemTable[[#This Row],[GradeType]],아이템가격[#Headers],0))
*ItemTable[[#This Row],[Value]]</f>
        <v>2</v>
      </c>
      <c r="H23">
        <f>INDEX(아이템가격[],MATCH(MID(ItemTable[[#Headers],[CostGold]],5,10),아이템가격[재화],0),MATCH(ItemTable[[#This Row],[GradeType]],아이템가격[#Headers],0))
*ItemTable[[#This Row],[Value]]</f>
        <v>50</v>
      </c>
      <c r="I23" cm="1">
        <f t="array" ref="I23">_xlfn.IFS(OR(ItemTable[[#This Row],[GradeType]]="Hp",ItemTable[[#This Row],[GradeType]]="Gold"),0,
TRUE,5000+ItemTable[[#This Row],[Index]])</f>
        <v>8004</v>
      </c>
      <c r="K23" s="7" t="str">
        <f>INDEX(LocaleTable[LocaleKR],MATCH(ItemTable[[#This Row],[Name]],LocaleTable[Index],0))</f>
        <v>거인의 주먹</v>
      </c>
      <c r="L23" s="7" t="str">
        <f>INDEX(LocaleTable[LocaleKR],MATCH(ItemTable[[#This Row],[Desc]],LocaleTable[Index],0))</f>
        <v>최대 [하트] 1개 당 5% 만큼 피해량이 증가합니다.</v>
      </c>
      <c r="M23" s="6"/>
    </row>
    <row r="24" spans="2:13">
      <c r="B24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3005</v>
      </c>
      <c r="C24">
        <f>ItemTable[[#This Row],[Index]]+10000</f>
        <v>13005</v>
      </c>
      <c r="D24">
        <f>ItemTable[[#This Row],[Index]]+20000</f>
        <v>23005</v>
      </c>
      <c r="E24" t="s">
        <v>93</v>
      </c>
      <c r="F24">
        <v>1</v>
      </c>
      <c r="G24">
        <f>INDEX(아이템가격[],MATCH(MID(ItemTable[[#Headers],[CostHp]],5,10),아이템가격[재화],0),MATCH(ItemTable[[#This Row],[GradeType]],아이템가격[#Headers],0))
*ItemTable[[#This Row],[Value]]</f>
        <v>2</v>
      </c>
      <c r="H24">
        <f>INDEX(아이템가격[],MATCH(MID(ItemTable[[#Headers],[CostGold]],5,10),아이템가격[재화],0),MATCH(ItemTable[[#This Row],[GradeType]],아이템가격[#Headers],0))
*ItemTable[[#This Row],[Value]]</f>
        <v>50</v>
      </c>
      <c r="I24" cm="1">
        <f t="array" ref="I24">_xlfn.IFS(OR(ItemTable[[#This Row],[GradeType]]="Hp",ItemTable[[#This Row],[GradeType]]="Gold"),0,
TRUE,5000+ItemTable[[#This Row],[Index]])</f>
        <v>8005</v>
      </c>
      <c r="K24" s="7" t="str">
        <f>INDEX(LocaleTable[LocaleKR],MATCH(ItemTable[[#This Row],[Name]],LocaleTable[Index],0))</f>
        <v>황금왕의 갑옷</v>
      </c>
      <c r="L24" s="7" t="str">
        <f>INDEX(LocaleTable[LocaleKR],MATCH(ItemTable[[#This Row],[Desc]],LocaleTable[Index],0))</f>
        <v>골드를 20%씩 더 획득합니다.</v>
      </c>
      <c r="M24" s="6" t="s">
        <v>51</v>
      </c>
    </row>
    <row r="25" spans="2:13">
      <c r="B25" cm="1">
        <f t="array" ref="B25">_xlfn.IFS(ItemTable[[#This Row],[GradeType]]="Hp",IF(E24=ItemTable[[#This Row],[GradeType]],B24+1,10),
ItemTable[[#This Row],[GradeType]]="Gold",IF(E24=ItemTable[[#This Row],[GradeType]],B24+1,20),
ItemTable[[#This Row],[GradeType]]="Weapon",IF(E24=ItemTable[[#This Row],[GradeType]],B24+1,1000),
ItemTable[[#This Row],[GradeType]]="Normal",IF(E24=ItemTable[[#This Row],[GradeType]],B24+1,2000),
ItemTable[[#This Row],[GradeType]]="Rare",IF(E24=ItemTable[[#This Row],[GradeType]],B24+1,3000),
ItemTable[[#This Row],[GradeType]]="Cursed",IF(E24=ItemTable[[#This Row],[GradeType]],B24+1,4000))</f>
        <v>3006</v>
      </c>
      <c r="C25">
        <f>ItemTable[[#This Row],[Index]]+10000</f>
        <v>13006</v>
      </c>
      <c r="D25">
        <f>ItemTable[[#This Row],[Index]]+20000</f>
        <v>23006</v>
      </c>
      <c r="E25" t="s">
        <v>93</v>
      </c>
      <c r="F25">
        <v>1</v>
      </c>
      <c r="G25">
        <f>INDEX(아이템가격[],MATCH(MID(ItemTable[[#Headers],[CostHp]],5,10),아이템가격[재화],0),MATCH(ItemTable[[#This Row],[GradeType]],아이템가격[#Headers],0))
*ItemTable[[#This Row],[Value]]</f>
        <v>2</v>
      </c>
      <c r="H25">
        <f>INDEX(아이템가격[],MATCH(MID(ItemTable[[#Headers],[CostGold]],5,10),아이템가격[재화],0),MATCH(ItemTable[[#This Row],[GradeType]],아이템가격[#Headers],0))
*ItemTable[[#This Row],[Value]]</f>
        <v>50</v>
      </c>
      <c r="I25" cm="1">
        <f t="array" ref="I25">_xlfn.IFS(OR(ItemTable[[#This Row],[GradeType]]="Hp",ItemTable[[#This Row],[GradeType]]="Gold"),0,
TRUE,5000+ItemTable[[#This Row],[Index]])</f>
        <v>8006</v>
      </c>
      <c r="K25" s="7" t="str">
        <f>INDEX(LocaleTable[LocaleKR],MATCH(ItemTable[[#This Row],[Name]],LocaleTable[Index],0))</f>
        <v>복사기</v>
      </c>
      <c r="L25" s="7" t="str">
        <f>INDEX(LocaleTable[LocaleKR],MATCH(ItemTable[[#This Row],[Desc]],LocaleTable[Index],0))</f>
        <v>“공이 복사가 된다고” 공 던지기 개수가 2개 증가합니다.</v>
      </c>
      <c r="M25" s="6"/>
    </row>
    <row r="26" spans="2:13">
      <c r="B26" cm="1">
        <f t="array" ref="B26">_xlfn.IFS(ItemTable[[#This Row],[GradeType]]="Hp",IF(E25=ItemTable[[#This Row],[GradeType]],B25+1,10),
ItemTable[[#This Row],[GradeType]]="Gold",IF(E25=ItemTable[[#This Row],[GradeType]],B25+1,20),
ItemTable[[#This Row],[GradeType]]="Weapon",IF(E25=ItemTable[[#This Row],[GradeType]],B25+1,1000),
ItemTable[[#This Row],[GradeType]]="Normal",IF(E25=ItemTable[[#This Row],[GradeType]],B25+1,2000),
ItemTable[[#This Row],[GradeType]]="Rare",IF(E25=ItemTable[[#This Row],[GradeType]],B25+1,3000),
ItemTable[[#This Row],[GradeType]]="Cursed",IF(E25=ItemTable[[#This Row],[GradeType]],B25+1,4000))</f>
        <v>3007</v>
      </c>
      <c r="C26">
        <f>ItemTable[[#This Row],[Index]]+10000</f>
        <v>13007</v>
      </c>
      <c r="D26">
        <f>ItemTable[[#This Row],[Index]]+20000</f>
        <v>23007</v>
      </c>
      <c r="E26" t="s">
        <v>93</v>
      </c>
      <c r="F26">
        <v>1</v>
      </c>
      <c r="G26">
        <f>INDEX(아이템가격[],MATCH(MID(ItemTable[[#Headers],[CostHp]],5,10),아이템가격[재화],0),MATCH(ItemTable[[#This Row],[GradeType]],아이템가격[#Headers],0))
*ItemTable[[#This Row],[Value]]</f>
        <v>2</v>
      </c>
      <c r="H26">
        <f>INDEX(아이템가격[],MATCH(MID(ItemTable[[#Headers],[CostGold]],5,10),아이템가격[재화],0),MATCH(ItemTable[[#This Row],[GradeType]],아이템가격[#Headers],0))
*ItemTable[[#This Row],[Value]]</f>
        <v>50</v>
      </c>
      <c r="I26" cm="1">
        <f t="array" ref="I26">_xlfn.IFS(OR(ItemTable[[#This Row],[GradeType]]="Hp",ItemTable[[#This Row],[GradeType]]="Gold"),0,
TRUE,5000+ItemTable[[#This Row],[Index]])</f>
        <v>8007</v>
      </c>
      <c r="K26" s="7" t="str">
        <f>INDEX(LocaleTable[LocaleKR],MATCH(ItemTable[[#This Row],[Name]],LocaleTable[Index],0))</f>
        <v>어른의 카드</v>
      </c>
      <c r="L26" s="7" t="str">
        <f>INDEX(LocaleTable[LocaleKR],MATCH(ItemTable[[#This Row],[Desc]],LocaleTable[Index],0))</f>
        <v>소지중인 골드의 1%만큼 데미지 상승</v>
      </c>
      <c r="M26" s="6" t="s">
        <v>55</v>
      </c>
    </row>
    <row r="27" spans="2:13">
      <c r="B27" cm="1">
        <f t="array" ref="B27">_xlfn.IFS(ItemTable[[#This Row],[GradeType]]="Hp",IF(E26=ItemTable[[#This Row],[GradeType]],B26+1,10),
ItemTable[[#This Row],[GradeType]]="Gold",IF(E26=ItemTable[[#This Row],[GradeType]],B26+1,20),
ItemTable[[#This Row],[GradeType]]="Weapon",IF(E26=ItemTable[[#This Row],[GradeType]],B26+1,1000),
ItemTable[[#This Row],[GradeType]]="Normal",IF(E26=ItemTable[[#This Row],[GradeType]],B26+1,2000),
ItemTable[[#This Row],[GradeType]]="Rare",IF(E26=ItemTable[[#This Row],[GradeType]],B26+1,3000),
ItemTable[[#This Row],[GradeType]]="Cursed",IF(E26=ItemTable[[#This Row],[GradeType]],B26+1,4000))</f>
        <v>3008</v>
      </c>
      <c r="C27">
        <f>ItemTable[[#This Row],[Index]]+10000</f>
        <v>13008</v>
      </c>
      <c r="D27">
        <f>ItemTable[[#This Row],[Index]]+20000</f>
        <v>23008</v>
      </c>
      <c r="E27" t="s">
        <v>93</v>
      </c>
      <c r="F27">
        <v>1</v>
      </c>
      <c r="G27">
        <f>INDEX(아이템가격[],MATCH(MID(ItemTable[[#Headers],[CostHp]],5,10),아이템가격[재화],0),MATCH(ItemTable[[#This Row],[GradeType]],아이템가격[#Headers],0))
*ItemTable[[#This Row],[Value]]</f>
        <v>2</v>
      </c>
      <c r="H27">
        <f>INDEX(아이템가격[],MATCH(MID(ItemTable[[#Headers],[CostGold]],5,10),아이템가격[재화],0),MATCH(ItemTable[[#This Row],[GradeType]],아이템가격[#Headers],0))
*ItemTable[[#This Row],[Value]]</f>
        <v>50</v>
      </c>
      <c r="I27" cm="1">
        <f t="array" ref="I27">_xlfn.IFS(OR(ItemTable[[#This Row],[GradeType]]="Hp",ItemTable[[#This Row],[GradeType]]="Gold"),0,
TRUE,5000+ItemTable[[#This Row],[Index]])</f>
        <v>8008</v>
      </c>
      <c r="K27" s="7" t="str">
        <f>INDEX(LocaleTable[LocaleKR],MATCH(ItemTable[[#This Row],[Name]],LocaleTable[Index],0))</f>
        <v>회광반조</v>
      </c>
      <c r="L27" s="7" t="str">
        <f>INDEX(LocaleTable[LocaleKR],MATCH(ItemTable[[#This Row],[Desc]],LocaleTable[Index],0))</f>
        <v>빈 하트 1개당 피해량 5% 상승</v>
      </c>
      <c r="M27" s="6"/>
    </row>
    <row r="28" spans="2:13">
      <c r="B28" cm="1">
        <f t="array" ref="B28">_xlfn.IFS(ItemTable[[#This Row],[GradeType]]="Hp",IF(E27=ItemTable[[#This Row],[GradeType]],B27+1,10),
ItemTable[[#This Row],[GradeType]]="Gold",IF(E27=ItemTable[[#This Row],[GradeType]],B27+1,20),
ItemTable[[#This Row],[GradeType]]="Weapon",IF(E27=ItemTable[[#This Row],[GradeType]],B27+1,1000),
ItemTable[[#This Row],[GradeType]]="Normal",IF(E27=ItemTable[[#This Row],[GradeType]],B27+1,2000),
ItemTable[[#This Row],[GradeType]]="Rare",IF(E27=ItemTable[[#This Row],[GradeType]],B27+1,3000),
ItemTable[[#This Row],[GradeType]]="Cursed",IF(E27=ItemTable[[#This Row],[GradeType]],B27+1,4000))</f>
        <v>3009</v>
      </c>
      <c r="C28">
        <f>ItemTable[[#This Row],[Index]]+10000</f>
        <v>13009</v>
      </c>
      <c r="D28">
        <f>ItemTable[[#This Row],[Index]]+20000</f>
        <v>23009</v>
      </c>
      <c r="E28" t="s">
        <v>93</v>
      </c>
      <c r="F28">
        <v>1</v>
      </c>
      <c r="G28">
        <f>INDEX(아이템가격[],MATCH(MID(ItemTable[[#Headers],[CostHp]],5,10),아이템가격[재화],0),MATCH(ItemTable[[#This Row],[GradeType]],아이템가격[#Headers],0))
*ItemTable[[#This Row],[Value]]</f>
        <v>2</v>
      </c>
      <c r="H28">
        <f>INDEX(아이템가격[],MATCH(MID(ItemTable[[#Headers],[CostGold]],5,10),아이템가격[재화],0),MATCH(ItemTable[[#This Row],[GradeType]],아이템가격[#Headers],0))
*ItemTable[[#This Row],[Value]]</f>
        <v>50</v>
      </c>
      <c r="I28" cm="1">
        <f t="array" ref="I28">_xlfn.IFS(OR(ItemTable[[#This Row],[GradeType]]="Hp",ItemTable[[#This Row],[GradeType]]="Gold"),0,
TRUE,5000+ItemTable[[#This Row],[Index]])</f>
        <v>8009</v>
      </c>
      <c r="K28" s="7" t="str">
        <f>INDEX(LocaleTable[LocaleKR],MATCH(ItemTable[[#This Row],[Name]],LocaleTable[Index],0))</f>
        <v>이카루스의 날개</v>
      </c>
      <c r="L28" s="7" t="str">
        <f>INDEX(LocaleTable[LocaleKR],MATCH(ItemTable[[#This Row],[Desc]],LocaleTable[Index],0))</f>
        <v>RowCollider을 무시하고 이동함.</v>
      </c>
      <c r="M28" s="6"/>
    </row>
    <row r="29" spans="2:13">
      <c r="B29" cm="1">
        <f t="array" ref="B29">_xlfn.IFS(ItemTable[[#This Row],[GradeType]]="Hp",IF(E28=ItemTable[[#This Row],[GradeType]],B28+1,10),
ItemTable[[#This Row],[GradeType]]="Gold",IF(E28=ItemTable[[#This Row],[GradeType]],B28+1,20),
ItemTable[[#This Row],[GradeType]]="Weapon",IF(E28=ItemTable[[#This Row],[GradeType]],B28+1,1000),
ItemTable[[#This Row],[GradeType]]="Normal",IF(E28=ItemTable[[#This Row],[GradeType]],B28+1,2000),
ItemTable[[#This Row],[GradeType]]="Rare",IF(E28=ItemTable[[#This Row],[GradeType]],B28+1,3000),
ItemTable[[#This Row],[GradeType]]="Cursed",IF(E28=ItemTable[[#This Row],[GradeType]],B28+1,4000))</f>
        <v>3010</v>
      </c>
      <c r="C29">
        <f>ItemTable[[#This Row],[Index]]+10000</f>
        <v>13010</v>
      </c>
      <c r="D29">
        <f>ItemTable[[#This Row],[Index]]+20000</f>
        <v>23010</v>
      </c>
      <c r="E29" t="s">
        <v>93</v>
      </c>
      <c r="F29">
        <v>1</v>
      </c>
      <c r="G29">
        <f>INDEX(아이템가격[],MATCH(MID(ItemTable[[#Headers],[CostHp]],5,10),아이템가격[재화],0),MATCH(ItemTable[[#This Row],[GradeType]],아이템가격[#Headers],0))
*ItemTable[[#This Row],[Value]]</f>
        <v>2</v>
      </c>
      <c r="H29">
        <f>INDEX(아이템가격[],MATCH(MID(ItemTable[[#Headers],[CostGold]],5,10),아이템가격[재화],0),MATCH(ItemTable[[#This Row],[GradeType]],아이템가격[#Headers],0))
*ItemTable[[#This Row],[Value]]</f>
        <v>50</v>
      </c>
      <c r="I29" cm="1">
        <f t="array" ref="I29">_xlfn.IFS(OR(ItemTable[[#This Row],[GradeType]]="Hp",ItemTable[[#This Row],[GradeType]]="Gold"),0,
TRUE,5000+ItemTable[[#This Row],[Index]])</f>
        <v>8010</v>
      </c>
      <c r="K29" s="7" t="str">
        <f>INDEX(LocaleTable[LocaleKR],MATCH(ItemTable[[#This Row],[Name]],LocaleTable[Index],0))</f>
        <v>신성한 수류탄</v>
      </c>
      <c r="L29" s="7" t="str">
        <f>INDEX(LocaleTable[LocaleKR],MATCH(ItemTable[[#This Row],[Desc]],LocaleTable[Index],0))</f>
        <v>피해량이 20% 증가합니다.</v>
      </c>
      <c r="M29" s="6" t="s">
        <v>60</v>
      </c>
    </row>
    <row r="30" spans="2:13">
      <c r="B30" cm="1">
        <f t="array" ref="B30">_xlfn.IFS(ItemTable[[#This Row],[GradeType]]="Hp",IF(E29=ItemTable[[#This Row],[GradeType]],B29+1,10),
ItemTable[[#This Row],[GradeType]]="Gold",IF(E29=ItemTable[[#This Row],[GradeType]],B29+1,20),
ItemTable[[#This Row],[GradeType]]="Weapon",IF(E29=ItemTable[[#This Row],[GradeType]],B29+1,1000),
ItemTable[[#This Row],[GradeType]]="Normal",IF(E29=ItemTable[[#This Row],[GradeType]],B29+1,2000),
ItemTable[[#This Row],[GradeType]]="Rare",IF(E29=ItemTable[[#This Row],[GradeType]],B29+1,3000),
ItemTable[[#This Row],[GradeType]]="Cursed",IF(E29=ItemTable[[#This Row],[GradeType]],B29+1,4000))</f>
        <v>3011</v>
      </c>
      <c r="C30">
        <f>ItemTable[[#This Row],[Index]]+10000</f>
        <v>13011</v>
      </c>
      <c r="D30">
        <f>ItemTable[[#This Row],[Index]]+20000</f>
        <v>23011</v>
      </c>
      <c r="E30" t="s">
        <v>93</v>
      </c>
      <c r="F30">
        <v>1</v>
      </c>
      <c r="G30">
        <f>INDEX(아이템가격[],MATCH(MID(ItemTable[[#Headers],[CostHp]],5,10),아이템가격[재화],0),MATCH(ItemTable[[#This Row],[GradeType]],아이템가격[#Headers],0))
*ItemTable[[#This Row],[Value]]</f>
        <v>2</v>
      </c>
      <c r="H30">
        <f>INDEX(아이템가격[],MATCH(MID(ItemTable[[#Headers],[CostGold]],5,10),아이템가격[재화],0),MATCH(ItemTable[[#This Row],[GradeType]],아이템가격[#Headers],0))
*ItemTable[[#This Row],[Value]]</f>
        <v>50</v>
      </c>
      <c r="I30" cm="1">
        <f t="array" ref="I30">_xlfn.IFS(OR(ItemTable[[#This Row],[GradeType]]="Hp",ItemTable[[#This Row],[GradeType]]="Gold"),0,
TRUE,5000+ItemTable[[#This Row],[Index]])</f>
        <v>8011</v>
      </c>
      <c r="K30" s="7" t="str">
        <f>INDEX(LocaleTable[LocaleKR],MATCH(ItemTable[[#This Row],[Name]],LocaleTable[Index],0))</f>
        <v>슈퍼콜드</v>
      </c>
      <c r="L30" s="7" t="str">
        <f>INDEX(LocaleTable[LocaleKR],MATCH(ItemTable[[#This Row],[Desc]],LocaleTable[Index],0))</f>
        <v>이동하지 않을 때 시간이 멈춤</v>
      </c>
      <c r="M30" s="6" t="s">
        <v>62</v>
      </c>
    </row>
    <row r="31" spans="2:13">
      <c r="B31" cm="1">
        <f t="array" ref="B31">_xlfn.IFS(ItemTable[[#This Row],[GradeType]]="Hp",IF(E30=ItemTable[[#This Row],[GradeType]],B30+1,10),
ItemTable[[#This Row],[GradeType]]="Gold",IF(E30=ItemTable[[#This Row],[GradeType]],B30+1,20),
ItemTable[[#This Row],[GradeType]]="Weapon",IF(E30=ItemTable[[#This Row],[GradeType]],B30+1,1000),
ItemTable[[#This Row],[GradeType]]="Normal",IF(E30=ItemTable[[#This Row],[GradeType]],B30+1,2000),
ItemTable[[#This Row],[GradeType]]="Rare",IF(E30=ItemTable[[#This Row],[GradeType]],B30+1,3000),
ItemTable[[#This Row],[GradeType]]="Cursed",IF(E30=ItemTable[[#This Row],[GradeType]],B30+1,4000))</f>
        <v>3012</v>
      </c>
      <c r="C31">
        <f>ItemTable[[#This Row],[Index]]+10000</f>
        <v>13012</v>
      </c>
      <c r="D31">
        <f>ItemTable[[#This Row],[Index]]+20000</f>
        <v>23012</v>
      </c>
      <c r="E31" t="s">
        <v>93</v>
      </c>
      <c r="F31">
        <v>1</v>
      </c>
      <c r="G31">
        <f>INDEX(아이템가격[],MATCH(MID(ItemTable[[#Headers],[CostHp]],5,10),아이템가격[재화],0),MATCH(ItemTable[[#This Row],[GradeType]],아이템가격[#Headers],0))
*ItemTable[[#This Row],[Value]]</f>
        <v>2</v>
      </c>
      <c r="H31">
        <f>INDEX(아이템가격[],MATCH(MID(ItemTable[[#Headers],[CostGold]],5,10),아이템가격[재화],0),MATCH(ItemTable[[#This Row],[GradeType]],아이템가격[#Headers],0))
*ItemTable[[#This Row],[Value]]</f>
        <v>50</v>
      </c>
      <c r="I31" cm="1">
        <f t="array" ref="I31">_xlfn.IFS(OR(ItemTable[[#This Row],[GradeType]]="Hp",ItemTable[[#This Row],[GradeType]]="Gold"),0,
TRUE,5000+ItemTable[[#This Row],[Index]])</f>
        <v>8012</v>
      </c>
      <c r="K31" s="7" t="str">
        <f>INDEX(LocaleTable[LocaleKR],MATCH(ItemTable[[#This Row],[Name]],LocaleTable[Index],0))</f>
        <v>게이볼그</v>
      </c>
      <c r="L31" s="7" t="str">
        <f>INDEX(LocaleTable[LocaleKR],MATCH(ItemTable[[#This Row],[Desc]],LocaleTable[Index],0))</f>
        <v>공을 칠 때 자동으로 가장 가까운 적을 향해 날라감</v>
      </c>
      <c r="M31" s="6"/>
    </row>
    <row r="32" spans="2:13">
      <c r="B32" cm="1">
        <f t="array" ref="B32">_xlfn.IFS(ItemTable[[#This Row],[GradeType]]="Hp",IF(E31=ItemTable[[#This Row],[GradeType]],B31+1,10),
ItemTable[[#This Row],[GradeType]]="Gold",IF(E31=ItemTable[[#This Row],[GradeType]],B31+1,20),
ItemTable[[#This Row],[GradeType]]="Weapon",IF(E31=ItemTable[[#This Row],[GradeType]],B31+1,1000),
ItemTable[[#This Row],[GradeType]]="Normal",IF(E31=ItemTable[[#This Row],[GradeType]],B31+1,2000),
ItemTable[[#This Row],[GradeType]]="Rare",IF(E31=ItemTable[[#This Row],[GradeType]],B31+1,3000),
ItemTable[[#This Row],[GradeType]]="Cursed",IF(E31=ItemTable[[#This Row],[GradeType]],B31+1,4000))</f>
        <v>4000</v>
      </c>
      <c r="C32">
        <f>ItemTable[[#This Row],[Index]]+10000</f>
        <v>14000</v>
      </c>
      <c r="D32">
        <f>ItemTable[[#This Row],[Index]]+20000</f>
        <v>24000</v>
      </c>
      <c r="E32" t="s">
        <v>94</v>
      </c>
      <c r="F32">
        <v>1</v>
      </c>
      <c r="G32">
        <f>INDEX(아이템가격[],MATCH(MID(ItemTable[[#Headers],[CostHp]],5,10),아이템가격[재화],0),MATCH(ItemTable[[#This Row],[GradeType]],아이템가격[#Headers],0))
*ItemTable[[#This Row],[Value]]</f>
        <v>2</v>
      </c>
      <c r="H32">
        <f>INDEX(아이템가격[],MATCH(MID(ItemTable[[#Headers],[CostGold]],5,10),아이템가격[재화],0),MATCH(ItemTable[[#This Row],[GradeType]],아이템가격[#Headers],0))
*ItemTable[[#This Row],[Value]]</f>
        <v>50</v>
      </c>
      <c r="I32" cm="1">
        <f t="array" ref="I32">_xlfn.IFS(OR(ItemTable[[#This Row],[GradeType]]="Hp",ItemTable[[#This Row],[GradeType]]="Gold"),0,
TRUE,5000+ItemTable[[#This Row],[Index]])</f>
        <v>9000</v>
      </c>
      <c r="K32" s="7" t="str">
        <f>INDEX(LocaleTable[LocaleKR],MATCH(ItemTable[[#This Row],[Name]],LocaleTable[Index],0))</f>
        <v>불길한 깃발</v>
      </c>
      <c r="L32" s="7" t="str">
        <f>INDEX(LocaleTable[LocaleKR],MATCH(ItemTable[[#This Row],[Desc]],LocaleTable[Index],0))</f>
        <v>이동속도가 30% 감소합니다. 차징 속도가 40% 빨라집니다.</v>
      </c>
      <c r="M32" s="6"/>
    </row>
    <row r="33" spans="2:13">
      <c r="B33" cm="1">
        <f t="array" ref="B33">_xlfn.IFS(ItemTable[[#This Row],[GradeType]]="Hp",IF(E32=ItemTable[[#This Row],[GradeType]],B32+1,10),
ItemTable[[#This Row],[GradeType]]="Gold",IF(E32=ItemTable[[#This Row],[GradeType]],B32+1,20),
ItemTable[[#This Row],[GradeType]]="Weapon",IF(E32=ItemTable[[#This Row],[GradeType]],B32+1,1000),
ItemTable[[#This Row],[GradeType]]="Normal",IF(E32=ItemTable[[#This Row],[GradeType]],B32+1,2000),
ItemTable[[#This Row],[GradeType]]="Rare",IF(E32=ItemTable[[#This Row],[GradeType]],B32+1,3000),
ItemTable[[#This Row],[GradeType]]="Cursed",IF(E32=ItemTable[[#This Row],[GradeType]],B32+1,4000))</f>
        <v>4001</v>
      </c>
      <c r="C33">
        <f>ItemTable[[#This Row],[Index]]+10000</f>
        <v>14001</v>
      </c>
      <c r="D33">
        <f>ItemTable[[#This Row],[Index]]+20000</f>
        <v>24001</v>
      </c>
      <c r="E33" t="s">
        <v>94</v>
      </c>
      <c r="F33">
        <v>1</v>
      </c>
      <c r="G33">
        <f>INDEX(아이템가격[],MATCH(MID(ItemTable[[#Headers],[CostHp]],5,10),아이템가격[재화],0),MATCH(ItemTable[[#This Row],[GradeType]],아이템가격[#Headers],0))
*ItemTable[[#This Row],[Value]]</f>
        <v>2</v>
      </c>
      <c r="H33">
        <f>INDEX(아이템가격[],MATCH(MID(ItemTable[[#Headers],[CostGold]],5,10),아이템가격[재화],0),MATCH(ItemTable[[#This Row],[GradeType]],아이템가격[#Headers],0))
*ItemTable[[#This Row],[Value]]</f>
        <v>50</v>
      </c>
      <c r="I33" cm="1">
        <f t="array" ref="I33">_xlfn.IFS(OR(ItemTable[[#This Row],[GradeType]]="Hp",ItemTable[[#This Row],[GradeType]]="Gold"),0,
TRUE,5000+ItemTable[[#This Row],[Index]])</f>
        <v>9001</v>
      </c>
      <c r="K33" s="7" t="str">
        <f>INDEX(LocaleTable[LocaleKR],MATCH(ItemTable[[#This Row],[Name]],LocaleTable[Index],0))</f>
        <v>빗바랜 천가죽</v>
      </c>
      <c r="L33" s="7" t="str">
        <f>INDEX(LocaleTable[LocaleKR],MATCH(ItemTable[[#This Row],[Desc]],LocaleTable[Index],0))</f>
        <v>이동속도가 20% 감소합니다. 피해량이 20% 감소합니다.</v>
      </c>
      <c r="M33" s="6"/>
    </row>
    <row r="34" spans="2:13">
      <c r="B34" cm="1">
        <f t="array" ref="B34">_xlfn.IFS(ItemTable[[#This Row],[GradeType]]="Hp",IF(E33=ItemTable[[#This Row],[GradeType]],B33+1,10),
ItemTable[[#This Row],[GradeType]]="Gold",IF(E33=ItemTable[[#This Row],[GradeType]],B33+1,20),
ItemTable[[#This Row],[GradeType]]="Weapon",IF(E33=ItemTable[[#This Row],[GradeType]],B33+1,1000),
ItemTable[[#This Row],[GradeType]]="Normal",IF(E33=ItemTable[[#This Row],[GradeType]],B33+1,2000),
ItemTable[[#This Row],[GradeType]]="Rare",IF(E33=ItemTable[[#This Row],[GradeType]],B33+1,3000),
ItemTable[[#This Row],[GradeType]]="Cursed",IF(E33=ItemTable[[#This Row],[GradeType]],B33+1,4000))</f>
        <v>4002</v>
      </c>
      <c r="C34">
        <f>ItemTable[[#This Row],[Index]]+10000</f>
        <v>14002</v>
      </c>
      <c r="D34">
        <f>ItemTable[[#This Row],[Index]]+20000</f>
        <v>24002</v>
      </c>
      <c r="E34" t="s">
        <v>94</v>
      </c>
      <c r="F34">
        <v>1</v>
      </c>
      <c r="G34">
        <f>INDEX(아이템가격[],MATCH(MID(ItemTable[[#Headers],[CostHp]],5,10),아이템가격[재화],0),MATCH(ItemTable[[#This Row],[GradeType]],아이템가격[#Headers],0))
*ItemTable[[#This Row],[Value]]</f>
        <v>2</v>
      </c>
      <c r="H34">
        <f>INDEX(아이템가격[],MATCH(MID(ItemTable[[#Headers],[CostGold]],5,10),아이템가격[재화],0),MATCH(ItemTable[[#This Row],[GradeType]],아이템가격[#Headers],0))
*ItemTable[[#This Row],[Value]]</f>
        <v>50</v>
      </c>
      <c r="I34" cm="1">
        <f t="array" ref="I34">_xlfn.IFS(OR(ItemTable[[#This Row],[GradeType]]="Hp",ItemTable[[#This Row],[GradeType]]="Gold"),0,
TRUE,5000+ItemTable[[#This Row],[Index]])</f>
        <v>9002</v>
      </c>
      <c r="K34" s="7" t="str">
        <f>INDEX(LocaleTable[LocaleKR],MATCH(ItemTable[[#This Row],[Name]],LocaleTable[Index],0))</f>
        <v>나자렛의 몽키스패너</v>
      </c>
      <c r="L34" s="7" t="str">
        <f>INDEX(LocaleTable[LocaleKR],MATCH(ItemTable[[#This Row],[Desc]],LocaleTable[Index],0))</f>
        <v>차징 속도가 40% 느려집니다. 대신 공을 튕겨내는 속도가 30% 상승합니다.</v>
      </c>
      <c r="M34" s="6"/>
    </row>
    <row r="35" spans="2:13">
      <c r="B35" cm="1">
        <f t="array" ref="B35">_xlfn.IFS(ItemTable[[#This Row],[GradeType]]="Hp",IF(E34=ItemTable[[#This Row],[GradeType]],B34+1,10),
ItemTable[[#This Row],[GradeType]]="Gold",IF(E34=ItemTable[[#This Row],[GradeType]],B34+1,20),
ItemTable[[#This Row],[GradeType]]="Weapon",IF(E34=ItemTable[[#This Row],[GradeType]],B34+1,1000),
ItemTable[[#This Row],[GradeType]]="Normal",IF(E34=ItemTable[[#This Row],[GradeType]],B34+1,2000),
ItemTable[[#This Row],[GradeType]]="Rare",IF(E34=ItemTable[[#This Row],[GradeType]],B34+1,3000),
ItemTable[[#This Row],[GradeType]]="Cursed",IF(E34=ItemTable[[#This Row],[GradeType]],B34+1,4000))</f>
        <v>4003</v>
      </c>
      <c r="C35">
        <f>ItemTable[[#This Row],[Index]]+10000</f>
        <v>14003</v>
      </c>
      <c r="D35">
        <f>ItemTable[[#This Row],[Index]]+20000</f>
        <v>24003</v>
      </c>
      <c r="E35" t="s">
        <v>94</v>
      </c>
      <c r="F35">
        <v>1</v>
      </c>
      <c r="G35">
        <f>INDEX(아이템가격[],MATCH(MID(ItemTable[[#Headers],[CostHp]],5,10),아이템가격[재화],0),MATCH(ItemTable[[#This Row],[GradeType]],아이템가격[#Headers],0))
*ItemTable[[#This Row],[Value]]</f>
        <v>2</v>
      </c>
      <c r="H35">
        <f>INDEX(아이템가격[],MATCH(MID(ItemTable[[#Headers],[CostGold]],5,10),아이템가격[재화],0),MATCH(ItemTable[[#This Row],[GradeType]],아이템가격[#Headers],0))
*ItemTable[[#This Row],[Value]]</f>
        <v>50</v>
      </c>
      <c r="I35" cm="1">
        <f t="array" ref="I35">_xlfn.IFS(OR(ItemTable[[#This Row],[GradeType]]="Hp",ItemTable[[#This Row],[GradeType]]="Gold"),0,
TRUE,5000+ItemTable[[#This Row],[Index]])</f>
        <v>9003</v>
      </c>
      <c r="K35" s="7" t="str">
        <f>INDEX(LocaleTable[LocaleKR],MATCH(ItemTable[[#This Row],[Name]],LocaleTable[Index],0))</f>
        <v>저주받은 갑옷</v>
      </c>
      <c r="L35" s="7" t="str">
        <f>INDEX(LocaleTable[LocaleKR],MATCH(ItemTable[[#This Row],[Desc]],LocaleTable[Index],0))</f>
        <v>[하트]가 3개 증가, 이동속도가 40% 느려집니다.</v>
      </c>
      <c r="M35" s="6"/>
    </row>
    <row r="36" spans="2:13">
      <c r="B36" cm="1">
        <f t="array" ref="B36">_xlfn.IFS(ItemTable[[#This Row],[GradeType]]="Hp",IF(E35=ItemTable[[#This Row],[GradeType]],B35+1,10),
ItemTable[[#This Row],[GradeType]]="Gold",IF(E35=ItemTable[[#This Row],[GradeType]],B35+1,20),
ItemTable[[#This Row],[GradeType]]="Weapon",IF(E35=ItemTable[[#This Row],[GradeType]],B35+1,1000),
ItemTable[[#This Row],[GradeType]]="Normal",IF(E35=ItemTable[[#This Row],[GradeType]],B35+1,2000),
ItemTable[[#This Row],[GradeType]]="Rare",IF(E35=ItemTable[[#This Row],[GradeType]],B35+1,3000),
ItemTable[[#This Row],[GradeType]]="Cursed",IF(E35=ItemTable[[#This Row],[GradeType]],B35+1,4000))</f>
        <v>4004</v>
      </c>
      <c r="C36">
        <f>ItemTable[[#This Row],[Index]]+10000</f>
        <v>14004</v>
      </c>
      <c r="D36">
        <f>ItemTable[[#This Row],[Index]]+20000</f>
        <v>24004</v>
      </c>
      <c r="E36" t="s">
        <v>94</v>
      </c>
      <c r="F36">
        <v>1</v>
      </c>
      <c r="G36">
        <f>INDEX(아이템가격[],MATCH(MID(ItemTable[[#Headers],[CostHp]],5,10),아이템가격[재화],0),MATCH(ItemTable[[#This Row],[GradeType]],아이템가격[#Headers],0))
*ItemTable[[#This Row],[Value]]</f>
        <v>2</v>
      </c>
      <c r="H36">
        <f>INDEX(아이템가격[],MATCH(MID(ItemTable[[#Headers],[CostGold]],5,10),아이템가격[재화],0),MATCH(ItemTable[[#This Row],[GradeType]],아이템가격[#Headers],0))
*ItemTable[[#This Row],[Value]]</f>
        <v>50</v>
      </c>
      <c r="I36" cm="1">
        <f t="array" ref="I36">_xlfn.IFS(OR(ItemTable[[#This Row],[GradeType]]="Hp",ItemTable[[#This Row],[GradeType]]="Gold"),0,
TRUE,5000+ItemTable[[#This Row],[Index]])</f>
        <v>9004</v>
      </c>
      <c r="K36" s="7" t="str">
        <f>INDEX(LocaleTable[LocaleKR],MATCH(ItemTable[[#This Row],[Name]],LocaleTable[Index],0))</f>
        <v>유리 대포</v>
      </c>
      <c r="L36" s="7" t="str">
        <f>INDEX(LocaleTable[LocaleKR],MATCH(ItemTable[[#This Row],[Desc]],LocaleTable[Index],0))</f>
        <v>[하트]가 3개 감소, 피해량이 35% 증가합니다.</v>
      </c>
      <c r="M36" s="6"/>
    </row>
    <row r="37" spans="2:13">
      <c r="B37" cm="1">
        <f t="array" ref="B37">_xlfn.IFS(ItemTable[[#This Row],[GradeType]]="Hp",IF(E36=ItemTable[[#This Row],[GradeType]],B36+1,10),
ItemTable[[#This Row],[GradeType]]="Gold",IF(E36=ItemTable[[#This Row],[GradeType]],B36+1,20),
ItemTable[[#This Row],[GradeType]]="Weapon",IF(E36=ItemTable[[#This Row],[GradeType]],B36+1,1000),
ItemTable[[#This Row],[GradeType]]="Normal",IF(E36=ItemTable[[#This Row],[GradeType]],B36+1,2000),
ItemTable[[#This Row],[GradeType]]="Rare",IF(E36=ItemTable[[#This Row],[GradeType]],B36+1,3000),
ItemTable[[#This Row],[GradeType]]="Cursed",IF(E36=ItemTable[[#This Row],[GradeType]],B36+1,4000))</f>
        <v>4005</v>
      </c>
      <c r="C37">
        <f>ItemTable[[#This Row],[Index]]+10000</f>
        <v>14005</v>
      </c>
      <c r="D37">
        <f>ItemTable[[#This Row],[Index]]+20000</f>
        <v>24005</v>
      </c>
      <c r="E37" t="s">
        <v>94</v>
      </c>
      <c r="F37">
        <v>1</v>
      </c>
      <c r="G37">
        <f>INDEX(아이템가격[],MATCH(MID(ItemTable[[#Headers],[CostHp]],5,10),아이템가격[재화],0),MATCH(ItemTable[[#This Row],[GradeType]],아이템가격[#Headers],0))
*ItemTable[[#This Row],[Value]]</f>
        <v>2</v>
      </c>
      <c r="H37">
        <f>INDEX(아이템가격[],MATCH(MID(ItemTable[[#Headers],[CostGold]],5,10),아이템가격[재화],0),MATCH(ItemTable[[#This Row],[GradeType]],아이템가격[#Headers],0))
*ItemTable[[#This Row],[Value]]</f>
        <v>50</v>
      </c>
      <c r="I37" cm="1">
        <f t="array" ref="I37">_xlfn.IFS(OR(ItemTable[[#This Row],[GradeType]]="Hp",ItemTable[[#This Row],[GradeType]]="Gold"),0,
TRUE,5000+ItemTable[[#This Row],[Index]])</f>
        <v>9005</v>
      </c>
      <c r="K37" s="7" t="str">
        <f>INDEX(LocaleTable[LocaleKR],MATCH(ItemTable[[#This Row],[Name]],LocaleTable[Index],0))</f>
        <v>청개구리 총</v>
      </c>
      <c r="L37" s="7" t="str">
        <f>INDEX(LocaleTable[LocaleKR],MATCH(ItemTable[[#This Row],[Desc]],LocaleTable[Index],0))</f>
        <v>공격을 반대로 합니다. 대신 피해량이 25% 증가합니다.</v>
      </c>
      <c r="M37" s="6"/>
    </row>
    <row r="38" spans="2:13">
      <c r="B38" cm="1">
        <f t="array" ref="B38">_xlfn.IFS(ItemTable[[#This Row],[GradeType]]="Hp",IF(E37=ItemTable[[#This Row],[GradeType]],B37+1,10),
ItemTable[[#This Row],[GradeType]]="Gold",IF(E37=ItemTable[[#This Row],[GradeType]],B37+1,20),
ItemTable[[#This Row],[GradeType]]="Weapon",IF(E37=ItemTable[[#This Row],[GradeType]],B37+1,1000),
ItemTable[[#This Row],[GradeType]]="Normal",IF(E37=ItemTable[[#This Row],[GradeType]],B37+1,2000),
ItemTable[[#This Row],[GradeType]]="Rare",IF(E37=ItemTable[[#This Row],[GradeType]],B37+1,3000),
ItemTable[[#This Row],[GradeType]]="Cursed",IF(E37=ItemTable[[#This Row],[GradeType]],B37+1,4000))</f>
        <v>4006</v>
      </c>
      <c r="C38">
        <f>ItemTable[[#This Row],[Index]]+10000</f>
        <v>14006</v>
      </c>
      <c r="D38">
        <f>ItemTable[[#This Row],[Index]]+20000</f>
        <v>24006</v>
      </c>
      <c r="E38" t="s">
        <v>94</v>
      </c>
      <c r="F38">
        <v>1</v>
      </c>
      <c r="G38">
        <f>INDEX(아이템가격[],MATCH(MID(ItemTable[[#Headers],[CostHp]],5,10),아이템가격[재화],0),MATCH(ItemTable[[#This Row],[GradeType]],아이템가격[#Headers],0))
*ItemTable[[#This Row],[Value]]</f>
        <v>2</v>
      </c>
      <c r="H38">
        <f>INDEX(아이템가격[],MATCH(MID(ItemTable[[#Headers],[CostGold]],5,10),아이템가격[재화],0),MATCH(ItemTable[[#This Row],[GradeType]],아이템가격[#Headers],0))
*ItemTable[[#This Row],[Value]]</f>
        <v>50</v>
      </c>
      <c r="I38" cm="1">
        <f t="array" ref="I38">_xlfn.IFS(OR(ItemTable[[#This Row],[GradeType]]="Hp",ItemTable[[#This Row],[GradeType]]="Gold"),0,
TRUE,5000+ItemTable[[#This Row],[Index]])</f>
        <v>9006</v>
      </c>
      <c r="K38" s="7" t="str">
        <f>INDEX(LocaleTable[LocaleKR],MATCH(ItemTable[[#This Row],[Name]],LocaleTable[Index],0))</f>
        <v>불운의 황금상</v>
      </c>
      <c r="L38" s="7" t="str">
        <f>INDEX(LocaleTable[LocaleKR],MATCH(ItemTable[[#This Row],[Desc]],LocaleTable[Index],0))</f>
        <v>더 이상 골드를 획득할 수 없습니다. 데미지가 30% 상승합니다.</v>
      </c>
      <c r="M38" s="6" t="s">
        <v>71</v>
      </c>
    </row>
    <row r="39" spans="2:13">
      <c r="B39" cm="1">
        <f t="array" ref="B39">_xlfn.IFS(ItemTable[[#This Row],[GradeType]]="Hp",IF(E38=ItemTable[[#This Row],[GradeType]],B38+1,10),
ItemTable[[#This Row],[GradeType]]="Gold",IF(E38=ItemTable[[#This Row],[GradeType]],B38+1,20),
ItemTable[[#This Row],[GradeType]]="Weapon",IF(E38=ItemTable[[#This Row],[GradeType]],B38+1,1000),
ItemTable[[#This Row],[GradeType]]="Normal",IF(E38=ItemTable[[#This Row],[GradeType]],B38+1,2000),
ItemTable[[#This Row],[GradeType]]="Rare",IF(E38=ItemTable[[#This Row],[GradeType]],B38+1,3000),
ItemTable[[#This Row],[GradeType]]="Cursed",IF(E38=ItemTable[[#This Row],[GradeType]],B38+1,4000))</f>
        <v>4007</v>
      </c>
      <c r="C39">
        <f>ItemTable[[#This Row],[Index]]+10000</f>
        <v>14007</v>
      </c>
      <c r="D39">
        <f>ItemTable[[#This Row],[Index]]+20000</f>
        <v>24007</v>
      </c>
      <c r="E39" t="s">
        <v>94</v>
      </c>
      <c r="F39">
        <v>1</v>
      </c>
      <c r="G39">
        <f>INDEX(아이템가격[],MATCH(MID(ItemTable[[#Headers],[CostHp]],5,10),아이템가격[재화],0),MATCH(ItemTable[[#This Row],[GradeType]],아이템가격[#Headers],0))
*ItemTable[[#This Row],[Value]]</f>
        <v>2</v>
      </c>
      <c r="H39">
        <f>INDEX(아이템가격[],MATCH(MID(ItemTable[[#Headers],[CostGold]],5,10),아이템가격[재화],0),MATCH(ItemTable[[#This Row],[GradeType]],아이템가격[#Headers],0))
*ItemTable[[#This Row],[Value]]</f>
        <v>50</v>
      </c>
      <c r="I39" cm="1">
        <f t="array" ref="I39">_xlfn.IFS(OR(ItemTable[[#This Row],[GradeType]]="Hp",ItemTable[[#This Row],[GradeType]]="Gold"),0,
TRUE,5000+ItemTable[[#This Row],[Index]])</f>
        <v>9007</v>
      </c>
      <c r="K39" s="7" t="str">
        <f>INDEX(LocaleTable[LocaleKR],MATCH(ItemTable[[#This Row],[Name]],LocaleTable[Index],0))</f>
        <v>저주받은 테니스채</v>
      </c>
      <c r="L39" s="7" t="str">
        <f>INDEX(LocaleTable[LocaleKR],MATCH(ItemTable[[#This Row],[Desc]],LocaleTable[Index],0))</f>
        <v>공 던지기 개수 3개 감소. 직접 공격 데미지가 450% 상승합니다.</v>
      </c>
      <c r="M39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Y58"/>
  <sheetViews>
    <sheetView topLeftCell="A2" workbookViewId="0">
      <selection activeCell="H7" sqref="H7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22.5" bestFit="1" customWidth="1"/>
    <col min="10" max="10" width="21.625" bestFit="1" customWidth="1"/>
    <col min="11" max="11" width="22.875" bestFit="1" customWidth="1"/>
    <col min="12" max="12" width="17.125" customWidth="1"/>
    <col min="13" max="13" width="19.625" customWidth="1"/>
    <col min="14" max="14" width="19.625" style="16" customWidth="1"/>
    <col min="15" max="16" width="20.375" customWidth="1"/>
    <col min="17" max="19" width="17.125" customWidth="1"/>
    <col min="20" max="20" width="15.625" customWidth="1"/>
    <col min="21" max="21" width="17.875" bestFit="1" customWidth="1"/>
    <col min="22" max="22" width="15.125" bestFit="1" customWidth="1"/>
    <col min="23" max="23" width="14" bestFit="1" customWidth="1"/>
    <col min="24" max="24" width="20" bestFit="1" customWidth="1"/>
    <col min="25" max="25" width="69.625" bestFit="1" customWidth="1"/>
  </cols>
  <sheetData>
    <row r="1" spans="2:25">
      <c r="E1" t="s">
        <v>113</v>
      </c>
      <c r="F1" t="s">
        <v>227</v>
      </c>
      <c r="G1" t="s">
        <v>112</v>
      </c>
      <c r="I1" t="s">
        <v>112</v>
      </c>
      <c r="J1" t="s">
        <v>227</v>
      </c>
      <c r="K1" t="s">
        <v>227</v>
      </c>
      <c r="L1" s="16" t="s">
        <v>369</v>
      </c>
      <c r="M1" s="16"/>
      <c r="O1" s="16"/>
      <c r="P1" s="16"/>
      <c r="T1" s="16" t="s">
        <v>368</v>
      </c>
      <c r="U1" s="16"/>
    </row>
    <row r="2" spans="2:25">
      <c r="B2" s="8" t="s">
        <v>240</v>
      </c>
      <c r="C2" s="9" t="s">
        <v>241</v>
      </c>
      <c r="D2" s="9" t="s">
        <v>244</v>
      </c>
      <c r="E2" t="s">
        <v>81</v>
      </c>
      <c r="F2" t="s">
        <v>142</v>
      </c>
      <c r="G2" t="s">
        <v>437</v>
      </c>
      <c r="H2" s="8" t="s">
        <v>238</v>
      </c>
      <c r="I2" s="4" t="s">
        <v>83</v>
      </c>
      <c r="J2" t="s">
        <v>82</v>
      </c>
      <c r="K2" t="s">
        <v>84</v>
      </c>
      <c r="L2" s="8" t="s">
        <v>391</v>
      </c>
      <c r="M2" s="8" t="s">
        <v>392</v>
      </c>
      <c r="N2" s="8" t="s">
        <v>399</v>
      </c>
      <c r="O2" s="22" t="s">
        <v>395</v>
      </c>
      <c r="P2" s="8" t="s">
        <v>373</v>
      </c>
      <c r="Q2" s="21" t="s">
        <v>394</v>
      </c>
      <c r="R2" s="21" t="s">
        <v>398</v>
      </c>
      <c r="S2" s="9" t="s">
        <v>246</v>
      </c>
      <c r="T2" s="8" t="s">
        <v>245</v>
      </c>
      <c r="U2" s="9" t="s">
        <v>242</v>
      </c>
      <c r="V2" s="9" t="s">
        <v>247</v>
      </c>
      <c r="W2" s="9" t="s">
        <v>248</v>
      </c>
      <c r="X2" s="9" t="s">
        <v>164</v>
      </c>
      <c r="Y2" s="9" t="s">
        <v>243</v>
      </c>
    </row>
    <row r="3" spans="2:25">
      <c r="B3" s="6" t="s">
        <v>26</v>
      </c>
      <c r="C3" s="6" t="s">
        <v>304</v>
      </c>
      <c r="D3" s="6" t="s">
        <v>92</v>
      </c>
      <c r="E3" cm="1">
        <f t="array" ref="E3">_xlfn.IFS(ItemEffectTable[[#This Row],['#Grade]]="Weapon",6000,
ItemEffectTable[[#This Row],['#Grade]]="Normal",7000,
ItemEffectTable[[#This Row],['#Grade]]="Rare",8000,
ItemEffectTable[[#This Row],['#Grade]]="Cursed",9000)
+ COUNTIF($D$3:D3,ItemEffectTable[[#This Row],['#Grade]])
-ItemEffectTable[[#This Row],['#인덱스 수식용]]-1</f>
        <v>6000</v>
      </c>
      <c r="F3" t="s">
        <v>27</v>
      </c>
      <c r="G3" t="s">
        <v>182</v>
      </c>
      <c r="H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리소스변경</v>
      </c>
      <c r="I3">
        <v>900</v>
      </c>
      <c r="J3" t="s">
        <v>28</v>
      </c>
      <c r="K3" t="s">
        <v>78</v>
      </c>
      <c r="L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ItemResourceTable</v>
      </c>
      <c r="M3" s="7" t="str" cm="1">
        <f t="array" ref="M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리소스변경(식별자:900)</v>
      </c>
      <c r="N3" s="24" t="s">
        <v>388</v>
      </c>
      <c r="O3" s="7" t="str" cm="1">
        <f t="array" ref="O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3" s="7" cm="1">
        <f t="array" ref="P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0</v>
      </c>
      <c r="Q3" s="7" cm="1">
        <f t="array" ref="Q3">SUM(IF($E$3:$E$58=E3,$P$3:$P$58))</f>
        <v>0</v>
      </c>
      <c r="R3" s="7">
        <f>INDEX(표9[],MATCH(ItemEffectTable[[#This Row],['#Grade]],표9[#Headers],0))-ItemEffectTable[[#This Row],['#총 효력가치]]</f>
        <v>30</v>
      </c>
      <c r="S3" s="6"/>
      <c r="T3" s="7" cm="1">
        <f t="array" ref="T3">_xlfn.IFS(
ISTEXT(T2),0,
AND(ItemEffectTable[[#This Row],['#Grade]]=D2,ItemEffectTable[[#This Row],['#이름값]]=C2),T2+1,
ItemEffectTable[[#This Row],['#Grade]]&lt;&gt;D2,0,
ItemEffectTable[[#This Row],['#Grade]]=D2,T2
)</f>
        <v>0</v>
      </c>
      <c r="U3" s="7" t="str">
        <f>IF(ItemEffectTable[[#This Row],['#이름값]]=ItemEffectTable[[#This Row],['#Name]],"TRUE","FALSE")</f>
        <v>TRUE</v>
      </c>
      <c r="V3" s="7">
        <f>INDEX(ItemTable[Name],MATCH(ItemEffectTable[[#This Row],[Index]],ItemTable[ItemEffectDataId],0))</f>
        <v>11000</v>
      </c>
      <c r="W3" s="7">
        <f>INDEX(ItemTable[Desc],MATCH(ItemEffectTable[[#This Row],[Index]],ItemTable[ItemEffectDataId],0))</f>
        <v>21000</v>
      </c>
      <c r="X3" s="7" t="str">
        <f>INDEX(LocaleTable[LocaleKR],MATCH(ItemEffectTable[[#This Row],['#NameIndex]],LocaleTable[Index],0))</f>
        <v>장난감 배트</v>
      </c>
      <c r="Y3" s="7" t="str">
        <f>INDEX(LocaleTable[LocaleKR],MATCH(ItemEffectTable[[#This Row],['#DescIndex]],LocaleTable[Index],0))</f>
        <v>아무 능력이 없지만 이동할 때 뾱뾱 소리가 납니다.</v>
      </c>
    </row>
    <row r="4" spans="2:25">
      <c r="B4" s="6" t="s">
        <v>26</v>
      </c>
      <c r="C4" s="6" t="s">
        <v>1</v>
      </c>
      <c r="D4" s="6" t="s">
        <v>92</v>
      </c>
      <c r="E4" cm="1">
        <f t="array" ref="E4">_xlfn.IFS(ItemEffectTable[[#This Row],['#Grade]]="Weapon",6000,
ItemEffectTable[[#This Row],['#Grade]]="Normal",7000,
ItemEffectTable[[#This Row],['#Grade]]="Rare",8000,
ItemEffectTable[[#This Row],['#Grade]]="Cursed",9000)
+ COUNTIF($D$3:D4,ItemEffectTable[[#This Row],['#Grade]])
-ItemEffectTable[[#This Row],['#인덱스 수식용]]-1</f>
        <v>6001</v>
      </c>
      <c r="F4" t="s">
        <v>27</v>
      </c>
      <c r="G4" t="s">
        <v>182</v>
      </c>
      <c r="H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리소스변경</v>
      </c>
      <c r="I4">
        <v>901</v>
      </c>
      <c r="J4" t="s">
        <v>28</v>
      </c>
      <c r="K4" t="s">
        <v>78</v>
      </c>
      <c r="L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ItemResourceTable</v>
      </c>
      <c r="M4" s="7" t="str" cm="1">
        <f t="array" ref="M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리소스변경(식별자:901)</v>
      </c>
      <c r="N4" s="24" t="s">
        <v>388</v>
      </c>
      <c r="O4" s="7" t="str" cm="1">
        <f t="array" ref="O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4" s="7" cm="1">
        <f t="array" ref="P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0</v>
      </c>
      <c r="Q4" s="7" cm="1">
        <f t="array" ref="Q4">SUM(IF($E$3:$E$58=E4,$P$3:$P$58))</f>
        <v>30</v>
      </c>
      <c r="R4" s="7">
        <f>INDEX(표9[],MATCH(ItemEffectTable[[#This Row],['#Grade]],표9[#Headers],0))-ItemEffectTable[[#This Row],['#총 효력가치]]</f>
        <v>0</v>
      </c>
      <c r="S4" s="6" t="s">
        <v>29</v>
      </c>
      <c r="T4" s="7" cm="1">
        <f t="array" ref="T4">_xlfn.IFS(
ISTEXT(T3),0,
AND(ItemEffectTable[[#This Row],['#Grade]]=D3,ItemEffectTable[[#This Row],['#이름값]]=C3),T3+1,
ItemEffectTable[[#This Row],['#Grade]]&lt;&gt;D3,0,
ItemEffectTable[[#This Row],['#Grade]]=D3,T3
)</f>
        <v>0</v>
      </c>
      <c r="U4" s="7" t="str">
        <f>IF(ItemEffectTable[[#This Row],['#이름값]]=ItemEffectTable[[#This Row],['#Name]],"TRUE","FALSE")</f>
        <v>TRUE</v>
      </c>
      <c r="V4" s="7">
        <f>INDEX(ItemTable[Name],MATCH(ItemEffectTable[[#This Row],[Index]],ItemTable[ItemEffectDataId],0))</f>
        <v>11001</v>
      </c>
      <c r="W4" s="7">
        <f>INDEX(ItemTable[Desc],MATCH(ItemEffectTable[[#This Row],[Index]],ItemTable[ItemEffectDataId],0))</f>
        <v>21001</v>
      </c>
      <c r="X4" s="7" t="str">
        <f>INDEX(LocaleTable[LocaleKR],MATCH(ItemEffectTable[[#This Row],['#NameIndex]],LocaleTable[Index],0))</f>
        <v>무지개빛 총공격</v>
      </c>
      <c r="Y4" s="7" t="str">
        <f>INDEX(LocaleTable[LocaleKR],MATCH(ItemEffectTable[[#This Row],['#DescIndex]],LocaleTable[Index],0))</f>
        <v>냥냥냥. 모든 탄환이 적을 관통합니다.</v>
      </c>
    </row>
    <row r="5" spans="2:25">
      <c r="B5" s="6" t="s">
        <v>26</v>
      </c>
      <c r="C5" s="6" t="s">
        <v>1</v>
      </c>
      <c r="D5" s="6" t="s">
        <v>92</v>
      </c>
      <c r="E5" cm="1">
        <f t="array" ref="E5">_xlfn.IFS(ItemEffectTable[[#This Row],['#Grade]]="Weapon",6000,
ItemEffectTable[[#This Row],['#Grade]]="Normal",7000,
ItemEffectTable[[#This Row],['#Grade]]="Rare",8000,
ItemEffectTable[[#This Row],['#Grade]]="Cursed",9000)
+ COUNTIF($D$3:D5,ItemEffectTable[[#This Row],['#Grade]])
-ItemEffectTable[[#This Row],['#인덱스 수식용]]-1</f>
        <v>6001</v>
      </c>
      <c r="F5" t="s">
        <v>438</v>
      </c>
      <c r="G5" t="s">
        <v>30</v>
      </c>
      <c r="H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5">
        <v>15</v>
      </c>
      <c r="J5" t="s">
        <v>31</v>
      </c>
      <c r="K5" t="s">
        <v>78</v>
      </c>
      <c r="L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" s="7" cm="1">
        <f t="array" ref="M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8</v>
      </c>
      <c r="N5" s="24" t="s">
        <v>388</v>
      </c>
      <c r="O5" s="7" cm="1">
        <f t="array" ref="O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15</v>
      </c>
      <c r="P5" s="7" cm="1">
        <f t="array" ref="P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Q5" s="7" cm="1">
        <f t="array" ref="Q5">SUM(IF($E$3:$E$58=E5,$P$3:$P$58))</f>
        <v>30</v>
      </c>
      <c r="R5" s="7">
        <f>INDEX(표9[],MATCH(ItemEffectTable[[#This Row],['#Grade]],표9[#Headers],0))-ItemEffectTable[[#This Row],['#총 효력가치]]</f>
        <v>0</v>
      </c>
      <c r="S5" s="6" t="s">
        <v>29</v>
      </c>
      <c r="T5" s="7" cm="1">
        <f t="array" ref="T5">_xlfn.IFS(
ISTEXT(T4),0,
AND(ItemEffectTable[[#This Row],['#Grade]]=D4,ItemEffectTable[[#This Row],['#이름값]]=C4),T4+1,
ItemEffectTable[[#This Row],['#Grade]]&lt;&gt;D4,0,
ItemEffectTable[[#This Row],['#Grade]]=D4,T4
)</f>
        <v>1</v>
      </c>
      <c r="U5" s="7" t="str">
        <f>IF(ItemEffectTable[[#This Row],['#이름값]]=ItemEffectTable[[#This Row],['#Name]],"TRUE","FALSE")</f>
        <v>TRUE</v>
      </c>
      <c r="V5" s="7">
        <f>INDEX(ItemTable[Name],MATCH(ItemEffectTable[[#This Row],[Index]],ItemTable[ItemEffectDataId],0))</f>
        <v>11001</v>
      </c>
      <c r="W5" s="7">
        <f>INDEX(ItemTable[Desc],MATCH(ItemEffectTable[[#This Row],[Index]],ItemTable[ItemEffectDataId],0))</f>
        <v>21001</v>
      </c>
      <c r="X5" s="7" t="str">
        <f>INDEX(LocaleTable[LocaleKR],MATCH(ItemEffectTable[[#This Row],['#NameIndex]],LocaleTable[Index],0))</f>
        <v>무지개빛 총공격</v>
      </c>
      <c r="Y5" s="7" t="str">
        <f>INDEX(LocaleTable[LocaleKR],MATCH(ItemEffectTable[[#This Row],['#DescIndex]],LocaleTable[Index],0))</f>
        <v>냥냥냥. 모든 탄환이 적을 관통합니다.</v>
      </c>
    </row>
    <row r="6" spans="2:25">
      <c r="B6" s="6" t="s">
        <v>237</v>
      </c>
      <c r="C6" s="6" t="s">
        <v>236</v>
      </c>
      <c r="D6" s="6" t="s">
        <v>92</v>
      </c>
      <c r="E6" cm="1">
        <f t="array" ref="E6">_xlfn.IFS(ItemEffectTable[[#This Row],['#Grade]]="Weapon",6000,
ItemEffectTable[[#This Row],['#Grade]]="Normal",7000,
ItemEffectTable[[#This Row],['#Grade]]="Rare",8000,
ItemEffectTable[[#This Row],['#Grade]]="Cursed",9000)
+ COUNTIF($D$3:D6,ItemEffectTable[[#This Row],['#Grade]])
-ItemEffectTable[[#This Row],['#인덱스 수식용]]-1</f>
        <v>6002</v>
      </c>
      <c r="F6" t="s">
        <v>27</v>
      </c>
      <c r="G6" t="s">
        <v>182</v>
      </c>
      <c r="H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리소스변경</v>
      </c>
      <c r="I6">
        <v>902</v>
      </c>
      <c r="J6" t="s">
        <v>182</v>
      </c>
      <c r="K6" t="s">
        <v>78</v>
      </c>
      <c r="L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ItemResourceTable</v>
      </c>
      <c r="M6" s="7" t="str" cm="1">
        <f t="array" ref="M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리소스변경(식별자:902)</v>
      </c>
      <c r="N6" s="24" t="s">
        <v>388</v>
      </c>
      <c r="O6" s="7" t="str" cm="1">
        <f t="array" ref="O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6" s="7" cm="1">
        <f t="array" ref="P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0</v>
      </c>
      <c r="Q6" s="7" cm="1">
        <f t="array" ref="Q6">SUM(IF($E$3:$E$58=E6,$P$3:$P$58))</f>
        <v>33.333333333333329</v>
      </c>
      <c r="R6" s="7">
        <f>INDEX(표9[],MATCH(ItemEffectTable[[#This Row],['#Grade]],표9[#Headers],0))-ItemEffectTable[[#This Row],['#총 효력가치]]</f>
        <v>-3.3333333333333286</v>
      </c>
      <c r="S6" s="6"/>
      <c r="T6" s="7" cm="1">
        <f t="array" ref="T6">_xlfn.IFS(
ISTEXT(T5),0,
AND(ItemEffectTable[[#This Row],['#Grade]]=D5,ItemEffectTable[[#This Row],['#이름값]]=C5),T5+1,
ItemEffectTable[[#This Row],['#Grade]]&lt;&gt;D5,0,
ItemEffectTable[[#This Row],['#Grade]]=D5,T5
)</f>
        <v>1</v>
      </c>
      <c r="U6" s="7" t="str">
        <f>IF(ItemEffectTable[[#This Row],['#이름값]]=ItemEffectTable[[#This Row],['#Name]],"TRUE","FALSE")</f>
        <v>TRUE</v>
      </c>
      <c r="V6" s="7">
        <f>INDEX(ItemTable[Name],MATCH(ItemEffectTable[[#This Row],[Index]],ItemTable[ItemEffectDataId],0))</f>
        <v>11002</v>
      </c>
      <c r="W6" s="7">
        <f>INDEX(ItemTable[Desc],MATCH(ItemEffectTable[[#This Row],[Index]],ItemTable[ItemEffectDataId],0))</f>
        <v>21002</v>
      </c>
      <c r="X6" s="7" t="str">
        <f>INDEX(LocaleTable[LocaleKR],MATCH(ItemEffectTable[[#This Row],['#NameIndex]],LocaleTable[Index],0))</f>
        <v>트럼펫</v>
      </c>
      <c r="Y6" s="7" t="str">
        <f>INDEX(LocaleTable[LocaleKR],MATCH(ItemEffectTable[[#This Row],['#DescIndex]],LocaleTable[Index],0))</f>
        <v>트럼펫 소리가 납니다. 공격력이 20%증가합니다.</v>
      </c>
    </row>
    <row r="7" spans="2:25">
      <c r="B7" s="6" t="s">
        <v>237</v>
      </c>
      <c r="C7" s="6" t="s">
        <v>236</v>
      </c>
      <c r="D7" s="6" t="s">
        <v>92</v>
      </c>
      <c r="E7" cm="1">
        <f t="array" ref="E7">_xlfn.IFS(ItemEffectTable[[#This Row],['#Grade]]="Weapon",6000,
ItemEffectTable[[#This Row],['#Grade]]="Normal",7000,
ItemEffectTable[[#This Row],['#Grade]]="Rare",8000,
ItemEffectTable[[#This Row],['#Grade]]="Cursed",9000)
+ COUNTIF($D$3:D7,ItemEffectTable[[#This Row],['#Grade]])
-ItemEffectTable[[#This Row],['#인덱스 수식용]]-1</f>
        <v>6002</v>
      </c>
      <c r="F7" t="s">
        <v>438</v>
      </c>
      <c r="G7" t="s">
        <v>284</v>
      </c>
      <c r="H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7">
        <v>1.2</v>
      </c>
      <c r="J7" t="s">
        <v>35</v>
      </c>
      <c r="K7" t="s">
        <v>78</v>
      </c>
      <c r="L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7" s="7" cm="1">
        <f t="array" ref="M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7" s="24" t="s">
        <v>388</v>
      </c>
      <c r="O7" s="7" cm="1">
        <f t="array" ref="O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P7" s="7" cm="1">
        <f t="array" ref="P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Q7" s="7" cm="1">
        <f t="array" ref="Q7">SUM(IF($E$3:$E$58=E7,$P$3:$P$58))</f>
        <v>33.333333333333329</v>
      </c>
      <c r="R7" s="7">
        <f>INDEX(표9[],MATCH(ItemEffectTable[[#This Row],['#Grade]],표9[#Headers],0))-ItemEffectTable[[#This Row],['#총 효력가치]]</f>
        <v>-3.3333333333333286</v>
      </c>
      <c r="S7" s="6"/>
      <c r="T7" s="7" cm="1">
        <f t="array" ref="T7">_xlfn.IFS(
ISTEXT(T6),0,
AND(ItemEffectTable[[#This Row],['#Grade]]=D6,ItemEffectTable[[#This Row],['#이름값]]=C6),T6+1,
ItemEffectTable[[#This Row],['#Grade]]&lt;&gt;D6,0,
ItemEffectTable[[#This Row],['#Grade]]=D6,T6
)</f>
        <v>2</v>
      </c>
      <c r="U7" s="7" t="str">
        <f>IF(ItemEffectTable[[#This Row],['#이름값]]=ItemEffectTable[[#This Row],['#Name]],"TRUE","FALSE")</f>
        <v>TRUE</v>
      </c>
      <c r="V7" s="7">
        <f>INDEX(ItemTable[Name],MATCH(ItemEffectTable[[#This Row],[Index]],ItemTable[ItemEffectDataId],0))</f>
        <v>11002</v>
      </c>
      <c r="W7" s="7">
        <f>INDEX(ItemTable[Desc],MATCH(ItemEffectTable[[#This Row],[Index]],ItemTable[ItemEffectDataId],0))</f>
        <v>21002</v>
      </c>
      <c r="X7" s="7" t="str">
        <f>INDEX(LocaleTable[LocaleKR],MATCH(ItemEffectTable[[#This Row],['#NameIndex]],LocaleTable[Index],0))</f>
        <v>트럼펫</v>
      </c>
      <c r="Y7" s="7" t="str">
        <f>INDEX(LocaleTable[LocaleKR],MATCH(ItemEffectTable[[#This Row],['#DescIndex]],LocaleTable[Index],0))</f>
        <v>트럼펫 소리가 납니다. 공격력이 20%증가합니다.</v>
      </c>
    </row>
    <row r="8" spans="2:25">
      <c r="B8" s="6" t="s">
        <v>26</v>
      </c>
      <c r="C8" s="6" t="s">
        <v>2</v>
      </c>
      <c r="D8" s="6" t="s">
        <v>91</v>
      </c>
      <c r="E8" cm="1">
        <f t="array" ref="E8">_xlfn.IFS(ItemEffectTable[[#This Row],['#Grade]]="Weapon",6000,
ItemEffectTable[[#This Row],['#Grade]]="Normal",7000,
ItemEffectTable[[#This Row],['#Grade]]="Rare",8000,
ItemEffectTable[[#This Row],['#Grade]]="Cursed",9000)
+ COUNTIF($D$3:D8,ItemEffectTable[[#This Row],['#Grade]])
-ItemEffectTable[[#This Row],['#인덱스 수식용]]-1</f>
        <v>7000</v>
      </c>
      <c r="F8" t="s">
        <v>438</v>
      </c>
      <c r="G8" t="s">
        <v>33</v>
      </c>
      <c r="H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>
        <v>2</v>
      </c>
      <c r="J8" t="s">
        <v>34</v>
      </c>
      <c r="K8" t="s">
        <v>78</v>
      </c>
      <c r="L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8" s="7" cm="1">
        <f t="array" ref="M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8" s="24" t="s">
        <v>388</v>
      </c>
      <c r="O8" s="7" cm="1">
        <f t="array" ref="O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8</v>
      </c>
      <c r="P8" s="7" cm="1">
        <f t="array" ref="P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33.333333333333336</v>
      </c>
      <c r="Q8" s="7" cm="1">
        <f t="array" ref="Q8">SUM(IF($E$3:$E$58=E8,$P$3:$P$58))</f>
        <v>33.333333333333336</v>
      </c>
      <c r="R8" s="7">
        <f>INDEX(표9[],MATCH(ItemEffectTable[[#This Row],['#Grade]],표9[#Headers],0))-ItemEffectTable[[#This Row],['#총 효력가치]]</f>
        <v>-3.3333333333333357</v>
      </c>
      <c r="S8" s="6"/>
      <c r="T8" s="7" cm="1">
        <f t="array" ref="T8">_xlfn.IFS(
ISTEXT(T7),0,
AND(ItemEffectTable[[#This Row],['#Grade]]=D7,ItemEffectTable[[#This Row],['#이름값]]=C7),T7+1,
ItemEffectTable[[#This Row],['#Grade]]&lt;&gt;D7,0,
ItemEffectTable[[#This Row],['#Grade]]=D7,T7
)</f>
        <v>0</v>
      </c>
      <c r="U8" s="7" t="str">
        <f>IF(ItemEffectTable[[#This Row],['#이름값]]=ItemEffectTable[[#This Row],['#Name]],"TRUE","FALSE")</f>
        <v>TRUE</v>
      </c>
      <c r="V8" s="7">
        <f>INDEX(ItemTable[Name],MATCH(ItemEffectTable[[#This Row],[Index]],ItemTable[ItemEffectDataId],0))</f>
        <v>12000</v>
      </c>
      <c r="W8" s="7">
        <f>INDEX(ItemTable[Desc],MATCH(ItemEffectTable[[#This Row],[Index]],ItemTable[ItemEffectDataId],0))</f>
        <v>22000</v>
      </c>
      <c r="X8" s="7" t="str">
        <f>INDEX(LocaleTable[LocaleKR],MATCH(ItemEffectTable[[#This Row],['#NameIndex]],LocaleTable[Index],0))</f>
        <v>신성한 종</v>
      </c>
      <c r="Y8" s="7" t="str">
        <f>INDEX(LocaleTable[LocaleKR],MATCH(ItemEffectTable[[#This Row],['#DescIndex]],LocaleTable[Index],0))</f>
        <v>이동속도가 조금 빨라집니다.</v>
      </c>
    </row>
    <row r="9" spans="2:25">
      <c r="B9" s="6" t="s">
        <v>26</v>
      </c>
      <c r="C9" s="6" t="s">
        <v>145</v>
      </c>
      <c r="D9" s="6" t="s">
        <v>91</v>
      </c>
      <c r="E9" cm="1">
        <f t="array" ref="E9">_xlfn.IFS(ItemEffectTable[[#This Row],['#Grade]]="Weapon",6000,
ItemEffectTable[[#This Row],['#Grade]]="Normal",7000,
ItemEffectTable[[#This Row],['#Grade]]="Rare",8000,
ItemEffectTable[[#This Row],['#Grade]]="Cursed",9000)
+ COUNTIF($D$3:D9,ItemEffectTable[[#This Row],['#Grade]])
-ItemEffectTable[[#This Row],['#인덱스 수식용]]-1</f>
        <v>7001</v>
      </c>
      <c r="F9" t="s">
        <v>438</v>
      </c>
      <c r="G9" t="s">
        <v>143</v>
      </c>
      <c r="H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9">
        <v>1.3</v>
      </c>
      <c r="J9" t="s">
        <v>35</v>
      </c>
      <c r="K9" t="s">
        <v>78</v>
      </c>
      <c r="L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9" s="7" cm="1">
        <f t="array" ref="M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9" s="24" t="s">
        <v>388</v>
      </c>
      <c r="O9" s="7" cm="1">
        <f t="array" ref="O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P9" s="7" cm="1">
        <f t="array" ref="P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30.000000000000004</v>
      </c>
      <c r="Q9" s="7" cm="1">
        <f t="array" ref="Q9">SUM(IF($E$3:$E$58=E9,$P$3:$P$58))</f>
        <v>30.000000000000004</v>
      </c>
      <c r="R9" s="7">
        <f>INDEX(표9[],MATCH(ItemEffectTable[[#This Row],['#Grade]],표9[#Headers],0))-ItemEffectTable[[#This Row],['#총 효력가치]]</f>
        <v>0</v>
      </c>
      <c r="S9" s="6"/>
      <c r="T9" s="7" cm="1">
        <f t="array" ref="T9">_xlfn.IFS(
ISTEXT(T8),0,
AND(ItemEffectTable[[#This Row],['#Grade]]=D8,ItemEffectTable[[#This Row],['#이름값]]=C8),T8+1,
ItemEffectTable[[#This Row],['#Grade]]&lt;&gt;D8,0,
ItemEffectTable[[#This Row],['#Grade]]=D8,T8
)</f>
        <v>0</v>
      </c>
      <c r="U9" s="7" t="str">
        <f>IF(ItemEffectTable[[#This Row],['#이름값]]=ItemEffectTable[[#This Row],['#Name]],"TRUE","FALSE")</f>
        <v>TRUE</v>
      </c>
      <c r="V9" s="7">
        <f>INDEX(ItemTable[Name],MATCH(ItemEffectTable[[#This Row],[Index]],ItemTable[ItemEffectDataId],0))</f>
        <v>12001</v>
      </c>
      <c r="W9" s="7">
        <f>INDEX(ItemTable[Desc],MATCH(ItemEffectTable[[#This Row],[Index]],ItemTable[ItemEffectDataId],0))</f>
        <v>22001</v>
      </c>
      <c r="X9" s="7" t="str">
        <f>INDEX(LocaleTable[LocaleKR],MATCH(ItemEffectTable[[#This Row],['#NameIndex]],LocaleTable[Index],0))</f>
        <v>미정1</v>
      </c>
      <c r="Y9" s="7" t="str">
        <f>INDEX(LocaleTable[LocaleKR],MATCH(ItemEffectTable[[#This Row],['#DescIndex]],LocaleTable[Index],0))</f>
        <v>골드를 20% 더 많이 획득할 수 있습니다.</v>
      </c>
    </row>
    <row r="10" spans="2:25">
      <c r="B10" s="6" t="s">
        <v>26</v>
      </c>
      <c r="C10" s="6" t="s">
        <v>3</v>
      </c>
      <c r="D10" s="6" t="s">
        <v>91</v>
      </c>
      <c r="E10" cm="1">
        <f t="array" ref="E10">_xlfn.IFS(ItemEffectTable[[#This Row],['#Grade]]="Weapon",6000,
ItemEffectTable[[#This Row],['#Grade]]="Normal",7000,
ItemEffectTable[[#This Row],['#Grade]]="Rare",8000,
ItemEffectTable[[#This Row],['#Grade]]="Cursed",9000)
+ COUNTIF($D$3:D10,ItemEffectTable[[#This Row],['#Grade]])
-ItemEffectTable[[#This Row],['#인덱스 수식용]]-1</f>
        <v>7002</v>
      </c>
      <c r="F10" t="s">
        <v>438</v>
      </c>
      <c r="G10" t="s">
        <v>266</v>
      </c>
      <c r="H1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0">
        <v>0.6</v>
      </c>
      <c r="J10" t="s">
        <v>35</v>
      </c>
      <c r="K10" t="s">
        <v>78</v>
      </c>
      <c r="L1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0" s="7" cm="1">
        <f t="array" ref="M1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N10" s="24" t="s">
        <v>388</v>
      </c>
      <c r="O10" s="7" cm="1">
        <f t="array" ref="O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0.89999999999999991</v>
      </c>
      <c r="P10" s="7" cm="1">
        <f t="array" ref="P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90.000000000000014</v>
      </c>
      <c r="Q10" s="7" cm="1">
        <f t="array" ref="Q10">SUM(IF($E$3:$E$58=E10,$P$3:$P$58))</f>
        <v>90.000000000000014</v>
      </c>
      <c r="R10" s="7">
        <f>INDEX(표9[],MATCH(ItemEffectTable[[#This Row],['#Grade]],표9[#Headers],0))-ItemEffectTable[[#This Row],['#총 효력가치]]</f>
        <v>-60.000000000000014</v>
      </c>
      <c r="S10" s="6"/>
      <c r="T10" s="7" cm="1">
        <f t="array" ref="T10">_xlfn.IFS(
ISTEXT(T9),0,
AND(ItemEffectTable[[#This Row],['#Grade]]=D9,ItemEffectTable[[#This Row],['#이름값]]=C9),T9+1,
ItemEffectTable[[#This Row],['#Grade]]&lt;&gt;D9,0,
ItemEffectTable[[#This Row],['#Grade]]=D9,T9
)</f>
        <v>0</v>
      </c>
      <c r="U10" s="7" t="str">
        <f>IF(ItemEffectTable[[#This Row],['#이름값]]=ItemEffectTable[[#This Row],['#Name]],"TRUE","FALSE")</f>
        <v>TRUE</v>
      </c>
      <c r="V10" s="7">
        <f>INDEX(ItemTable[Name],MATCH(ItemEffectTable[[#This Row],[Index]],ItemTable[ItemEffectDataId],0))</f>
        <v>12002</v>
      </c>
      <c r="W10" s="7">
        <f>INDEX(ItemTable[Desc],MATCH(ItemEffectTable[[#This Row],[Index]],ItemTable[ItemEffectDataId],0))</f>
        <v>22002</v>
      </c>
      <c r="X10" s="7" t="str">
        <f>INDEX(LocaleTable[LocaleKR],MATCH(ItemEffectTable[[#This Row],['#NameIndex]],LocaleTable[Index],0))</f>
        <v>무언가 담긴병</v>
      </c>
      <c r="Y10" s="7" t="str">
        <f>INDEX(LocaleTable[LocaleKR],MATCH(ItemEffectTable[[#This Row],['#DescIndex]],LocaleTable[Index],0))</f>
        <v>차징 속도 20% 상승</v>
      </c>
    </row>
    <row r="11" spans="2:25">
      <c r="B11" s="6" t="s">
        <v>26</v>
      </c>
      <c r="C11" s="6" t="s">
        <v>146</v>
      </c>
      <c r="D11" s="6" t="s">
        <v>91</v>
      </c>
      <c r="E11" cm="1">
        <f t="array" ref="E11">_xlfn.IFS(ItemEffectTable[[#This Row],['#Grade]]="Weapon",6000,
ItemEffectTable[[#This Row],['#Grade]]="Normal",7000,
ItemEffectTable[[#This Row],['#Grade]]="Rare",8000,
ItemEffectTable[[#This Row],['#Grade]]="Cursed",9000)
+ COUNTIF($D$3:D11,ItemEffectTable[[#This Row],['#Grade]])
-ItemEffectTable[[#This Row],['#인덱스 수식용]]-1</f>
        <v>7003</v>
      </c>
      <c r="F11" t="s">
        <v>438</v>
      </c>
      <c r="G11" t="s">
        <v>38</v>
      </c>
      <c r="H1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공크기변경</v>
      </c>
      <c r="I11">
        <v>1.5</v>
      </c>
      <c r="J11" t="s">
        <v>34</v>
      </c>
      <c r="K11" t="s">
        <v>78</v>
      </c>
      <c r="L1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ProjectileTable</v>
      </c>
      <c r="M11" s="7" cm="1">
        <f t="array" ref="M1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0.8</v>
      </c>
      <c r="N11" s="24" t="s">
        <v>388</v>
      </c>
      <c r="O11" s="7" cm="1">
        <f t="array" ref="O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2.2999999999999998</v>
      </c>
      <c r="P11" s="7" cm="1">
        <f t="array" ref="P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29.999999999999996</v>
      </c>
      <c r="Q11" s="7" cm="1">
        <f t="array" ref="Q11">SUM(IF($E$3:$E$58=E11,$P$3:$P$58))</f>
        <v>29.999999999999996</v>
      </c>
      <c r="R11" s="7">
        <f>INDEX(표9[],MATCH(ItemEffectTable[[#This Row],['#Grade]],표9[#Headers],0))-ItemEffectTable[[#This Row],['#총 효력가치]]</f>
        <v>0</v>
      </c>
      <c r="S11" s="6"/>
      <c r="T11" s="7" cm="1">
        <f t="array" ref="T11">_xlfn.IFS(
ISTEXT(T10),0,
AND(ItemEffectTable[[#This Row],['#Grade]]=D10,ItemEffectTable[[#This Row],['#이름값]]=C10),T10+1,
ItemEffectTable[[#This Row],['#Grade]]&lt;&gt;D10,0,
ItemEffectTable[[#This Row],['#Grade]]=D10,T10
)</f>
        <v>0</v>
      </c>
      <c r="U11" s="7" t="str">
        <f>IF(ItemEffectTable[[#This Row],['#이름값]]=ItemEffectTable[[#This Row],['#Name]],"TRUE","FALSE")</f>
        <v>TRUE</v>
      </c>
      <c r="V11" s="7">
        <f>INDEX(ItemTable[Name],MATCH(ItemEffectTable[[#This Row],[Index]],ItemTable[ItemEffectDataId],0))</f>
        <v>12003</v>
      </c>
      <c r="W11" s="7">
        <f>INDEX(ItemTable[Desc],MATCH(ItemEffectTable[[#This Row],[Index]],ItemTable[ItemEffectDataId],0))</f>
        <v>22003</v>
      </c>
      <c r="X11" s="7" t="str">
        <f>INDEX(LocaleTable[LocaleKR],MATCH(ItemEffectTable[[#This Row],['#NameIndex]],LocaleTable[Index],0))</f>
        <v>아저씨의 금구슬</v>
      </c>
      <c r="Y11" s="7" t="str">
        <f>INDEX(LocaleTable[LocaleKR],MATCH(ItemEffectTable[[#This Row],['#DescIndex]],LocaleTable[Index],0))</f>
        <v>공 크기가 3 커집니다.</v>
      </c>
    </row>
    <row r="12" spans="2:25">
      <c r="B12" s="6" t="s">
        <v>26</v>
      </c>
      <c r="C12" s="6" t="s">
        <v>4</v>
      </c>
      <c r="D12" s="6" t="s">
        <v>91</v>
      </c>
      <c r="E12" cm="1">
        <f t="array" ref="E12">_xlfn.IFS(ItemEffectTable[[#This Row],['#Grade]]="Weapon",6000,
ItemEffectTable[[#This Row],['#Grade]]="Normal",7000,
ItemEffectTable[[#This Row],['#Grade]]="Rare",8000,
ItemEffectTable[[#This Row],['#Grade]]="Cursed",9000)
+ COUNTIF($D$3:D12,ItemEffectTable[[#This Row],['#Grade]])
-ItemEffectTable[[#This Row],['#인덱스 수식용]]-1</f>
        <v>7004</v>
      </c>
      <c r="F12" t="s">
        <v>438</v>
      </c>
      <c r="G12" t="s">
        <v>370</v>
      </c>
      <c r="H1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12">
        <v>-0.2</v>
      </c>
      <c r="J12" t="s">
        <v>34</v>
      </c>
      <c r="K12" t="s">
        <v>78</v>
      </c>
      <c r="L1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2" s="7" t="e" cm="1">
        <f t="array" ref="M1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2" s="24" t="s">
        <v>388</v>
      </c>
      <c r="O12" s="7" t="e" cm="1">
        <f t="array" ref="O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2" s="7" t="e" cm="1">
        <f t="array" ref="P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2" s="7" t="e" cm="1">
        <f t="array" ref="Q12">SUM(IF($E$3:$E$58=E12,$P$3:$P$58))</f>
        <v>#N/A</v>
      </c>
      <c r="R12" s="7" t="e">
        <f>INDEX(표9[],MATCH(ItemEffectTable[[#This Row],['#Grade]],표9[#Headers],0))-ItemEffectTable[[#This Row],['#총 효력가치]]</f>
        <v>#N/A</v>
      </c>
      <c r="S12" s="6"/>
      <c r="T12" s="7" cm="1">
        <f t="array" ref="T12">_xlfn.IFS(
ISTEXT(T11),0,
AND(ItemEffectTable[[#This Row],['#Grade]]=D11,ItemEffectTable[[#This Row],['#이름값]]=C11),T11+1,
ItemEffectTable[[#This Row],['#Grade]]&lt;&gt;D11,0,
ItemEffectTable[[#This Row],['#Grade]]=D11,T11
)</f>
        <v>0</v>
      </c>
      <c r="U12" s="7" t="str">
        <f>IF(ItemEffectTable[[#This Row],['#이름값]]=ItemEffectTable[[#This Row],['#Name]],"TRUE","FALSE")</f>
        <v>TRUE</v>
      </c>
      <c r="V12" s="7">
        <f>INDEX(ItemTable[Name],MATCH(ItemEffectTable[[#This Row],[Index]],ItemTable[ItemEffectDataId],0))</f>
        <v>12004</v>
      </c>
      <c r="W12" s="7">
        <f>INDEX(ItemTable[Desc],MATCH(ItemEffectTable[[#This Row],[Index]],ItemTable[ItemEffectDataId],0))</f>
        <v>22004</v>
      </c>
      <c r="X12" s="7" t="str">
        <f>INDEX(LocaleTable[LocaleKR],MATCH(ItemEffectTable[[#This Row],['#NameIndex]],LocaleTable[Index],0))</f>
        <v>작은 십자가</v>
      </c>
      <c r="Y12" s="7" t="str">
        <f>INDEX(LocaleTable[LocaleKR],MATCH(ItemEffectTable[[#This Row],['#DescIndex]],LocaleTable[Index],0))</f>
        <v>공격 범위가 2 증가합니다.</v>
      </c>
    </row>
    <row r="13" spans="2:25">
      <c r="B13" s="6" t="s">
        <v>26</v>
      </c>
      <c r="C13" s="6" t="s">
        <v>4</v>
      </c>
      <c r="D13" s="6" t="s">
        <v>91</v>
      </c>
      <c r="E13" cm="1">
        <f t="array" ref="E13">_xlfn.IFS(ItemEffectTable[[#This Row],['#Grade]]="Weapon",6000,
ItemEffectTable[[#This Row],['#Grade]]="Normal",7000,
ItemEffectTable[[#This Row],['#Grade]]="Rare",8000,
ItemEffectTable[[#This Row],['#Grade]]="Cursed",9000)
+ COUNTIF($D$3:D13,ItemEffectTable[[#This Row],['#Grade]])
-ItemEffectTable[[#This Row],['#인덱스 수식용]]-1</f>
        <v>7004</v>
      </c>
      <c r="F13" t="s">
        <v>438</v>
      </c>
      <c r="G13" t="s">
        <v>371</v>
      </c>
      <c r="H1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차징속도변경-2단계</v>
      </c>
      <c r="I13">
        <v>-0.2</v>
      </c>
      <c r="J13" t="s">
        <v>34</v>
      </c>
      <c r="K13" t="s">
        <v>78</v>
      </c>
      <c r="L1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3" s="7" t="e" cm="1">
        <f t="array" ref="M1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3" s="24" t="s">
        <v>388</v>
      </c>
      <c r="O13" s="7" t="e" cm="1">
        <f t="array" ref="O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3" s="7" t="e" cm="1">
        <f t="array" ref="P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3" s="7" t="e" cm="1">
        <f t="array" ref="Q13">SUM(IF($E$3:$E$58=E13,$P$3:$P$58))</f>
        <v>#N/A</v>
      </c>
      <c r="R13" s="7" t="e">
        <f>INDEX(표9[],MATCH(ItemEffectTable[[#This Row],['#Grade]],표9[#Headers],0))-ItemEffectTable[[#This Row],['#총 효력가치]]</f>
        <v>#N/A</v>
      </c>
      <c r="S13" s="6"/>
      <c r="T13" s="7" cm="1">
        <f t="array" ref="T13">_xlfn.IFS(
ISTEXT(T12),0,
AND(ItemEffectTable[[#This Row],['#Grade]]=D12,ItemEffectTable[[#This Row],['#이름값]]=C12),T12+1,
ItemEffectTable[[#This Row],['#Grade]]&lt;&gt;D12,0,
ItemEffectTable[[#This Row],['#Grade]]=D12,T12
)</f>
        <v>1</v>
      </c>
      <c r="U13" s="7" t="str">
        <f>IF(ItemEffectTable[[#This Row],['#이름값]]=ItemEffectTable[[#This Row],['#Name]],"TRUE","FALSE")</f>
        <v>TRUE</v>
      </c>
      <c r="V13" s="7">
        <f>INDEX(ItemTable[Name],MATCH(ItemEffectTable[[#This Row],[Index]],ItemTable[ItemEffectDataId],0))</f>
        <v>12004</v>
      </c>
      <c r="W13" s="7">
        <f>INDEX(ItemTable[Desc],MATCH(ItemEffectTable[[#This Row],[Index]],ItemTable[ItemEffectDataId],0))</f>
        <v>22004</v>
      </c>
      <c r="X13" s="7" t="str">
        <f>INDEX(LocaleTable[LocaleKR],MATCH(ItemEffectTable[[#This Row],['#NameIndex]],LocaleTable[Index],0))</f>
        <v>작은 십자가</v>
      </c>
      <c r="Y13" s="7" t="str">
        <f>INDEX(LocaleTable[LocaleKR],MATCH(ItemEffectTable[[#This Row],['#DescIndex]],LocaleTable[Index],0))</f>
        <v>공격 범위가 2 증가합니다.</v>
      </c>
    </row>
    <row r="14" spans="2:25">
      <c r="B14" s="6" t="s">
        <v>26</v>
      </c>
      <c r="C14" s="6" t="s">
        <v>4</v>
      </c>
      <c r="D14" s="6" t="s">
        <v>91</v>
      </c>
      <c r="E14" cm="1">
        <f t="array" ref="E14">_xlfn.IFS(ItemEffectTable[[#This Row],['#Grade]]="Weapon",6000,
ItemEffectTable[[#This Row],['#Grade]]="Normal",7000,
ItemEffectTable[[#This Row],['#Grade]]="Rare",8000,
ItemEffectTable[[#This Row],['#Grade]]="Cursed",9000)
+ COUNTIF($D$3:D14,ItemEffectTable[[#This Row],['#Grade]])
-ItemEffectTable[[#This Row],['#인덱스 수식용]]-1</f>
        <v>7004</v>
      </c>
      <c r="F14" t="s">
        <v>438</v>
      </c>
      <c r="G14" t="s">
        <v>372</v>
      </c>
      <c r="H1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차징속도변경-3단계</v>
      </c>
      <c r="I14">
        <v>-0.2</v>
      </c>
      <c r="J14" t="s">
        <v>34</v>
      </c>
      <c r="K14" t="s">
        <v>78</v>
      </c>
      <c r="L1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4" s="7" t="e" cm="1">
        <f t="array" ref="M1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4" s="24" t="s">
        <v>388</v>
      </c>
      <c r="O14" s="7" t="e" cm="1">
        <f t="array" ref="O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4" s="7" t="e" cm="1">
        <f t="array" ref="P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4" s="7" t="e" cm="1">
        <f t="array" ref="Q14">SUM(IF($E$3:$E$58=E14,$P$3:$P$58))</f>
        <v>#N/A</v>
      </c>
      <c r="R14" s="7" t="e">
        <f>INDEX(표9[],MATCH(ItemEffectTable[[#This Row],['#Grade]],표9[#Headers],0))-ItemEffectTable[[#This Row],['#총 효력가치]]</f>
        <v>#N/A</v>
      </c>
      <c r="S14" s="6"/>
      <c r="T14" s="7" cm="1">
        <f t="array" ref="T14">_xlfn.IFS(
ISTEXT(T13),0,
AND(ItemEffectTable[[#This Row],['#Grade]]=D13,ItemEffectTable[[#This Row],['#이름값]]=C13),T13+1,
ItemEffectTable[[#This Row],['#Grade]]&lt;&gt;D13,0,
ItemEffectTable[[#This Row],['#Grade]]=D13,T13
)</f>
        <v>2</v>
      </c>
      <c r="U14" s="7" t="str">
        <f>IF(ItemEffectTable[[#This Row],['#이름값]]=ItemEffectTable[[#This Row],['#Name]],"TRUE","FALSE")</f>
        <v>TRUE</v>
      </c>
      <c r="V14" s="7">
        <f>INDEX(ItemTable[Name],MATCH(ItemEffectTable[[#This Row],[Index]],ItemTable[ItemEffectDataId],0))</f>
        <v>12004</v>
      </c>
      <c r="W14" s="7">
        <f>INDEX(ItemTable[Desc],MATCH(ItemEffectTable[[#This Row],[Index]],ItemTable[ItemEffectDataId],0))</f>
        <v>22004</v>
      </c>
      <c r="X14" s="7" t="str">
        <f>INDEX(LocaleTable[LocaleKR],MATCH(ItemEffectTable[[#This Row],['#NameIndex]],LocaleTable[Index],0))</f>
        <v>작은 십자가</v>
      </c>
      <c r="Y14" s="7" t="str">
        <f>INDEX(LocaleTable[LocaleKR],MATCH(ItemEffectTable[[#This Row],['#DescIndex]],LocaleTable[Index],0))</f>
        <v>공격 범위가 2 증가합니다.</v>
      </c>
    </row>
    <row r="15" spans="2:25">
      <c r="B15" s="6" t="s">
        <v>26</v>
      </c>
      <c r="C15" s="6" t="s">
        <v>5</v>
      </c>
      <c r="D15" s="6" t="s">
        <v>91</v>
      </c>
      <c r="E15" cm="1">
        <f t="array" ref="E15">_xlfn.IFS(ItemEffectTable[[#This Row],['#Grade]]="Weapon",6000,
ItemEffectTable[[#This Row],['#Grade]]="Normal",7000,
ItemEffectTable[[#This Row],['#Grade]]="Rare",8000,
ItemEffectTable[[#This Row],['#Grade]]="Cursed",9000)
+ COUNTIF($D$3:D15,ItemEffectTable[[#This Row],['#Grade]])
-ItemEffectTable[[#This Row],['#인덱스 수식용]]-1</f>
        <v>7005</v>
      </c>
      <c r="F15" t="s">
        <v>438</v>
      </c>
      <c r="G15" t="s">
        <v>41</v>
      </c>
      <c r="H1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15">
        <v>100</v>
      </c>
      <c r="J15" t="s">
        <v>34</v>
      </c>
      <c r="K15" t="s">
        <v>78</v>
      </c>
      <c r="L1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15" s="7" cm="1">
        <f t="array" ref="M1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15" s="24" t="s">
        <v>388</v>
      </c>
      <c r="O15" s="7" cm="1">
        <f t="array" ref="O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175</v>
      </c>
      <c r="P15" s="7" cm="1">
        <f t="array" ref="P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Q15" s="7" cm="1">
        <f t="array" ref="Q15">SUM(IF($E$3:$E$58=E15,$P$3:$P$58))</f>
        <v>33.333333333333329</v>
      </c>
      <c r="R15" s="7">
        <f>INDEX(표9[],MATCH(ItemEffectTable[[#This Row],['#Grade]],표9[#Headers],0))-ItemEffectTable[[#This Row],['#총 효력가치]]</f>
        <v>-3.3333333333333286</v>
      </c>
      <c r="S15" s="6"/>
      <c r="T15" s="7" cm="1">
        <f t="array" ref="T15">_xlfn.IFS(
ISTEXT(T14),0,
AND(ItemEffectTable[[#This Row],['#Grade]]=D14,ItemEffectTable[[#This Row],['#이름값]]=C14),T14+1,
ItemEffectTable[[#This Row],['#Grade]]&lt;&gt;D14,0,
ItemEffectTable[[#This Row],['#Grade]]=D14,T14
)</f>
        <v>2</v>
      </c>
      <c r="U15" s="7" t="str">
        <f>IF(ItemEffectTable[[#This Row],['#이름값]]=ItemEffectTable[[#This Row],['#Name]],"TRUE","FALSE")</f>
        <v>TRUE</v>
      </c>
      <c r="V15" s="7">
        <f>INDEX(ItemTable[Name],MATCH(ItemEffectTable[[#This Row],[Index]],ItemTable[ItemEffectDataId],0))</f>
        <v>12005</v>
      </c>
      <c r="W15" s="7">
        <f>INDEX(ItemTable[Desc],MATCH(ItemEffectTable[[#This Row],[Index]],ItemTable[ItemEffectDataId],0))</f>
        <v>22005</v>
      </c>
      <c r="X15" s="7" t="str">
        <f>INDEX(LocaleTable[LocaleKR],MATCH(ItemEffectTable[[#This Row],['#NameIndex]],LocaleTable[Index],0))</f>
        <v>목없는 갑옷</v>
      </c>
      <c r="Y15" s="7" t="str">
        <f>INDEX(LocaleTable[LocaleKR],MATCH(ItemEffectTable[[#This Row],['#DescIndex]],LocaleTable[Index],0))</f>
        <v>[하트]가 1개 증가합니다.</v>
      </c>
    </row>
    <row r="16" spans="2:25">
      <c r="B16" s="6" t="s">
        <v>26</v>
      </c>
      <c r="C16" s="6" t="s">
        <v>147</v>
      </c>
      <c r="D16" s="6" t="s">
        <v>91</v>
      </c>
      <c r="E16" cm="1">
        <f t="array" ref="E16">_xlfn.IFS(ItemEffectTable[[#This Row],['#Grade]]="Weapon",6000,
ItemEffectTable[[#This Row],['#Grade]]="Normal",7000,
ItemEffectTable[[#This Row],['#Grade]]="Rare",8000,
ItemEffectTable[[#This Row],['#Grade]]="Cursed",9000)
+ COUNTIF($D$3:D16,ItemEffectTable[[#This Row],['#Grade]])
-ItemEffectTable[[#This Row],['#인덱스 수식용]]-1</f>
        <v>7006</v>
      </c>
      <c r="F16" t="s">
        <v>438</v>
      </c>
      <c r="G16" t="s">
        <v>131</v>
      </c>
      <c r="H1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공최대소지개수변경</v>
      </c>
      <c r="I16">
        <v>2</v>
      </c>
      <c r="J16" t="s">
        <v>34</v>
      </c>
      <c r="K16" t="s">
        <v>78</v>
      </c>
      <c r="L1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16" s="7" cm="1">
        <f t="array" ref="M1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N16" s="24" t="s">
        <v>388</v>
      </c>
      <c r="O16" s="7" cm="1">
        <f t="array" ref="O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P16" s="7" cm="1">
        <f t="array" ref="P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33.333333333333336</v>
      </c>
      <c r="Q16" s="7" cm="1">
        <f t="array" ref="Q16">SUM(IF($E$3:$E$58=E16,$P$3:$P$58))</f>
        <v>33.333333333333336</v>
      </c>
      <c r="R16" s="7">
        <f>INDEX(표9[],MATCH(ItemEffectTable[[#This Row],['#Grade]],표9[#Headers],0))-ItemEffectTable[[#This Row],['#총 효력가치]]</f>
        <v>-3.3333333333333357</v>
      </c>
      <c r="S16" s="6"/>
      <c r="T16" s="7" cm="1">
        <f t="array" ref="T16">_xlfn.IFS(
ISTEXT(T15),0,
AND(ItemEffectTable[[#This Row],['#Grade]]=D15,ItemEffectTable[[#This Row],['#이름값]]=C15),T15+1,
ItemEffectTable[[#This Row],['#Grade]]&lt;&gt;D15,0,
ItemEffectTable[[#This Row],['#Grade]]=D15,T15
)</f>
        <v>2</v>
      </c>
      <c r="U16" s="7" t="str">
        <f>IF(ItemEffectTable[[#This Row],['#이름값]]=ItemEffectTable[[#This Row],['#Name]],"TRUE","FALSE")</f>
        <v>TRUE</v>
      </c>
      <c r="V16" s="7">
        <f>INDEX(ItemTable[Name],MATCH(ItemEffectTable[[#This Row],[Index]],ItemTable[ItemEffectDataId],0))</f>
        <v>12006</v>
      </c>
      <c r="W16" s="7">
        <f>INDEX(ItemTable[Desc],MATCH(ItemEffectTable[[#This Row],[Index]],ItemTable[ItemEffectDataId],0))</f>
        <v>22006</v>
      </c>
      <c r="X16" s="7" t="str">
        <f>INDEX(LocaleTable[LocaleKR],MATCH(ItemEffectTable[[#This Row],['#NameIndex]],LocaleTable[Index],0))</f>
        <v>미정2</v>
      </c>
      <c r="Y16" s="7" t="str">
        <f>INDEX(LocaleTable[LocaleKR],MATCH(ItemEffectTable[[#This Row],['#DescIndex]],LocaleTable[Index],0))</f>
        <v>공 던지기 가능 개수가 1개 증가합니다.</v>
      </c>
    </row>
    <row r="17" spans="2:25">
      <c r="B17" s="6" t="s">
        <v>43</v>
      </c>
      <c r="C17" s="6" t="s">
        <v>6</v>
      </c>
      <c r="D17" s="6" t="s">
        <v>93</v>
      </c>
      <c r="E17" cm="1">
        <f t="array" ref="E17">_xlfn.IFS(ItemEffectTable[[#This Row],['#Grade]]="Weapon",6000,
ItemEffectTable[[#This Row],['#Grade]]="Normal",7000,
ItemEffectTable[[#This Row],['#Grade]]="Rare",8000,
ItemEffectTable[[#This Row],['#Grade]]="Cursed",9000)
+ COUNTIF($D$3:D17,ItemEffectTable[[#This Row],['#Grade]])
-ItemEffectTable[[#This Row],['#인덱스 수식용]]-1</f>
        <v>8000</v>
      </c>
      <c r="F17" t="s">
        <v>46</v>
      </c>
      <c r="G17" t="s">
        <v>182</v>
      </c>
      <c r="H1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 중 ApplyValue반지름 주변 공을 끌어당김.</v>
      </c>
      <c r="I17">
        <v>5</v>
      </c>
      <c r="J17" t="s">
        <v>182</v>
      </c>
      <c r="K17" t="s">
        <v>74</v>
      </c>
      <c r="L1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17" s="7" t="str" cm="1">
        <f t="array" ref="M1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17" s="24" t="s">
        <v>388</v>
      </c>
      <c r="O17" s="7" t="str" cm="1">
        <f t="array" ref="O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17" s="7" cm="1">
        <f t="array" ref="P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17" s="7" cm="1">
        <f t="array" ref="Q17">SUM(IF($E$3:$E$58=E17,$P$3:$P$58))</f>
        <v>50</v>
      </c>
      <c r="R17" s="7">
        <f>INDEX(표9[],MATCH(ItemEffectTable[[#This Row],['#Grade]],표9[#Headers],0))-ItemEffectTable[[#This Row],['#총 효력가치]]</f>
        <v>0</v>
      </c>
      <c r="S17" s="6" t="s">
        <v>44</v>
      </c>
      <c r="T17" s="7" cm="1">
        <f t="array" ref="T17">_xlfn.IFS(
ISTEXT(T16),0,
AND(ItemEffectTable[[#This Row],['#Grade]]=D16,ItemEffectTable[[#This Row],['#이름값]]=C16),T16+1,
ItemEffectTable[[#This Row],['#Grade]]&lt;&gt;D16,0,
ItemEffectTable[[#This Row],['#Grade]]=D16,T16
)</f>
        <v>0</v>
      </c>
      <c r="U17" s="7" t="str">
        <f>IF(ItemEffectTable[[#This Row],['#이름값]]=ItemEffectTable[[#This Row],['#Name]],"TRUE","FALSE")</f>
        <v>TRUE</v>
      </c>
      <c r="V17" s="7">
        <f>INDEX(ItemTable[Name],MATCH(ItemEffectTable[[#This Row],[Index]],ItemTable[ItemEffectDataId],0))</f>
        <v>13000</v>
      </c>
      <c r="W17" s="7">
        <f>INDEX(ItemTable[Desc],MATCH(ItemEffectTable[[#This Row],[Index]],ItemTable[ItemEffectDataId],0))</f>
        <v>23000</v>
      </c>
      <c r="X17" s="7" t="str">
        <f>INDEX(LocaleTable[LocaleKR],MATCH(ItemEffectTable[[#This Row],['#NameIndex]],LocaleTable[Index],0))</f>
        <v>Dys : 0N Mk2</v>
      </c>
      <c r="Y17" s="7" t="str">
        <f>INDEX(LocaleTable[LocaleKR],MATCH(ItemEffectTable[[#This Row],['#DescIndex]],LocaleTable[Index],0))</f>
        <v>차징중에 공을 끌어당김</v>
      </c>
    </row>
    <row r="18" spans="2:25">
      <c r="B18" s="6" t="s">
        <v>26</v>
      </c>
      <c r="C18" s="6" t="s">
        <v>7</v>
      </c>
      <c r="D18" s="6" t="s">
        <v>93</v>
      </c>
      <c r="E18" cm="1">
        <f t="array" ref="E18">_xlfn.IFS(ItemEffectTable[[#This Row],['#Grade]]="Weapon",6000,
ItemEffectTable[[#This Row],['#Grade]]="Normal",7000,
ItemEffectTable[[#This Row],['#Grade]]="Rare",8000,
ItemEffectTable[[#This Row],['#Grade]]="Cursed",9000)
+ COUNTIF($D$3:D18,ItemEffectTable[[#This Row],['#Grade]])
-ItemEffectTable[[#This Row],['#인덱스 수식용]]-1</f>
        <v>8001</v>
      </c>
      <c r="F18" t="s">
        <v>438</v>
      </c>
      <c r="G18" t="s">
        <v>266</v>
      </c>
      <c r="H1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8" t="s">
        <v>400</v>
      </c>
      <c r="J18" t="s">
        <v>34</v>
      </c>
      <c r="K18" t="s">
        <v>75</v>
      </c>
      <c r="L1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8" s="7" cm="1">
        <f t="array" ref="M1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N18" s="24" cm="1">
        <f t="array" ref="N18">CharacterTable[MovementSpd]*-0.05</f>
        <v>-0.30000000000000004</v>
      </c>
      <c r="O18" s="7" cm="1">
        <f t="array" ref="O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P18" s="7" cm="1">
        <f t="array" ref="P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45.000000000000007</v>
      </c>
      <c r="Q18" s="7" cm="1">
        <f t="array" ref="Q18">SUM(IF($E$3:$E$58=E18,$P$3:$P$58))</f>
        <v>45.000000000000007</v>
      </c>
      <c r="R18" s="7">
        <f>INDEX(표9[],MATCH(ItemEffectTable[[#This Row],['#Grade]],표9[#Headers],0))-ItemEffectTable[[#This Row],['#총 효력가치]]</f>
        <v>4.9999999999999929</v>
      </c>
      <c r="S18" s="6"/>
      <c r="T18" s="7" cm="1">
        <f t="array" ref="T18">_xlfn.IFS(
ISTEXT(T17),0,
AND(ItemEffectTable[[#This Row],['#Grade]]=D17,ItemEffectTable[[#This Row],['#이름값]]=C17),T17+1,
ItemEffectTable[[#This Row],['#Grade]]&lt;&gt;D17,0,
ItemEffectTable[[#This Row],['#Grade]]=D17,T17
)</f>
        <v>0</v>
      </c>
      <c r="U18" s="7" t="str">
        <f>IF(ItemEffectTable[[#This Row],['#이름값]]=ItemEffectTable[[#This Row],['#Name]],"TRUE","FALSE")</f>
        <v>TRUE</v>
      </c>
      <c r="V18" s="7">
        <f>INDEX(ItemTable[Name],MATCH(ItemEffectTable[[#This Row],[Index]],ItemTable[ItemEffectDataId],0))</f>
        <v>13001</v>
      </c>
      <c r="W18" s="7">
        <f>INDEX(ItemTable[Desc],MATCH(ItemEffectTable[[#This Row],[Index]],ItemTable[ItemEffectDataId],0))</f>
        <v>23001</v>
      </c>
      <c r="X18" s="7" t="str">
        <f>INDEX(LocaleTable[LocaleKR],MATCH(ItemEffectTable[[#This Row],['#NameIndex]],LocaleTable[Index],0))</f>
        <v>무해한 불꽃</v>
      </c>
      <c r="Y18" s="7" t="str">
        <f>INDEX(LocaleTable[LocaleKR],MATCH(ItemEffectTable[[#This Row],['#DescIndex]],LocaleTable[Index],0))</f>
        <v>“실례지만 불타고 계십니다” 현재의 이동속도 비례하여 공격속도 증가</v>
      </c>
    </row>
    <row r="19" spans="2:25">
      <c r="B19" s="6" t="s">
        <v>26</v>
      </c>
      <c r="C19" s="6" t="s">
        <v>239</v>
      </c>
      <c r="D19" s="6" t="s">
        <v>93</v>
      </c>
      <c r="E19" cm="1">
        <f t="array" ref="E19">_xlfn.IFS(ItemEffectTable[[#This Row],['#Grade]]="Weapon",6000,
ItemEffectTable[[#This Row],['#Grade]]="Normal",7000,
ItemEffectTable[[#This Row],['#Grade]]="Rare",8000,
ItemEffectTable[[#This Row],['#Grade]]="Cursed",9000)
+ COUNTIF($D$3:D19,ItemEffectTable[[#This Row],['#Grade]])
-ItemEffectTable[[#This Row],['#인덱스 수식용]]-1</f>
        <v>8002</v>
      </c>
      <c r="F19" t="s">
        <v>438</v>
      </c>
      <c r="G19" t="s">
        <v>30</v>
      </c>
      <c r="H1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19">
        <v>15</v>
      </c>
      <c r="J19" t="s">
        <v>31</v>
      </c>
      <c r="K19" t="s">
        <v>78</v>
      </c>
      <c r="L1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9" s="7" cm="1">
        <f t="array" ref="M1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8</v>
      </c>
      <c r="N19" s="24" t="s">
        <v>388</v>
      </c>
      <c r="O19" s="7" cm="1">
        <f t="array" ref="O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15</v>
      </c>
      <c r="P19" s="7" cm="1">
        <f t="array" ref="P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Q19" s="7" cm="1">
        <f t="array" ref="Q19">SUM(IF($E$3:$E$58=E19,$P$3:$P$58))</f>
        <v>50.000000000000021</v>
      </c>
      <c r="R19" s="7">
        <f>INDEX(표9[],MATCH(ItemEffectTable[[#This Row],['#Grade]],표9[#Headers],0))-ItemEffectTable[[#This Row],['#총 효력가치]]</f>
        <v>0</v>
      </c>
      <c r="S19" s="6"/>
      <c r="T19" s="7" cm="1">
        <f t="array" ref="T19">_xlfn.IFS(
ISTEXT(T18),0,
AND(ItemEffectTable[[#This Row],['#Grade]]=D18,ItemEffectTable[[#This Row],['#이름값]]=C18),T18+1,
ItemEffectTable[[#This Row],['#Grade]]&lt;&gt;D18,0,
ItemEffectTable[[#This Row],['#Grade]]=D18,T18
)</f>
        <v>0</v>
      </c>
      <c r="U19" s="7" t="str">
        <f>IF(ItemEffectTable[[#This Row],['#이름값]]=ItemEffectTable[[#This Row],['#Name]],"TRUE","FALSE")</f>
        <v>TRUE</v>
      </c>
      <c r="V19" s="7">
        <f>INDEX(ItemTable[Name],MATCH(ItemEffectTable[[#This Row],[Index]],ItemTable[ItemEffectDataId],0))</f>
        <v>13002</v>
      </c>
      <c r="W19" s="7">
        <f>INDEX(ItemTable[Desc],MATCH(ItemEffectTable[[#This Row],[Index]],ItemTable[ItemEffectDataId],0))</f>
        <v>23002</v>
      </c>
      <c r="X19" s="7" t="str">
        <f>INDEX(LocaleTable[LocaleKR],MATCH(ItemEffectTable[[#This Row],['#NameIndex]],LocaleTable[Index],0))</f>
        <v>롱기누스</v>
      </c>
      <c r="Y19" s="7" t="str">
        <f>INDEX(LocaleTable[LocaleKR],MATCH(ItemEffectTable[[#This Row],['#DescIndex]],LocaleTable[Index],0))</f>
        <v>[배트]로 쳐낸 공이 적을 관통합니다.</v>
      </c>
    </row>
    <row r="20" spans="2:25">
      <c r="B20" s="6" t="s">
        <v>26</v>
      </c>
      <c r="C20" s="6" t="s">
        <v>239</v>
      </c>
      <c r="D20" s="6" t="s">
        <v>93</v>
      </c>
      <c r="E20" cm="1">
        <f t="array" ref="E20">_xlfn.IFS(ItemEffectTable[[#This Row],['#Grade]]="Weapon",6000,
ItemEffectTable[[#This Row],['#Grade]]="Normal",7000,
ItemEffectTable[[#This Row],['#Grade]]="Rare",8000,
ItemEffectTable[[#This Row],['#Grade]]="Cursed",9000)
+ COUNTIF($D$3:D20,ItemEffectTable[[#This Row],['#Grade]])
-ItemEffectTable[[#This Row],['#인덱스 수식용]]-1</f>
        <v>8002</v>
      </c>
      <c r="F20" t="s">
        <v>438</v>
      </c>
      <c r="G20" t="s">
        <v>284</v>
      </c>
      <c r="H2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0">
        <v>0.12</v>
      </c>
      <c r="J20" t="s">
        <v>396</v>
      </c>
      <c r="K20" t="s">
        <v>78</v>
      </c>
      <c r="L2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0" s="7" cm="1">
        <f t="array" ref="M2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0" s="24" t="s">
        <v>388</v>
      </c>
      <c r="O20" s="7" cm="1">
        <f t="array" ref="O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1.1200000000000001</v>
      </c>
      <c r="P20" s="7" cm="1">
        <f t="array" ref="P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20.000000000000021</v>
      </c>
      <c r="Q20" s="7" cm="1">
        <f t="array" ref="Q20">SUM(IF($E$3:$E$58=E20,$P$3:$P$58))</f>
        <v>50.000000000000021</v>
      </c>
      <c r="R20" s="7">
        <f>INDEX(표9[],MATCH(ItemEffectTable[[#This Row],['#Grade]],표9[#Headers],0))-ItemEffectTable[[#This Row],['#총 효력가치]]</f>
        <v>0</v>
      </c>
      <c r="S20" s="6"/>
      <c r="T20" s="7" cm="1">
        <f t="array" ref="T20">_xlfn.IFS(
ISTEXT(T19),0,
AND(ItemEffectTable[[#This Row],['#Grade]]=D19,ItemEffectTable[[#This Row],['#이름값]]=C19),T19+1,
ItemEffectTable[[#This Row],['#Grade]]&lt;&gt;D19,0,
ItemEffectTable[[#This Row],['#Grade]]=D19,T19
)</f>
        <v>1</v>
      </c>
      <c r="U20" s="7" t="str">
        <f>IF(ItemEffectTable[[#This Row],['#이름값]]=ItemEffectTable[[#This Row],['#Name]],"TRUE","FALSE")</f>
        <v>TRUE</v>
      </c>
      <c r="V20" s="7">
        <f>INDEX(ItemTable[Name],MATCH(ItemEffectTable[[#This Row],[Index]],ItemTable[ItemEffectDataId],0))</f>
        <v>13002</v>
      </c>
      <c r="W20" s="7">
        <f>INDEX(ItemTable[Desc],MATCH(ItemEffectTable[[#This Row],[Index]],ItemTable[ItemEffectDataId],0))</f>
        <v>23002</v>
      </c>
      <c r="X20" s="7" t="str">
        <f>INDEX(LocaleTable[LocaleKR],MATCH(ItemEffectTable[[#This Row],['#NameIndex]],LocaleTable[Index],0))</f>
        <v>롱기누스</v>
      </c>
      <c r="Y20" s="7" t="str">
        <f>INDEX(LocaleTable[LocaleKR],MATCH(ItemEffectTable[[#This Row],['#DescIndex]],LocaleTable[Index],0))</f>
        <v>[배트]로 쳐낸 공이 적을 관통합니다.</v>
      </c>
    </row>
    <row r="21" spans="2:25">
      <c r="B21" s="6" t="s">
        <v>26</v>
      </c>
      <c r="C21" s="6" t="s">
        <v>9</v>
      </c>
      <c r="D21" s="6" t="s">
        <v>93</v>
      </c>
      <c r="E21" cm="1">
        <f t="array" ref="E21">_xlfn.IFS(ItemEffectTable[[#This Row],['#Grade]]="Weapon",6000,
ItemEffectTable[[#This Row],['#Grade]]="Normal",7000,
ItemEffectTable[[#This Row],['#Grade]]="Rare",8000,
ItemEffectTable[[#This Row],['#Grade]]="Cursed",9000)
+ COUNTIF($D$3:D21,ItemEffectTable[[#This Row],['#Grade]])
-ItemEffectTable[[#This Row],['#인덱스 수식용]]-1</f>
        <v>8004</v>
      </c>
      <c r="F21" t="s">
        <v>438</v>
      </c>
      <c r="G21" t="s">
        <v>41</v>
      </c>
      <c r="H2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21">
        <v>75</v>
      </c>
      <c r="J21" t="s">
        <v>34</v>
      </c>
      <c r="K21" t="s">
        <v>78</v>
      </c>
      <c r="L2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1" s="7" cm="1">
        <f t="array" ref="M2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21" s="24" t="s">
        <v>388</v>
      </c>
      <c r="O21" s="7" cm="1">
        <f t="array" ref="O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150</v>
      </c>
      <c r="P21" s="7" cm="1">
        <f t="array" ref="P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25</v>
      </c>
      <c r="Q21" s="7" cm="1">
        <f t="array" ref="Q21">SUM(IF($E$3:$E$58=E21,$P$3:$P$58))</f>
        <v>74.999999999999986</v>
      </c>
      <c r="R21" s="7">
        <f>INDEX(표9[],MATCH(ItemEffectTable[[#This Row],['#Grade]],표9[#Headers],0))-ItemEffectTable[[#This Row],['#총 효력가치]]</f>
        <v>-24.999999999999986</v>
      </c>
      <c r="S21" s="6" t="s">
        <v>48</v>
      </c>
      <c r="T21" s="7" cm="1">
        <f t="array" ref="T21">_xlfn.IFS(
ISTEXT(T19),0,
AND(ItemEffectTable[[#This Row],['#Grade]]=D19,ItemEffectTable[[#This Row],['#이름값]]=C19),T19+1,
ItemEffectTable[[#This Row],['#Grade]]&lt;&gt;D19,0,
ItemEffectTable[[#This Row],['#Grade]]=D19,T19
)</f>
        <v>0</v>
      </c>
      <c r="U21" s="7" t="str">
        <f>IF(ItemEffectTable[[#This Row],['#이름값]]=ItemEffectTable[[#This Row],['#Name]],"TRUE","FALSE")</f>
        <v>FALSE</v>
      </c>
      <c r="V21" s="7">
        <f>INDEX(ItemTable[Name],MATCH(ItemEffectTable[[#This Row],[Index]],ItemTable[ItemEffectDataId],0))</f>
        <v>13004</v>
      </c>
      <c r="W21" s="7">
        <f>INDEX(ItemTable[Desc],MATCH(ItemEffectTable[[#This Row],[Index]],ItemTable[ItemEffectDataId],0))</f>
        <v>23004</v>
      </c>
      <c r="X21" s="7" t="str">
        <f>INDEX(LocaleTable[LocaleKR],MATCH(ItemEffectTable[[#This Row],['#NameIndex]],LocaleTable[Index],0))</f>
        <v>거인의 주먹</v>
      </c>
      <c r="Y21" s="7" t="str">
        <f>INDEX(LocaleTable[LocaleKR],MATCH(ItemEffectTable[[#This Row],['#DescIndex]],LocaleTable[Index],0))</f>
        <v>최대 [하트] 1개 당 5% 만큼 피해량이 증가합니다.</v>
      </c>
    </row>
    <row r="22" spans="2:25">
      <c r="B22" s="6" t="s">
        <v>26</v>
      </c>
      <c r="C22" s="6" t="s">
        <v>9</v>
      </c>
      <c r="D22" s="6" t="s">
        <v>93</v>
      </c>
      <c r="E22" cm="1">
        <f t="array" ref="E22">_xlfn.IFS(ItemEffectTable[[#This Row],['#Grade]]="Weapon",6000,
ItemEffectTable[[#This Row],['#Grade]]="Normal",7000,
ItemEffectTable[[#This Row],['#Grade]]="Rare",8000,
ItemEffectTable[[#This Row],['#Grade]]="Cursed",9000)
+ COUNTIF($D$3:D22,ItemEffectTable[[#This Row],['#Grade]])
-ItemEffectTable[[#This Row],['#인덱스 수식용]]-1</f>
        <v>8004</v>
      </c>
      <c r="F22" t="s">
        <v>438</v>
      </c>
      <c r="G22" t="s">
        <v>33</v>
      </c>
      <c r="H2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22">
        <v>1.05</v>
      </c>
      <c r="J22" t="s">
        <v>35</v>
      </c>
      <c r="K22" t="s">
        <v>78</v>
      </c>
      <c r="L2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2" s="7" cm="1">
        <f t="array" ref="M2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22" s="24" t="s">
        <v>388</v>
      </c>
      <c r="O22" s="7" cm="1">
        <f t="array" ref="O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6.3000000000000007</v>
      </c>
      <c r="P22" s="7" cm="1">
        <f t="array" ref="P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5.0000000000000124</v>
      </c>
      <c r="Q22" s="7" cm="1">
        <f t="array" ref="Q22">SUM(IF($E$3:$E$58=E22,$P$3:$P$58))</f>
        <v>74.999999999999986</v>
      </c>
      <c r="R22" s="7">
        <f>INDEX(표9[],MATCH(ItemEffectTable[[#This Row],['#Grade]],표9[#Headers],0))-ItemEffectTable[[#This Row],['#총 효력가치]]</f>
        <v>-24.999999999999986</v>
      </c>
      <c r="S22" s="6" t="s">
        <v>48</v>
      </c>
      <c r="T22" s="7" cm="1">
        <f t="array" ref="T22">_xlfn.IFS(
ISTEXT(T21),0,
AND(ItemEffectTable[[#This Row],['#Grade]]=D21,ItemEffectTable[[#This Row],['#이름값]]=C21),T21+1,
ItemEffectTable[[#This Row],['#Grade]]&lt;&gt;D21,0,
ItemEffectTable[[#This Row],['#Grade]]=D21,T21
)</f>
        <v>1</v>
      </c>
      <c r="U22" s="7" t="str">
        <f>IF(ItemEffectTable[[#This Row],['#이름값]]=ItemEffectTable[[#This Row],['#Name]],"TRUE","FALSE")</f>
        <v>FALSE</v>
      </c>
      <c r="V22" s="7">
        <f>INDEX(ItemTable[Name],MATCH(ItemEffectTable[[#This Row],[Index]],ItemTable[ItemEffectDataId],0))</f>
        <v>13004</v>
      </c>
      <c r="W22" s="7">
        <f>INDEX(ItemTable[Desc],MATCH(ItemEffectTable[[#This Row],[Index]],ItemTable[ItemEffectDataId],0))</f>
        <v>23004</v>
      </c>
      <c r="X22" s="7" t="str">
        <f>INDEX(LocaleTable[LocaleKR],MATCH(ItemEffectTable[[#This Row],['#NameIndex]],LocaleTable[Index],0))</f>
        <v>거인의 주먹</v>
      </c>
      <c r="Y22" s="7" t="str">
        <f>INDEX(LocaleTable[LocaleKR],MATCH(ItemEffectTable[[#This Row],['#DescIndex]],LocaleTable[Index],0))</f>
        <v>최대 [하트] 1개 당 5% 만큼 피해량이 증가합니다.</v>
      </c>
    </row>
    <row r="23" spans="2:25">
      <c r="B23" s="6" t="s">
        <v>26</v>
      </c>
      <c r="C23" s="6" t="s">
        <v>9</v>
      </c>
      <c r="D23" s="6" t="s">
        <v>93</v>
      </c>
      <c r="E23" cm="1">
        <f t="array" ref="E23">_xlfn.IFS(ItemEffectTable[[#This Row],['#Grade]]="Weapon",6000,
ItemEffectTable[[#This Row],['#Grade]]="Normal",7000,
ItemEffectTable[[#This Row],['#Grade]]="Rare",8000,
ItemEffectTable[[#This Row],['#Grade]]="Cursed",9000)
+ COUNTIF($D$3:D23,ItemEffectTable[[#This Row],['#Grade]])
-ItemEffectTable[[#This Row],['#인덱스 수식용]]-1</f>
        <v>8004</v>
      </c>
      <c r="F23" t="s">
        <v>438</v>
      </c>
      <c r="G23" t="s">
        <v>266</v>
      </c>
      <c r="H2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23">
        <v>0.8</v>
      </c>
      <c r="J23" t="s">
        <v>35</v>
      </c>
      <c r="K23" t="s">
        <v>78</v>
      </c>
      <c r="L2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3" s="7" cm="1">
        <f t="array" ref="M2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N23" s="24" t="s">
        <v>388</v>
      </c>
      <c r="O23" s="7" cm="1">
        <f t="array" ref="O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1.2000000000000002</v>
      </c>
      <c r="P23" s="7" cm="1">
        <f t="array" ref="P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44.999999999999972</v>
      </c>
      <c r="Q23" s="7" cm="1">
        <f t="array" ref="Q23">SUM(IF($E$3:$E$58=E23,$P$3:$P$58))</f>
        <v>74.999999999999986</v>
      </c>
      <c r="R23" s="7">
        <f>INDEX(표9[],MATCH(ItemEffectTable[[#This Row],['#Grade]],표9[#Headers],0))-ItemEffectTable[[#This Row],['#총 효력가치]]</f>
        <v>-24.999999999999986</v>
      </c>
      <c r="S23" s="6" t="s">
        <v>48</v>
      </c>
      <c r="T23" s="7" cm="1">
        <f t="array" ref="T23">_xlfn.IFS(
ISTEXT(T22),0,
AND(ItemEffectTable[[#This Row],['#Grade]]=D22,ItemEffectTable[[#This Row],['#이름값]]=C22),T22+1,
ItemEffectTable[[#This Row],['#Grade]]&lt;&gt;D22,0,
ItemEffectTable[[#This Row],['#Grade]]=D22,T22
)</f>
        <v>2</v>
      </c>
      <c r="U23" s="7" t="str">
        <f>IF(ItemEffectTable[[#This Row],['#이름값]]=ItemEffectTable[[#This Row],['#Name]],"TRUE","FALSE")</f>
        <v>FALSE</v>
      </c>
      <c r="V23" s="7">
        <f>INDEX(ItemTable[Name],MATCH(ItemEffectTable[[#This Row],[Index]],ItemTable[ItemEffectDataId],0))</f>
        <v>13004</v>
      </c>
      <c r="W23" s="7">
        <f>INDEX(ItemTable[Desc],MATCH(ItemEffectTable[[#This Row],[Index]],ItemTable[ItemEffectDataId],0))</f>
        <v>23004</v>
      </c>
      <c r="X23" s="7" t="str">
        <f>INDEX(LocaleTable[LocaleKR],MATCH(ItemEffectTable[[#This Row],['#NameIndex]],LocaleTable[Index],0))</f>
        <v>거인의 주먹</v>
      </c>
      <c r="Y23" s="7" t="str">
        <f>INDEX(LocaleTable[LocaleKR],MATCH(ItemEffectTable[[#This Row],['#DescIndex]],LocaleTable[Index],0))</f>
        <v>최대 [하트] 1개 당 5% 만큼 피해량이 증가합니다.</v>
      </c>
    </row>
    <row r="24" spans="2:25">
      <c r="B24" s="6" t="s">
        <v>26</v>
      </c>
      <c r="C24" s="6" t="s">
        <v>10</v>
      </c>
      <c r="D24" s="6" t="s">
        <v>93</v>
      </c>
      <c r="E24" cm="1">
        <f t="array" ref="E24">_xlfn.IFS(ItemEffectTable[[#This Row],['#Grade]]="Weapon",6000,
ItemEffectTable[[#This Row],['#Grade]]="Normal",7000,
ItemEffectTable[[#This Row],['#Grade]]="Rare",8000,
ItemEffectTable[[#This Row],['#Grade]]="Cursed",9000)
+ COUNTIF($D$3:D24,ItemEffectTable[[#This Row],['#Grade]])
-ItemEffectTable[[#This Row],['#인덱스 수식용]]-1</f>
        <v>8005</v>
      </c>
      <c r="F24" t="s">
        <v>438</v>
      </c>
      <c r="G24" t="s">
        <v>284</v>
      </c>
      <c r="H2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4" t="s">
        <v>401</v>
      </c>
      <c r="J24" t="s">
        <v>34</v>
      </c>
      <c r="K24" t="s">
        <v>78</v>
      </c>
      <c r="L2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4" s="7" cm="1">
        <f t="array" ref="M2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4" s="24" cm="1">
        <f t="array" ref="N24">CharacterTable[MaxHP]/500</f>
        <v>0.15</v>
      </c>
      <c r="O24" s="7" cm="1">
        <f t="array" ref="O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1.1499999999999999</v>
      </c>
      <c r="P24" s="7" cm="1">
        <f t="array" ref="P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24.999999999999989</v>
      </c>
      <c r="Q24" s="7" cm="1">
        <f t="array" ref="Q24">SUM(IF($E$3:$E$58=E24,$P$3:$P$58))</f>
        <v>24.999999999999989</v>
      </c>
      <c r="R24" s="7">
        <f>INDEX(표9[],MATCH(ItemEffectTable[[#This Row],['#Grade]],표9[#Headers],0))-ItemEffectTable[[#This Row],['#총 효력가치]]</f>
        <v>25.000000000000011</v>
      </c>
      <c r="S24" s="6"/>
      <c r="T24" s="7" cm="1">
        <f t="array" ref="T24">_xlfn.IFS(
ISTEXT(T23),0,
AND(ItemEffectTable[[#This Row],['#Grade]]=D23,ItemEffectTable[[#This Row],['#이름값]]=C23),T23+1,
ItemEffectTable[[#This Row],['#Grade]]&lt;&gt;D23,0,
ItemEffectTable[[#This Row],['#Grade]]=D23,T23
)</f>
        <v>2</v>
      </c>
      <c r="U24" s="7" t="str">
        <f>IF(ItemEffectTable[[#This Row],['#이름값]]=ItemEffectTable[[#This Row],['#Name]],"TRUE","FALSE")</f>
        <v>FALSE</v>
      </c>
      <c r="V24" s="7">
        <f>INDEX(ItemTable[Name],MATCH(ItemEffectTable[[#This Row],[Index]],ItemTable[ItemEffectDataId],0))</f>
        <v>13005</v>
      </c>
      <c r="W24" s="7">
        <f>INDEX(ItemTable[Desc],MATCH(ItemEffectTable[[#This Row],[Index]],ItemTable[ItemEffectDataId],0))</f>
        <v>23005</v>
      </c>
      <c r="X24" s="7" t="str">
        <f>INDEX(LocaleTable[LocaleKR],MATCH(ItemEffectTable[[#This Row],['#NameIndex]],LocaleTable[Index],0))</f>
        <v>황금왕의 갑옷</v>
      </c>
      <c r="Y24" s="7" t="str">
        <f>INDEX(LocaleTable[LocaleKR],MATCH(ItemEffectTable[[#This Row],['#DescIndex]],LocaleTable[Index],0))</f>
        <v>골드를 20%씩 더 획득합니다.</v>
      </c>
    </row>
    <row r="25" spans="2:25">
      <c r="B25" s="6" t="s">
        <v>26</v>
      </c>
      <c r="C25" s="6" t="s">
        <v>11</v>
      </c>
      <c r="D25" s="6" t="s">
        <v>93</v>
      </c>
      <c r="E25" cm="1">
        <f t="array" ref="E25">_xlfn.IFS(ItemEffectTable[[#This Row],['#Grade]]="Weapon",6000,
ItemEffectTable[[#This Row],['#Grade]]="Normal",7000,
ItemEffectTable[[#This Row],['#Grade]]="Rare",8000,
ItemEffectTable[[#This Row],['#Grade]]="Cursed",9000)
+ COUNTIF($D$3:D25,ItemEffectTable[[#This Row],['#Grade]])
-ItemEffectTable[[#This Row],['#인덱스 수식용]]-1</f>
        <v>8006</v>
      </c>
      <c r="F25" t="s">
        <v>438</v>
      </c>
      <c r="G25" t="s">
        <v>53</v>
      </c>
      <c r="H2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25">
        <v>0.5</v>
      </c>
      <c r="J25" t="s">
        <v>34</v>
      </c>
      <c r="K25" t="s">
        <v>78</v>
      </c>
      <c r="L2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5" s="7" cm="1">
        <f t="array" ref="M2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5" s="24" t="s">
        <v>388</v>
      </c>
      <c r="O25" s="7" cm="1">
        <f t="array" ref="O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P25" s="7" cm="1">
        <f t="array" ref="P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25" s="7" cm="1">
        <f t="array" ref="Q25">SUM(IF($E$3:$E$58=E25,$P$3:$P$58))</f>
        <v>50</v>
      </c>
      <c r="R25" s="7">
        <f>INDEX(표9[],MATCH(ItemEffectTable[[#This Row],['#Grade]],표9[#Headers],0))-ItemEffectTable[[#This Row],['#총 효력가치]]</f>
        <v>0</v>
      </c>
      <c r="S25" s="6" t="s">
        <v>51</v>
      </c>
      <c r="T25" s="7" cm="1">
        <f t="array" ref="T25">_xlfn.IFS(
ISTEXT(T24),0,
AND(ItemEffectTable[[#This Row],['#Grade]]=D24,ItemEffectTable[[#This Row],['#이름값]]=C24),T24+1,
ItemEffectTable[[#This Row],['#Grade]]&lt;&gt;D24,0,
ItemEffectTable[[#This Row],['#Grade]]=D24,T24
)</f>
        <v>2</v>
      </c>
      <c r="U25" s="7" t="str">
        <f>IF(ItemEffectTable[[#This Row],['#이름값]]=ItemEffectTable[[#This Row],['#Name]],"TRUE","FALSE")</f>
        <v>FALSE</v>
      </c>
      <c r="V25" s="7">
        <f>INDEX(ItemTable[Name],MATCH(ItemEffectTable[[#This Row],[Index]],ItemTable[ItemEffectDataId],0))</f>
        <v>13006</v>
      </c>
      <c r="W25" s="7">
        <f>INDEX(ItemTable[Desc],MATCH(ItemEffectTable[[#This Row],[Index]],ItemTable[ItemEffectDataId],0))</f>
        <v>23006</v>
      </c>
      <c r="X25" s="7" t="str">
        <f>INDEX(LocaleTable[LocaleKR],MATCH(ItemEffectTable[[#This Row],['#NameIndex]],LocaleTable[Index],0))</f>
        <v>복사기</v>
      </c>
      <c r="Y25" s="7" t="str">
        <f>INDEX(LocaleTable[LocaleKR],MATCH(ItemEffectTable[[#This Row],['#DescIndex]],LocaleTable[Index],0))</f>
        <v>“공이 복사가 된다고” 공 던지기 개수가 2개 증가합니다.</v>
      </c>
    </row>
    <row r="26" spans="2:25">
      <c r="B26" s="6" t="s">
        <v>26</v>
      </c>
      <c r="C26" s="6" t="s">
        <v>12</v>
      </c>
      <c r="D26" s="6" t="s">
        <v>93</v>
      </c>
      <c r="E26" cm="1">
        <f t="array" ref="E26">_xlfn.IFS(ItemEffectTable[[#This Row],['#Grade]]="Weapon",6000,
ItemEffectTable[[#This Row],['#Grade]]="Normal",7000,
ItemEffectTable[[#This Row],['#Grade]]="Rare",8000,
ItemEffectTable[[#This Row],['#Grade]]="Cursed",9000)
+ COUNTIF($D$3:D26,ItemEffectTable[[#This Row],['#Grade]])
-ItemEffectTable[[#This Row],['#인덱스 수식용]]-1</f>
        <v>8007</v>
      </c>
      <c r="F26" t="s">
        <v>438</v>
      </c>
      <c r="G26" t="s">
        <v>131</v>
      </c>
      <c r="H2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공최대소지개수변경</v>
      </c>
      <c r="I26">
        <v>3</v>
      </c>
      <c r="J26" t="s">
        <v>34</v>
      </c>
      <c r="K26" t="s">
        <v>78</v>
      </c>
      <c r="L2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6" s="7" cm="1">
        <f t="array" ref="M2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N26" s="24" t="s">
        <v>388</v>
      </c>
      <c r="O26" s="7" cm="1">
        <f t="array" ref="O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P26" s="7" cm="1">
        <f t="array" ref="P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26" s="7" cm="1">
        <f t="array" ref="Q26">SUM(IF($E$3:$E$58=E26,$P$3:$P$58))</f>
        <v>50</v>
      </c>
      <c r="R26" s="7">
        <f>INDEX(표9[],MATCH(ItemEffectTable[[#This Row],['#Grade]],표9[#Headers],0))-ItemEffectTable[[#This Row],['#총 효력가치]]</f>
        <v>0</v>
      </c>
      <c r="S26" s="6"/>
      <c r="T26" s="7" cm="1">
        <f t="array" ref="T26">_xlfn.IFS(
ISTEXT(T25),0,
AND(ItemEffectTable[[#This Row],['#Grade]]=D25,ItemEffectTable[[#This Row],['#이름값]]=C25),T25+1,
ItemEffectTable[[#This Row],['#Grade]]&lt;&gt;D25,0,
ItemEffectTable[[#This Row],['#Grade]]=D25,T25
)</f>
        <v>2</v>
      </c>
      <c r="U26" s="7" t="str">
        <f>IF(ItemEffectTable[[#This Row],['#이름값]]=ItemEffectTable[[#This Row],['#Name]],"TRUE","FALSE")</f>
        <v>FALSE</v>
      </c>
      <c r="V26" s="7">
        <f>INDEX(ItemTable[Name],MATCH(ItemEffectTable[[#This Row],[Index]],ItemTable[ItemEffectDataId],0))</f>
        <v>13007</v>
      </c>
      <c r="W26" s="7">
        <f>INDEX(ItemTable[Desc],MATCH(ItemEffectTable[[#This Row],[Index]],ItemTable[ItemEffectDataId],0))</f>
        <v>23007</v>
      </c>
      <c r="X26" s="7" t="str">
        <f>INDEX(LocaleTable[LocaleKR],MATCH(ItemEffectTable[[#This Row],['#NameIndex]],LocaleTable[Index],0))</f>
        <v>어른의 카드</v>
      </c>
      <c r="Y26" s="7" t="str">
        <f>INDEX(LocaleTable[LocaleKR],MATCH(ItemEffectTable[[#This Row],['#DescIndex]],LocaleTable[Index],0))</f>
        <v>소지중인 골드의 1%만큼 데미지 상승</v>
      </c>
    </row>
    <row r="27" spans="2:25">
      <c r="B27" s="6" t="s">
        <v>26</v>
      </c>
      <c r="C27" s="6" t="s">
        <v>13</v>
      </c>
      <c r="D27" s="6" t="s">
        <v>93</v>
      </c>
      <c r="E27" cm="1">
        <f t="array" ref="E27">_xlfn.IFS(ItemEffectTable[[#This Row],['#Grade]]="Weapon",6000,
ItemEffectTable[[#This Row],['#Grade]]="Normal",7000,
ItemEffectTable[[#This Row],['#Grade]]="Rare",8000,
ItemEffectTable[[#This Row],['#Grade]]="Cursed",9000)
+ COUNTIF($D$3:D27,ItemEffectTable[[#This Row],['#Grade]])
-ItemEffectTable[[#This Row],['#인덱스 수식용]]-1</f>
        <v>8008</v>
      </c>
      <c r="F27" t="s">
        <v>438</v>
      </c>
      <c r="G27" t="s">
        <v>284</v>
      </c>
      <c r="H2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7" t="s">
        <v>402</v>
      </c>
      <c r="J27" t="s">
        <v>35</v>
      </c>
      <c r="K27" t="s">
        <v>76</v>
      </c>
      <c r="L2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7" s="7" cm="1">
        <f t="array" ref="M2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7" s="24">
        <f>1+50*0.005</f>
        <v>1.25</v>
      </c>
      <c r="O27" s="7" cm="1">
        <f t="array" ref="O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1.25</v>
      </c>
      <c r="P27" s="7" cm="1">
        <f t="array" ref="P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41.666666666666671</v>
      </c>
      <c r="Q27" s="7" cm="1">
        <f t="array" ref="Q27">SUM(IF($E$3:$E$58=E27,$P$3:$P$58))</f>
        <v>41.666666666666671</v>
      </c>
      <c r="R27" s="7">
        <f>INDEX(표9[],MATCH(ItemEffectTable[[#This Row],['#Grade]],표9[#Headers],0))-ItemEffectTable[[#This Row],['#총 효력가치]]</f>
        <v>8.3333333333333286</v>
      </c>
      <c r="S27" s="6" t="s">
        <v>55</v>
      </c>
      <c r="T27" s="7" cm="1">
        <f t="array" ref="T27">_xlfn.IFS(
ISTEXT(T26),0,
AND(ItemEffectTable[[#This Row],['#Grade]]=D26,ItemEffectTable[[#This Row],['#이름값]]=C26),T26+1,
ItemEffectTable[[#This Row],['#Grade]]&lt;&gt;D26,0,
ItemEffectTable[[#This Row],['#Grade]]=D26,T26
)</f>
        <v>2</v>
      </c>
      <c r="U27" s="7" t="str">
        <f>IF(ItemEffectTable[[#This Row],['#이름값]]=ItemEffectTable[[#This Row],['#Name]],"TRUE","FALSE")</f>
        <v>FALSE</v>
      </c>
      <c r="V27" s="7">
        <f>INDEX(ItemTable[Name],MATCH(ItemEffectTable[[#This Row],[Index]],ItemTable[ItemEffectDataId],0))</f>
        <v>13008</v>
      </c>
      <c r="W27" s="7">
        <f>INDEX(ItemTable[Desc],MATCH(ItemEffectTable[[#This Row],[Index]],ItemTable[ItemEffectDataId],0))</f>
        <v>23008</v>
      </c>
      <c r="X27" s="7" t="str">
        <f>INDEX(LocaleTable[LocaleKR],MATCH(ItemEffectTable[[#This Row],['#NameIndex]],LocaleTable[Index],0))</f>
        <v>회광반조</v>
      </c>
      <c r="Y27" s="7" t="str">
        <f>INDEX(LocaleTable[LocaleKR],MATCH(ItemEffectTable[[#This Row],['#DescIndex]],LocaleTable[Index],0))</f>
        <v>빈 하트 1개당 피해량 5% 상승</v>
      </c>
    </row>
    <row r="28" spans="2:25">
      <c r="B28" s="6" t="s">
        <v>26</v>
      </c>
      <c r="C28" s="6" t="s">
        <v>14</v>
      </c>
      <c r="D28" s="6" t="s">
        <v>93</v>
      </c>
      <c r="E28" cm="1">
        <f t="array" ref="E28">_xlfn.IFS(ItemEffectTable[[#This Row],['#Grade]]="Weapon",6000,
ItemEffectTable[[#This Row],['#Grade]]="Normal",7000,
ItemEffectTable[[#This Row],['#Grade]]="Rare",8000,
ItemEffectTable[[#This Row],['#Grade]]="Cursed",9000)
+ COUNTIF($D$3:D28,ItemEffectTable[[#This Row],['#Grade]])
-ItemEffectTable[[#This Row],['#인덱스 수식용]]-1</f>
        <v>8009</v>
      </c>
      <c r="F28" t="s">
        <v>438</v>
      </c>
      <c r="G28" t="s">
        <v>284</v>
      </c>
      <c r="H2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8" t="s">
        <v>183</v>
      </c>
      <c r="J28" t="s">
        <v>34</v>
      </c>
      <c r="K28" t="s">
        <v>77</v>
      </c>
      <c r="L2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8" s="7" cm="1">
        <f t="array" ref="M2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8" s="24" cm="1">
        <f t="array" ref="N28">(CharacterTable[MaxHP]-50)/500</f>
        <v>0.05</v>
      </c>
      <c r="O28" s="7" cm="1">
        <f t="array" ref="O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1.05</v>
      </c>
      <c r="P28" s="7" cm="1">
        <f t="array" ref="P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8.333333333333341</v>
      </c>
      <c r="Q28" s="7" cm="1">
        <f t="array" ref="Q28">SUM(IF($E$3:$E$58=E28,$P$3:$P$58))</f>
        <v>8.333333333333341</v>
      </c>
      <c r="R28" s="7">
        <f>INDEX(표9[],MATCH(ItemEffectTable[[#This Row],['#Grade]],표9[#Headers],0))-ItemEffectTable[[#This Row],['#총 효력가치]]</f>
        <v>41.666666666666657</v>
      </c>
      <c r="S28" s="6"/>
      <c r="T28" s="7" cm="1">
        <f t="array" ref="T28">_xlfn.IFS(
ISTEXT(T27),0,
AND(ItemEffectTable[[#This Row],['#Grade]]=D27,ItemEffectTable[[#This Row],['#이름값]]=C27),T27+1,
ItemEffectTable[[#This Row],['#Grade]]&lt;&gt;D27,0,
ItemEffectTable[[#This Row],['#Grade]]=D27,T27
)</f>
        <v>2</v>
      </c>
      <c r="U28" s="7" t="str">
        <f>IF(ItemEffectTable[[#This Row],['#이름값]]=ItemEffectTable[[#This Row],['#Name]],"TRUE","FALSE")</f>
        <v>FALSE</v>
      </c>
      <c r="V28" s="7">
        <f>INDEX(ItemTable[Name],MATCH(ItemEffectTable[[#This Row],[Index]],ItemTable[ItemEffectDataId],0))</f>
        <v>13009</v>
      </c>
      <c r="W28" s="7">
        <f>INDEX(ItemTable[Desc],MATCH(ItemEffectTable[[#This Row],[Index]],ItemTable[ItemEffectDataId],0))</f>
        <v>23009</v>
      </c>
      <c r="X28" s="7" t="str">
        <f>INDEX(LocaleTable[LocaleKR],MATCH(ItemEffectTable[[#This Row],['#NameIndex]],LocaleTable[Index],0))</f>
        <v>이카루스의 날개</v>
      </c>
      <c r="Y28" s="7" t="str">
        <f>INDEX(LocaleTable[LocaleKR],MATCH(ItemEffectTable[[#This Row],['#DescIndex]],LocaleTable[Index],0))</f>
        <v>RowCollider을 무시하고 이동함.</v>
      </c>
    </row>
    <row r="29" spans="2:25">
      <c r="B29" s="6" t="s">
        <v>43</v>
      </c>
      <c r="C29" s="6" t="s">
        <v>15</v>
      </c>
      <c r="D29" s="6" t="s">
        <v>93</v>
      </c>
      <c r="E29" cm="1">
        <f t="array" ref="E29">_xlfn.IFS(ItemEffectTable[[#This Row],['#Grade]]="Weapon",6000,
ItemEffectTable[[#This Row],['#Grade]]="Normal",7000,
ItemEffectTable[[#This Row],['#Grade]]="Rare",8000,
ItemEffectTable[[#This Row],['#Grade]]="Cursed",9000)
+ COUNTIF($D$3:D29,ItemEffectTable[[#This Row],['#Grade]])
-ItemEffectTable[[#This Row],['#인덱스 수식용]]-1</f>
        <v>8010</v>
      </c>
      <c r="F29" t="s">
        <v>59</v>
      </c>
      <c r="G29" t="s">
        <v>182</v>
      </c>
      <c r="H2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RowColider과 플레이어가 충돌하지 않음.</v>
      </c>
      <c r="I29">
        <v>0</v>
      </c>
      <c r="J29" t="s">
        <v>28</v>
      </c>
      <c r="K29" t="s">
        <v>78</v>
      </c>
      <c r="L2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29" s="7" t="str" cm="1">
        <f t="array" ref="M2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29" s="24" t="s">
        <v>388</v>
      </c>
      <c r="O29" s="7" t="str" cm="1">
        <f t="array" ref="O2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29" s="7" cm="1">
        <f t="array" ref="P2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29" s="7" cm="1">
        <f t="array" ref="Q29">SUM(IF($E$3:$E$58=E29,$P$3:$P$58))</f>
        <v>50</v>
      </c>
      <c r="R29" s="7">
        <f>INDEX(표9[],MATCH(ItemEffectTable[[#This Row],['#Grade]],표9[#Headers],0))-ItemEffectTable[[#This Row],['#총 효력가치]]</f>
        <v>0</v>
      </c>
      <c r="S29" s="6"/>
      <c r="T29" s="7" cm="1">
        <f t="array" ref="T29">_xlfn.IFS(
ISTEXT(T28),0,
AND(ItemEffectTable[[#This Row],['#Grade]]=D28,ItemEffectTable[[#This Row],['#이름값]]=C28),T28+1,
ItemEffectTable[[#This Row],['#Grade]]&lt;&gt;D28,0,
ItemEffectTable[[#This Row],['#Grade]]=D28,T28
)</f>
        <v>2</v>
      </c>
      <c r="U29" s="7" t="str">
        <f>IF(ItemEffectTable[[#This Row],['#이름값]]=ItemEffectTable[[#This Row],['#Name]],"TRUE","FALSE")</f>
        <v>FALSE</v>
      </c>
      <c r="V29" s="7">
        <f>INDEX(ItemTable[Name],MATCH(ItemEffectTable[[#This Row],[Index]],ItemTable[ItemEffectDataId],0))</f>
        <v>13010</v>
      </c>
      <c r="W29" s="7">
        <f>INDEX(ItemTable[Desc],MATCH(ItemEffectTable[[#This Row],[Index]],ItemTable[ItemEffectDataId],0))</f>
        <v>23010</v>
      </c>
      <c r="X29" s="7" t="str">
        <f>INDEX(LocaleTable[LocaleKR],MATCH(ItemEffectTable[[#This Row],['#NameIndex]],LocaleTable[Index],0))</f>
        <v>신성한 수류탄</v>
      </c>
      <c r="Y29" s="7" t="str">
        <f>INDEX(LocaleTable[LocaleKR],MATCH(ItemEffectTable[[#This Row],['#DescIndex]],LocaleTable[Index],0))</f>
        <v>피해량이 20% 증가합니다.</v>
      </c>
    </row>
    <row r="30" spans="2:25">
      <c r="B30" s="6" t="s">
        <v>26</v>
      </c>
      <c r="C30" s="6" t="s">
        <v>16</v>
      </c>
      <c r="D30" s="6" t="s">
        <v>93</v>
      </c>
      <c r="E30" cm="1">
        <f t="array" ref="E30">_xlfn.IFS(ItemEffectTable[[#This Row],['#Grade]]="Weapon",6000,
ItemEffectTable[[#This Row],['#Grade]]="Normal",7000,
ItemEffectTable[[#This Row],['#Grade]]="Rare",8000,
ItemEffectTable[[#This Row],['#Grade]]="Cursed",9000)
+ COUNTIF($D$3:D30,ItemEffectTable[[#This Row],['#Grade]])
-ItemEffectTable[[#This Row],['#인덱스 수식용]]-1</f>
        <v>8011</v>
      </c>
      <c r="F30" t="s">
        <v>438</v>
      </c>
      <c r="G30" t="s">
        <v>284</v>
      </c>
      <c r="H3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30">
        <v>1.3</v>
      </c>
      <c r="J30" t="s">
        <v>35</v>
      </c>
      <c r="K30" t="s">
        <v>78</v>
      </c>
      <c r="L3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0" s="7" cm="1">
        <f t="array" ref="M3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30" s="24" t="s">
        <v>388</v>
      </c>
      <c r="O30" s="7" cm="1">
        <f t="array" ref="O3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P30" s="7" cm="1">
        <f t="array" ref="P3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50.000000000000014</v>
      </c>
      <c r="Q30" s="7" cm="1">
        <f t="array" ref="Q30">SUM(IF($E$3:$E$58=E30,$P$3:$P$58))</f>
        <v>50.000000000000014</v>
      </c>
      <c r="R30" s="7">
        <f>INDEX(표9[],MATCH(ItemEffectTable[[#This Row],['#Grade]],표9[#Headers],0))-ItemEffectTable[[#This Row],['#총 효력가치]]</f>
        <v>0</v>
      </c>
      <c r="S30" s="6" t="s">
        <v>60</v>
      </c>
      <c r="T30" s="7" cm="1">
        <f t="array" ref="T30">_xlfn.IFS(
ISTEXT(T29),0,
AND(ItemEffectTable[[#This Row],['#Grade]]=D29,ItemEffectTable[[#This Row],['#이름값]]=C29),T29+1,
ItemEffectTable[[#This Row],['#Grade]]&lt;&gt;D29,0,
ItemEffectTable[[#This Row],['#Grade]]=D29,T29
)</f>
        <v>2</v>
      </c>
      <c r="U30" s="7" t="str">
        <f>IF(ItemEffectTable[[#This Row],['#이름값]]=ItemEffectTable[[#This Row],['#Name]],"TRUE","FALSE")</f>
        <v>FALSE</v>
      </c>
      <c r="V30" s="7">
        <f>INDEX(ItemTable[Name],MATCH(ItemEffectTable[[#This Row],[Index]],ItemTable[ItemEffectDataId],0))</f>
        <v>13011</v>
      </c>
      <c r="W30" s="7">
        <f>INDEX(ItemTable[Desc],MATCH(ItemEffectTable[[#This Row],[Index]],ItemTable[ItemEffectDataId],0))</f>
        <v>23011</v>
      </c>
      <c r="X30" s="7" t="str">
        <f>INDEX(LocaleTable[LocaleKR],MATCH(ItemEffectTable[[#This Row],['#NameIndex]],LocaleTable[Index],0))</f>
        <v>슈퍼콜드</v>
      </c>
      <c r="Y30" s="7" t="str">
        <f>INDEX(LocaleTable[LocaleKR],MATCH(ItemEffectTable[[#This Row],['#DescIndex]],LocaleTable[Index],0))</f>
        <v>이동하지 않을 때 시간이 멈춤</v>
      </c>
    </row>
    <row r="31" spans="2:25">
      <c r="B31" s="6" t="s">
        <v>43</v>
      </c>
      <c r="C31" s="6" t="s">
        <v>17</v>
      </c>
      <c r="D31" s="6" t="s">
        <v>93</v>
      </c>
      <c r="E31" cm="1">
        <f t="array" ref="E31">_xlfn.IFS(ItemEffectTable[[#This Row],['#Grade]]="Weapon",6000,
ItemEffectTable[[#This Row],['#Grade]]="Normal",7000,
ItemEffectTable[[#This Row],['#Grade]]="Rare",8000,
ItemEffectTable[[#This Row],['#Grade]]="Cursed",9000)
+ COUNTIF($D$3:D31,ItemEffectTable[[#This Row],['#Grade]])
-ItemEffectTable[[#This Row],['#인덱스 수식용]]-1</f>
        <v>8012</v>
      </c>
      <c r="F31" t="s">
        <v>64</v>
      </c>
      <c r="G31" t="s">
        <v>182</v>
      </c>
      <c r="H3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행동하지 않을 때 시간이 멈춤.</v>
      </c>
      <c r="I31">
        <v>0</v>
      </c>
      <c r="J31" t="s">
        <v>28</v>
      </c>
      <c r="K31" t="s">
        <v>79</v>
      </c>
      <c r="L3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31" s="7" t="str" cm="1">
        <f t="array" ref="M3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31" s="24" t="s">
        <v>388</v>
      </c>
      <c r="O31" s="7" t="str" cm="1">
        <f t="array" ref="O3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31" s="7" cm="1">
        <f t="array" ref="P3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31" s="7" cm="1">
        <f t="array" ref="Q31">SUM(IF($E$3:$E$58=E31,$P$3:$P$58))</f>
        <v>50</v>
      </c>
      <c r="R31" s="7">
        <f>INDEX(표9[],MATCH(ItemEffectTable[[#This Row],['#Grade]],표9[#Headers],0))-ItemEffectTable[[#This Row],['#총 효력가치]]</f>
        <v>0</v>
      </c>
      <c r="S31" s="6" t="s">
        <v>62</v>
      </c>
      <c r="T31" s="7" cm="1">
        <f t="array" ref="T31">_xlfn.IFS(
ISTEXT(T30),0,
AND(ItemEffectTable[[#This Row],['#Grade]]=D30,ItemEffectTable[[#This Row],['#이름값]]=C30),T30+1,
ItemEffectTable[[#This Row],['#Grade]]&lt;&gt;D30,0,
ItemEffectTable[[#This Row],['#Grade]]=D30,T30
)</f>
        <v>2</v>
      </c>
      <c r="U31" s="7" t="str">
        <f>IF(ItemEffectTable[[#This Row],['#이름값]]=ItemEffectTable[[#This Row],['#Name]],"TRUE","FALSE")</f>
        <v>FALSE</v>
      </c>
      <c r="V31" s="7">
        <f>INDEX(ItemTable[Name],MATCH(ItemEffectTable[[#This Row],[Index]],ItemTable[ItemEffectDataId],0))</f>
        <v>13012</v>
      </c>
      <c r="W31" s="7">
        <f>INDEX(ItemTable[Desc],MATCH(ItemEffectTable[[#This Row],[Index]],ItemTable[ItemEffectDataId],0))</f>
        <v>23012</v>
      </c>
      <c r="X31" s="7" t="str">
        <f>INDEX(LocaleTable[LocaleKR],MATCH(ItemEffectTable[[#This Row],['#NameIndex]],LocaleTable[Index],0))</f>
        <v>게이볼그</v>
      </c>
      <c r="Y31" s="7" t="str">
        <f>INDEX(LocaleTable[LocaleKR],MATCH(ItemEffectTable[[#This Row],['#DescIndex]],LocaleTable[Index],0))</f>
        <v>공을 칠 때 자동으로 가장 가까운 적을 향해 날라감</v>
      </c>
    </row>
    <row r="32" spans="2:25">
      <c r="B32" s="6" t="s">
        <v>43</v>
      </c>
      <c r="C32" s="6" t="s">
        <v>8</v>
      </c>
      <c r="D32" s="6" t="s">
        <v>93</v>
      </c>
      <c r="E32" cm="1">
        <f t="array" ref="E32">_xlfn.IFS(ItemEffectTable[[#This Row],['#Grade]]="Weapon",6000,
ItemEffectTable[[#This Row],['#Grade]]="Normal",7000,
ItemEffectTable[[#This Row],['#Grade]]="Rare",8000,
ItemEffectTable[[#This Row],['#Grade]]="Cursed",9000)
+ COUNTIF($D$3:D32,ItemEffectTable[[#This Row],['#Grade]])
-ItemEffectTable[[#This Row],['#인덱스 수식용]]-1</f>
        <v>8013</v>
      </c>
      <c r="F32" t="s">
        <v>66</v>
      </c>
      <c r="G32" t="s">
        <v>182</v>
      </c>
      <c r="H3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가장 가까운 적을 추격</v>
      </c>
      <c r="I32">
        <v>0</v>
      </c>
      <c r="J32" t="s">
        <v>28</v>
      </c>
      <c r="K32" t="s">
        <v>80</v>
      </c>
      <c r="L3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32" s="7" t="str" cm="1">
        <f t="array" ref="M3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32" s="24" t="s">
        <v>388</v>
      </c>
      <c r="O32" s="7" t="str" cm="1">
        <f t="array" ref="O3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32" s="7" cm="1">
        <f t="array" ref="P3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32" s="7" cm="1">
        <f t="array" ref="Q32">SUM(IF($E$3:$E$58=E32,$P$3:$P$58))</f>
        <v>50</v>
      </c>
      <c r="R32" s="7">
        <f>INDEX(표9[],MATCH(ItemEffectTable[[#This Row],['#Grade]],표9[#Headers],0))-ItemEffectTable[[#This Row],['#총 효력가치]]</f>
        <v>0</v>
      </c>
      <c r="S32" s="6"/>
      <c r="T32" s="7" cm="1">
        <f t="array" ref="T32">_xlfn.IFS(
ISTEXT(T31),0,
AND(ItemEffectTable[[#This Row],['#Grade]]=D31,ItemEffectTable[[#This Row],['#이름값]]=C31),T31+1,
ItemEffectTable[[#This Row],['#Grade]]&lt;&gt;D31,0,
ItemEffectTable[[#This Row],['#Grade]]=D31,T31
)</f>
        <v>2</v>
      </c>
      <c r="U32" s="7" t="e">
        <f>IF(ItemEffectTable[[#This Row],['#이름값]]=ItemEffectTable[[#This Row],['#Name]],"TRUE","FALSE")</f>
        <v>#N/A</v>
      </c>
      <c r="V32" s="7" t="e">
        <f>INDEX(ItemTable[Name],MATCH(ItemEffectTable[[#This Row],[Index]],ItemTable[ItemEffectDataId],0))</f>
        <v>#N/A</v>
      </c>
      <c r="W32" s="7" t="e">
        <f>INDEX(ItemTable[Desc],MATCH(ItemEffectTable[[#This Row],[Index]],ItemTable[ItemEffectDataId],0))</f>
        <v>#N/A</v>
      </c>
      <c r="X32" s="7" t="e">
        <f>INDEX(LocaleTable[LocaleKR],MATCH(ItemEffectTable[[#This Row],['#NameIndex]],LocaleTable[Index],0))</f>
        <v>#N/A</v>
      </c>
      <c r="Y32" s="7" t="e">
        <f>INDEX(LocaleTable[LocaleKR],MATCH(ItemEffectTable[[#This Row],['#DescIndex]],LocaleTable[Index],0))</f>
        <v>#N/A</v>
      </c>
    </row>
    <row r="33" spans="2:25">
      <c r="B33" s="6" t="s">
        <v>26</v>
      </c>
      <c r="C33" s="6" t="s">
        <v>18</v>
      </c>
      <c r="D33" s="6" t="s">
        <v>94</v>
      </c>
      <c r="E33" cm="1">
        <f t="array" ref="E33">_xlfn.IFS(ItemEffectTable[[#This Row],['#Grade]]="Weapon",6000,
ItemEffectTable[[#This Row],['#Grade]]="Normal",7000,
ItemEffectTable[[#This Row],['#Grade]]="Rare",8000,
ItemEffectTable[[#This Row],['#Grade]]="Cursed",9000)
+ COUNTIF($D$3:D33,ItemEffectTable[[#This Row],['#Grade]])
-ItemEffectTable[[#This Row],['#인덱스 수식용]]-1</f>
        <v>9000</v>
      </c>
      <c r="F33" t="s">
        <v>438</v>
      </c>
      <c r="G33" t="s">
        <v>33</v>
      </c>
      <c r="H3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33">
        <v>0.8</v>
      </c>
      <c r="J33" t="s">
        <v>35</v>
      </c>
      <c r="K33" t="s">
        <v>78</v>
      </c>
      <c r="L3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33" s="7" cm="1">
        <f t="array" ref="M3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33" s="24" t="s">
        <v>388</v>
      </c>
      <c r="O33" s="7" cm="1">
        <f t="array" ref="O3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4.8000000000000007</v>
      </c>
      <c r="P33" s="7" cm="1">
        <f t="array" ref="P3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-19.999999999999989</v>
      </c>
      <c r="Q33" s="7" t="e" cm="1">
        <f t="array" ref="Q33">SUM(IF($E$3:$E$58=E33,$P$3:$P$58))</f>
        <v>#N/A</v>
      </c>
      <c r="R33" s="7" t="e">
        <f>INDEX(표9[],MATCH(ItemEffectTable[[#This Row],['#Grade]],표9[#Headers],0))-ItemEffectTable[[#This Row],['#총 효력가치]]</f>
        <v>#N/A</v>
      </c>
      <c r="S33" s="6"/>
      <c r="T33" s="7" cm="1">
        <f t="array" ref="T33">_xlfn.IFS(
ISTEXT(T32),0,
AND(ItemEffectTable[[#This Row],['#Grade]]=D32,ItemEffectTable[[#This Row],['#이름값]]=C32),T32+1,
ItemEffectTable[[#This Row],['#Grade]]&lt;&gt;D32,0,
ItemEffectTable[[#This Row],['#Grade]]=D32,T32
)</f>
        <v>0</v>
      </c>
      <c r="U33" s="7" t="str">
        <f>IF(ItemEffectTable[[#This Row],['#이름값]]=ItemEffectTable[[#This Row],['#Name]],"TRUE","FALSE")</f>
        <v>TRUE</v>
      </c>
      <c r="V33" s="7">
        <f>INDEX(ItemTable[Name],MATCH(ItemEffectTable[[#This Row],[Index]],ItemTable[ItemEffectDataId],0))</f>
        <v>14000</v>
      </c>
      <c r="W33" s="7">
        <f>INDEX(ItemTable[Desc],MATCH(ItemEffectTable[[#This Row],[Index]],ItemTable[ItemEffectDataId],0))</f>
        <v>24000</v>
      </c>
      <c r="X33" s="7" t="str">
        <f>INDEX(LocaleTable[LocaleKR],MATCH(ItemEffectTable[[#This Row],['#NameIndex]],LocaleTable[Index],0))</f>
        <v>불길한 깃발</v>
      </c>
      <c r="Y33" s="7" t="str">
        <f>INDEX(LocaleTable[LocaleKR],MATCH(ItemEffectTable[[#This Row],['#DescIndex]],LocaleTable[Index],0))</f>
        <v>이동속도가 30% 감소합니다. 차징 속도가 40% 빨라집니다.</v>
      </c>
    </row>
    <row r="34" spans="2:25">
      <c r="B34" s="6" t="s">
        <v>26</v>
      </c>
      <c r="C34" s="6" t="s">
        <v>18</v>
      </c>
      <c r="D34" s="6" t="s">
        <v>94</v>
      </c>
      <c r="E34" cm="1">
        <f t="array" ref="E34">_xlfn.IFS(ItemEffectTable[[#This Row],['#Grade]]="Weapon",6000,
ItemEffectTable[[#This Row],['#Grade]]="Normal",7000,
ItemEffectTable[[#This Row],['#Grade]]="Rare",8000,
ItemEffectTable[[#This Row],['#Grade]]="Cursed",9000)
+ COUNTIF($D$3:D34,ItemEffectTable[[#This Row],['#Grade]])
-ItemEffectTable[[#This Row],['#인덱스 수식용]]-1</f>
        <v>9000</v>
      </c>
      <c r="F34" t="s">
        <v>438</v>
      </c>
      <c r="G34" t="s">
        <v>370</v>
      </c>
      <c r="H3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34">
        <v>0.6</v>
      </c>
      <c r="J34" t="s">
        <v>35</v>
      </c>
      <c r="K34" t="s">
        <v>78</v>
      </c>
      <c r="L3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4" s="7" t="e" cm="1">
        <f t="array" ref="M3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4" s="24" t="s">
        <v>388</v>
      </c>
      <c r="O34" s="7" t="e" cm="1">
        <f t="array" ref="O3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4" s="7" t="e" cm="1">
        <f t="array" ref="P3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4" s="7" t="e" cm="1">
        <f t="array" ref="Q34">SUM(IF($E$3:$E$58=E34,$P$3:$P$58))</f>
        <v>#N/A</v>
      </c>
      <c r="R34" s="7" t="e">
        <f>INDEX(표9[],MATCH(ItemEffectTable[[#This Row],['#Grade]],표9[#Headers],0))-ItemEffectTable[[#This Row],['#총 효력가치]]</f>
        <v>#N/A</v>
      </c>
      <c r="S34" s="6"/>
      <c r="T34" s="7" cm="1">
        <f t="array" ref="T34">_xlfn.IFS(
ISTEXT(T33),0,
AND(ItemEffectTable[[#This Row],['#Grade]]=D33,ItemEffectTable[[#This Row],['#이름값]]=C33),T33+1,
ItemEffectTable[[#This Row],['#Grade]]&lt;&gt;D33,0,
ItemEffectTable[[#This Row],['#Grade]]=D33,T33
)</f>
        <v>1</v>
      </c>
      <c r="U34" s="7" t="str">
        <f>IF(ItemEffectTable[[#This Row],['#이름값]]=ItemEffectTable[[#This Row],['#Name]],"TRUE","FALSE")</f>
        <v>TRUE</v>
      </c>
      <c r="V34" s="7">
        <f>INDEX(ItemTable[Name],MATCH(ItemEffectTable[[#This Row],[Index]],ItemTable[ItemEffectDataId],0))</f>
        <v>14000</v>
      </c>
      <c r="W34" s="7">
        <f>INDEX(ItemTable[Desc],MATCH(ItemEffectTable[[#This Row],[Index]],ItemTable[ItemEffectDataId],0))</f>
        <v>24000</v>
      </c>
      <c r="X34" s="7" t="str">
        <f>INDEX(LocaleTable[LocaleKR],MATCH(ItemEffectTable[[#This Row],['#NameIndex]],LocaleTable[Index],0))</f>
        <v>불길한 깃발</v>
      </c>
      <c r="Y34" s="7" t="str">
        <f>INDEX(LocaleTable[LocaleKR],MATCH(ItemEffectTable[[#This Row],['#DescIndex]],LocaleTable[Index],0))</f>
        <v>이동속도가 30% 감소합니다. 차징 속도가 40% 빨라집니다.</v>
      </c>
    </row>
    <row r="35" spans="2:25">
      <c r="B35" s="6" t="s">
        <v>26</v>
      </c>
      <c r="C35" s="6" t="s">
        <v>18</v>
      </c>
      <c r="D35" s="6" t="s">
        <v>94</v>
      </c>
      <c r="E35" cm="1">
        <f t="array" ref="E35">_xlfn.IFS(ItemEffectTable[[#This Row],['#Grade]]="Weapon",6000,
ItemEffectTable[[#This Row],['#Grade]]="Normal",7000,
ItemEffectTable[[#This Row],['#Grade]]="Rare",8000,
ItemEffectTable[[#This Row],['#Grade]]="Cursed",9000)
+ COUNTIF($D$3:D35,ItemEffectTable[[#This Row],['#Grade]])
-ItemEffectTable[[#This Row],['#인덱스 수식용]]-1</f>
        <v>9000</v>
      </c>
      <c r="F35" t="s">
        <v>438</v>
      </c>
      <c r="G35" t="s">
        <v>371</v>
      </c>
      <c r="H3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차징속도변경-2단계</v>
      </c>
      <c r="I35">
        <v>0.6</v>
      </c>
      <c r="J35" t="s">
        <v>35</v>
      </c>
      <c r="K35" t="s">
        <v>78</v>
      </c>
      <c r="L3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5" s="7" t="e" cm="1">
        <f t="array" ref="M3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5" s="24" t="s">
        <v>388</v>
      </c>
      <c r="O35" s="7" t="e" cm="1">
        <f t="array" ref="O3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5" s="7" t="e" cm="1">
        <f t="array" ref="P3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5" s="7" t="e" cm="1">
        <f t="array" ref="Q35">SUM(IF($E$3:$E$58=E35,$P$3:$P$58))</f>
        <v>#N/A</v>
      </c>
      <c r="R35" s="7" t="e">
        <f>INDEX(표9[],MATCH(ItemEffectTable[[#This Row],['#Grade]],표9[#Headers],0))-ItemEffectTable[[#This Row],['#총 효력가치]]</f>
        <v>#N/A</v>
      </c>
      <c r="S35" s="6"/>
      <c r="T35" s="7" cm="1">
        <f t="array" ref="T35">_xlfn.IFS(
ISTEXT(T34),0,
AND(ItemEffectTable[[#This Row],['#Grade]]=D34,ItemEffectTable[[#This Row],['#이름값]]=C34),T34+1,
ItemEffectTable[[#This Row],['#Grade]]&lt;&gt;D34,0,
ItemEffectTable[[#This Row],['#Grade]]=D34,T34
)</f>
        <v>2</v>
      </c>
      <c r="U35" s="7" t="str">
        <f>IF(ItemEffectTable[[#This Row],['#이름값]]=ItemEffectTable[[#This Row],['#Name]],"TRUE","FALSE")</f>
        <v>TRUE</v>
      </c>
      <c r="V35" s="7">
        <f>INDEX(ItemTable[Name],MATCH(ItemEffectTable[[#This Row],[Index]],ItemTable[ItemEffectDataId],0))</f>
        <v>14000</v>
      </c>
      <c r="W35" s="7">
        <f>INDEX(ItemTable[Desc],MATCH(ItemEffectTable[[#This Row],[Index]],ItemTable[ItemEffectDataId],0))</f>
        <v>24000</v>
      </c>
      <c r="X35" s="7" t="str">
        <f>INDEX(LocaleTable[LocaleKR],MATCH(ItemEffectTable[[#This Row],['#NameIndex]],LocaleTable[Index],0))</f>
        <v>불길한 깃발</v>
      </c>
      <c r="Y35" s="7" t="str">
        <f>INDEX(LocaleTable[LocaleKR],MATCH(ItemEffectTable[[#This Row],['#DescIndex]],LocaleTable[Index],0))</f>
        <v>이동속도가 30% 감소합니다. 차징 속도가 40% 빨라집니다.</v>
      </c>
    </row>
    <row r="36" spans="2:25">
      <c r="B36" s="6" t="s">
        <v>26</v>
      </c>
      <c r="C36" s="6" t="s">
        <v>18</v>
      </c>
      <c r="D36" s="6" t="s">
        <v>94</v>
      </c>
      <c r="E36" cm="1">
        <f t="array" ref="E36">_xlfn.IFS(ItemEffectTable[[#This Row],['#Grade]]="Weapon",6000,
ItemEffectTable[[#This Row],['#Grade]]="Normal",7000,
ItemEffectTable[[#This Row],['#Grade]]="Rare",8000,
ItemEffectTable[[#This Row],['#Grade]]="Cursed",9000)
+ COUNTIF($D$3:D36,ItemEffectTable[[#This Row],['#Grade]])
-ItemEffectTable[[#This Row],['#인덱스 수식용]]-1</f>
        <v>9000</v>
      </c>
      <c r="F36" t="s">
        <v>438</v>
      </c>
      <c r="G36" t="s">
        <v>372</v>
      </c>
      <c r="H3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차징속도변경-3단계</v>
      </c>
      <c r="I36">
        <v>0.6</v>
      </c>
      <c r="J36" t="s">
        <v>35</v>
      </c>
      <c r="K36" t="s">
        <v>78</v>
      </c>
      <c r="L3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6" s="7" t="e" cm="1">
        <f t="array" ref="M3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6" s="24" t="s">
        <v>388</v>
      </c>
      <c r="O36" s="7" t="e" cm="1">
        <f t="array" ref="O3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6" s="7" t="e" cm="1">
        <f t="array" ref="P3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6" s="7" t="e" cm="1">
        <f t="array" ref="Q36">SUM(IF($E$3:$E$58=E36,$P$3:$P$58))</f>
        <v>#N/A</v>
      </c>
      <c r="R36" s="7" t="e">
        <f>INDEX(표9[],MATCH(ItemEffectTable[[#This Row],['#Grade]],표9[#Headers],0))-ItemEffectTable[[#This Row],['#총 효력가치]]</f>
        <v>#N/A</v>
      </c>
      <c r="S36" s="6"/>
      <c r="T36" s="7" cm="1">
        <f t="array" ref="T36">_xlfn.IFS(
ISTEXT(T35),0,
AND(ItemEffectTable[[#This Row],['#Grade]]=D35,ItemEffectTable[[#This Row],['#이름값]]=C35),T35+1,
ItemEffectTable[[#This Row],['#Grade]]&lt;&gt;D35,0,
ItemEffectTable[[#This Row],['#Grade]]=D35,T35
)</f>
        <v>3</v>
      </c>
      <c r="U36" s="7" t="str">
        <f>IF(ItemEffectTable[[#This Row],['#이름값]]=ItemEffectTable[[#This Row],['#Name]],"TRUE","FALSE")</f>
        <v>TRUE</v>
      </c>
      <c r="V36" s="7">
        <f>INDEX(ItemTable[Name],MATCH(ItemEffectTable[[#This Row],[Index]],ItemTable[ItemEffectDataId],0))</f>
        <v>14000</v>
      </c>
      <c r="W36" s="7">
        <f>INDEX(ItemTable[Desc],MATCH(ItemEffectTable[[#This Row],[Index]],ItemTable[ItemEffectDataId],0))</f>
        <v>24000</v>
      </c>
      <c r="X36" s="7" t="str">
        <f>INDEX(LocaleTable[LocaleKR],MATCH(ItemEffectTable[[#This Row],['#NameIndex]],LocaleTable[Index],0))</f>
        <v>불길한 깃발</v>
      </c>
      <c r="Y36" s="7" t="str">
        <f>INDEX(LocaleTable[LocaleKR],MATCH(ItemEffectTable[[#This Row],['#DescIndex]],LocaleTable[Index],0))</f>
        <v>이동속도가 30% 감소합니다. 차징 속도가 40% 빨라집니다.</v>
      </c>
    </row>
    <row r="37" spans="2:25">
      <c r="B37" s="6" t="s">
        <v>26</v>
      </c>
      <c r="C37" s="6" t="s">
        <v>19</v>
      </c>
      <c r="D37" s="6" t="s">
        <v>94</v>
      </c>
      <c r="E37" cm="1">
        <f t="array" ref="E37">_xlfn.IFS(ItemEffectTable[[#This Row],['#Grade]]="Weapon",6000,
ItemEffectTable[[#This Row],['#Grade]]="Normal",7000,
ItemEffectTable[[#This Row],['#Grade]]="Rare",8000,
ItemEffectTable[[#This Row],['#Grade]]="Cursed",9000)
+ COUNTIF($D$3:D37,ItemEffectTable[[#This Row],['#Grade]])
-ItemEffectTable[[#This Row],['#인덱스 수식용]]-1</f>
        <v>9001</v>
      </c>
      <c r="F37" t="s">
        <v>438</v>
      </c>
      <c r="G37" t="s">
        <v>33</v>
      </c>
      <c r="H3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37">
        <v>1.9</v>
      </c>
      <c r="J37" t="s">
        <v>35</v>
      </c>
      <c r="K37" t="s">
        <v>78</v>
      </c>
      <c r="L3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37" s="7" cm="1">
        <f t="array" ref="M3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37" s="24" t="s">
        <v>388</v>
      </c>
      <c r="O37" s="7" cm="1">
        <f t="array" ref="O3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11.399999999999999</v>
      </c>
      <c r="P37" s="7" cm="1">
        <f t="array" ref="P3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89.999999999999986</v>
      </c>
      <c r="Q37" s="7" cm="1">
        <f t="array" ref="Q37">SUM(IF($E$3:$E$58=E37,$P$3:$P$58))</f>
        <v>56.666666666666657</v>
      </c>
      <c r="R37" s="7">
        <f>INDEX(표9[],MATCH(ItemEffectTable[[#This Row],['#Grade]],표9[#Headers],0))-ItemEffectTable[[#This Row],['#총 효력가치]]</f>
        <v>-6.6666666666666572</v>
      </c>
      <c r="S37" s="6"/>
      <c r="T37" s="7" cm="1">
        <f t="array" ref="T37">_xlfn.IFS(
ISTEXT(T36),0,
AND(ItemEffectTable[[#This Row],['#Grade]]=D36,ItemEffectTable[[#This Row],['#이름값]]=C36),T36+1,
ItemEffectTable[[#This Row],['#Grade]]&lt;&gt;D36,0,
ItemEffectTable[[#This Row],['#Grade]]=D36,T36
)</f>
        <v>3</v>
      </c>
      <c r="U37" s="7" t="str">
        <f>IF(ItemEffectTable[[#This Row],['#이름값]]=ItemEffectTable[[#This Row],['#Name]],"TRUE","FALSE")</f>
        <v>TRUE</v>
      </c>
      <c r="V37" s="7">
        <f>INDEX(ItemTable[Name],MATCH(ItemEffectTable[[#This Row],[Index]],ItemTable[ItemEffectDataId],0))</f>
        <v>14001</v>
      </c>
      <c r="W37" s="7">
        <f>INDEX(ItemTable[Desc],MATCH(ItemEffectTable[[#This Row],[Index]],ItemTable[ItemEffectDataId],0))</f>
        <v>24001</v>
      </c>
      <c r="X37" s="7" t="str">
        <f>INDEX(LocaleTable[LocaleKR],MATCH(ItemEffectTable[[#This Row],['#NameIndex]],LocaleTable[Index],0))</f>
        <v>빗바랜 천가죽</v>
      </c>
      <c r="Y37" s="7" t="str">
        <f>INDEX(LocaleTable[LocaleKR],MATCH(ItemEffectTable[[#This Row],['#DescIndex]],LocaleTable[Index],0))</f>
        <v>이동속도가 20% 감소합니다. 피해량이 20% 감소합니다.</v>
      </c>
    </row>
    <row r="38" spans="2:25">
      <c r="B38" s="6" t="s">
        <v>26</v>
      </c>
      <c r="C38" s="6" t="s">
        <v>19</v>
      </c>
      <c r="D38" s="6" t="s">
        <v>94</v>
      </c>
      <c r="E38" cm="1">
        <f t="array" ref="E38">_xlfn.IFS(ItemEffectTable[[#This Row],['#Grade]]="Weapon",6000,
ItemEffectTable[[#This Row],['#Grade]]="Normal",7000,
ItemEffectTable[[#This Row],['#Grade]]="Rare",8000,
ItemEffectTable[[#This Row],['#Grade]]="Cursed",9000)
+ COUNTIF($D$3:D38,ItemEffectTable[[#This Row],['#Grade]])
-ItemEffectTable[[#This Row],['#인덱스 수식용]]-1</f>
        <v>9001</v>
      </c>
      <c r="F38" t="s">
        <v>438</v>
      </c>
      <c r="G38" t="s">
        <v>284</v>
      </c>
      <c r="H3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38">
        <v>0.8</v>
      </c>
      <c r="J38" t="s">
        <v>35</v>
      </c>
      <c r="K38" t="s">
        <v>78</v>
      </c>
      <c r="L3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8" s="7" cm="1">
        <f t="array" ref="M3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38" s="24" t="s">
        <v>388</v>
      </c>
      <c r="O38" s="7" cm="1">
        <f t="array" ref="O3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</v>
      </c>
      <c r="P38" s="7" cm="1">
        <f t="array" ref="P3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-33.333333333333329</v>
      </c>
      <c r="Q38" s="7" cm="1">
        <f t="array" ref="Q38">SUM(IF($E$3:$E$58=E38,$P$3:$P$58))</f>
        <v>56.666666666666657</v>
      </c>
      <c r="R38" s="7">
        <f>INDEX(표9[],MATCH(ItemEffectTable[[#This Row],['#Grade]],표9[#Headers],0))-ItemEffectTable[[#This Row],['#총 효력가치]]</f>
        <v>-6.6666666666666572</v>
      </c>
      <c r="S38" s="6"/>
      <c r="T38" s="7" cm="1">
        <f t="array" ref="T38">_xlfn.IFS(
ISTEXT(T37),0,
AND(ItemEffectTable[[#This Row],['#Grade]]=D37,ItemEffectTable[[#This Row],['#이름값]]=C37),T37+1,
ItemEffectTable[[#This Row],['#Grade]]&lt;&gt;D37,0,
ItemEffectTable[[#This Row],['#Grade]]=D37,T37
)</f>
        <v>4</v>
      </c>
      <c r="U38" s="7" t="str">
        <f>IF(ItemEffectTable[[#This Row],['#이름값]]=ItemEffectTable[[#This Row],['#Name]],"TRUE","FALSE")</f>
        <v>TRUE</v>
      </c>
      <c r="V38" s="7">
        <f>INDEX(ItemTable[Name],MATCH(ItemEffectTable[[#This Row],[Index]],ItemTable[ItemEffectDataId],0))</f>
        <v>14001</v>
      </c>
      <c r="W38" s="7">
        <f>INDEX(ItemTable[Desc],MATCH(ItemEffectTable[[#This Row],[Index]],ItemTable[ItemEffectDataId],0))</f>
        <v>24001</v>
      </c>
      <c r="X38" s="7" t="str">
        <f>INDEX(LocaleTable[LocaleKR],MATCH(ItemEffectTable[[#This Row],['#NameIndex]],LocaleTable[Index],0))</f>
        <v>빗바랜 천가죽</v>
      </c>
      <c r="Y38" s="7" t="str">
        <f>INDEX(LocaleTable[LocaleKR],MATCH(ItemEffectTable[[#This Row],['#DescIndex]],LocaleTable[Index],0))</f>
        <v>이동속도가 20% 감소합니다. 피해량이 20% 감소합니다.</v>
      </c>
    </row>
    <row r="39" spans="2:25">
      <c r="B39" s="6" t="s">
        <v>26</v>
      </c>
      <c r="C39" s="6" t="s">
        <v>20</v>
      </c>
      <c r="D39" s="6" t="s">
        <v>94</v>
      </c>
      <c r="E39" cm="1">
        <f t="array" ref="E39">_xlfn.IFS(ItemEffectTable[[#This Row],['#Grade]]="Weapon",6000,
ItemEffectTable[[#This Row],['#Grade]]="Normal",7000,
ItemEffectTable[[#This Row],['#Grade]]="Rare",8000,
ItemEffectTable[[#This Row],['#Grade]]="Cursed",9000)
+ COUNTIF($D$3:D39,ItemEffectTable[[#This Row],['#Grade]])
-ItemEffectTable[[#This Row],['#인덱스 수식용]]-1</f>
        <v>9002</v>
      </c>
      <c r="F39" t="s">
        <v>438</v>
      </c>
      <c r="G39" t="s">
        <v>370</v>
      </c>
      <c r="H3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39">
        <v>1.1000000000000001</v>
      </c>
      <c r="J39" t="s">
        <v>35</v>
      </c>
      <c r="K39" t="s">
        <v>78</v>
      </c>
      <c r="L3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9" s="7" t="e" cm="1">
        <f t="array" ref="M3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9" s="24" t="s">
        <v>388</v>
      </c>
      <c r="O39" s="7" t="e" cm="1">
        <f t="array" ref="O3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9" s="7" t="e" cm="1">
        <f t="array" ref="P3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9" s="7" t="e" cm="1">
        <f t="array" ref="Q39">SUM(IF($E$3:$E$58=E39,$P$3:$P$58))</f>
        <v>#N/A</v>
      </c>
      <c r="R39" s="7" t="e">
        <f>INDEX(표9[],MATCH(ItemEffectTable[[#This Row],['#Grade]],표9[#Headers],0))-ItemEffectTable[[#This Row],['#총 효력가치]]</f>
        <v>#N/A</v>
      </c>
      <c r="S39" s="6"/>
      <c r="T39" s="7" cm="1">
        <f t="array" ref="T39">_xlfn.IFS(
ISTEXT(T38),0,
AND(ItemEffectTable[[#This Row],['#Grade]]=D38,ItemEffectTable[[#This Row],['#이름값]]=C38),T38+1,
ItemEffectTable[[#This Row],['#Grade]]&lt;&gt;D38,0,
ItemEffectTable[[#This Row],['#Grade]]=D38,T38
)</f>
        <v>4</v>
      </c>
      <c r="U39" s="7" t="str">
        <f>IF(ItemEffectTable[[#This Row],['#이름값]]=ItemEffectTable[[#This Row],['#Name]],"TRUE","FALSE")</f>
        <v>TRUE</v>
      </c>
      <c r="V39" s="7">
        <f>INDEX(ItemTable[Name],MATCH(ItemEffectTable[[#This Row],[Index]],ItemTable[ItemEffectDataId],0))</f>
        <v>14002</v>
      </c>
      <c r="W39" s="7">
        <f>INDEX(ItemTable[Desc],MATCH(ItemEffectTable[[#This Row],[Index]],ItemTable[ItemEffectDataId],0))</f>
        <v>24002</v>
      </c>
      <c r="X39" s="7" t="str">
        <f>INDEX(LocaleTable[LocaleKR],MATCH(ItemEffectTable[[#This Row],['#NameIndex]],LocaleTable[Index],0))</f>
        <v>나자렛의 몽키스패너</v>
      </c>
      <c r="Y39" s="7" t="str">
        <f>INDEX(LocaleTable[LocaleKR],MATCH(ItemEffectTable[[#This Row],['#DescIndex]],LocaleTable[Index],0))</f>
        <v>차징 속도가 40% 느려집니다. 대신 공을 튕겨내는 속도가 30% 상승합니다.</v>
      </c>
    </row>
    <row r="40" spans="2:25">
      <c r="B40" s="6" t="s">
        <v>26</v>
      </c>
      <c r="C40" s="6" t="s">
        <v>20</v>
      </c>
      <c r="D40" s="6" t="s">
        <v>94</v>
      </c>
      <c r="E40" cm="1">
        <f t="array" ref="E40">_xlfn.IFS(ItemEffectTable[[#This Row],['#Grade]]="Weapon",6000,
ItemEffectTable[[#This Row],['#Grade]]="Normal",7000,
ItemEffectTable[[#This Row],['#Grade]]="Rare",8000,
ItemEffectTable[[#This Row],['#Grade]]="Cursed",9000)
+ COUNTIF($D$3:D40,ItemEffectTable[[#This Row],['#Grade]])
-ItemEffectTable[[#This Row],['#인덱스 수식용]]-1</f>
        <v>9002</v>
      </c>
      <c r="F40" t="s">
        <v>438</v>
      </c>
      <c r="G40" t="s">
        <v>371</v>
      </c>
      <c r="H4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차징속도변경-2단계</v>
      </c>
      <c r="I40">
        <v>1.1000000000000001</v>
      </c>
      <c r="J40" t="s">
        <v>35</v>
      </c>
      <c r="K40" t="s">
        <v>78</v>
      </c>
      <c r="L4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0" s="7" t="e" cm="1">
        <f t="array" ref="M4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0" s="24" t="s">
        <v>388</v>
      </c>
      <c r="O40" s="7" t="e" cm="1">
        <f t="array" ref="O4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0" s="7" t="e" cm="1">
        <f t="array" ref="P4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0" s="7" t="e" cm="1">
        <f t="array" ref="Q40">SUM(IF($E$3:$E$58=E40,$P$3:$P$58))</f>
        <v>#N/A</v>
      </c>
      <c r="R40" s="7" t="e">
        <f>INDEX(표9[],MATCH(ItemEffectTable[[#This Row],['#Grade]],표9[#Headers],0))-ItemEffectTable[[#This Row],['#총 효력가치]]</f>
        <v>#N/A</v>
      </c>
      <c r="S40" s="6"/>
      <c r="T40" s="7" cm="1">
        <f t="array" ref="T40">_xlfn.IFS(
ISTEXT(T39),0,
AND(ItemEffectTable[[#This Row],['#Grade]]=D39,ItemEffectTable[[#This Row],['#이름값]]=C39),T39+1,
ItemEffectTable[[#This Row],['#Grade]]&lt;&gt;D39,0,
ItemEffectTable[[#This Row],['#Grade]]=D39,T39
)</f>
        <v>5</v>
      </c>
      <c r="U40" s="7" t="str">
        <f>IF(ItemEffectTable[[#This Row],['#이름값]]=ItemEffectTable[[#This Row],['#Name]],"TRUE","FALSE")</f>
        <v>TRUE</v>
      </c>
      <c r="V40" s="7">
        <f>INDEX(ItemTable[Name],MATCH(ItemEffectTable[[#This Row],[Index]],ItemTable[ItemEffectDataId],0))</f>
        <v>14002</v>
      </c>
      <c r="W40" s="7">
        <f>INDEX(ItemTable[Desc],MATCH(ItemEffectTable[[#This Row],[Index]],ItemTable[ItemEffectDataId],0))</f>
        <v>24002</v>
      </c>
      <c r="X40" s="7" t="str">
        <f>INDEX(LocaleTable[LocaleKR],MATCH(ItemEffectTable[[#This Row],['#NameIndex]],LocaleTable[Index],0))</f>
        <v>나자렛의 몽키스패너</v>
      </c>
      <c r="Y40" s="7" t="str">
        <f>INDEX(LocaleTable[LocaleKR],MATCH(ItemEffectTable[[#This Row],['#DescIndex]],LocaleTable[Index],0))</f>
        <v>차징 속도가 40% 느려집니다. 대신 공을 튕겨내는 속도가 30% 상승합니다.</v>
      </c>
    </row>
    <row r="41" spans="2:25">
      <c r="B41" s="6" t="s">
        <v>26</v>
      </c>
      <c r="C41" s="6" t="s">
        <v>20</v>
      </c>
      <c r="D41" s="6" t="s">
        <v>94</v>
      </c>
      <c r="E41" cm="1">
        <f t="array" ref="E41">_xlfn.IFS(ItemEffectTable[[#This Row],['#Grade]]="Weapon",6000,
ItemEffectTable[[#This Row],['#Grade]]="Normal",7000,
ItemEffectTable[[#This Row],['#Grade]]="Rare",8000,
ItemEffectTable[[#This Row],['#Grade]]="Cursed",9000)
+ COUNTIF($D$3:D41,ItemEffectTable[[#This Row],['#Grade]])
-ItemEffectTable[[#This Row],['#인덱스 수식용]]-1</f>
        <v>9002</v>
      </c>
      <c r="F41" t="s">
        <v>438</v>
      </c>
      <c r="G41" t="s">
        <v>372</v>
      </c>
      <c r="H4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차징속도변경-3단계</v>
      </c>
      <c r="I41">
        <v>1.1000000000000001</v>
      </c>
      <c r="J41" t="s">
        <v>35</v>
      </c>
      <c r="K41" t="s">
        <v>78</v>
      </c>
      <c r="L4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1" s="7" t="e" cm="1">
        <f t="array" ref="M4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1" s="24" t="s">
        <v>388</v>
      </c>
      <c r="O41" s="7" t="e" cm="1">
        <f t="array" ref="O4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1" s="7" t="e" cm="1">
        <f t="array" ref="P4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1" s="7" t="e" cm="1">
        <f t="array" ref="Q41">SUM(IF($E$3:$E$58=E41,$P$3:$P$58))</f>
        <v>#N/A</v>
      </c>
      <c r="R41" s="7" t="e">
        <f>INDEX(표9[],MATCH(ItemEffectTable[[#This Row],['#Grade]],표9[#Headers],0))-ItemEffectTable[[#This Row],['#총 효력가치]]</f>
        <v>#N/A</v>
      </c>
      <c r="S41" s="6"/>
      <c r="T41" s="7" cm="1">
        <f t="array" ref="T41">_xlfn.IFS(
ISTEXT(T40),0,
AND(ItemEffectTable[[#This Row],['#Grade]]=D40,ItemEffectTable[[#This Row],['#이름값]]=C40),T40+1,
ItemEffectTable[[#This Row],['#Grade]]&lt;&gt;D40,0,
ItemEffectTable[[#This Row],['#Grade]]=D40,T40
)</f>
        <v>6</v>
      </c>
      <c r="U41" s="7" t="str">
        <f>IF(ItemEffectTable[[#This Row],['#이름값]]=ItemEffectTable[[#This Row],['#Name]],"TRUE","FALSE")</f>
        <v>TRUE</v>
      </c>
      <c r="V41" s="7">
        <f>INDEX(ItemTable[Name],MATCH(ItemEffectTable[[#This Row],[Index]],ItemTable[ItemEffectDataId],0))</f>
        <v>14002</v>
      </c>
      <c r="W41" s="7">
        <f>INDEX(ItemTable[Desc],MATCH(ItemEffectTable[[#This Row],[Index]],ItemTable[ItemEffectDataId],0))</f>
        <v>24002</v>
      </c>
      <c r="X41" s="7" t="str">
        <f>INDEX(LocaleTable[LocaleKR],MATCH(ItemEffectTable[[#This Row],['#NameIndex]],LocaleTable[Index],0))</f>
        <v>나자렛의 몽키스패너</v>
      </c>
      <c r="Y41" s="7" t="str">
        <f>INDEX(LocaleTable[LocaleKR],MATCH(ItemEffectTable[[#This Row],['#DescIndex]],LocaleTable[Index],0))</f>
        <v>차징 속도가 40% 느려집니다. 대신 공을 튕겨내는 속도가 30% 상승합니다.</v>
      </c>
    </row>
    <row r="42" spans="2:25">
      <c r="B42" s="6" t="s">
        <v>26</v>
      </c>
      <c r="C42" s="6" t="s">
        <v>20</v>
      </c>
      <c r="D42" s="6" t="s">
        <v>94</v>
      </c>
      <c r="E42" cm="1">
        <f t="array" ref="E42">_xlfn.IFS(ItemEffectTable[[#This Row],['#Grade]]="Weapon",6000,
ItemEffectTable[[#This Row],['#Grade]]="Normal",7000,
ItemEffectTable[[#This Row],['#Grade]]="Rare",8000,
ItemEffectTable[[#This Row],['#Grade]]="Cursed",9000)
+ COUNTIF($D$3:D42,ItemEffectTable[[#This Row],['#Grade]])
-ItemEffectTable[[#This Row],['#인덱스 수식용]]-1</f>
        <v>9002</v>
      </c>
      <c r="F42" s="17" t="s">
        <v>438</v>
      </c>
      <c r="G42" s="17" t="s">
        <v>272</v>
      </c>
      <c r="H4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튕겨내기탄환속도변경-미차징</v>
      </c>
      <c r="I42">
        <v>2</v>
      </c>
      <c r="J42" t="s">
        <v>35</v>
      </c>
      <c r="K42" t="s">
        <v>78</v>
      </c>
      <c r="L4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2" s="7" cm="1">
        <f t="array" ref="M4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20</v>
      </c>
      <c r="N42" s="24" t="s">
        <v>388</v>
      </c>
      <c r="O42" s="7" cm="1">
        <f t="array" ref="O4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40</v>
      </c>
      <c r="P42" s="7" cm="1">
        <f t="array" ref="P4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</v>
      </c>
      <c r="Q42" s="7" t="e" cm="1">
        <f t="array" ref="Q42">SUM(IF($E$3:$E$58=E42,$P$3:$P$58))</f>
        <v>#N/A</v>
      </c>
      <c r="R42" s="7" t="e">
        <f>INDEX(표9[],MATCH(ItemEffectTable[[#This Row],['#Grade]],표9[#Headers],0))-ItemEffectTable[[#This Row],['#총 효력가치]]</f>
        <v>#N/A</v>
      </c>
      <c r="S42" s="6"/>
      <c r="T42" s="7" cm="1">
        <f t="array" ref="T42">_xlfn.IFS(
ISTEXT(T41),0,
AND(ItemEffectTable[[#This Row],['#Grade]]=D41,ItemEffectTable[[#This Row],['#이름값]]=C41),T41+1,
ItemEffectTable[[#This Row],['#Grade]]&lt;&gt;D41,0,
ItemEffectTable[[#This Row],['#Grade]]=D41,T41
)</f>
        <v>7</v>
      </c>
      <c r="U42" s="7" t="str">
        <f>IF(ItemEffectTable[[#This Row],['#이름값]]=ItemEffectTable[[#This Row],['#Name]],"TRUE","FALSE")</f>
        <v>TRUE</v>
      </c>
      <c r="V42" s="7">
        <f>INDEX(ItemTable[Name],MATCH(ItemEffectTable[[#This Row],[Index]],ItemTable[ItemEffectDataId],0))</f>
        <v>14002</v>
      </c>
      <c r="W42" s="7">
        <f>INDEX(ItemTable[Desc],MATCH(ItemEffectTable[[#This Row],[Index]],ItemTable[ItemEffectDataId],0))</f>
        <v>24002</v>
      </c>
      <c r="X42" s="7" t="str">
        <f>INDEX(LocaleTable[LocaleKR],MATCH(ItemEffectTable[[#This Row],['#NameIndex]],LocaleTable[Index],0))</f>
        <v>나자렛의 몽키스패너</v>
      </c>
      <c r="Y42" s="7" t="str">
        <f>INDEX(LocaleTable[LocaleKR],MATCH(ItemEffectTable[[#This Row],['#DescIndex]],LocaleTable[Index],0))</f>
        <v>차징 속도가 40% 느려집니다. 대신 공을 튕겨내는 속도가 30% 상승합니다.</v>
      </c>
    </row>
    <row r="43" spans="2:25">
      <c r="B43" s="6" t="s">
        <v>26</v>
      </c>
      <c r="C43" s="6" t="s">
        <v>20</v>
      </c>
      <c r="D43" s="6" t="s">
        <v>94</v>
      </c>
      <c r="E43" cm="1">
        <f t="array" ref="E43">_xlfn.IFS(ItemEffectTable[[#This Row],['#Grade]]="Weapon",6000,
ItemEffectTable[[#This Row],['#Grade]]="Normal",7000,
ItemEffectTable[[#This Row],['#Grade]]="Rare",8000,
ItemEffectTable[[#This Row],['#Grade]]="Cursed",9000)
+ COUNTIF($D$3:D43,ItemEffectTable[[#This Row],['#Grade]])
-ItemEffectTable[[#This Row],['#인덱스 수식용]]-1</f>
        <v>9002</v>
      </c>
      <c r="F43" t="s">
        <v>438</v>
      </c>
      <c r="G43" t="s">
        <v>273</v>
      </c>
      <c r="H4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튕겨내기탄환속도변경-1단계</v>
      </c>
      <c r="I43">
        <v>2</v>
      </c>
      <c r="J43" t="s">
        <v>35</v>
      </c>
      <c r="K43" t="s">
        <v>78</v>
      </c>
      <c r="L4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3" s="7" cm="1">
        <f t="array" ref="M4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25</v>
      </c>
      <c r="N43" s="24" t="s">
        <v>388</v>
      </c>
      <c r="O43" s="7" cm="1">
        <f t="array" ref="O4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50</v>
      </c>
      <c r="P43" s="7" cm="1">
        <f t="array" ref="P4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12.5</v>
      </c>
      <c r="Q43" s="7" t="e" cm="1">
        <f t="array" ref="Q43">SUM(IF($E$3:$E$58=E43,$P$3:$P$58))</f>
        <v>#N/A</v>
      </c>
      <c r="R43" s="7" t="e">
        <f>INDEX(표9[],MATCH(ItemEffectTable[[#This Row],['#Grade]],표9[#Headers],0))-ItemEffectTable[[#This Row],['#총 효력가치]]</f>
        <v>#N/A</v>
      </c>
      <c r="S43" s="6"/>
      <c r="T43" s="7" cm="1">
        <f t="array" ref="T43">_xlfn.IFS(
ISTEXT(T42),0,
AND(ItemEffectTable[[#This Row],['#Grade]]=D42,ItemEffectTable[[#This Row],['#이름값]]=C42),T42+1,
ItemEffectTable[[#This Row],['#Grade]]&lt;&gt;D42,0,
ItemEffectTable[[#This Row],['#Grade]]=D42,T42
)</f>
        <v>8</v>
      </c>
      <c r="U43" s="7" t="str">
        <f>IF(ItemEffectTable[[#This Row],['#이름값]]=ItemEffectTable[[#This Row],['#Name]],"TRUE","FALSE")</f>
        <v>TRUE</v>
      </c>
      <c r="V43" s="7">
        <f>INDEX(ItemTable[Name],MATCH(ItemEffectTable[[#This Row],[Index]],ItemTable[ItemEffectDataId],0))</f>
        <v>14002</v>
      </c>
      <c r="W43" s="7">
        <f>INDEX(ItemTable[Desc],MATCH(ItemEffectTable[[#This Row],[Index]],ItemTable[ItemEffectDataId],0))</f>
        <v>24002</v>
      </c>
      <c r="X43" s="7" t="str">
        <f>INDEX(LocaleTable[LocaleKR],MATCH(ItemEffectTable[[#This Row],['#NameIndex]],LocaleTable[Index],0))</f>
        <v>나자렛의 몽키스패너</v>
      </c>
      <c r="Y43" s="7" t="str">
        <f>INDEX(LocaleTable[LocaleKR],MATCH(ItemEffectTable[[#This Row],['#DescIndex]],LocaleTable[Index],0))</f>
        <v>차징 속도가 40% 느려집니다. 대신 공을 튕겨내는 속도가 30% 상승합니다.</v>
      </c>
    </row>
    <row r="44" spans="2:25">
      <c r="B44" s="6" t="s">
        <v>26</v>
      </c>
      <c r="C44" s="6" t="s">
        <v>20</v>
      </c>
      <c r="D44" s="6" t="s">
        <v>94</v>
      </c>
      <c r="E44" cm="1">
        <f t="array" ref="E44">_xlfn.IFS(ItemEffectTable[[#This Row],['#Grade]]="Weapon",6000,
ItemEffectTable[[#This Row],['#Grade]]="Normal",7000,
ItemEffectTable[[#This Row],['#Grade]]="Rare",8000,
ItemEffectTable[[#This Row],['#Grade]]="Cursed",9000)
+ COUNTIF($D$3:D44,ItemEffectTable[[#This Row],['#Grade]])
-ItemEffectTable[[#This Row],['#인덱스 수식용]]-1</f>
        <v>9002</v>
      </c>
      <c r="F44" t="s">
        <v>438</v>
      </c>
      <c r="G44" t="s">
        <v>274</v>
      </c>
      <c r="H4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튕겨내기탄환속도변경-2단계</v>
      </c>
      <c r="I44">
        <v>2</v>
      </c>
      <c r="J44" t="s">
        <v>35</v>
      </c>
      <c r="K44" t="s">
        <v>78</v>
      </c>
      <c r="L4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4" s="7" t="e" cm="1">
        <f t="array" ref="M4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4" s="24" t="s">
        <v>388</v>
      </c>
      <c r="O44" s="7" t="e" cm="1">
        <f t="array" ref="O4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4" s="7" t="e" cm="1">
        <f t="array" ref="P4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4" s="7" t="e" cm="1">
        <f t="array" ref="Q44">SUM(IF($E$3:$E$58=E44,$P$3:$P$58))</f>
        <v>#N/A</v>
      </c>
      <c r="R44" s="7" t="e">
        <f>INDEX(표9[],MATCH(ItemEffectTable[[#This Row],['#Grade]],표9[#Headers],0))-ItemEffectTable[[#This Row],['#총 효력가치]]</f>
        <v>#N/A</v>
      </c>
      <c r="S44" s="6"/>
      <c r="T44" s="7" cm="1">
        <f t="array" ref="T44">_xlfn.IFS(
ISTEXT(T43),0,
AND(ItemEffectTable[[#This Row],['#Grade]]=D43,ItemEffectTable[[#This Row],['#이름값]]=C43),T43+1,
ItemEffectTable[[#This Row],['#Grade]]&lt;&gt;D43,0,
ItemEffectTable[[#This Row],['#Grade]]=D43,T43
)</f>
        <v>9</v>
      </c>
      <c r="U44" s="7" t="str">
        <f>IF(ItemEffectTable[[#This Row],['#이름값]]=ItemEffectTable[[#This Row],['#Name]],"TRUE","FALSE")</f>
        <v>TRUE</v>
      </c>
      <c r="V44" s="7">
        <f>INDEX(ItemTable[Name],MATCH(ItemEffectTable[[#This Row],[Index]],ItemTable[ItemEffectDataId],0))</f>
        <v>14002</v>
      </c>
      <c r="W44" s="7">
        <f>INDEX(ItemTable[Desc],MATCH(ItemEffectTable[[#This Row],[Index]],ItemTable[ItemEffectDataId],0))</f>
        <v>24002</v>
      </c>
      <c r="X44" s="7" t="str">
        <f>INDEX(LocaleTable[LocaleKR],MATCH(ItemEffectTable[[#This Row],['#NameIndex]],LocaleTable[Index],0))</f>
        <v>나자렛의 몽키스패너</v>
      </c>
      <c r="Y44" s="7" t="str">
        <f>INDEX(LocaleTable[LocaleKR],MATCH(ItemEffectTable[[#This Row],['#DescIndex]],LocaleTable[Index],0))</f>
        <v>차징 속도가 40% 느려집니다. 대신 공을 튕겨내는 속도가 30% 상승합니다.</v>
      </c>
    </row>
    <row r="45" spans="2:25">
      <c r="B45" s="6" t="s">
        <v>26</v>
      </c>
      <c r="C45" s="6" t="s">
        <v>20</v>
      </c>
      <c r="D45" s="6" t="s">
        <v>94</v>
      </c>
      <c r="E45" cm="1">
        <f t="array" ref="E45">_xlfn.IFS(ItemEffectTable[[#This Row],['#Grade]]="Weapon",6000,
ItemEffectTable[[#This Row],['#Grade]]="Normal",7000,
ItemEffectTable[[#This Row],['#Grade]]="Rare",8000,
ItemEffectTable[[#This Row],['#Grade]]="Cursed",9000)
+ COUNTIF($D$3:D45,ItemEffectTable[[#This Row],['#Grade]])
-ItemEffectTable[[#This Row],['#인덱스 수식용]]-1</f>
        <v>9002</v>
      </c>
      <c r="F45" t="s">
        <v>438</v>
      </c>
      <c r="G45" t="s">
        <v>275</v>
      </c>
      <c r="H4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튕겨내기탄환속도변경-3단계</v>
      </c>
      <c r="I45">
        <v>2</v>
      </c>
      <c r="J45" t="s">
        <v>35</v>
      </c>
      <c r="K45" t="s">
        <v>78</v>
      </c>
      <c r="L4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5" s="7" t="e" cm="1">
        <f t="array" ref="M4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5" s="24" t="s">
        <v>388</v>
      </c>
      <c r="O45" s="7" t="e" cm="1">
        <f t="array" ref="O4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5" s="7" t="e" cm="1">
        <f t="array" ref="P4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5" s="7" t="e" cm="1">
        <f t="array" ref="Q45">SUM(IF($E$3:$E$58=E45,$P$3:$P$58))</f>
        <v>#N/A</v>
      </c>
      <c r="R45" s="7" t="e">
        <f>INDEX(표9[],MATCH(ItemEffectTable[[#This Row],['#Grade]],표9[#Headers],0))-ItemEffectTable[[#This Row],['#총 효력가치]]</f>
        <v>#N/A</v>
      </c>
      <c r="S45" s="6"/>
      <c r="T45" s="7" cm="1">
        <f t="array" ref="T45">_xlfn.IFS(
ISTEXT(T44),0,
AND(ItemEffectTable[[#This Row],['#Grade]]=D44,ItemEffectTable[[#This Row],['#이름값]]=C44),T44+1,
ItemEffectTable[[#This Row],['#Grade]]&lt;&gt;D44,0,
ItemEffectTable[[#This Row],['#Grade]]=D44,T44
)</f>
        <v>10</v>
      </c>
      <c r="U45" s="7" t="str">
        <f>IF(ItemEffectTable[[#This Row],['#이름값]]=ItemEffectTable[[#This Row],['#Name]],"TRUE","FALSE")</f>
        <v>TRUE</v>
      </c>
      <c r="V45" s="7">
        <f>INDEX(ItemTable[Name],MATCH(ItemEffectTable[[#This Row],[Index]],ItemTable[ItemEffectDataId],0))</f>
        <v>14002</v>
      </c>
      <c r="W45" s="7">
        <f>INDEX(ItemTable[Desc],MATCH(ItemEffectTable[[#This Row],[Index]],ItemTable[ItemEffectDataId],0))</f>
        <v>24002</v>
      </c>
      <c r="X45" s="7" t="str">
        <f>INDEX(LocaleTable[LocaleKR],MATCH(ItemEffectTable[[#This Row],['#NameIndex]],LocaleTable[Index],0))</f>
        <v>나자렛의 몽키스패너</v>
      </c>
      <c r="Y45" s="7" t="str">
        <f>INDEX(LocaleTable[LocaleKR],MATCH(ItemEffectTable[[#This Row],['#DescIndex]],LocaleTable[Index],0))</f>
        <v>차징 속도가 40% 느려집니다. 대신 공을 튕겨내는 속도가 30% 상승합니다.</v>
      </c>
    </row>
    <row r="46" spans="2:25">
      <c r="B46" s="6" t="s">
        <v>26</v>
      </c>
      <c r="C46" s="6" t="s">
        <v>21</v>
      </c>
      <c r="D46" s="6" t="s">
        <v>94</v>
      </c>
      <c r="E46" cm="1">
        <f t="array" ref="E46">_xlfn.IFS(ItemEffectTable[[#This Row],['#Grade]]="Weapon",6000,
ItemEffectTable[[#This Row],['#Grade]]="Normal",7000,
ItemEffectTable[[#This Row],['#Grade]]="Rare",8000,
ItemEffectTable[[#This Row],['#Grade]]="Cursed",9000)
+ COUNTIF($D$3:D46,ItemEffectTable[[#This Row],['#Grade]])
-ItemEffectTable[[#This Row],['#인덱스 수식용]]-1</f>
        <v>9003</v>
      </c>
      <c r="F46" t="s">
        <v>438</v>
      </c>
      <c r="G46" t="s">
        <v>255</v>
      </c>
      <c r="H4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46">
        <v>3</v>
      </c>
      <c r="J46" t="s">
        <v>35</v>
      </c>
      <c r="K46" t="s">
        <v>78</v>
      </c>
      <c r="L4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46" s="7" cm="1">
        <f t="array" ref="M4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46" s="24" t="s">
        <v>388</v>
      </c>
      <c r="O46" s="7" cm="1">
        <f t="array" ref="O4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225</v>
      </c>
      <c r="P46" s="7" cm="1">
        <f t="array" ref="P4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46" s="7" cm="1">
        <f t="array" ref="Q46">SUM(IF($E$3:$E$58=E46,$P$3:$P$58))</f>
        <v>0</v>
      </c>
      <c r="R46" s="7">
        <f>INDEX(표9[],MATCH(ItemEffectTable[[#This Row],['#Grade]],표9[#Headers],0))-ItemEffectTable[[#This Row],['#총 효력가치]]</f>
        <v>50</v>
      </c>
      <c r="S46" s="6"/>
      <c r="T46" s="7" cm="1">
        <f t="array" ref="T46">_xlfn.IFS(
ISTEXT(T45),0,
AND(ItemEffectTable[[#This Row],['#Grade]]=D45,ItemEffectTable[[#This Row],['#이름값]]=C45),T45+1,
ItemEffectTable[[#This Row],['#Grade]]&lt;&gt;D45,0,
ItemEffectTable[[#This Row],['#Grade]]=D45,T45
)</f>
        <v>10</v>
      </c>
      <c r="U46" s="7" t="str">
        <f>IF(ItemEffectTable[[#This Row],['#이름값]]=ItemEffectTable[[#This Row],['#Name]],"TRUE","FALSE")</f>
        <v>TRUE</v>
      </c>
      <c r="V46" s="7">
        <f>INDEX(ItemTable[Name],MATCH(ItemEffectTable[[#This Row],[Index]],ItemTable[ItemEffectDataId],0))</f>
        <v>14003</v>
      </c>
      <c r="W46" s="7">
        <f>INDEX(ItemTable[Desc],MATCH(ItemEffectTable[[#This Row],[Index]],ItemTable[ItemEffectDataId],0))</f>
        <v>24003</v>
      </c>
      <c r="X46" s="7" t="str">
        <f>INDEX(LocaleTable[LocaleKR],MATCH(ItemEffectTable[[#This Row],['#NameIndex]],LocaleTable[Index],0))</f>
        <v>저주받은 갑옷</v>
      </c>
      <c r="Y46" s="7" t="str">
        <f>INDEX(LocaleTable[LocaleKR],MATCH(ItemEffectTable[[#This Row],['#DescIndex]],LocaleTable[Index],0))</f>
        <v>[하트]가 3개 증가, 이동속도가 40% 느려집니다.</v>
      </c>
    </row>
    <row r="47" spans="2:25">
      <c r="B47" s="6" t="s">
        <v>26</v>
      </c>
      <c r="C47" s="6" t="s">
        <v>21</v>
      </c>
      <c r="D47" s="6" t="s">
        <v>94</v>
      </c>
      <c r="E47" cm="1">
        <f t="array" ref="E47">_xlfn.IFS(ItemEffectTable[[#This Row],['#Grade]]="Weapon",6000,
ItemEffectTable[[#This Row],['#Grade]]="Normal",7000,
ItemEffectTable[[#This Row],['#Grade]]="Rare",8000,
ItemEffectTable[[#This Row],['#Grade]]="Cursed",9000)
+ COUNTIF($D$3:D47,ItemEffectTable[[#This Row],['#Grade]])
-ItemEffectTable[[#This Row],['#인덱스 수식용]]-1</f>
        <v>9003</v>
      </c>
      <c r="F47" t="s">
        <v>438</v>
      </c>
      <c r="G47" t="s">
        <v>33</v>
      </c>
      <c r="H4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47">
        <v>0.5</v>
      </c>
      <c r="J47" t="s">
        <v>35</v>
      </c>
      <c r="K47" t="s">
        <v>78</v>
      </c>
      <c r="L4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47" s="7" cm="1">
        <f t="array" ref="M4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47" s="24" t="s">
        <v>388</v>
      </c>
      <c r="O47" s="7" cm="1">
        <f t="array" ref="O4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P47" s="7" cm="1">
        <f t="array" ref="P4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-50</v>
      </c>
      <c r="Q47" s="7" cm="1">
        <f t="array" ref="Q47">SUM(IF($E$3:$E$58=E47,$P$3:$P$58))</f>
        <v>0</v>
      </c>
      <c r="R47" s="7">
        <f>INDEX(표9[],MATCH(ItemEffectTable[[#This Row],['#Grade]],표9[#Headers],0))-ItemEffectTable[[#This Row],['#총 효력가치]]</f>
        <v>50</v>
      </c>
      <c r="S47" s="6"/>
      <c r="T47" s="7" cm="1">
        <f t="array" ref="T47">_xlfn.IFS(
ISTEXT(T46),0,
AND(ItemEffectTable[[#This Row],['#Grade]]=D46,ItemEffectTable[[#This Row],['#이름값]]=C46),T46+1,
ItemEffectTable[[#This Row],['#Grade]]&lt;&gt;D46,0,
ItemEffectTable[[#This Row],['#Grade]]=D46,T46
)</f>
        <v>11</v>
      </c>
      <c r="U47" s="7" t="str">
        <f>IF(ItemEffectTable[[#This Row],['#이름값]]=ItemEffectTable[[#This Row],['#Name]],"TRUE","FALSE")</f>
        <v>TRUE</v>
      </c>
      <c r="V47" s="7">
        <f>INDEX(ItemTable[Name],MATCH(ItemEffectTable[[#This Row],[Index]],ItemTable[ItemEffectDataId],0))</f>
        <v>14003</v>
      </c>
      <c r="W47" s="7">
        <f>INDEX(ItemTable[Desc],MATCH(ItemEffectTable[[#This Row],[Index]],ItemTable[ItemEffectDataId],0))</f>
        <v>24003</v>
      </c>
      <c r="X47" s="7" t="str">
        <f>INDEX(LocaleTable[LocaleKR],MATCH(ItemEffectTable[[#This Row],['#NameIndex]],LocaleTable[Index],0))</f>
        <v>저주받은 갑옷</v>
      </c>
      <c r="Y47" s="7" t="str">
        <f>INDEX(LocaleTable[LocaleKR],MATCH(ItemEffectTable[[#This Row],['#DescIndex]],LocaleTable[Index],0))</f>
        <v>[하트]가 3개 증가, 이동속도가 40% 느려집니다.</v>
      </c>
    </row>
    <row r="48" spans="2:25">
      <c r="B48" s="6" t="s">
        <v>26</v>
      </c>
      <c r="C48" s="6" t="s">
        <v>22</v>
      </c>
      <c r="D48" s="6" t="s">
        <v>94</v>
      </c>
      <c r="E48" cm="1">
        <f t="array" ref="E48">_xlfn.IFS(ItemEffectTable[[#This Row],['#Grade]]="Weapon",6000,
ItemEffectTable[[#This Row],['#Grade]]="Normal",7000,
ItemEffectTable[[#This Row],['#Grade]]="Rare",8000,
ItemEffectTable[[#This Row],['#Grade]]="Cursed",9000)
+ COUNTIF($D$3:D48,ItemEffectTable[[#This Row],['#Grade]])
-ItemEffectTable[[#This Row],['#인덱스 수식용]]-1</f>
        <v>9004</v>
      </c>
      <c r="F48" t="s">
        <v>438</v>
      </c>
      <c r="G48" t="s">
        <v>284</v>
      </c>
      <c r="H4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48">
        <v>1.6</v>
      </c>
      <c r="J48" t="s">
        <v>35</v>
      </c>
      <c r="K48" t="s">
        <v>78</v>
      </c>
      <c r="L4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8" s="7" cm="1">
        <f t="array" ref="M4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48" s="24" t="s">
        <v>388</v>
      </c>
      <c r="O48" s="7" cm="1">
        <f t="array" ref="O4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1.6</v>
      </c>
      <c r="P48" s="7" cm="1">
        <f t="array" ref="P4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100.00000000000003</v>
      </c>
      <c r="Q48" s="7" cm="1">
        <f t="array" ref="Q48">SUM(IF($E$3:$E$58=E48,$P$3:$P$58))</f>
        <v>50.000000000000028</v>
      </c>
      <c r="R48" s="7">
        <f>INDEX(표9[],MATCH(ItemEffectTable[[#This Row],['#Grade]],표9[#Headers],0))-ItemEffectTable[[#This Row],['#총 효력가치]]</f>
        <v>0</v>
      </c>
      <c r="S48" s="6"/>
      <c r="T48" s="7" cm="1">
        <f t="array" ref="T48">_xlfn.IFS(
ISTEXT(T47),0,
AND(ItemEffectTable[[#This Row],['#Grade]]=D47,ItemEffectTable[[#This Row],['#이름값]]=C47),T47+1,
ItemEffectTable[[#This Row],['#Grade]]&lt;&gt;D47,0,
ItemEffectTable[[#This Row],['#Grade]]=D47,T47
)</f>
        <v>11</v>
      </c>
      <c r="U48" s="7" t="str">
        <f>IF(ItemEffectTable[[#This Row],['#이름값]]=ItemEffectTable[[#This Row],['#Name]],"TRUE","FALSE")</f>
        <v>TRUE</v>
      </c>
      <c r="V48" s="7">
        <f>INDEX(ItemTable[Name],MATCH(ItemEffectTable[[#This Row],[Index]],ItemTable[ItemEffectDataId],0))</f>
        <v>14004</v>
      </c>
      <c r="W48" s="7">
        <f>INDEX(ItemTable[Desc],MATCH(ItemEffectTable[[#This Row],[Index]],ItemTable[ItemEffectDataId],0))</f>
        <v>24004</v>
      </c>
      <c r="X48" s="7" t="str">
        <f>INDEX(LocaleTable[LocaleKR],MATCH(ItemEffectTable[[#This Row],['#NameIndex]],LocaleTable[Index],0))</f>
        <v>유리 대포</v>
      </c>
      <c r="Y48" s="7" t="str">
        <f>INDEX(LocaleTable[LocaleKR],MATCH(ItemEffectTable[[#This Row],['#DescIndex]],LocaleTable[Index],0))</f>
        <v>[하트]가 3개 감소, 피해량이 35% 증가합니다.</v>
      </c>
    </row>
    <row r="49" spans="2:25">
      <c r="B49" s="6" t="s">
        <v>26</v>
      </c>
      <c r="C49" s="6" t="s">
        <v>22</v>
      </c>
      <c r="D49" s="6" t="s">
        <v>94</v>
      </c>
      <c r="E49" cm="1">
        <f t="array" ref="E49">_xlfn.IFS(ItemEffectTable[[#This Row],['#Grade]]="Weapon",6000,
ItemEffectTable[[#This Row],['#Grade]]="Normal",7000,
ItemEffectTable[[#This Row],['#Grade]]="Rare",8000,
ItemEffectTable[[#This Row],['#Grade]]="Cursed",9000)
+ COUNTIF($D$3:D49,ItemEffectTable[[#This Row],['#Grade]])
-ItemEffectTable[[#This Row],['#인덱스 수식용]]-1</f>
        <v>9004</v>
      </c>
      <c r="F49" t="s">
        <v>438</v>
      </c>
      <c r="G49" t="s">
        <v>41</v>
      </c>
      <c r="H4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49">
        <v>-150</v>
      </c>
      <c r="J49" t="s">
        <v>34</v>
      </c>
      <c r="K49" t="s">
        <v>78</v>
      </c>
      <c r="L4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49" s="7" cm="1">
        <f t="array" ref="M4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49" s="24" t="s">
        <v>388</v>
      </c>
      <c r="O49" s="7" cm="1">
        <f t="array" ref="O4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-75</v>
      </c>
      <c r="P49" s="7" cm="1">
        <f t="array" ref="P4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-50</v>
      </c>
      <c r="Q49" s="7" cm="1">
        <f t="array" ref="Q49">SUM(IF($E$3:$E$58=E49,$P$3:$P$58))</f>
        <v>50.000000000000028</v>
      </c>
      <c r="R49" s="7">
        <f>INDEX(표9[],MATCH(ItemEffectTable[[#This Row],['#Grade]],표9[#Headers],0))-ItemEffectTable[[#This Row],['#총 효력가치]]</f>
        <v>0</v>
      </c>
      <c r="S49" s="6"/>
      <c r="T49" s="7" cm="1">
        <f t="array" ref="T49">_xlfn.IFS(
ISTEXT(T48),0,
AND(ItemEffectTable[[#This Row],['#Grade]]=D48,ItemEffectTable[[#This Row],['#이름값]]=C48),T48+1,
ItemEffectTable[[#This Row],['#Grade]]&lt;&gt;D48,0,
ItemEffectTable[[#This Row],['#Grade]]=D48,T48
)</f>
        <v>12</v>
      </c>
      <c r="U49" s="7" t="str">
        <f>IF(ItemEffectTable[[#This Row],['#이름값]]=ItemEffectTable[[#This Row],['#Name]],"TRUE","FALSE")</f>
        <v>TRUE</v>
      </c>
      <c r="V49" s="7">
        <f>INDEX(ItemTable[Name],MATCH(ItemEffectTable[[#This Row],[Index]],ItemTable[ItemEffectDataId],0))</f>
        <v>14004</v>
      </c>
      <c r="W49" s="7">
        <f>INDEX(ItemTable[Desc],MATCH(ItemEffectTable[[#This Row],[Index]],ItemTable[ItemEffectDataId],0))</f>
        <v>24004</v>
      </c>
      <c r="X49" s="7" t="str">
        <f>INDEX(LocaleTable[LocaleKR],MATCH(ItemEffectTable[[#This Row],['#NameIndex]],LocaleTable[Index],0))</f>
        <v>유리 대포</v>
      </c>
      <c r="Y49" s="7" t="str">
        <f>INDEX(LocaleTable[LocaleKR],MATCH(ItemEffectTable[[#This Row],['#DescIndex]],LocaleTable[Index],0))</f>
        <v>[하트]가 3개 감소, 피해량이 35% 증가합니다.</v>
      </c>
    </row>
    <row r="50" spans="2:25">
      <c r="B50" s="6" t="s">
        <v>43</v>
      </c>
      <c r="C50" s="6" t="s">
        <v>23</v>
      </c>
      <c r="D50" s="6" t="s">
        <v>94</v>
      </c>
      <c r="E50" cm="1">
        <f t="array" ref="E50">_xlfn.IFS(ItemEffectTable[[#This Row],['#Grade]]="Weapon",6000,
ItemEffectTable[[#This Row],['#Grade]]="Normal",7000,
ItemEffectTable[[#This Row],['#Grade]]="Rare",8000,
ItemEffectTable[[#This Row],['#Grade]]="Cursed",9000)
+ COUNTIF($D$3:D50,ItemEffectTable[[#This Row],['#Grade]])
-ItemEffectTable[[#This Row],['#인덱스 수식용]]-1</f>
        <v>9005</v>
      </c>
      <c r="F50" t="s">
        <v>73</v>
      </c>
      <c r="G50" t="s">
        <v>182</v>
      </c>
      <c r="H5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 방향이 반대 방향이 됨.</v>
      </c>
      <c r="I50">
        <v>180</v>
      </c>
      <c r="J50" t="s">
        <v>182</v>
      </c>
      <c r="K50" t="s">
        <v>80</v>
      </c>
      <c r="L5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50" s="7" t="str" cm="1">
        <f t="array" ref="M5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50" s="24" t="s">
        <v>388</v>
      </c>
      <c r="O50" s="7" t="str" cm="1">
        <f t="array" ref="O5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50" s="7" cm="1">
        <f t="array" ref="P5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-25</v>
      </c>
      <c r="Q50" s="7" cm="1">
        <f t="array" ref="Q50">SUM(IF($E$3:$E$58=E50,$P$3:$P$58))</f>
        <v>50</v>
      </c>
      <c r="R50" s="7">
        <f>INDEX(표9[],MATCH(ItemEffectTable[[#This Row],['#Grade]],표9[#Headers],0))-ItemEffectTable[[#This Row],['#총 효력가치]]</f>
        <v>0</v>
      </c>
      <c r="S50" s="6" t="s">
        <v>71</v>
      </c>
      <c r="T50" s="7" cm="1">
        <f t="array" ref="T50">_xlfn.IFS(
ISTEXT(T49),0,
AND(ItemEffectTable[[#This Row],['#Grade]]=D49,ItemEffectTable[[#This Row],['#이름값]]=C49),T49+1,
ItemEffectTable[[#This Row],['#Grade]]&lt;&gt;D49,0,
ItemEffectTable[[#This Row],['#Grade]]=D49,T49
)</f>
        <v>12</v>
      </c>
      <c r="U50" s="7" t="str">
        <f>IF(ItemEffectTable[[#This Row],['#이름값]]=ItemEffectTable[[#This Row],['#Name]],"TRUE","FALSE")</f>
        <v>TRUE</v>
      </c>
      <c r="V50" s="7">
        <f>INDEX(ItemTable[Name],MATCH(ItemEffectTable[[#This Row],[Index]],ItemTable[ItemEffectDataId],0))</f>
        <v>14005</v>
      </c>
      <c r="W50" s="7">
        <f>INDEX(ItemTable[Desc],MATCH(ItemEffectTable[[#This Row],[Index]],ItemTable[ItemEffectDataId],0))</f>
        <v>24005</v>
      </c>
      <c r="X50" s="7" t="str">
        <f>INDEX(LocaleTable[LocaleKR],MATCH(ItemEffectTable[[#This Row],['#NameIndex]],LocaleTable[Index],0))</f>
        <v>청개구리 총</v>
      </c>
      <c r="Y50" s="7" t="str">
        <f>INDEX(LocaleTable[LocaleKR],MATCH(ItemEffectTable[[#This Row],['#DescIndex]],LocaleTable[Index],0))</f>
        <v>공격을 반대로 합니다. 대신 피해량이 25% 증가합니다.</v>
      </c>
    </row>
    <row r="51" spans="2:25">
      <c r="B51" s="6" t="s">
        <v>26</v>
      </c>
      <c r="C51" s="6" t="s">
        <v>23</v>
      </c>
      <c r="D51" s="6" t="s">
        <v>94</v>
      </c>
      <c r="E51" cm="1">
        <f t="array" ref="E51">_xlfn.IFS(ItemEffectTable[[#This Row],['#Grade]]="Weapon",6000,
ItemEffectTable[[#This Row],['#Grade]]="Normal",7000,
ItemEffectTable[[#This Row],['#Grade]]="Rare",8000,
ItemEffectTable[[#This Row],['#Grade]]="Cursed",9000)
+ COUNTIF($D$3:D51,ItemEffectTable[[#This Row],['#Grade]])
-ItemEffectTable[[#This Row],['#인덱스 수식용]]-1</f>
        <v>9005</v>
      </c>
      <c r="F51" t="s">
        <v>438</v>
      </c>
      <c r="G51" t="s">
        <v>284</v>
      </c>
      <c r="H5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51">
        <v>0.45</v>
      </c>
      <c r="J51" t="s">
        <v>34</v>
      </c>
      <c r="K51" t="s">
        <v>78</v>
      </c>
      <c r="L5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1" s="7" cm="1">
        <f t="array" ref="M5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51" s="24" t="s">
        <v>388</v>
      </c>
      <c r="O51" s="7" cm="1">
        <f t="array" ref="O5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1.45</v>
      </c>
      <c r="P51" s="7" cm="1">
        <f t="array" ref="P5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75</v>
      </c>
      <c r="Q51" s="7" cm="1">
        <f t="array" ref="Q51">SUM(IF($E$3:$E$58=E51,$P$3:$P$58))</f>
        <v>50</v>
      </c>
      <c r="R51" s="7">
        <f>INDEX(표9[],MATCH(ItemEffectTable[[#This Row],['#Grade]],표9[#Headers],0))-ItemEffectTable[[#This Row],['#총 효력가치]]</f>
        <v>0</v>
      </c>
      <c r="S51" s="6" t="s">
        <v>71</v>
      </c>
      <c r="T51" s="7" cm="1">
        <f t="array" ref="T51">_xlfn.IFS(
ISTEXT(T50),0,
AND(ItemEffectTable[[#This Row],['#Grade]]=D50,ItemEffectTable[[#This Row],['#이름값]]=C50),T50+1,
ItemEffectTable[[#This Row],['#Grade]]&lt;&gt;D50,0,
ItemEffectTable[[#This Row],['#Grade]]=D50,T50
)</f>
        <v>13</v>
      </c>
      <c r="U51" s="7" t="str">
        <f>IF(ItemEffectTable[[#This Row],['#이름값]]=ItemEffectTable[[#This Row],['#Name]],"TRUE","FALSE")</f>
        <v>TRUE</v>
      </c>
      <c r="V51" s="7">
        <f>INDEX(ItemTable[Name],MATCH(ItemEffectTable[[#This Row],[Index]],ItemTable[ItemEffectDataId],0))</f>
        <v>14005</v>
      </c>
      <c r="W51" s="7">
        <f>INDEX(ItemTable[Desc],MATCH(ItemEffectTable[[#This Row],[Index]],ItemTable[ItemEffectDataId],0))</f>
        <v>24005</v>
      </c>
      <c r="X51" s="7" t="str">
        <f>INDEX(LocaleTable[LocaleKR],MATCH(ItemEffectTable[[#This Row],['#NameIndex]],LocaleTable[Index],0))</f>
        <v>청개구리 총</v>
      </c>
      <c r="Y51" s="7" t="str">
        <f>INDEX(LocaleTable[LocaleKR],MATCH(ItemEffectTable[[#This Row],['#DescIndex]],LocaleTable[Index],0))</f>
        <v>공격을 반대로 합니다. 대신 피해량이 25% 증가합니다.</v>
      </c>
    </row>
    <row r="52" spans="2:25">
      <c r="B52" s="6" t="s">
        <v>26</v>
      </c>
      <c r="C52" s="6" t="s">
        <v>24</v>
      </c>
      <c r="D52" s="6" t="s">
        <v>94</v>
      </c>
      <c r="E52" cm="1">
        <f t="array" ref="E52">_xlfn.IFS(ItemEffectTable[[#This Row],['#Grade]]="Weapon",6000,
ItemEffectTable[[#This Row],['#Grade]]="Normal",7000,
ItemEffectTable[[#This Row],['#Grade]]="Rare",8000,
ItemEffectTable[[#This Row],['#Grade]]="Cursed",9000)
+ COUNTIF($D$3:D52,ItemEffectTable[[#This Row],['#Grade]])
-ItemEffectTable[[#This Row],['#인덱스 수식용]]-1</f>
        <v>9006</v>
      </c>
      <c r="F52" t="s">
        <v>438</v>
      </c>
      <c r="G52" t="s">
        <v>53</v>
      </c>
      <c r="H5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52">
        <v>0</v>
      </c>
      <c r="J52" t="s">
        <v>397</v>
      </c>
      <c r="K52" t="s">
        <v>78</v>
      </c>
      <c r="L5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52" s="7" cm="1">
        <f t="array" ref="M5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52" s="24" t="s">
        <v>388</v>
      </c>
      <c r="O52" s="7" cm="1">
        <f t="array" ref="O5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P52" s="7" cm="1">
        <f t="array" ref="P5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-100</v>
      </c>
      <c r="Q52" s="7" cm="1">
        <f t="array" ref="Q52">SUM(IF($E$3:$E$58=E52,$P$3:$P$58))</f>
        <v>50</v>
      </c>
      <c r="R52" s="7">
        <f>INDEX(표9[],MATCH(ItemEffectTable[[#This Row],['#Grade]],표9[#Headers],0))-ItemEffectTable[[#This Row],['#총 효력가치]]</f>
        <v>0</v>
      </c>
      <c r="S52" s="6"/>
      <c r="T52" s="7" cm="1">
        <f t="array" ref="T52">_xlfn.IFS(
ISTEXT(T51),0,
AND(ItemEffectTable[[#This Row],['#Grade]]=D51,ItemEffectTable[[#This Row],['#이름값]]=C51),T51+1,
ItemEffectTable[[#This Row],['#Grade]]&lt;&gt;D51,0,
ItemEffectTable[[#This Row],['#Grade]]=D51,T51
)</f>
        <v>13</v>
      </c>
      <c r="U52" s="7" t="str">
        <f>IF(ItemEffectTable[[#This Row],['#이름값]]=ItemEffectTable[[#This Row],['#Name]],"TRUE","FALSE")</f>
        <v>TRUE</v>
      </c>
      <c r="V52" s="7">
        <f>INDEX(ItemTable[Name],MATCH(ItemEffectTable[[#This Row],[Index]],ItemTable[ItemEffectDataId],0))</f>
        <v>14006</v>
      </c>
      <c r="W52" s="7">
        <f>INDEX(ItemTable[Desc],MATCH(ItemEffectTable[[#This Row],[Index]],ItemTable[ItemEffectDataId],0))</f>
        <v>24006</v>
      </c>
      <c r="X52" s="7" t="str">
        <f>INDEX(LocaleTable[LocaleKR],MATCH(ItemEffectTable[[#This Row],['#NameIndex]],LocaleTable[Index],0))</f>
        <v>불운의 황금상</v>
      </c>
      <c r="Y52" s="7" t="str">
        <f>INDEX(LocaleTable[LocaleKR],MATCH(ItemEffectTable[[#This Row],['#DescIndex]],LocaleTable[Index],0))</f>
        <v>더 이상 골드를 획득할 수 없습니다. 데미지가 30% 상승합니다.</v>
      </c>
    </row>
    <row r="53" spans="2:25">
      <c r="B53" s="6" t="s">
        <v>26</v>
      </c>
      <c r="C53" s="6" t="s">
        <v>24</v>
      </c>
      <c r="D53" s="6" t="s">
        <v>94</v>
      </c>
      <c r="E53" cm="1">
        <f t="array" ref="E53">_xlfn.IFS(ItemEffectTable[[#This Row],['#Grade]]="Weapon",6000,
ItemEffectTable[[#This Row],['#Grade]]="Normal",7000,
ItemEffectTable[[#This Row],['#Grade]]="Rare",8000,
ItemEffectTable[[#This Row],['#Grade]]="Cursed",9000)
+ COUNTIF($D$3:D53,ItemEffectTable[[#This Row],['#Grade]])
-ItemEffectTable[[#This Row],['#인덱스 수식용]]-1</f>
        <v>9006</v>
      </c>
      <c r="F53" t="s">
        <v>438</v>
      </c>
      <c r="G53" t="s">
        <v>284</v>
      </c>
      <c r="H5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53">
        <v>1.9</v>
      </c>
      <c r="J53" t="s">
        <v>397</v>
      </c>
      <c r="K53" t="s">
        <v>78</v>
      </c>
      <c r="L5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3" s="7" cm="1">
        <f t="array" ref="M5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53" s="24" t="s">
        <v>388</v>
      </c>
      <c r="O53" s="7" cm="1">
        <f t="array" ref="O5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1.9</v>
      </c>
      <c r="P53" s="7" cm="1">
        <f t="array" ref="P5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150</v>
      </c>
      <c r="Q53" s="7" cm="1">
        <f t="array" ref="Q53">SUM(IF($E$3:$E$58=E53,$P$3:$P$58))</f>
        <v>50</v>
      </c>
      <c r="R53" s="7">
        <f>INDEX(표9[],MATCH(ItemEffectTable[[#This Row],['#Grade]],표9[#Headers],0))-ItemEffectTable[[#This Row],['#총 효력가치]]</f>
        <v>0</v>
      </c>
      <c r="S53" s="6"/>
      <c r="T53" s="7" cm="1">
        <f t="array" ref="T53">_xlfn.IFS(
ISTEXT(T52),0,
AND(ItemEffectTable[[#This Row],['#Grade]]=D52,ItemEffectTable[[#This Row],['#이름값]]=C52),T52+1,
ItemEffectTable[[#This Row],['#Grade]]&lt;&gt;D52,0,
ItemEffectTable[[#This Row],['#Grade]]=D52,T52
)</f>
        <v>14</v>
      </c>
      <c r="U53" s="7" t="str">
        <f>IF(ItemEffectTable[[#This Row],['#이름값]]=ItemEffectTable[[#This Row],['#Name]],"TRUE","FALSE")</f>
        <v>TRUE</v>
      </c>
      <c r="V53" s="7">
        <f>INDEX(ItemTable[Name],MATCH(ItemEffectTable[[#This Row],[Index]],ItemTable[ItemEffectDataId],0))</f>
        <v>14006</v>
      </c>
      <c r="W53" s="7">
        <f>INDEX(ItemTable[Desc],MATCH(ItemEffectTable[[#This Row],[Index]],ItemTable[ItemEffectDataId],0))</f>
        <v>24006</v>
      </c>
      <c r="X53" s="7" t="str">
        <f>INDEX(LocaleTable[LocaleKR],MATCH(ItemEffectTable[[#This Row],['#NameIndex]],LocaleTable[Index],0))</f>
        <v>불운의 황금상</v>
      </c>
      <c r="Y53" s="7" t="str">
        <f>INDEX(LocaleTable[LocaleKR],MATCH(ItemEffectTable[[#This Row],['#DescIndex]],LocaleTable[Index],0))</f>
        <v>더 이상 골드를 획득할 수 없습니다. 데미지가 30% 상승합니다.</v>
      </c>
    </row>
    <row r="54" spans="2:25">
      <c r="B54" s="6" t="s">
        <v>26</v>
      </c>
      <c r="C54" s="6" t="s">
        <v>25</v>
      </c>
      <c r="D54" s="6" t="s">
        <v>94</v>
      </c>
      <c r="E54" cm="1">
        <f t="array" ref="E54">_xlfn.IFS(ItemEffectTable[[#This Row],['#Grade]]="Weapon",6000,
ItemEffectTable[[#This Row],['#Grade]]="Normal",7000,
ItemEffectTable[[#This Row],['#Grade]]="Rare",8000,
ItemEffectTable[[#This Row],['#Grade]]="Cursed",9000)
+ COUNTIF($D$3:D54,ItemEffectTable[[#This Row],['#Grade]])
-ItemEffectTable[[#This Row],['#인덱스 수식용]]-1</f>
        <v>9007</v>
      </c>
      <c r="F54" t="s">
        <v>438</v>
      </c>
      <c r="G54" t="s">
        <v>131</v>
      </c>
      <c r="H5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공최대소지개수변경</v>
      </c>
      <c r="I54">
        <v>-3</v>
      </c>
      <c r="J54" t="s">
        <v>34</v>
      </c>
      <c r="K54" t="s">
        <v>78</v>
      </c>
      <c r="L5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54" s="7" cm="1">
        <f t="array" ref="M5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N54" s="24" t="s">
        <v>388</v>
      </c>
      <c r="O54" s="7" cm="1">
        <f t="array" ref="O5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-3</v>
      </c>
      <c r="P54" s="7" cm="1">
        <f t="array" ref="P5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-50</v>
      </c>
      <c r="Q54" s="7" t="e" cm="1">
        <f t="array" ref="Q54">SUM(IF($E$3:$E$58=E54,$P$3:$P$58))</f>
        <v>#N/A</v>
      </c>
      <c r="R54" s="7" t="e">
        <f>INDEX(표9[],MATCH(ItemEffectTable[[#This Row],['#Grade]],표9[#Headers],0))-ItemEffectTable[[#This Row],['#총 효력가치]]</f>
        <v>#N/A</v>
      </c>
      <c r="S54" s="6"/>
      <c r="T54" s="7" cm="1">
        <f t="array" ref="T54">_xlfn.IFS(
ISTEXT(T53),0,
AND(ItemEffectTable[[#This Row],['#Grade]]=D53,ItemEffectTable[[#This Row],['#이름값]]=C53),T53+1,
ItemEffectTable[[#This Row],['#Grade]]&lt;&gt;D53,0,
ItemEffectTable[[#This Row],['#Grade]]=D53,T53
)</f>
        <v>14</v>
      </c>
      <c r="U54" s="7" t="str">
        <f>IF(ItemEffectTable[[#This Row],['#이름값]]=ItemEffectTable[[#This Row],['#Name]],"TRUE","FALSE")</f>
        <v>TRUE</v>
      </c>
      <c r="V54" s="7">
        <f>INDEX(ItemTable[Name],MATCH(ItemEffectTable[[#This Row],[Index]],ItemTable[ItemEffectDataId],0))</f>
        <v>14007</v>
      </c>
      <c r="W54" s="7">
        <f>INDEX(ItemTable[Desc],MATCH(ItemEffectTable[[#This Row],[Index]],ItemTable[ItemEffectDataId],0))</f>
        <v>24007</v>
      </c>
      <c r="X54" s="7" t="str">
        <f>INDEX(LocaleTable[LocaleKR],MATCH(ItemEffectTable[[#This Row],['#NameIndex]],LocaleTable[Index],0))</f>
        <v>저주받은 테니스채</v>
      </c>
      <c r="Y54" s="7" t="str">
        <f>INDEX(LocaleTable[LocaleKR],MATCH(ItemEffectTable[[#This Row],['#DescIndex]],LocaleTable[Index],0))</f>
        <v>공 던지기 개수 3개 감소. 직접 공격 데미지가 450% 상승합니다.</v>
      </c>
    </row>
    <row r="55" spans="2:25">
      <c r="B55" s="6" t="s">
        <v>26</v>
      </c>
      <c r="C55" s="6" t="s">
        <v>25</v>
      </c>
      <c r="D55" s="6" t="s">
        <v>94</v>
      </c>
      <c r="E55" cm="1">
        <f t="array" ref="E55">_xlfn.IFS(ItemEffectTable[[#This Row],['#Grade]]="Weapon",6000,
ItemEffectTable[[#This Row],['#Grade]]="Normal",7000,
ItemEffectTable[[#This Row],['#Grade]]="Rare",8000,
ItemEffectTable[[#This Row],['#Grade]]="Cursed",9000)
+ COUNTIF($D$3:D55,ItemEffectTable[[#This Row],['#Grade]])
-ItemEffectTable[[#This Row],['#인덱스 수식용]]-1</f>
        <v>9007</v>
      </c>
      <c r="F55" t="s">
        <v>438</v>
      </c>
      <c r="G55" t="s">
        <v>279</v>
      </c>
      <c r="H5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직접공격피해량-미차징</v>
      </c>
      <c r="I55">
        <v>1.67</v>
      </c>
      <c r="J55" t="s">
        <v>35</v>
      </c>
      <c r="K55" t="s">
        <v>78</v>
      </c>
      <c r="L5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5" s="7" cm="1">
        <f t="array" ref="M5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15</v>
      </c>
      <c r="N55" s="24" t="s">
        <v>388</v>
      </c>
      <c r="O55" s="7" cm="1">
        <f t="array" ref="O5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25.049999999999997</v>
      </c>
      <c r="P55" s="7" cm="1">
        <f t="array" ref="P5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20.099999999999994</v>
      </c>
      <c r="Q55" s="7" t="e" cm="1">
        <f t="array" ref="Q55">SUM(IF($E$3:$E$58=E55,$P$3:$P$58))</f>
        <v>#N/A</v>
      </c>
      <c r="R55" s="7" t="e">
        <f>INDEX(표9[],MATCH(ItemEffectTable[[#This Row],['#Grade]],표9[#Headers],0))-ItemEffectTable[[#This Row],['#총 효력가치]]</f>
        <v>#N/A</v>
      </c>
      <c r="S55" s="6"/>
      <c r="T55" s="7" cm="1">
        <f t="array" ref="T55">_xlfn.IFS(
ISTEXT(T54),0,
AND(ItemEffectTable[[#This Row],['#Grade]]=D54,ItemEffectTable[[#This Row],['#이름값]]=C54),T54+1,
ItemEffectTable[[#This Row],['#Grade]]&lt;&gt;D54,0,
ItemEffectTable[[#This Row],['#Grade]]=D54,T54
)</f>
        <v>15</v>
      </c>
      <c r="U55" s="7" t="str">
        <f>IF(ItemEffectTable[[#This Row],['#이름값]]=ItemEffectTable[[#This Row],['#Name]],"TRUE","FALSE")</f>
        <v>TRUE</v>
      </c>
      <c r="V55" s="7">
        <f>INDEX(ItemTable[Name],MATCH(ItemEffectTable[[#This Row],[Index]],ItemTable[ItemEffectDataId],0))</f>
        <v>14007</v>
      </c>
      <c r="W55" s="7">
        <f>INDEX(ItemTable[Desc],MATCH(ItemEffectTable[[#This Row],[Index]],ItemTable[ItemEffectDataId],0))</f>
        <v>24007</v>
      </c>
      <c r="X55" s="7" t="str">
        <f>INDEX(LocaleTable[LocaleKR],MATCH(ItemEffectTable[[#This Row],['#NameIndex]],LocaleTable[Index],0))</f>
        <v>저주받은 테니스채</v>
      </c>
      <c r="Y55" s="7" t="str">
        <f>INDEX(LocaleTable[LocaleKR],MATCH(ItemEffectTable[[#This Row],['#DescIndex]],LocaleTable[Index],0))</f>
        <v>공 던지기 개수 3개 감소. 직접 공격 데미지가 450% 상승합니다.</v>
      </c>
    </row>
    <row r="56" spans="2:25">
      <c r="B56" s="6" t="s">
        <v>26</v>
      </c>
      <c r="C56" s="6" t="s">
        <v>25</v>
      </c>
      <c r="D56" s="6" t="s">
        <v>94</v>
      </c>
      <c r="E56" cm="1">
        <f t="array" ref="E56">_xlfn.IFS(ItemEffectTable[[#This Row],['#Grade]]="Weapon",6000,
ItemEffectTable[[#This Row],['#Grade]]="Normal",7000,
ItemEffectTable[[#This Row],['#Grade]]="Rare",8000,
ItemEffectTable[[#This Row],['#Grade]]="Cursed",9000)
+ COUNTIF($D$3:D56,ItemEffectTable[[#This Row],['#Grade]])
-ItemEffectTable[[#This Row],['#인덱스 수식용]]-1</f>
        <v>9007</v>
      </c>
      <c r="F56" t="s">
        <v>438</v>
      </c>
      <c r="G56" t="s">
        <v>280</v>
      </c>
      <c r="H5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직접공격피해량-1단계</v>
      </c>
      <c r="I56">
        <v>1.67</v>
      </c>
      <c r="J56" t="s">
        <v>35</v>
      </c>
      <c r="K56" t="s">
        <v>78</v>
      </c>
      <c r="L5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6" s="7" cm="1">
        <f t="array" ref="M5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30</v>
      </c>
      <c r="N56" s="24" t="s">
        <v>388</v>
      </c>
      <c r="O56" s="7" cm="1">
        <f t="array" ref="O5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50.099999999999994</v>
      </c>
      <c r="P56" s="7" cm="1">
        <f t="array" ref="P5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40.199999999999989</v>
      </c>
      <c r="Q56" s="7" t="e" cm="1">
        <f t="array" ref="Q56">SUM(IF($E$3:$E$58=E56,$P$3:$P$58))</f>
        <v>#N/A</v>
      </c>
      <c r="R56" s="7" t="e">
        <f>INDEX(표9[],MATCH(ItemEffectTable[[#This Row],['#Grade]],표9[#Headers],0))-ItemEffectTable[[#This Row],['#총 효력가치]]</f>
        <v>#N/A</v>
      </c>
      <c r="S56" s="6"/>
      <c r="T56" s="7" cm="1">
        <f t="array" ref="T56">_xlfn.IFS(
ISTEXT(T55),0,
AND(ItemEffectTable[[#This Row],['#Grade]]=D55,ItemEffectTable[[#This Row],['#이름값]]=C55),T55+1,
ItemEffectTable[[#This Row],['#Grade]]&lt;&gt;D55,0,
ItemEffectTable[[#This Row],['#Grade]]=D55,T55
)</f>
        <v>16</v>
      </c>
      <c r="U56" s="7" t="str">
        <f>IF(ItemEffectTable[[#This Row],['#이름값]]=ItemEffectTable[[#This Row],['#Name]],"TRUE","FALSE")</f>
        <v>TRUE</v>
      </c>
      <c r="V56" s="7">
        <f>INDEX(ItemTable[Name],MATCH(ItemEffectTable[[#This Row],[Index]],ItemTable[ItemEffectDataId],0))</f>
        <v>14007</v>
      </c>
      <c r="W56" s="7">
        <f>INDEX(ItemTable[Desc],MATCH(ItemEffectTable[[#This Row],[Index]],ItemTable[ItemEffectDataId],0))</f>
        <v>24007</v>
      </c>
      <c r="X56" s="7" t="str">
        <f>INDEX(LocaleTable[LocaleKR],MATCH(ItemEffectTable[[#This Row],['#NameIndex]],LocaleTable[Index],0))</f>
        <v>저주받은 테니스채</v>
      </c>
      <c r="Y56" s="7" t="str">
        <f>INDEX(LocaleTable[LocaleKR],MATCH(ItemEffectTable[[#This Row],['#DescIndex]],LocaleTable[Index],0))</f>
        <v>공 던지기 개수 3개 감소. 직접 공격 데미지가 450% 상승합니다.</v>
      </c>
    </row>
    <row r="57" spans="2:25">
      <c r="B57" s="6" t="s">
        <v>26</v>
      </c>
      <c r="C57" s="6" t="s">
        <v>25</v>
      </c>
      <c r="D57" s="6" t="s">
        <v>94</v>
      </c>
      <c r="E57" cm="1">
        <f t="array" ref="E57">_xlfn.IFS(ItemEffectTable[[#This Row],['#Grade]]="Weapon",6000,
ItemEffectTable[[#This Row],['#Grade]]="Normal",7000,
ItemEffectTable[[#This Row],['#Grade]]="Rare",8000,
ItemEffectTable[[#This Row],['#Grade]]="Cursed",9000)
+ COUNTIF($D$3:D57,ItemEffectTable[[#This Row],['#Grade]])
-ItemEffectTable[[#This Row],['#인덱스 수식용]]-1</f>
        <v>9007</v>
      </c>
      <c r="F57" t="s">
        <v>438</v>
      </c>
      <c r="G57" t="s">
        <v>281</v>
      </c>
      <c r="H5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직접공격피해량-2단계</v>
      </c>
      <c r="I57">
        <v>1.67</v>
      </c>
      <c r="J57" t="s">
        <v>35</v>
      </c>
      <c r="K57" t="s">
        <v>78</v>
      </c>
      <c r="L5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7" s="7" t="e" cm="1">
        <f t="array" ref="M5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57" s="24" t="s">
        <v>388</v>
      </c>
      <c r="O57" s="7" t="e" cm="1">
        <f t="array" ref="O5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57" s="7" t="e" cm="1">
        <f t="array" ref="P5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57" s="7" t="e" cm="1">
        <f t="array" ref="Q57">SUM(IF($E$3:$E$58=E57,$P$3:$P$58))</f>
        <v>#N/A</v>
      </c>
      <c r="R57" s="7" t="e">
        <f>INDEX(표9[],MATCH(ItemEffectTable[[#This Row],['#Grade]],표9[#Headers],0))-ItemEffectTable[[#This Row],['#총 효력가치]]</f>
        <v>#N/A</v>
      </c>
      <c r="S57" s="6"/>
      <c r="T57" s="7" cm="1">
        <f t="array" ref="T57">_xlfn.IFS(
ISTEXT(T56),0,
AND(ItemEffectTable[[#This Row],['#Grade]]=D56,ItemEffectTable[[#This Row],['#이름값]]=C56),T56+1,
ItemEffectTable[[#This Row],['#Grade]]&lt;&gt;D56,0,
ItemEffectTable[[#This Row],['#Grade]]=D56,T56
)</f>
        <v>17</v>
      </c>
      <c r="U57" s="7" t="str">
        <f>IF(ItemEffectTable[[#This Row],['#이름값]]=ItemEffectTable[[#This Row],['#Name]],"TRUE","FALSE")</f>
        <v>TRUE</v>
      </c>
      <c r="V57" s="7">
        <f>INDEX(ItemTable[Name],MATCH(ItemEffectTable[[#This Row],[Index]],ItemTable[ItemEffectDataId],0))</f>
        <v>14007</v>
      </c>
      <c r="W57" s="7">
        <f>INDEX(ItemTable[Desc],MATCH(ItemEffectTable[[#This Row],[Index]],ItemTable[ItemEffectDataId],0))</f>
        <v>24007</v>
      </c>
      <c r="X57" s="7" t="str">
        <f>INDEX(LocaleTable[LocaleKR],MATCH(ItemEffectTable[[#This Row],['#NameIndex]],LocaleTable[Index],0))</f>
        <v>저주받은 테니스채</v>
      </c>
      <c r="Y57" s="7" t="str">
        <f>INDEX(LocaleTable[LocaleKR],MATCH(ItemEffectTable[[#This Row],['#DescIndex]],LocaleTable[Index],0))</f>
        <v>공 던지기 개수 3개 감소. 직접 공격 데미지가 450% 상승합니다.</v>
      </c>
    </row>
    <row r="58" spans="2:25">
      <c r="B58" s="6" t="s">
        <v>26</v>
      </c>
      <c r="C58" s="6" t="s">
        <v>25</v>
      </c>
      <c r="D58" s="6" t="s">
        <v>94</v>
      </c>
      <c r="E58" cm="1">
        <f t="array" ref="E58">_xlfn.IFS(ItemEffectTable[[#This Row],['#Grade]]="Weapon",6000,
ItemEffectTable[[#This Row],['#Grade]]="Normal",7000,
ItemEffectTable[[#This Row],['#Grade]]="Rare",8000,
ItemEffectTable[[#This Row],['#Grade]]="Cursed",9000)
+ COUNTIF($D$3:D58,ItemEffectTable[[#This Row],['#Grade]])
-ItemEffectTable[[#This Row],['#인덱스 수식용]]-1</f>
        <v>9007</v>
      </c>
      <c r="F58" t="s">
        <v>438</v>
      </c>
      <c r="G58" t="s">
        <v>282</v>
      </c>
      <c r="H5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직접공격피해량-3단계</v>
      </c>
      <c r="I58">
        <v>1.67</v>
      </c>
      <c r="J58" t="s">
        <v>35</v>
      </c>
      <c r="K58" t="s">
        <v>78</v>
      </c>
      <c r="L5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8" s="7" t="e" cm="1">
        <f t="array" ref="M5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58" s="24" t="s">
        <v>388</v>
      </c>
      <c r="O58" s="7" t="e" cm="1">
        <f t="array" ref="O5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58" s="7" t="e" cm="1">
        <f t="array" ref="P5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58" s="7" t="e" cm="1">
        <f t="array" ref="Q58">SUM(IF($E$3:$E$58=E58,$P$3:$P$58))</f>
        <v>#N/A</v>
      </c>
      <c r="R58" s="7" t="e">
        <f>INDEX(표9[],MATCH(ItemEffectTable[[#This Row],['#Grade]],표9[#Headers],0))-ItemEffectTable[[#This Row],['#총 효력가치]]</f>
        <v>#N/A</v>
      </c>
      <c r="S58" s="6"/>
      <c r="T58" s="7" cm="1">
        <f t="array" ref="T58">_xlfn.IFS(
ISTEXT(T57),0,
AND(ItemEffectTable[[#This Row],['#Grade]]=D57,ItemEffectTable[[#This Row],['#이름값]]=C57),T57+1,
ItemEffectTable[[#This Row],['#Grade]]&lt;&gt;D57,0,
ItemEffectTable[[#This Row],['#Grade]]=D57,T57
)</f>
        <v>18</v>
      </c>
      <c r="U58" s="7" t="str">
        <f>IF(ItemEffectTable[[#This Row],['#이름값]]=ItemEffectTable[[#This Row],['#Name]],"TRUE","FALSE")</f>
        <v>TRUE</v>
      </c>
      <c r="V58" s="7">
        <f>INDEX(ItemTable[Name],MATCH(ItemEffectTable[[#This Row],[Index]],ItemTable[ItemEffectDataId],0))</f>
        <v>14007</v>
      </c>
      <c r="W58" s="7">
        <f>INDEX(ItemTable[Desc],MATCH(ItemEffectTable[[#This Row],[Index]],ItemTable[ItemEffectDataId],0))</f>
        <v>24007</v>
      </c>
      <c r="X58" s="7" t="str">
        <f>INDEX(LocaleTable[LocaleKR],MATCH(ItemEffectTable[[#This Row],['#NameIndex]],LocaleTable[Index],0))</f>
        <v>저주받은 테니스채</v>
      </c>
      <c r="Y58" s="7" t="str">
        <f>INDEX(LocaleTable[LocaleKR],MATCH(ItemEffectTable[[#This Row],['#DescIndex]],LocaleTable[Index],0))</f>
        <v>공 던지기 개수 3개 감소. 직접 공격 데미지가 450% 상승합니다.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90</v>
      </c>
      <c r="C1" t="s">
        <v>89</v>
      </c>
      <c r="D1" t="s">
        <v>89</v>
      </c>
      <c r="E1" t="s">
        <v>86</v>
      </c>
      <c r="F1" t="s">
        <v>85</v>
      </c>
    </row>
    <row r="2" spans="2:6">
      <c r="B2" t="s">
        <v>81</v>
      </c>
      <c r="C2" s="8" t="s">
        <v>194</v>
      </c>
      <c r="D2" s="9" t="s">
        <v>195</v>
      </c>
      <c r="E2" t="s">
        <v>192</v>
      </c>
      <c r="F2" t="s">
        <v>193</v>
      </c>
    </row>
    <row r="3" spans="2:6">
      <c r="B3">
        <v>900</v>
      </c>
      <c r="C3" s="15" t="str">
        <f>INDEX(ItemEffectTable['#Name],MATCH(ItemResourceTable[[#This Row],[Index]],ItemEffectTable[ApplyValue],0))</f>
        <v>장난감 배트</v>
      </c>
      <c r="D3" s="6" t="s">
        <v>306</v>
      </c>
      <c r="E3" t="s">
        <v>307</v>
      </c>
      <c r="F3" t="s">
        <v>308</v>
      </c>
    </row>
    <row r="4" spans="2:6">
      <c r="B4">
        <v>900</v>
      </c>
      <c r="C4" s="15" t="str">
        <f>INDEX(ItemEffectTable['#Name],MATCH(ItemResourceTable[[#This Row],[Index]],ItemEffectTable[ApplyValue],0))</f>
        <v>장난감 배트</v>
      </c>
      <c r="D4" s="6" t="s">
        <v>196</v>
      </c>
      <c r="E4" t="s">
        <v>199</v>
      </c>
      <c r="F4" t="s">
        <v>312</v>
      </c>
    </row>
    <row r="5" spans="2:6">
      <c r="B5">
        <v>901</v>
      </c>
      <c r="C5" s="15" t="str">
        <f>INDEX(ItemEffectTable['#Name],MATCH(ItemResourceTable[[#This Row],[Index]],ItemEffectTable[ApplyValue],0))</f>
        <v>무지개빛 총공격</v>
      </c>
      <c r="D5" s="6" t="s">
        <v>306</v>
      </c>
      <c r="E5" t="s">
        <v>307</v>
      </c>
      <c r="F5" t="s">
        <v>314</v>
      </c>
    </row>
    <row r="6" spans="2:6">
      <c r="B6">
        <v>901</v>
      </c>
      <c r="C6" s="15" t="str">
        <f>INDEX(ItemEffectTable['#Name],MATCH(ItemResourceTable[[#This Row],[Index]],ItemEffectTable[ApplyValue],0))</f>
        <v>무지개빛 총공격</v>
      </c>
      <c r="D6" s="6" t="s">
        <v>197</v>
      </c>
      <c r="E6" t="s">
        <v>200</v>
      </c>
      <c r="F6" t="s">
        <v>313</v>
      </c>
    </row>
    <row r="7" spans="2:6">
      <c r="B7">
        <v>901</v>
      </c>
      <c r="C7" s="15" t="str">
        <f>INDEX(ItemEffectTable['#Name],MATCH(ItemResourceTable[[#This Row],[Index]],ItemEffectTable[ApplyValue],0))</f>
        <v>무지개빛 총공격</v>
      </c>
      <c r="D7" s="6" t="s">
        <v>309</v>
      </c>
      <c r="E7" t="s">
        <v>201</v>
      </c>
      <c r="F7" t="s">
        <v>315</v>
      </c>
    </row>
    <row r="8" spans="2:6">
      <c r="B8">
        <v>902</v>
      </c>
      <c r="C8" s="15" t="str">
        <f>INDEX(ItemEffectTable['#Name],MATCH(ItemResourceTable[[#This Row],[Index]],ItemEffectTable[ApplyValue],0))</f>
        <v>트럼펫</v>
      </c>
      <c r="D8" s="6" t="s">
        <v>306</v>
      </c>
      <c r="E8" t="s">
        <v>307</v>
      </c>
      <c r="F8" t="s">
        <v>311</v>
      </c>
    </row>
    <row r="9" spans="2:6">
      <c r="B9">
        <v>902</v>
      </c>
      <c r="C9" s="15" t="str">
        <f>INDEX(ItemEffectTable['#Name],MATCH(ItemResourceTable[[#This Row],[Index]],ItemEffectTable[ApplyValue],0))</f>
        <v>트럼펫</v>
      </c>
      <c r="D9" s="6" t="s">
        <v>309</v>
      </c>
      <c r="E9" t="s">
        <v>201</v>
      </c>
      <c r="F9" t="s">
        <v>310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topLeftCell="A43"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90</v>
      </c>
      <c r="B1" t="s">
        <v>85</v>
      </c>
      <c r="C1" t="s">
        <v>85</v>
      </c>
      <c r="D1" t="s">
        <v>89</v>
      </c>
    </row>
    <row r="2" spans="1:4">
      <c r="A2" t="s">
        <v>81</v>
      </c>
      <c r="B2" t="s">
        <v>119</v>
      </c>
      <c r="C2" t="s">
        <v>120</v>
      </c>
      <c r="D2" s="8" t="s">
        <v>187</v>
      </c>
    </row>
    <row r="3" spans="1:4">
      <c r="A3">
        <f>ItemTable[[#This Row],[Index]]+10000</f>
        <v>10010</v>
      </c>
      <c r="B3" t="s">
        <v>99</v>
      </c>
      <c r="C3" t="s">
        <v>121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100</v>
      </c>
      <c r="C4" t="s">
        <v>122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101</v>
      </c>
      <c r="C5" t="s">
        <v>123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102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110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10023</v>
      </c>
      <c r="B8" t="s">
        <v>111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11000</v>
      </c>
      <c r="B9" t="s">
        <v>304</v>
      </c>
      <c r="C9" t="s">
        <v>305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11001</v>
      </c>
      <c r="B10" t="s">
        <v>232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198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2</v>
      </c>
      <c r="C12" t="s">
        <v>125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145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3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146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4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5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147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6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7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148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9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10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11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12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13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14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15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16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17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149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18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19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20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21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22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23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24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25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60 골드</v>
      </c>
    </row>
    <row r="46" spans="1:4">
      <c r="A46">
        <v>21000</v>
      </c>
      <c r="B46" t="s">
        <v>233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장난감 배트</v>
      </c>
    </row>
    <row r="47" spans="1:4">
      <c r="A47">
        <v>21001</v>
      </c>
      <c r="B47" t="s">
        <v>234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무지개빛 총공격</v>
      </c>
    </row>
    <row r="48" spans="1:4">
      <c r="A48">
        <v>21002</v>
      </c>
      <c r="B48" t="s">
        <v>235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32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442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36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37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39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40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42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45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124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47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49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50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52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54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56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57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58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61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63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65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68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153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69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70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150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72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151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152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김범수</cp:lastModifiedBy>
  <dcterms:created xsi:type="dcterms:W3CDTF">2023-03-25T04:43:38Z</dcterms:created>
  <dcterms:modified xsi:type="dcterms:W3CDTF">2023-06-01T19:06:23Z</dcterms:modified>
</cp:coreProperties>
</file>