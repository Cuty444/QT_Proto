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2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EA0D4422-4E58-404F-B69E-DDA9385C547A}" xr6:coauthVersionLast="47" xr6:coauthVersionMax="47" xr10:uidLastSave="{00000000-0000-0000-0000-000000000000}"/>
  <bookViews>
    <workbookView xWindow="-108" yWindow="-108" windowWidth="23256" windowHeight="12456" firstSheet="12" activeTab="1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BuffEffectGameData" sheetId="19" r:id="rId14"/>
    <sheet name="ItemEffectGameData" sheetId="14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13" l="1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K21" i="13" l="1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F22" i="2" l="1"/>
  <c r="S7" i="3" s="1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0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3" i="14" l="1"/>
  <c r="B22" i="14"/>
  <c r="C15" i="14"/>
  <c r="B15" i="14"/>
  <c r="C21" i="14"/>
  <c r="B16" i="14"/>
  <c r="B18" i="14"/>
  <c r="C19" i="14"/>
  <c r="C22" i="14"/>
  <c r="B21" i="14"/>
  <c r="B17" i="14"/>
  <c r="C18" i="14"/>
  <c r="C23" i="14"/>
  <c r="C20" i="14"/>
  <c r="B19" i="14"/>
  <c r="C16" i="14"/>
  <c r="B24" i="14"/>
  <c r="C17" i="14"/>
  <c r="C2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<sst xmlns="http://schemas.openxmlformats.org/spreadsheetml/2006/main" count="1195" uniqueCount="624">
  <si>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</si>
  <si>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</si>
  <si>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</si>
  <si>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</si>
  <si>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</si>
  <si>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</si>
  <si>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</si>
  <si>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</si>
  <si>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</si>
  <si>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</si>
  <si>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</si>
  <si>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</si>
  <si>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</si>
  <si>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</si>
  <si>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</si>
  <si>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</si>
  <si>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</si>
  <si>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</si>
  <si>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</si>
  <si>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</si>
  <si>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</si>
  <si>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</si>
  <si>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</si>
  <si>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</si>
  <si>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</si>
  <si>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</si>
  <si>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</si>
  <si>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</si>
  <si>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</si>
  <si>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</si>
  <si>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</si>
  <si>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</si>
  <si>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</si>
  <si>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</si>
  <si>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</si>
  <si>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</si>
  <si>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</si>
  <si>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</si>
  <si>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</si>
  <si>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</si>
  <si>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</si>
  <si>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</si>
  <si>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</si>
  <si>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</si>
  <si>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</si>
  <si>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</si>
  <si>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</si>
  <si>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</si>
  <si>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</si>
  <si>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</si>
  <si>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</si>
  <si>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</si>
  <si>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</si>
  <si>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</si>
  <si>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</si>
  <si>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</si>
  <si>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</si>
  <si>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</si>
  <si>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</si>
  <si>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</si>
  <si>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</si>
  <si>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</si>
  <si>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</si>
  <si>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</si>
  <si>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</si>
  <si>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</si>
  <si>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</si>
  <si>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</si>
  <si>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</si>
  <si>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</si>
  <si>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</si>
  <si>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</si>
  <si>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</si>
  <si>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</si>
  <si>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</si>
  <si>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</si>
  <si>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</si>
  <si>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</si>
  <si>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</si>
  <si>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</si>
  <si>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</si>
  <si>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</si>
  <si>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</si>
  <si>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</si>
  <si>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</si>
  <si>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</si>
  <si>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</si>
  <si>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</si>
  <si>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</si>
  <si>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</si>
  <si>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</si>
  <si>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</si>
  <si>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</si>
  <si>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</si>
  <si>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</si>
  <si>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</si>
  <si>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</si>
  <si>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</si>
  <si>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</si>
  <si>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</si>
  <si>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</si>
  <si>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</si>
  <si>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</si>
  <si>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</si>
  <si>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</si>
  <si>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</si>
  <si>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</si>
  <si>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</si>
  <si>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</si>
  <si>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</si>
  <si>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</si>
  <si>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</si>
  <si>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</si>
  <si>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</si>
  <si>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</si>
  <si>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</si>
  <si>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</si>
  <si>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</si>
  <si>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</si>
  <si>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</si>
  <si>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</si>
  <si>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</si>
  <si>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</si>
  <si>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</si>
  <si>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</si>
  <si>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</si>
  <si>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</si>
  <si>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</si>
  <si>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</si>
  <si>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</si>
  <si>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</si>
  <si>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</si>
  <si>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</si>
  <si>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</si>
  <si>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</si>
  <si>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</si>
  <si>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</si>
  <si>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</si>
  <si>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</si>
  <si>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</si>
  <si>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</si>
  <si>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</si>
  <si>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</si>
  <si>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</si>
  <si>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</si>
  <si>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</si>
  <si>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</si>
  <si>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</si>
  <si>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</si>
  <si>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</si>
  <si>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</si>
  <si>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</si>
  <si>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</si>
  <si>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</si>
  <si>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</si>
  <si>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</si>
  <si>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</si>
  <si>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</si>
  <si>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</si>
  <si>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</si>
  <si>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</si>
  <si>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</si>
  <si>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</si>
  <si>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</si>
  <si>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</si>
  <si>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</si>
  <si>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</si>
  <si>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</si>
  <si>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</si>
  <si>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</si>
  <si>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</si>
  <si>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</si>
  <si>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</si>
  <si>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</si>
  <si>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</si>
  <si>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</si>
  <si>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</si>
  <si>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</si>
  <si>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</si>
  <si>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</si>
  <si>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</si>
  <si>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</si>
  <si>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</si>
  <si>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</si>
  <si>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</si>
  <si>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</si>
  <si>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</si>
  <si>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</si>
  <si>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</si>
  <si>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</si>
  <si>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</si>
  <si>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</si>
  <si>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</si>
  <si>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</si>
  <si>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</si>
  <si>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</si>
  <si>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</si>
  <si>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</si>
  <si>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</si>
  <si>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</si>
  <si>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</si>
  <si>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</si>
  <si>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</si>
  <si>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</si>
  <si>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</si>
  <si>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</si>
  <si>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</si>
  <si>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</si>
  <si>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</si>
  <si>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</si>
  <si>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</si>
  <si>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</si>
  <si>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</si>
  <si>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</si>
  <si>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</si>
  <si>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</si>
  <si>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</si>
  <si>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</si>
  <si>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</si>
  <si>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</si>
  <si>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</si>
  <si>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</si>
  <si>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</si>
  <si>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</si>
  <si>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</si>
  <si>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</si>
  <si>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</si>
  <si>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</si>
  <si>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</si>
  <si>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</si>
  <si>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</si>
  <si>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</si>
  <si>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</si>
  <si>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</si>
  <si>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</si>
  <si>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</si>
  <si>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</si>
  <si>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</si>
  <si>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</si>
  <si>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</si>
  <si>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</si>
  <si>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</si>
  <si>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</si>
  <si>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</si>
  <si>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</si>
  <si>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</si>
  <si>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</si>
  <si>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</si>
  <si>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</si>
  <si>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</si>
  <si>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</si>
  <si>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</si>
  <si>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</si>
  <si>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</si>
  <si>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</si>
  <si>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</si>
  <si>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</si>
  <si>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</si>
  <si>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</si>
  <si>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</si>
  <si>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</si>
  <si>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</si>
  <si>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</si>
  <si>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</si>
  <si>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</si>
  <si>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</si>
  <si>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</si>
  <si>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</si>
  <si>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</si>
  <si>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</si>
  <si>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</si>
  <si>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</si>
  <si>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</si>
  <si>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</si>
  <si>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</si>
  <si>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</si>
  <si>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</si>
  <si>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</si>
  <si>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</si>
  <si>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</si>
  <si>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</si>
  <si>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</si>
  <si>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</si>
  <si>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</si>
  <si>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</si>
  <si>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</si>
  <si>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</si>
  <si>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</si>
  <si>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</si>
  <si>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</si>
  <si>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</si>
  <si>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</si>
  <si>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</si>
  <si>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</si>
  <si>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</si>
  <si>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</si>
  <si>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</si>
  <si>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</si>
  <si>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</si>
  <si>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</si>
  <si>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</si>
  <si>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</si>
  <si>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</si>
  <si>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</si>
  <si>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</si>
  <si>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</si>
  <si>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</si>
  <si>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</si>
  <si>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</si>
  <si>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</si>
  <si>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</si>
  <si>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</si>
  <si>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</si>
  <si>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</si>
  <si>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</si>
  <si>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</si>
  <si>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</si>
  <si>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</si>
  <si>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</si>
  <si>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</si>
  <si>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</si>
  <si>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</si>
  <si>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</si>
  <si>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</si>
  <si>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</si>
  <si>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</si>
  <si>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</si>
  <si>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</si>
  <si>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</si>
  <si>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</si>
  <si>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</si>
  <si>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</si>
  <si>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</si>
  <si>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</si>
  <si>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</si>
  <si>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</si>
  <si>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</si>
  <si>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</si>
  <si>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</si>
  <si>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</si>
  <si>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</si>
  <si>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</si>
  <si>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</si>
  <si>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</si>
  <si>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</si>
  <si>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</si>
  <si>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</si>
  <si>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</si>
  <si>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</si>
  <si>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</si>
  <si>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</si>
  <si>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</si>
  <si>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</si>
  <si>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</si>
  <si>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</si>
  <si>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</si>
  <si>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</si>
  <si>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</si>
  <si>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</si>
  <si>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</si>
  <si>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</si>
  <si>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</si>
  <si>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</si>
  <si>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</si>
  <si>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</si>
  <si>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</si>
  <si>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</si>
  <si>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</si>
  <si>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</si>
  <si>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</si>
  <si>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</si>
  <si>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</si>
  <si>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</si>
  <si>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</si>
  <si>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</si>
  <si>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</si>
  <si>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</si>
  <si>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</si>
  <si>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</si>
  <si>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</si>
  <si>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</si>
  <si>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</si>
  <si>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</si>
  <si>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</si>
  <si>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</si>
  <si>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</si>
  <si>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</si>
  <si>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</si>
  <si>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</si>
  <si>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</si>
  <si>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</si>
  <si>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</si>
  <si>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</si>
  <si>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</si>
  <si>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</si>
  <si>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</si>
  <si>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</si>
  <si>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</si>
  <si>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</si>
  <si>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</si>
  <si>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</si>
  <si>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</si>
  <si>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</si>
  <si>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</si>
  <si>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</si>
  <si>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</si>
  <si>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</si>
  <si>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</si>
  <si>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</si>
  <si>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</si>
  <si>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</si>
  <si>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</si>
  <si>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</si>
  <si>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</si>
  <si>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</si>
  <si>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</si>
  <si>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</si>
  <si>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</si>
  <si>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</si>
  <si>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</si>
  <si>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</si>
  <si>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</si>
  <si>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</si>
  <si>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</si>
  <si>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</si>
  <si>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</si>
  <si>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</si>
  <si>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</si>
  <si>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</si>
  <si>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</si>
  <si>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</si>
  <si>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</si>
  <si>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</si>
  <si>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</si>
  <si>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</si>
  <si>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</si>
  <si>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</si>
  <si>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</si>
  <si>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</si>
  <si>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</si>
  <si>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</si>
  <si>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</si>
  <si>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</si>
  <si>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</si>
  <si>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</si>
  <si>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</si>
  <si>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</si>
  <si>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</si>
  <si>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</si>
  <si>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</si>
  <si>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</si>
  <si>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</si>
  <si>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</si>
  <si>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</si>
  <si>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</si>
  <si>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</si>
  <si>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</si>
  <si>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</si>
  <si>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</si>
  <si>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</si>
  <si>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</si>
  <si>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</si>
  <si>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</si>
  <si>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</si>
  <si>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</si>
  <si>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</si>
  <si>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</si>
  <si>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</si>
  <si>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</si>
  <si>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</si>
  <si>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</si>
  <si>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</si>
  <si>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</si>
  <si>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</si>
  <si>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</si>
  <si>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</si>
  <si>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</si>
  <si>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</si>
  <si>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</si>
  <si>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</si>
  <si>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</si>
  <si>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</si>
  <si>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</si>
  <si>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</si>
  <si>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</si>
  <si>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</si>
  <si>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</si>
  <si>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</si>
  <si>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</si>
  <si>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</si>
  <si>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</si>
  <si>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</si>
  <si>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</si>
  <si>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</si>
  <si>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</si>
  <si>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</si>
  <si>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</si>
  <si>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</si>
  <si>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</si>
  <si>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</si>
  <si>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</si>
  <si>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</si>
  <si>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</si>
  <si>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</si>
  <si>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</si>
  <si>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</si>
  <si>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</si>
  <si>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</si>
  <si>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</si>
  <si>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</si>
  <si>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</si>
  <si>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</si>
  <si>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</si>
  <si>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</si>
  <si>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</si>
  <si>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</si>
  <si>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</si>
  <si>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</si>
  <si>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</si>
  <si>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</si>
  <si>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</si>
  <si>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</si>
  <si>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(HP_Base - HP)*0.004</t>
    <phoneticPr fontId="8" type="noConversion"/>
  </si>
  <si>
    <t>ChargeBounceCount1 * 0.2</t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</si>
  <si>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</si>
  <si>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</si>
  <si>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</si>
  <si>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</si>
  <si>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</si>
  <si>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</si>
  <si>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</si>
  <si>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</si>
  <si>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</si>
  <si>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</si>
  <si>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</si>
  <si>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</si>
  <si>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</si>
  <si>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</si>
  <si>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</si>
  <si>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</si>
  <si>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</si>
  <si>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</si>
  <si>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</si>
  <si>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</si>
  <si>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</si>
  <si>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</si>
  <si>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</si>
  <si>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공 충돌횟수 +1</t>
    <phoneticPr fontId="8" type="noConversion"/>
  </si>
  <si>
    <t>이동속도 +12</t>
  </si>
  <si>
    <t>공격력 +10%\n이동속도 +5\n공격속도 +0.1초</t>
  </si>
  <si>
    <t>공 충돌횟수당 공격력 +20%</t>
  </si>
  <si>
    <t>차징속도 +45%</t>
    <phoneticPr fontId="8" type="noConversion"/>
  </si>
  <si>
    <t>이동속도 -30%</t>
  </si>
  <si>
    <t>공격력 +100%</t>
  </si>
  <si>
    <t>바싹 구워도 여전히 미끌거립니다. 시각적 거부감을 이겨내고 한입 베어물면 무엇이든 반대로 하고 싶어집니다.</t>
    <phoneticPr fontId="8" type="noConversion"/>
  </si>
  <si>
    <t>차징샷이 적을 관통합니다.</t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</si>
  <si>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</si>
  <si>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</si>
  <si>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</si>
  <si>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</si>
  <si>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</si>
  <si>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</si>
  <si>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</si>
  <si>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</si>
  <si>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충돌횟수 1회 추가</t>
    <phoneticPr fontId="19" type="noConversion"/>
  </si>
  <si>
    <t>차징속도 20% 상승</t>
    <phoneticPr fontId="19" type="noConversion"/>
  </si>
  <si>
    <t>이동속도 1.2 상승</t>
    <phoneticPr fontId="19" type="noConversion"/>
  </si>
  <si>
    <t>hp 1칸 증가</t>
    <phoneticPr fontId="19" type="noConversion"/>
  </si>
  <si>
    <t>#폐기여부</t>
    <phoneticPr fontId="19" type="noConversion"/>
  </si>
  <si>
    <t>폐기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</si>
  <si>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</si>
  <si>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</si>
  <si>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</si>
  <si>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</si>
  <si>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</si>
  <si>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충돌 횟수 2회 증가</t>
    <phoneticPr fontId="19" type="noConversion"/>
  </si>
  <si>
    <t>충돌 횟수에 비례해 공격력 상승</t>
    <phoneticPr fontId="19" type="noConversion"/>
  </si>
  <si>
    <t>공격속도 20% 감소</t>
    <phoneticPr fontId="19" type="noConversion"/>
  </si>
  <si>
    <t>차징속도 45% 증가</t>
    <phoneticPr fontId="19" type="noConversion"/>
  </si>
  <si>
    <t>이동속도 30% 감소</t>
    <phoneticPr fontId="19" type="noConversion"/>
  </si>
  <si>
    <t>피해량 100% 증가</t>
    <phoneticPr fontId="19" type="noConversion"/>
  </si>
  <si>
    <t>체력 2칸 감소</t>
    <phoneticPr fontId="19" type="noConversion"/>
  </si>
  <si>
    <t>피해량 40% 감소</t>
    <phoneticPr fontId="19" type="noConversion"/>
  </si>
  <si>
    <t>충돌횟수 1회 감소</t>
    <phoneticPr fontId="19" type="noConversion"/>
  </si>
  <si>
    <t>차징 시 공이 적을 관통함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</si>
  <si>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</si>
  <si>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</si>
  <si>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</si>
  <si>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</si>
  <si>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</si>
  <si>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</si>
  <si>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배트를 휘두를 때 마다 공을 3개 발사합니다.</t>
    <phoneticPr fontId="8" type="noConversion"/>
  </si>
  <si>
    <t>기절한 적을 공격할 경우 5초간 공격력 +30%</t>
    <phoneticPr fontId="8" type="noConversion"/>
  </si>
  <si>
    <t>기절한 적 공격시 공격력 30% 증가</t>
    <phoneticPr fontId="19" type="noConversion"/>
  </si>
  <si>
    <t>공격범위 +60%</t>
    <phoneticPr fontId="8" type="noConversion"/>
  </si>
  <si>
    <t>공격 범위 60% 증가</t>
    <phoneticPr fontId="19" type="noConversion"/>
  </si>
  <si>
    <t>SwingRad</t>
    <phoneticPr fontId="19" type="noConversion"/>
  </si>
  <si>
    <t>icon/item/item_01.png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</si>
  <si>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</si>
  <si>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</si>
  <si>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</si>
  <si>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</si>
  <si>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Dys-0n</t>
    <phoneticPr fontId="8" type="noConversion"/>
  </si>
  <si>
    <t>화학물질 B</t>
    <phoneticPr fontId="8" type="noConversion"/>
  </si>
  <si>
    <t xml:space="preserve">N초간 시간이 느려집니다 </t>
    <phoneticPr fontId="8" type="noConversion"/>
  </si>
  <si>
    <t>주변 투사체를 흡수하여 잠시 저장합니다.</t>
    <phoneticPr fontId="8" type="noConversion"/>
  </si>
  <si>
    <t>커서 방향으로 돌진합니다.</t>
    <phoneticPr fontId="8" type="noConversion"/>
  </si>
  <si>
    <t>도넛에 구멍은 몇 개일까요?\n이 도넛은 무한한 구멍을 가졌습니다.</t>
    <phoneticPr fontId="8" type="noConversion"/>
  </si>
  <si>
    <t>특별한 혜택과 함께\nDys-0n으로 적들을 청소해보세요.</t>
    <phoneticPr fontId="8" type="noConversion"/>
  </si>
  <si>
    <t>사이버 미치광이가 된 기분!\n(하루 3회 이상 음용하지 마십시오)</t>
    <phoneticPr fontId="8" type="noConversion"/>
  </si>
  <si>
    <t>앞만 보고 살아가는 당신에게…\n데일리룩으로 안성맞춤.</t>
    <phoneticPr fontId="8" type="noConversion"/>
  </si>
  <si>
    <t>행성 만세</t>
    <phoneticPr fontId="8" type="noConversion"/>
  </si>
  <si>
    <t>ChargeMovementSpd</t>
    <phoneticPr fontId="8" type="noConversion"/>
  </si>
  <si>
    <t>Prefabs/ItemProjectile.prefab</t>
    <phoneticPr fontId="8" type="noConversion"/>
  </si>
  <si>
    <t>#Param3설명3</t>
  </si>
  <si>
    <t>Param4</t>
    <phoneticPr fontId="19" type="noConversion"/>
  </si>
  <si>
    <t>공 흡수 범위</t>
    <phoneticPr fontId="19" type="noConversion"/>
  </si>
  <si>
    <t>공 촤대 속도</t>
    <phoneticPr fontId="19" type="noConversion"/>
  </si>
  <si>
    <t>지속 시간</t>
    <phoneticPr fontId="19" type="noConversion"/>
  </si>
  <si>
    <t>공 회전 범위</t>
    <phoneticPr fontId="19" type="noConversion"/>
  </si>
  <si>
    <t>돌진 최대 속도</t>
    <phoneticPr fontId="19" type="noConversion"/>
  </si>
  <si>
    <t>초당 최대 회전 각도</t>
    <phoneticPr fontId="19" type="noConversion"/>
  </si>
  <si>
    <t>충돌 범위</t>
    <phoneticPr fontId="19" type="noConversion"/>
  </si>
  <si>
    <t>발동 가능 범위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</si>
</sst>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0" borderId="0" xfId="0" applyFont="1" applyAlignment="1">
      <alignment vertical="center" wrapText="1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0" borderId="0" xfId="0" applyFont="1" applyAlignment="1">
      <alignment vertical="center" wrapText="1"/>
    </xf>
    <xf numFmtId="0" fontId="1" fillId="11" borderId="0" xfId="0" applyFont="1" applyFill="1">
      <alignment vertical="center"/>
    </xf>
    <xf numFmtId="0" fontId="1" fillId="8" borderId="0" xfId="0" applyFont="1" applyFill="1" applyAlignment="1">
      <alignment vertical="center" wrapText="1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firstRowStripe" dxfId="105"/>
      <tableStyleElement type="firstColumnStripe" dxfId="104"/>
    </tableStyle>
    <tableStyle name="Light Style 1 - Accent 1" table="0" count="7" xr9:uid="{00000000-0011-0000-FFFF-FFFF01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  <tableStyle name="표 스타일 1" pivot="0" count="4" xr9:uid="{00000000-0011-0000-FFFF-FFFF02000000}">
      <tableStyleElement type="wholeTable" dxfId="96"/>
      <tableStyleElement type="headerRow" dxfId="95"/>
      <tableStyleElement type="firstRowStripe" dxfId="94"/>
      <tableStyleElement type="secondRowStripe" dxfId="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9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9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7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2" totalsRowShown="0">
  <autoFilter ref="B2:G92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2" totalsRowShown="0" headerRowDxfId="43">
  <autoFilter ref="B2:G12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34" totalsRowShown="0" headerRowDxfId="22">
  <autoFilter ref="B2:H34" xr:uid="{00000000-0009-0000-0100-000001000000}"/>
  <tableColumns count="7">
    <tableColumn id="4" xr3:uid="{DE2DDF71-E208-9D48-B1BD-ADAF1A04A4E7}" name="Index" dataDxfId="21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20"/>
    <tableColumn id="2" xr3:uid="{4A23D036-ED42-4C71-987E-AC3F1E1DDB0E}" name="#폐기여부" dataDxfId="19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4" totalsRowShown="0" headerRowDxfId="18">
  <autoFilter ref="B2:K24" xr:uid="{00000000-0009-0000-0100-000001000000}"/>
  <tableColumns count="10">
    <tableColumn id="2" xr3:uid="{00000000-0010-0000-1000-000002000000}" name="#이름값" dataDxfId="17">
      <calculatedColumnFormula>INDEX(ItemTable[Name],MATCH(ItemEffectTable[[#This Row],[Index]],ItemTable[ItemEffectDataId],0))</calculatedColumnFormula>
    </tableColumn>
    <tableColumn id="3" xr3:uid="{00000000-0010-0000-1000-000003000000}" name="#Grade" dataDxfId="16">
      <calculatedColumnFormula>INDEX(ItemTable[GradeType],MATCH(ItemEffectTable[[#This Row],[Index]],ItemTable[ItemEffectDataId],0))</calculatedColumnFormula>
    </tableColumn>
    <tableColumn id="4" xr3:uid="{00000000-0010-0000-1000-000004000000}" name="Index" dataDxfId="15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4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8" totalsRowShown="0" headerRowDxfId="13">
  <autoFilter ref="B2:L8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1" t="s">
        <v>313</v>
      </c>
      <c r="C1" s="52"/>
      <c r="D1" s="52"/>
      <c r="E1" s="52"/>
    </row>
    <row r="2" spans="2:5" s="1" customFormat="1">
      <c r="B2" s="52"/>
      <c r="C2" s="52"/>
      <c r="D2" s="52"/>
      <c r="E2" s="52"/>
    </row>
    <row r="3" spans="2:5" s="1" customFormat="1">
      <c r="B3" s="52"/>
      <c r="C3" s="52"/>
      <c r="D3" s="52"/>
      <c r="E3" s="52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</cols>
  <sheetData>
    <row r="1" spans="2:12" s="1" customFormat="1">
      <c r="B1" s="51" t="s">
        <v>201</v>
      </c>
      <c r="C1" s="52"/>
      <c r="D1" s="52"/>
      <c r="E1" s="52"/>
    </row>
    <row r="2" spans="2:12" s="1" customFormat="1">
      <c r="B2" s="52"/>
      <c r="C2" s="52"/>
      <c r="D2" s="52"/>
      <c r="E2" s="52"/>
    </row>
    <row r="3" spans="2:12" s="1" customFormat="1">
      <c r="B3" s="52"/>
      <c r="C3" s="52"/>
      <c r="D3" s="52"/>
      <c r="E3" s="52"/>
    </row>
    <row r="5" spans="2:12">
      <c r="B5" s="2" t="s">
        <v>89</v>
      </c>
    </row>
    <row r="6" spans="2:12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463</v>
      </c>
      <c r="C10" s="2"/>
      <c r="D10" s="2"/>
      <c r="I10" s="2" t="s">
        <v>464</v>
      </c>
      <c r="J10" s="2"/>
      <c r="K10" s="2"/>
    </row>
    <row r="11" spans="2:12">
      <c r="B11" s="14" t="s">
        <v>461</v>
      </c>
      <c r="C11" s="14" t="s">
        <v>462</v>
      </c>
      <c r="D11" s="14" t="s">
        <v>459</v>
      </c>
      <c r="E11" s="14" t="s">
        <v>460</v>
      </c>
      <c r="F11" s="14" t="s">
        <v>465</v>
      </c>
      <c r="I11" s="14" t="s">
        <v>466</v>
      </c>
      <c r="J11" s="14" t="s">
        <v>462</v>
      </c>
      <c r="K11" s="14" t="s">
        <v>459</v>
      </c>
      <c r="L11" s="14" t="s">
        <v>460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467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468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469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469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1" t="s">
        <v>291</v>
      </c>
      <c r="C1" s="52"/>
      <c r="D1" s="52"/>
      <c r="E1" s="52"/>
      <c r="F1" s="52"/>
    </row>
    <row r="2" spans="1:21" s="1" customFormat="1">
      <c r="B2" s="52"/>
      <c r="C2" s="52"/>
      <c r="D2" s="52"/>
      <c r="E2" s="52"/>
      <c r="F2" s="52"/>
    </row>
    <row r="3" spans="1:21" s="1" customFormat="1">
      <c r="B3" s="52"/>
      <c r="C3" s="52"/>
      <c r="D3" s="52"/>
      <c r="E3" s="52"/>
      <c r="F3" s="52"/>
    </row>
    <row r="5" spans="1:21">
      <c r="B5" s="2" t="s">
        <v>105</v>
      </c>
      <c r="G5" s="2" t="s">
        <v>215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332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295</v>
      </c>
      <c r="O6" t="s">
        <v>330</v>
      </c>
      <c r="P6" t="s">
        <v>293</v>
      </c>
      <c r="R6" t="s">
        <v>104</v>
      </c>
      <c r="S6" s="14" t="s">
        <v>470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57.291666666666671</v>
      </c>
      <c r="P7">
        <f>(밸런스시트[[#This Row],[레벨당 평균 적]]*밸런스시트[[#This Row],[방 개수]]*밸런스시트[[#This Row],[적 체력]])/밸런스시트[[#This Row],[PC 최대 DPS]]</f>
        <v>87.272727272727266</v>
      </c>
      <c r="R7">
        <f>1/15</f>
        <v>6.6666666666666666E-2</v>
      </c>
      <c r="S7">
        <f>표11[[#Totals],[평균 골드]]</f>
        <v>9.15</v>
      </c>
    </row>
    <row r="8" spans="1:21">
      <c r="A8" s="11"/>
      <c r="B8" s="11" t="s">
        <v>2</v>
      </c>
      <c r="C8" s="11" t="s">
        <v>237</v>
      </c>
      <c r="D8" t="s">
        <v>145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57.291666666666671</v>
      </c>
      <c r="P8">
        <f>(밸런스시트[[#This Row],[레벨당 평균 적]]*밸런스시트[[#This Row],[방 개수]]*밸런스시트[[#This Row],[적 체력]])/밸런스시트[[#This Row],[PC 최대 DPS]]</f>
        <v>125.67272727272726</v>
      </c>
    </row>
    <row r="9" spans="1:21">
      <c r="A9" s="11"/>
      <c r="B9" s="11" t="s">
        <v>55</v>
      </c>
      <c r="C9" s="11" t="s">
        <v>237</v>
      </c>
      <c r="D9" t="s">
        <v>147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57.291666666666671</v>
      </c>
      <c r="P9">
        <f>(밸런스시트[[#This Row],[레벨당 평균 적]]*밸런스시트[[#This Row],[방 개수]]*밸런스시트[[#This Row],[적 체력]])/밸런스시트[[#This Row],[PC 최대 DPS]]</f>
        <v>171.05454545454543</v>
      </c>
      <c r="R9" s="2" t="s">
        <v>267</v>
      </c>
      <c r="S9" s="2"/>
      <c r="T9" s="2"/>
    </row>
    <row r="10" spans="1:21">
      <c r="A10" s="11"/>
      <c r="B10" s="11" t="s">
        <v>194</v>
      </c>
      <c r="C10" s="11" t="s">
        <v>237</v>
      </c>
      <c r="D10" t="s">
        <v>327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57.291666666666671</v>
      </c>
      <c r="P10">
        <f>(밸런스시트[[#This Row],[레벨당 평균 적]]*밸런스시트[[#This Row],[방 개수]]*밸런스시트[[#This Row],[적 체력]])/밸런스시트[[#This Row],[PC 최대 DPS]]</f>
        <v>223.41818181818181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279</v>
      </c>
      <c r="C11" s="11" t="s">
        <v>237</v>
      </c>
      <c r="D11" t="s">
        <v>142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57.291666666666671</v>
      </c>
      <c r="P11">
        <f>(밸런스시트[[#This Row],[레벨당 평균 적]]*밸런스시트[[#This Row],[방 개수]]*밸런스시트[[#This Row],[적 체력]])/밸런스시트[[#This Row],[PC 최대 DPS]]</f>
        <v>282.76363636363635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223</v>
      </c>
      <c r="D12" t="s">
        <v>146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57.291666666666671</v>
      </c>
      <c r="P12">
        <f>(밸런스시트[[#This Row],[레벨당 평균 적]]*밸런스시트[[#This Row],[방 개수]]*밸런스시트[[#This Row],[적 체력]])/밸런스시트[[#This Row],[PC 최대 DPS]]</f>
        <v>349.09090909090907</v>
      </c>
    </row>
    <row r="13" spans="1:21">
      <c r="A13" s="11"/>
      <c r="B13" s="11" t="s">
        <v>317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289</v>
      </c>
    </row>
    <row r="15" spans="1:21">
      <c r="A15" s="11"/>
      <c r="B15" s="11" t="s">
        <v>218</v>
      </c>
      <c r="C15" s="11" t="s">
        <v>22</v>
      </c>
      <c r="D15" t="s">
        <v>231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242</v>
      </c>
      <c r="E16" s="10">
        <v>40</v>
      </c>
    </row>
    <row r="17" spans="1:5">
      <c r="A17" s="11"/>
      <c r="B17" s="11" t="s">
        <v>318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339</v>
      </c>
      <c r="C18" s="11" t="s">
        <v>22</v>
      </c>
      <c r="D18" t="s">
        <v>329</v>
      </c>
      <c r="E18" s="12">
        <f>30/-0.2</f>
        <v>-150</v>
      </c>
    </row>
    <row r="19" spans="1:5">
      <c r="A19" s="11"/>
      <c r="B19" s="11" t="s">
        <v>208</v>
      </c>
      <c r="C19" s="11" t="s">
        <v>22</v>
      </c>
      <c r="D19" t="s">
        <v>230</v>
      </c>
      <c r="E19">
        <f>50/100</f>
        <v>0.5</v>
      </c>
    </row>
    <row r="20" spans="1:5">
      <c r="A20" s="11"/>
      <c r="B20" s="11" t="s">
        <v>239</v>
      </c>
      <c r="C20" s="11" t="s">
        <v>22</v>
      </c>
      <c r="D20" t="s">
        <v>233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257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249</v>
      </c>
      <c r="E22">
        <f>30/1/2</f>
        <v>15</v>
      </c>
    </row>
    <row r="23" spans="1:5">
      <c r="A23" s="11"/>
      <c r="B23" s="11" t="s">
        <v>221</v>
      </c>
      <c r="C23" s="11" t="s">
        <v>22</v>
      </c>
      <c r="D23" t="s">
        <v>325</v>
      </c>
      <c r="E23">
        <f>50/25</f>
        <v>2</v>
      </c>
    </row>
    <row r="24" spans="1:5">
      <c r="A24" s="11"/>
      <c r="B24" s="11" t="s">
        <v>229</v>
      </c>
      <c r="C24" s="11" t="s">
        <v>22</v>
      </c>
      <c r="D24" t="s">
        <v>326</v>
      </c>
      <c r="E24">
        <f>50/25</f>
        <v>2</v>
      </c>
    </row>
    <row r="25" spans="1:5">
      <c r="A25" s="11"/>
      <c r="B25" s="11" t="s">
        <v>248</v>
      </c>
      <c r="C25" s="11" t="s">
        <v>22</v>
      </c>
      <c r="D25" t="s">
        <v>344</v>
      </c>
      <c r="E25">
        <v>2</v>
      </c>
    </row>
    <row r="26" spans="1:5">
      <c r="A26" s="11"/>
      <c r="B26" s="11" t="s">
        <v>270</v>
      </c>
      <c r="C26" s="11" t="s">
        <v>22</v>
      </c>
      <c r="D26" t="s">
        <v>345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280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371</v>
      </c>
      <c r="E30">
        <v>50</v>
      </c>
    </row>
    <row r="31" spans="1:5">
      <c r="A31" s="11"/>
      <c r="B31" s="11" t="s">
        <v>278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205</v>
      </c>
    </row>
    <row r="4" spans="1:4">
      <c r="A4">
        <v>2</v>
      </c>
      <c r="B4" s="4" t="s">
        <v>246</v>
      </c>
      <c r="C4">
        <v>5</v>
      </c>
      <c r="D4" s="4" t="s">
        <v>180</v>
      </c>
    </row>
    <row r="5" spans="1:4">
      <c r="A5">
        <v>3</v>
      </c>
      <c r="B5" s="4" t="s">
        <v>271</v>
      </c>
      <c r="C5">
        <v>20</v>
      </c>
      <c r="D5" s="4" t="s">
        <v>8</v>
      </c>
    </row>
    <row r="6" spans="1:4">
      <c r="A6">
        <v>4</v>
      </c>
      <c r="B6" s="4" t="s">
        <v>273</v>
      </c>
      <c r="C6">
        <v>0.5</v>
      </c>
      <c r="D6" s="4" t="s">
        <v>196</v>
      </c>
    </row>
    <row r="7" spans="1:4">
      <c r="A7">
        <v>5</v>
      </c>
      <c r="B7" s="4" t="s">
        <v>321</v>
      </c>
      <c r="C7">
        <v>50</v>
      </c>
      <c r="D7" s="4" t="s">
        <v>370</v>
      </c>
    </row>
    <row r="8" spans="1:4">
      <c r="A8">
        <v>6</v>
      </c>
      <c r="B8" s="4" t="s">
        <v>324</v>
      </c>
      <c r="C8">
        <v>1</v>
      </c>
      <c r="D8" s="4" t="s">
        <v>169</v>
      </c>
    </row>
    <row r="9" spans="1:4">
      <c r="A9">
        <v>7</v>
      </c>
      <c r="B9" s="4" t="s">
        <v>369</v>
      </c>
      <c r="C9">
        <v>10</v>
      </c>
      <c r="D9" s="4" t="s">
        <v>367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H1" zoomScaleNormal="75" zoomScaleSheetLayoutView="100" workbookViewId="0">
      <selection activeCell="M17" sqref="M17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287</v>
      </c>
      <c r="F2" t="s">
        <v>2</v>
      </c>
      <c r="G2" s="14" t="s">
        <v>612</v>
      </c>
      <c r="H2" t="s">
        <v>14</v>
      </c>
      <c r="I2" s="19" t="s">
        <v>538</v>
      </c>
      <c r="J2" t="s">
        <v>12</v>
      </c>
      <c r="K2" t="s">
        <v>28</v>
      </c>
      <c r="L2" t="s">
        <v>227</v>
      </c>
      <c r="M2" t="s">
        <v>283</v>
      </c>
      <c r="N2" t="s">
        <v>194</v>
      </c>
      <c r="O2" t="s">
        <v>279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5"/>
  <sheetViews>
    <sheetView topLeftCell="D1" zoomScaleNormal="75" zoomScaleSheetLayoutView="100" workbookViewId="0">
      <selection activeCell="H11" sqref="H11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6" width="22.69921875" bestFit="1" customWidth="1"/>
    <col min="17" max="17" width="18.8984375" bestFit="1" customWidth="1"/>
    <col min="18" max="19" width="19.5" bestFit="1" customWidth="1"/>
    <col min="20" max="21" width="23.3984375" bestFit="1" customWidth="1"/>
    <col min="22" max="23" width="23.19921875" bestFit="1" customWidth="1"/>
    <col min="24" max="24" width="13.3984375" bestFit="1" customWidth="1"/>
    <col min="25" max="25" width="14.09765625" bestFit="1" customWidth="1"/>
    <col min="26" max="26" width="25.19921875" bestFit="1" customWidth="1"/>
    <col min="27" max="29" width="22.296875" bestFit="1" customWidth="1"/>
    <col min="30" max="30" width="21.19921875" customWidth="1"/>
    <col min="31" max="31" width="27.19921875" bestFit="1" customWidth="1"/>
  </cols>
  <sheetData>
    <row r="1" spans="2:3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166</v>
      </c>
    </row>
    <row r="2" spans="2:31">
      <c r="B2" t="s">
        <v>75</v>
      </c>
      <c r="C2" s="5" t="s">
        <v>43</v>
      </c>
      <c r="D2" s="7" t="s">
        <v>202</v>
      </c>
      <c r="E2" s="6" t="s">
        <v>209</v>
      </c>
      <c r="F2" s="6" t="s">
        <v>320</v>
      </c>
      <c r="G2" s="7" t="s">
        <v>20</v>
      </c>
      <c r="H2" s="42" t="s">
        <v>539</v>
      </c>
      <c r="I2" s="8" t="s">
        <v>317</v>
      </c>
      <c r="J2" s="8" t="s">
        <v>17</v>
      </c>
      <c r="K2" s="8" t="s">
        <v>339</v>
      </c>
      <c r="L2" s="8" t="s">
        <v>186</v>
      </c>
      <c r="M2" s="8" t="s">
        <v>208</v>
      </c>
      <c r="N2" s="8" t="s">
        <v>239</v>
      </c>
      <c r="O2" s="8" t="s">
        <v>24</v>
      </c>
      <c r="P2" s="8" t="s">
        <v>30</v>
      </c>
      <c r="Q2" s="8" t="s">
        <v>31</v>
      </c>
      <c r="R2" s="9" t="s">
        <v>221</v>
      </c>
      <c r="S2" s="9" t="s">
        <v>229</v>
      </c>
      <c r="T2" s="9" t="s">
        <v>248</v>
      </c>
      <c r="U2" s="9" t="s">
        <v>270</v>
      </c>
      <c r="V2" s="9" t="s">
        <v>491</v>
      </c>
      <c r="W2" s="33" t="s">
        <v>492</v>
      </c>
      <c r="X2" s="1" t="s">
        <v>318</v>
      </c>
      <c r="Y2" s="5" t="s">
        <v>333</v>
      </c>
      <c r="Z2" s="5" t="s">
        <v>222</v>
      </c>
      <c r="AA2" s="5" t="s">
        <v>245</v>
      </c>
      <c r="AB2" s="5" t="s">
        <v>225</v>
      </c>
      <c r="AC2" s="5" t="s">
        <v>244</v>
      </c>
      <c r="AD2" s="5" t="s">
        <v>236</v>
      </c>
      <c r="AE2" s="5" t="s">
        <v>26</v>
      </c>
    </row>
    <row r="3" spans="2:31">
      <c r="B3">
        <v>200</v>
      </c>
      <c r="C3" s="4" t="s">
        <v>294</v>
      </c>
      <c r="D3">
        <v>1</v>
      </c>
      <c r="E3">
        <v>1.2</v>
      </c>
      <c r="F3">
        <v>3</v>
      </c>
      <c r="G3">
        <v>2</v>
      </c>
      <c r="H3">
        <v>0.7</v>
      </c>
      <c r="I3">
        <v>2.5</v>
      </c>
      <c r="J3">
        <v>120</v>
      </c>
      <c r="K3">
        <v>0.5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28.571428571428573</v>
      </c>
      <c r="AA3">
        <f>CharacterAtkTable[[#This Row],[ChargeRigidDmg2]]/(CharacterAtkTable[[#This Row],[SwingCooldown]]+CharacterAtkTable[[#This Row],[ChargeTime]])</f>
        <v>33.333333333333336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73.228571428571428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57.291666666666671</v>
      </c>
    </row>
    <row r="5" spans="2:31">
      <c r="R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214</v>
      </c>
      <c r="E2" s="27" t="s">
        <v>204</v>
      </c>
      <c r="F2" s="27" t="s">
        <v>288</v>
      </c>
      <c r="G2" t="s">
        <v>15</v>
      </c>
      <c r="H2" t="s">
        <v>306</v>
      </c>
      <c r="I2" t="s">
        <v>212</v>
      </c>
      <c r="J2" t="s">
        <v>210</v>
      </c>
      <c r="K2" t="s">
        <v>292</v>
      </c>
      <c r="L2" t="s">
        <v>206</v>
      </c>
      <c r="M2" t="s">
        <v>213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473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474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475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G34" sqref="G34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543</v>
      </c>
      <c r="H2" t="s">
        <v>48</v>
      </c>
      <c r="I2" t="s">
        <v>93</v>
      </c>
    </row>
    <row r="3" spans="1:11">
      <c r="B3" s="27">
        <v>9001</v>
      </c>
      <c r="C3" s="30" t="s">
        <v>490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489</v>
      </c>
      <c r="D4">
        <v>7500</v>
      </c>
      <c r="E4">
        <v>1000</v>
      </c>
      <c r="F4">
        <v>1000</v>
      </c>
      <c r="G4">
        <v>500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399</v>
      </c>
      <c r="B6">
        <v>9100</v>
      </c>
      <c r="C6" s="16" t="s">
        <v>487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488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298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307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H14" sqref="H14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bestFit="1" customWidth="1"/>
    <col min="6" max="6" width="14.5" customWidth="1"/>
    <col min="7" max="7" width="12.796875" bestFit="1" customWidth="1"/>
    <col min="8" max="8" width="14" bestFit="1" customWidth="1"/>
    <col min="9" max="9" width="27.796875" bestFit="1" customWidth="1"/>
    <col min="10" max="10" width="17" bestFit="1" customWidth="1"/>
    <col min="11" max="11" width="19.296875" customWidth="1"/>
    <col min="12" max="12" width="17.5" bestFit="1" customWidth="1"/>
    <col min="13" max="13" width="15.69921875" bestFit="1" customWidth="1"/>
    <col min="14" max="14" width="17.19921875" bestFit="1" customWidth="1"/>
    <col min="15" max="15" width="12.69921875" bestFit="1" customWidth="1"/>
    <col min="16" max="16" width="17.69921875" bestFit="1" customWidth="1"/>
    <col min="17" max="17" width="16" bestFit="1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511</v>
      </c>
      <c r="D1" s="14" t="s">
        <v>399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495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510</v>
      </c>
      <c r="D2" s="15" t="s">
        <v>399</v>
      </c>
      <c r="E2" t="s">
        <v>128</v>
      </c>
      <c r="F2" s="19" t="s">
        <v>485</v>
      </c>
      <c r="G2" t="s">
        <v>300</v>
      </c>
      <c r="H2" t="s">
        <v>302</v>
      </c>
      <c r="I2" s="19" t="s">
        <v>515</v>
      </c>
      <c r="J2" t="s">
        <v>2</v>
      </c>
      <c r="K2" s="19" t="s">
        <v>496</v>
      </c>
      <c r="L2" t="s">
        <v>200</v>
      </c>
      <c r="M2" t="s">
        <v>195</v>
      </c>
      <c r="N2" t="s">
        <v>198</v>
      </c>
      <c r="O2" t="s">
        <v>299</v>
      </c>
      <c r="P2" t="s">
        <v>207</v>
      </c>
      <c r="Q2" t="s">
        <v>305</v>
      </c>
      <c r="R2" t="s">
        <v>303</v>
      </c>
      <c r="S2" t="s">
        <v>11</v>
      </c>
      <c r="T2" t="s">
        <v>308</v>
      </c>
      <c r="U2" s="5" t="s">
        <v>310</v>
      </c>
      <c r="V2" s="5" t="s">
        <v>328</v>
      </c>
    </row>
    <row r="3" spans="2:22">
      <c r="B3">
        <v>500</v>
      </c>
      <c r="C3" s="4" t="s">
        <v>40</v>
      </c>
      <c r="D3" s="16" t="s">
        <v>400</v>
      </c>
      <c r="E3">
        <f>표14[적 기준 체력]*EnemyGameData[[#This Row],['#기준 적 체력 비율]]</f>
        <v>20</v>
      </c>
      <c r="F3">
        <v>10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434</v>
      </c>
      <c r="D4" s="16" t="s">
        <v>402</v>
      </c>
      <c r="E4">
        <f>표14[적 기준 체력]*EnemyGameData[[#This Row],['#기준 적 체력 비율]]</f>
        <v>80</v>
      </c>
      <c r="F4">
        <v>10</v>
      </c>
      <c r="G4" t="s">
        <v>309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532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19" t="s">
        <v>509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336</v>
      </c>
      <c r="D5" s="16" t="s">
        <v>405</v>
      </c>
      <c r="E5">
        <f>표14[적 기준 체력]*EnemyGameData[[#This Row],['#기준 적 체력 비율]]</f>
        <v>100</v>
      </c>
      <c r="F5">
        <v>10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19" t="s">
        <v>509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243</v>
      </c>
      <c r="D6" s="16" t="s">
        <v>424</v>
      </c>
      <c r="E6">
        <f>표14[적 기준 체력]*EnemyGameData[[#This Row],['#기준 적 체력 비율]]</f>
        <v>80</v>
      </c>
      <c r="F6">
        <v>10</v>
      </c>
      <c r="G6" t="s">
        <v>309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19" t="s">
        <v>509</v>
      </c>
      <c r="U6">
        <v>0.8</v>
      </c>
      <c r="V6">
        <f>AVERAGE(EnemyGameData[[#This Row],[GoldDropMin]],EnemyGameData[[#This Row],[GoldDropMax]])</f>
        <v>2</v>
      </c>
    </row>
    <row r="7" spans="2:22" s="23" customFormat="1">
      <c r="B7" s="23">
        <v>504</v>
      </c>
      <c r="C7" s="24" t="s">
        <v>234</v>
      </c>
      <c r="D7" s="24" t="s">
        <v>432</v>
      </c>
      <c r="E7" s="23">
        <f>표14[적 기준 체력]*EnemyGameData[[#This Row],['#기준 적 체력 비율]]</f>
        <v>80</v>
      </c>
      <c r="F7">
        <v>10</v>
      </c>
      <c r="G7" s="23" t="s">
        <v>309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509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235</v>
      </c>
      <c r="D8" s="24" t="s">
        <v>432</v>
      </c>
      <c r="E8" s="23">
        <f>표14[적 기준 체력]*EnemyGameData[[#This Row],['#기준 적 체력 비율]]</f>
        <v>100</v>
      </c>
      <c r="F8">
        <v>10</v>
      </c>
      <c r="G8" s="23" t="s">
        <v>309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509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238</v>
      </c>
      <c r="D9" s="16" t="s">
        <v>430</v>
      </c>
      <c r="E9">
        <f>표14[적 기준 체력]*EnemyGameData[[#This Row],['#기준 적 체력 비율]]</f>
        <v>100</v>
      </c>
      <c r="F9">
        <v>10</v>
      </c>
      <c r="G9" t="s">
        <v>309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19" t="s">
        <v>509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360</v>
      </c>
      <c r="D10" s="4"/>
      <c r="E10">
        <v>2000</v>
      </c>
      <c r="F10">
        <v>10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436</v>
      </c>
      <c r="D11" s="16" t="s">
        <v>435</v>
      </c>
      <c r="E11">
        <f>표14[적 기준 체력]*EnemyGameData[[#This Row],['#기준 적 체력 비율]]</f>
        <v>80</v>
      </c>
      <c r="F11">
        <v>10</v>
      </c>
      <c r="G11" t="s">
        <v>309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216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19" t="s">
        <v>509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6" t="s">
        <v>428</v>
      </c>
      <c r="D12" s="16" t="s">
        <v>401</v>
      </c>
      <c r="E12">
        <f>표14[적 기준 체력]*EnemyGameData[[#This Row],['#기준 적 체력 비율]]</f>
        <v>140</v>
      </c>
      <c r="F12">
        <v>10</v>
      </c>
      <c r="G12" t="s">
        <v>309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216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19" t="s">
        <v>509</v>
      </c>
      <c r="U12">
        <v>1.4</v>
      </c>
      <c r="V12">
        <v>7</v>
      </c>
    </row>
    <row r="13" spans="2:22">
      <c r="B13" s="35">
        <v>551</v>
      </c>
      <c r="C13" s="36" t="s">
        <v>426</v>
      </c>
      <c r="D13" s="36" t="s">
        <v>406</v>
      </c>
      <c r="E13" s="35">
        <f>표14[적 기준 체력]*EnemyGameData[[#This Row],['#기준 적 체력 비율]]</f>
        <v>160</v>
      </c>
      <c r="F13" s="35">
        <v>10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509</v>
      </c>
      <c r="U13" s="35">
        <v>1.6</v>
      </c>
      <c r="V13" s="35">
        <v>7</v>
      </c>
    </row>
    <row r="14" spans="2:22">
      <c r="B14">
        <v>552</v>
      </c>
      <c r="C14" s="16" t="s">
        <v>427</v>
      </c>
      <c r="D14" s="16" t="s">
        <v>425</v>
      </c>
      <c r="E14">
        <f>표14[적 기준 체력]*EnemyGameData[[#This Row],['#기준 적 체력 비율]]</f>
        <v>140</v>
      </c>
      <c r="F14">
        <v>10</v>
      </c>
      <c r="G14" t="s">
        <v>309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19" t="s">
        <v>509</v>
      </c>
      <c r="U14">
        <v>1.4</v>
      </c>
      <c r="V14">
        <v>7</v>
      </c>
    </row>
    <row r="15" spans="2:22">
      <c r="B15">
        <v>553</v>
      </c>
      <c r="C15" s="17" t="s">
        <v>431</v>
      </c>
      <c r="D15" s="16" t="s">
        <v>429</v>
      </c>
      <c r="E15">
        <f>표14[적 기준 체력]*EnemyGameData[[#This Row],['#기준 적 체력 비율]]</f>
        <v>160</v>
      </c>
      <c r="F15">
        <v>10</v>
      </c>
      <c r="G15" t="s">
        <v>309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19" t="s">
        <v>509</v>
      </c>
      <c r="U15">
        <v>1.6</v>
      </c>
      <c r="V15">
        <f>AVERAGE(EnemyGameData[[#This Row],[GoldDropMin]],EnemyGameData[[#This Row],[GoldDropMax]])</f>
        <v>5</v>
      </c>
    </row>
    <row r="16" spans="2:22" s="23" customFormat="1">
      <c r="B16" s="23">
        <v>554</v>
      </c>
      <c r="C16" s="25" t="s">
        <v>433</v>
      </c>
      <c r="D16" s="24" t="s">
        <v>432</v>
      </c>
      <c r="E16" s="23">
        <f>표14[적 기준 체력]*EnemyGameData[[#This Row],['#기준 적 체력 비율]]</f>
        <v>20</v>
      </c>
      <c r="F16">
        <v>10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508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399</v>
      </c>
      <c r="I1" s="14" t="s">
        <v>399</v>
      </c>
    </row>
    <row r="2" spans="2:9">
      <c r="B2" t="s">
        <v>75</v>
      </c>
      <c r="C2" s="5" t="s">
        <v>43</v>
      </c>
      <c r="D2" t="s">
        <v>315</v>
      </c>
      <c r="E2" t="s">
        <v>126</v>
      </c>
      <c r="F2" t="s">
        <v>314</v>
      </c>
      <c r="G2" t="s">
        <v>311</v>
      </c>
      <c r="H2" s="14" t="s">
        <v>399</v>
      </c>
      <c r="I2" s="14" t="s">
        <v>458</v>
      </c>
    </row>
    <row r="3" spans="2:9">
      <c r="B3">
        <v>600</v>
      </c>
      <c r="C3" s="18" t="s">
        <v>450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407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407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407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407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407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407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407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407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407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446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454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454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454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445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341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341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341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444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451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452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453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479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479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479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479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479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479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479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479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479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479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479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479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479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479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479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479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455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456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457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439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439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439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439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439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439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439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439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439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439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439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439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440</v>
      </c>
      <c r="D57">
        <v>725</v>
      </c>
      <c r="E57" s="19" t="s">
        <v>437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440</v>
      </c>
      <c r="D58">
        <v>725</v>
      </c>
      <c r="E58" s="19" t="s">
        <v>437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441</v>
      </c>
      <c r="D59">
        <v>999</v>
      </c>
      <c r="E59" s="19" t="s">
        <v>438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2"/>
  <sheetViews>
    <sheetView topLeftCell="A73" zoomScaleNormal="75" zoomScaleSheetLayoutView="100" workbookViewId="0">
      <selection activeCell="B89" sqref="B89:B90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316</v>
      </c>
      <c r="E2" t="s">
        <v>11</v>
      </c>
      <c r="F2" t="s">
        <v>217</v>
      </c>
      <c r="G2" t="s">
        <v>319</v>
      </c>
    </row>
    <row r="3" spans="2:7">
      <c r="B3">
        <v>700</v>
      </c>
      <c r="C3" s="4" t="s">
        <v>334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415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494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494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493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493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493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493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493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493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494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494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493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493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493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493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493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493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600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600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600</v>
      </c>
      <c r="D91">
        <v>-30</v>
      </c>
      <c r="E91">
        <v>201</v>
      </c>
      <c r="F91">
        <v>0</v>
      </c>
      <c r="G91">
        <v>6.5</v>
      </c>
    </row>
    <row r="92" spans="2:7">
      <c r="B92">
        <v>999</v>
      </c>
      <c r="C92" s="19" t="s">
        <v>442</v>
      </c>
      <c r="D92">
        <v>0</v>
      </c>
      <c r="E92">
        <v>999</v>
      </c>
      <c r="F92">
        <v>8</v>
      </c>
      <c r="G92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2"/>
  <sheetViews>
    <sheetView zoomScaleNormal="7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331</v>
      </c>
      <c r="E2" t="s">
        <v>168</v>
      </c>
      <c r="F2" t="s">
        <v>301</v>
      </c>
      <c r="G2" t="s">
        <v>308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366</v>
      </c>
    </row>
    <row r="4" spans="2:7">
      <c r="B4">
        <v>201</v>
      </c>
      <c r="C4" s="14" t="s">
        <v>601</v>
      </c>
      <c r="D4" s="3" t="b">
        <v>0</v>
      </c>
      <c r="E4">
        <v>0.8</v>
      </c>
      <c r="F4">
        <v>20</v>
      </c>
      <c r="G4" s="14" t="s">
        <v>613</v>
      </c>
    </row>
    <row r="5" spans="2:7">
      <c r="B5">
        <v>500</v>
      </c>
      <c r="C5" s="4" t="s">
        <v>40</v>
      </c>
      <c r="D5" s="3" t="b">
        <v>0</v>
      </c>
      <c r="E5">
        <v>1</v>
      </c>
      <c r="F5">
        <v>60</v>
      </c>
      <c r="G5" t="s">
        <v>365</v>
      </c>
    </row>
    <row r="6" spans="2:7">
      <c r="B6">
        <v>501</v>
      </c>
      <c r="C6" s="4" t="s">
        <v>151</v>
      </c>
      <c r="D6" s="3" t="b">
        <v>0</v>
      </c>
      <c r="E6">
        <v>1</v>
      </c>
      <c r="F6">
        <v>60</v>
      </c>
      <c r="G6" t="s">
        <v>365</v>
      </c>
    </row>
    <row r="7" spans="2:7">
      <c r="B7">
        <v>400</v>
      </c>
      <c r="C7" s="4" t="s">
        <v>132</v>
      </c>
      <c r="D7" s="3" t="b">
        <v>0</v>
      </c>
      <c r="E7">
        <v>0.25</v>
      </c>
      <c r="F7">
        <v>25</v>
      </c>
      <c r="G7" t="s">
        <v>365</v>
      </c>
    </row>
    <row r="8" spans="2:7">
      <c r="B8">
        <v>401</v>
      </c>
      <c r="C8" s="4" t="s">
        <v>343</v>
      </c>
      <c r="D8" s="3" t="b">
        <v>1</v>
      </c>
      <c r="E8">
        <v>0.25</v>
      </c>
      <c r="F8">
        <v>25</v>
      </c>
      <c r="G8" t="s">
        <v>365</v>
      </c>
    </row>
    <row r="9" spans="2:7">
      <c r="B9">
        <v>402</v>
      </c>
      <c r="C9" s="4" t="s">
        <v>129</v>
      </c>
      <c r="D9" s="3" t="b">
        <v>0</v>
      </c>
      <c r="E9">
        <v>0.4</v>
      </c>
      <c r="F9">
        <v>25</v>
      </c>
      <c r="G9" t="s">
        <v>365</v>
      </c>
    </row>
    <row r="10" spans="2:7">
      <c r="B10">
        <v>403</v>
      </c>
      <c r="C10" s="16" t="s">
        <v>448</v>
      </c>
      <c r="D10" s="3" t="b">
        <v>0</v>
      </c>
      <c r="E10">
        <v>0.8</v>
      </c>
      <c r="F10">
        <v>25</v>
      </c>
      <c r="G10" t="s">
        <v>365</v>
      </c>
    </row>
    <row r="11" spans="2:7">
      <c r="B11">
        <v>404</v>
      </c>
      <c r="C11" s="16" t="s">
        <v>449</v>
      </c>
      <c r="D11" s="3" t="b">
        <v>1</v>
      </c>
      <c r="E11">
        <v>0.8</v>
      </c>
      <c r="F11">
        <v>25</v>
      </c>
      <c r="G11" t="s">
        <v>365</v>
      </c>
    </row>
    <row r="12" spans="2:7">
      <c r="B12">
        <v>999</v>
      </c>
      <c r="C12" s="21" t="s">
        <v>443</v>
      </c>
      <c r="D12" t="b">
        <v>1</v>
      </c>
      <c r="E12">
        <v>1</v>
      </c>
      <c r="F12">
        <v>25</v>
      </c>
      <c r="G12" s="19" t="s">
        <v>484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O1" zoomScale="70" zoomScaleNormal="70" zoomScaleSheetLayoutView="100" workbookViewId="0">
      <selection activeCell="U27" sqref="U27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4.69921875" customWidth="1"/>
    <col min="5" max="6" width="74.19921875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544</v>
      </c>
      <c r="F2" s="19" t="s">
        <v>545</v>
      </c>
      <c r="G2" t="s">
        <v>281</v>
      </c>
      <c r="H2" t="s">
        <v>88</v>
      </c>
      <c r="I2" t="s">
        <v>92</v>
      </c>
      <c r="J2" t="s">
        <v>282</v>
      </c>
      <c r="K2" t="s">
        <v>16</v>
      </c>
      <c r="L2" t="s">
        <v>193</v>
      </c>
      <c r="M2" s="5" t="s">
        <v>355</v>
      </c>
      <c r="N2" s="1" t="s">
        <v>49</v>
      </c>
      <c r="O2" s="1" t="s">
        <v>392</v>
      </c>
      <c r="P2" s="1" t="s">
        <v>393</v>
      </c>
      <c r="Q2" s="1" t="s">
        <v>394</v>
      </c>
      <c r="R2" s="26" t="s">
        <v>480</v>
      </c>
      <c r="S2" s="26" t="s">
        <v>472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3"/>
      <c r="O3" s="43"/>
      <c r="P3" s="43"/>
      <c r="Q3" s="43"/>
      <c r="R3" s="43"/>
      <c r="S3" s="43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3"/>
      <c r="O4" s="43"/>
      <c r="P4" s="43"/>
      <c r="Q4" s="43"/>
      <c r="R4" s="43"/>
      <c r="S4" s="43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3"/>
      <c r="O5" s="43"/>
      <c r="P5" s="43"/>
      <c r="Q5" s="43"/>
      <c r="R5" s="43"/>
      <c r="S5" s="43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3"/>
      <c r="O6" s="43"/>
      <c r="P6" s="43"/>
      <c r="Q6" s="43"/>
      <c r="R6" s="43"/>
      <c r="S6" s="43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3"/>
      <c r="O7" s="43"/>
      <c r="P7" s="43"/>
      <c r="Q7" s="43"/>
      <c r="R7" s="43"/>
      <c r="S7" s="43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340</v>
      </c>
      <c r="D8" s="14" t="s">
        <v>379</v>
      </c>
      <c r="E8" s="14" t="s">
        <v>546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255</v>
      </c>
      <c r="M8" s="22" t="str">
        <f>MID(ItemTable[[#This Row],[ItemIconPath]],FIND("icon",ItemTable[[#This Row],[ItemIconPath]]),999)</f>
        <v>icon/item/item_02.png</v>
      </c>
      <c r="N8" s="44" t="s">
        <v>379</v>
      </c>
      <c r="O8" s="43" t="s">
        <v>356</v>
      </c>
      <c r="P8" s="43"/>
      <c r="Q8" s="43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3"/>
      <c r="S8" s="43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395</v>
      </c>
      <c r="E9" t="s">
        <v>363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258</v>
      </c>
      <c r="M9" s="22" t="str">
        <f>MID(ItemTable[[#This Row],[ItemIconPath]],FIND("icon",ItemTable[[#This Row],[ItemIconPath]]),999)</f>
        <v>icon/item/item_04.png</v>
      </c>
      <c r="N9" s="44" t="s">
        <v>395</v>
      </c>
      <c r="O9" s="43" t="s">
        <v>363</v>
      </c>
      <c r="P9" s="43"/>
      <c r="Q9" s="43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3"/>
      <c r="S9" s="43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377</v>
      </c>
      <c r="E10" t="s">
        <v>352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252</v>
      </c>
      <c r="M10" s="22" t="str">
        <f>MID(ItemTable[[#This Row],[ItemIconPath]],FIND("icon",ItemTable[[#This Row],[ItemIconPath]]),999)</f>
        <v>icon/item/item_05.png</v>
      </c>
      <c r="N10" s="44" t="s">
        <v>377</v>
      </c>
      <c r="O10" s="43" t="s">
        <v>352</v>
      </c>
      <c r="P10" s="43"/>
      <c r="Q10" s="43" t="str">
        <f t="shared" si="0"/>
        <v>얼.죽.아 클럽의 새로운 유행입니다.\n\n&lt;size=20&gt;&lt;color=#97C456&gt;차징속도 +20%&lt;/color&gt;&lt;/size&gt;</v>
      </c>
      <c r="R10" s="43"/>
      <c r="S10" s="43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t="s">
        <v>160</v>
      </c>
      <c r="D11" s="19" t="s">
        <v>378</v>
      </c>
      <c r="E11" s="19" t="s">
        <v>547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250</v>
      </c>
      <c r="M11" s="22" t="str">
        <f>MID(ItemTable[[#This Row],[ItemIconPath]],FIND("icon",ItemTable[[#This Row],[ItemIconPath]]),999)</f>
        <v>icon/item/item_07.png</v>
      </c>
      <c r="N11" s="44" t="s">
        <v>378</v>
      </c>
      <c r="O11" s="43" t="s">
        <v>351</v>
      </c>
      <c r="P11" s="43"/>
      <c r="Q11" s="43" t="str">
        <f t="shared" si="0"/>
        <v>배트 이외의 물건에 사용하지 마시오\nQT추출물 0.0006% 함유\nQT향 0.1%함유\n\n&lt;size=20&gt;&lt;color=#97C456&gt;공 충돌횟수 +1&lt;/color&gt;&lt;/size&gt;</v>
      </c>
      <c r="R11" s="43"/>
      <c r="S11" s="43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482</v>
      </c>
      <c r="E12" s="28" t="s">
        <v>548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253</v>
      </c>
      <c r="M12" s="22" t="str">
        <f>MID(ItemTable[[#This Row],[ItemIconPath]],FIND("icon",ItemTable[[#This Row],[ItemIconPath]]),999)</f>
        <v>icon/item/item_11.png</v>
      </c>
      <c r="N12" s="44" t="s">
        <v>482</v>
      </c>
      <c r="O12" s="44" t="s">
        <v>476</v>
      </c>
      <c r="P12" s="43"/>
      <c r="Q12" s="43" t="str">
        <f t="shared" si="0"/>
        <v>시크한 표정이 매력적입니다.\n세 나라 이야기의 붉은 목마 입니다.\n\n&lt;size=20&gt;&lt;color=#97C456&gt;이동속도 +6&lt;/color&gt;&lt;/size&gt;</v>
      </c>
      <c r="R12" s="43"/>
      <c r="S12" s="43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391</v>
      </c>
      <c r="E13" t="s">
        <v>349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254</v>
      </c>
      <c r="M13" s="22" t="str">
        <f>MID(ItemTable[[#This Row],[ItemIconPath]],FIND("icon",ItemTable[[#This Row],[ItemIconPath]]),999)</f>
        <v>icon/item/item_15.png</v>
      </c>
      <c r="N13" s="44" t="s">
        <v>391</v>
      </c>
      <c r="O13" s="43" t="s">
        <v>349</v>
      </c>
      <c r="P13" s="43"/>
      <c r="Q13" s="43" t="str">
        <f t="shared" si="0"/>
        <v>대나무 향을 머금은 흰 밥이\n까만 김을 만나 완성된 환상적인 조합.\n\n&lt;size=20&gt;&lt;color=#97C456&gt;최대 체력 +1하트&lt;/color&gt;&lt;/size&gt;</v>
      </c>
      <c r="R13" s="43"/>
      <c r="S13" s="43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t="s">
        <v>59</v>
      </c>
      <c r="D14" s="28" t="s">
        <v>398</v>
      </c>
      <c r="E14" s="28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256</v>
      </c>
      <c r="M14" s="22" t="str">
        <f>MID(ItemTable[[#This Row],[ItemIconPath]],FIND("icon",ItemTable[[#This Row],[ItemIconPath]]),999)</f>
        <v>icon/item/item_17.png</v>
      </c>
      <c r="N14" s="44" t="s">
        <v>398</v>
      </c>
      <c r="O14" s="44" t="s">
        <v>477</v>
      </c>
      <c r="P14" s="43"/>
      <c r="Q14" s="43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4" t="s">
        <v>483</v>
      </c>
      <c r="S14" s="43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380</v>
      </c>
      <c r="D15" s="19" t="s">
        <v>397</v>
      </c>
      <c r="E15" t="s">
        <v>36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259</v>
      </c>
      <c r="M15" s="22" t="str">
        <f>MID(ItemTable[[#This Row],[ItemIconPath]],FIND("icon",ItemTable[[#This Row],[ItemIconPath]]),999)</f>
        <v>icon/item/item_12.png</v>
      </c>
      <c r="N15" s="44" t="s">
        <v>397</v>
      </c>
      <c r="O15" s="43" t="s">
        <v>36</v>
      </c>
      <c r="P15" s="43"/>
      <c r="Q15" s="43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3"/>
      <c r="S15" s="43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390</v>
      </c>
      <c r="E16" t="s">
        <v>549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261</v>
      </c>
      <c r="M16" s="22" t="str">
        <f>MID(ItemTable[[#This Row],[ItemIconPath]],FIND("icon",ItemTable[[#This Row],[ItemIconPath]]),999)</f>
        <v>icon/item/item_09.png</v>
      </c>
      <c r="N16" s="44" t="s">
        <v>390</v>
      </c>
      <c r="O16" s="44" t="s">
        <v>478</v>
      </c>
      <c r="P16" s="43"/>
      <c r="Q16" s="43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3"/>
      <c r="S16" s="43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337</v>
      </c>
      <c r="D17" s="19" t="s">
        <v>381</v>
      </c>
      <c r="E17" t="s">
        <v>348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262</v>
      </c>
      <c r="M17" s="22" t="str">
        <f>MID(ItemTable[[#This Row],[ItemIconPath]],FIND("icon",ItemTable[[#This Row],[ItemIconPath]]),999)</f>
        <v>icon/item/item_10.png</v>
      </c>
      <c r="N17" s="44" t="s">
        <v>381</v>
      </c>
      <c r="O17" s="43" t="s">
        <v>348</v>
      </c>
      <c r="P17" s="43"/>
      <c r="Q17" s="43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3"/>
      <c r="S17" s="43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354</v>
      </c>
      <c r="D18" s="19" t="s">
        <v>385</v>
      </c>
      <c r="E18" t="s">
        <v>350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263</v>
      </c>
      <c r="M18" s="22" t="str">
        <f>MID(ItemTable[[#This Row],[ItemIconPath]],FIND("icon",ItemTable[[#This Row],[ItemIconPath]]),999)</f>
        <v>icon/item/item_16.png</v>
      </c>
      <c r="N18" s="44" t="s">
        <v>385</v>
      </c>
      <c r="O18" s="43" t="s">
        <v>350</v>
      </c>
      <c r="P18" s="43"/>
      <c r="Q18" s="43" t="str">
        <f t="shared" si="0"/>
        <v>종교적인 용도로 보이는 컵입니다.\n잠깐, 방금 조금 움직인 것 같은데요?\n\n&lt;size=20&gt;&lt;color=#97C456&gt;공 충돌횟수 +2&lt;/color&gt;&lt;/size&gt;</v>
      </c>
      <c r="R18" s="43"/>
      <c r="S18" s="43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t="s">
        <v>164</v>
      </c>
      <c r="D19" s="19" t="s">
        <v>382</v>
      </c>
      <c r="E19" t="s">
        <v>550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265</v>
      </c>
      <c r="M19" s="22" t="str">
        <f>MID(ItemTable[[#This Row],[ItemIconPath]],FIND("icon",ItemTable[[#This Row],[ItemIconPath]]),999)</f>
        <v>icon/item/item_03.png</v>
      </c>
      <c r="N19" s="44" t="s">
        <v>382</v>
      </c>
      <c r="O19" s="44" t="s">
        <v>386</v>
      </c>
      <c r="P19" s="43"/>
      <c r="Q19" s="43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3"/>
      <c r="S19" s="43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589</v>
      </c>
      <c r="D20" s="19" t="s">
        <v>590</v>
      </c>
      <c r="E20" s="19" t="s">
        <v>591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597</v>
      </c>
      <c r="M20" s="22" t="str">
        <f>MID(ItemTable[[#This Row],[ItemIconPath]],FIND("icon",ItemTable[[#This Row],[ItemIconPath]]),999)</f>
        <v>icon/item/item_01.png</v>
      </c>
      <c r="N20" s="44" t="s">
        <v>382</v>
      </c>
      <c r="O20" s="44" t="s">
        <v>386</v>
      </c>
      <c r="P20" s="43"/>
      <c r="Q20" s="43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3"/>
      <c r="S20" s="43" t="str">
        <f>IF(ItemTable[[#This Row],['#4]]=ItemTable[[#This Row],[Desc]],"T","F")</f>
        <v>F</v>
      </c>
    </row>
    <row r="21" spans="2:19">
      <c r="B21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t="s">
        <v>159</v>
      </c>
      <c r="D21" s="19" t="s">
        <v>389</v>
      </c>
      <c r="E21" s="19" t="s">
        <v>551</v>
      </c>
      <c r="F21" t="s">
        <v>358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274</v>
      </c>
      <c r="M21" s="22" t="str">
        <f>MID(ItemTable[[#This Row],[ItemIconPath]],FIND("icon",ItemTable[[#This Row],[ItemIconPath]]),999)</f>
        <v>icon/item/item_06.png</v>
      </c>
      <c r="N21" s="44" t="s">
        <v>389</v>
      </c>
      <c r="O21" s="43" t="s">
        <v>362</v>
      </c>
      <c r="P21" s="43" t="s">
        <v>358</v>
      </c>
      <c r="Q21" s="43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3"/>
      <c r="S21" s="43" t="str">
        <f>IF(ItemTable[[#This Row],['#4]]=ItemTable[[#This Row],[Desc]],"T","F")</f>
        <v>F</v>
      </c>
    </row>
    <row r="22" spans="2:19">
      <c r="B2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t="s">
        <v>155</v>
      </c>
      <c r="D22" s="14" t="s">
        <v>383</v>
      </c>
      <c r="E22" s="14" t="s">
        <v>594</v>
      </c>
      <c r="F22" s="14" t="s">
        <v>552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277</v>
      </c>
      <c r="M22" s="22" t="str">
        <f>MID(ItemTable[[#This Row],[ItemIconPath]],FIND("icon",ItemTable[[#This Row],[ItemIconPath]]),999)</f>
        <v>icon/item/item_08.png</v>
      </c>
      <c r="N22" s="44" t="s">
        <v>383</v>
      </c>
      <c r="O22" s="43" t="s">
        <v>357</v>
      </c>
      <c r="P22" s="43" t="s">
        <v>359</v>
      </c>
      <c r="Q22" s="43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3"/>
      <c r="S22" s="43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346</v>
      </c>
      <c r="D23" s="19" t="s">
        <v>554</v>
      </c>
      <c r="E23" t="s">
        <v>553</v>
      </c>
      <c r="F23" t="s">
        <v>241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275</v>
      </c>
      <c r="M23" s="22" t="str">
        <f>MID(ItemTable[[#This Row],[ItemIconPath]],FIND("icon",ItemTable[[#This Row],[ItemIconPath]]),999)</f>
        <v>icon/item/item_14.png</v>
      </c>
      <c r="N23" s="44" t="s">
        <v>388</v>
      </c>
      <c r="O23" s="44" t="s">
        <v>471</v>
      </c>
      <c r="P23" s="43" t="s">
        <v>241</v>
      </c>
      <c r="Q23" s="43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4" t="s">
        <v>481</v>
      </c>
      <c r="S23" s="43" t="str">
        <f>IF(ItemTable[[#This Row],['#4]]=ItemTable[[#This Row],[Desc]],"T","F")</f>
        <v>F</v>
      </c>
    </row>
    <row r="24" spans="2:19">
      <c r="B24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t="s">
        <v>338</v>
      </c>
      <c r="D24" s="19" t="s">
        <v>384</v>
      </c>
      <c r="E24" t="s">
        <v>353</v>
      </c>
      <c r="F24" t="s">
        <v>361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276</v>
      </c>
      <c r="M24" s="22" t="str">
        <f>MID(ItemTable[[#This Row],[ItemIconPath]],FIND("icon",ItemTable[[#This Row],[ItemIconPath]]),999)</f>
        <v>icon/item/item_01.png</v>
      </c>
      <c r="N24" s="44" t="s">
        <v>384</v>
      </c>
      <c r="O24" s="43" t="s">
        <v>353</v>
      </c>
      <c r="P24" s="43" t="s">
        <v>361</v>
      </c>
      <c r="Q24" s="43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3"/>
      <c r="S24" s="43" t="str">
        <f>IF(ItemTable[[#This Row],['#4]]=ItemTable[[#This Row],[Desc]],"T","F")</f>
        <v>F</v>
      </c>
    </row>
    <row r="25" spans="2:19">
      <c r="B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14" t="s">
        <v>611</v>
      </c>
      <c r="D25" s="14" t="s">
        <v>396</v>
      </c>
      <c r="E25" s="14" t="s">
        <v>555</v>
      </c>
      <c r="F25" s="14" t="s">
        <v>364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260</v>
      </c>
      <c r="M25" s="22" t="str">
        <f>MID(ItemTable[[#This Row],[ItemIconPath]],FIND("icon",ItemTable[[#This Row],[ItemIconPath]]),999)</f>
        <v>icon/item/item_13.png</v>
      </c>
      <c r="N25" s="44" t="s">
        <v>396</v>
      </c>
      <c r="O25" s="44" t="s">
        <v>387</v>
      </c>
      <c r="P25" s="43" t="s">
        <v>364</v>
      </c>
      <c r="Q25" s="43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3"/>
      <c r="S25" s="43" t="str">
        <f>IF(ItemTable[[#This Row],['#4]]=ItemTable[[#This Row],[Desc]],"T","F")</f>
        <v>F</v>
      </c>
    </row>
    <row r="26" spans="2:19">
      <c r="B26" s="22">
        <v>10000</v>
      </c>
      <c r="C26" s="17" t="s">
        <v>585</v>
      </c>
      <c r="D26" s="17" t="s">
        <v>607</v>
      </c>
      <c r="E26" s="21" t="s">
        <v>586</v>
      </c>
      <c r="F26" s="21"/>
      <c r="G26" s="19" t="s">
        <v>543</v>
      </c>
      <c r="H26">
        <v>1</v>
      </c>
      <c r="I26">
        <v>50</v>
      </c>
      <c r="J26">
        <v>100</v>
      </c>
      <c r="K26">
        <v>10000</v>
      </c>
      <c r="L26" s="14" t="s">
        <v>597</v>
      </c>
      <c r="M26" s="22" t="str">
        <f>MID(ItemTable[[#This Row],[ItemIconPath]],FIND("icon",ItemTable[[#This Row],[ItemIconPath]]),999)</f>
        <v>icon/item/item_01.png</v>
      </c>
      <c r="N26" s="43"/>
      <c r="O26" s="43"/>
      <c r="P26" s="43"/>
      <c r="Q26" s="43"/>
      <c r="R26" s="43"/>
      <c r="S26" s="43" t="str">
        <f>IF(ItemTable[[#This Row],['#4]]=ItemTable[[#This Row],[Desc]],"T","F")</f>
        <v>F</v>
      </c>
    </row>
    <row r="27" spans="2:19">
      <c r="B27" s="39">
        <v>10001</v>
      </c>
      <c r="C27" s="41" t="s">
        <v>602</v>
      </c>
      <c r="D27" s="41" t="s">
        <v>608</v>
      </c>
      <c r="E27" s="41" t="s">
        <v>605</v>
      </c>
      <c r="F27" s="41"/>
      <c r="G27" s="19" t="s">
        <v>543</v>
      </c>
      <c r="H27">
        <v>1</v>
      </c>
      <c r="I27">
        <v>50</v>
      </c>
      <c r="J27">
        <v>100</v>
      </c>
      <c r="K27">
        <v>10001</v>
      </c>
      <c r="L27" s="14" t="s">
        <v>255</v>
      </c>
      <c r="M27" s="22" t="str">
        <f>MID(ItemTable[[#This Row],[ItemIconPath]],FIND("icon",ItemTable[[#This Row],[ItemIconPath]]),999)</f>
        <v>icon/item/item_02.png</v>
      </c>
      <c r="N27" s="43"/>
      <c r="O27" s="43"/>
      <c r="P27" s="43"/>
      <c r="Q27" s="43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3"/>
      <c r="S27" s="43" t="str">
        <f>IF(ItemTable[[#This Row],['#4]]=ItemTable[[#This Row],[Desc]],"T","F")</f>
        <v>F</v>
      </c>
    </row>
    <row r="28" spans="2:19">
      <c r="B28" s="39">
        <v>10002</v>
      </c>
      <c r="C28" s="41" t="s">
        <v>603</v>
      </c>
      <c r="D28" s="41" t="s">
        <v>609</v>
      </c>
      <c r="E28" s="41" t="s">
        <v>604</v>
      </c>
      <c r="F28" s="41"/>
      <c r="G28" s="19" t="s">
        <v>543</v>
      </c>
      <c r="H28">
        <v>1</v>
      </c>
      <c r="I28">
        <v>50</v>
      </c>
      <c r="J28">
        <v>100</v>
      </c>
      <c r="K28">
        <v>10002</v>
      </c>
      <c r="L28" s="14" t="s">
        <v>265</v>
      </c>
      <c r="M28" s="22" t="str">
        <f>MID(ItemTable[[#This Row],[ItemIconPath]],FIND("icon",ItemTable[[#This Row],[ItemIconPath]]),999)</f>
        <v>icon/item/item_03.png</v>
      </c>
      <c r="N28" s="43"/>
      <c r="O28" s="43"/>
      <c r="P28" s="43"/>
      <c r="Q28" s="43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3"/>
      <c r="S28" s="43" t="str">
        <f>IF(ItemTable[[#This Row],['#4]]=ItemTable[[#This Row],[Desc]],"T","F")</f>
        <v>F</v>
      </c>
    </row>
    <row r="29" spans="2:19">
      <c r="B29" s="39">
        <v>10003</v>
      </c>
      <c r="C29" s="41" t="s">
        <v>587</v>
      </c>
      <c r="D29" s="41" t="s">
        <v>610</v>
      </c>
      <c r="E29" s="41" t="s">
        <v>606</v>
      </c>
      <c r="F29" s="41"/>
      <c r="G29" s="19" t="s">
        <v>543</v>
      </c>
      <c r="H29">
        <v>1</v>
      </c>
      <c r="I29">
        <v>50</v>
      </c>
      <c r="J29">
        <v>100</v>
      </c>
      <c r="K29">
        <v>10003</v>
      </c>
      <c r="L29" s="14" t="s">
        <v>258</v>
      </c>
      <c r="M29" s="22" t="str">
        <f>MID(ItemTable[[#This Row],[ItemIconPath]],FIND("icon",ItemTable[[#This Row],[ItemIconPath]]),999)</f>
        <v>icon/item/item_04.png</v>
      </c>
      <c r="N29" s="43"/>
      <c r="O29" s="43"/>
      <c r="P29" s="43"/>
      <c r="Q29" s="43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3"/>
      <c r="S29" s="43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H34"/>
  <sheetViews>
    <sheetView topLeftCell="A4" zoomScale="70" zoomScaleNormal="70" zoomScaleSheetLayoutView="100" workbookViewId="0">
      <selection activeCell="D30" sqref="D30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8">
      <c r="B1" t="s">
        <v>46</v>
      </c>
      <c r="C1" t="s">
        <v>124</v>
      </c>
      <c r="D1" s="19" t="s">
        <v>511</v>
      </c>
      <c r="E1" s="19" t="s">
        <v>513</v>
      </c>
      <c r="F1" s="19" t="s">
        <v>506</v>
      </c>
      <c r="G1" s="19"/>
      <c r="H1" s="19"/>
    </row>
    <row r="2" spans="2:8">
      <c r="B2" t="s">
        <v>75</v>
      </c>
      <c r="C2" s="19" t="s">
        <v>502</v>
      </c>
      <c r="D2" s="19" t="s">
        <v>512</v>
      </c>
      <c r="E2" s="1" t="s">
        <v>13</v>
      </c>
      <c r="F2" s="37" t="s">
        <v>514</v>
      </c>
      <c r="G2" s="45" t="s">
        <v>556</v>
      </c>
      <c r="H2" s="37" t="s">
        <v>568</v>
      </c>
    </row>
    <row r="3" spans="2:8">
      <c r="B3" s="19">
        <v>7000</v>
      </c>
      <c r="C3" s="11" t="s">
        <v>218</v>
      </c>
      <c r="D3">
        <v>0.7</v>
      </c>
      <c r="E3" t="s">
        <v>347</v>
      </c>
      <c r="F3">
        <v>-1</v>
      </c>
      <c r="G3" s="17" t="s">
        <v>562</v>
      </c>
      <c r="H3" s="17"/>
    </row>
    <row r="4" spans="2:8">
      <c r="B4" s="19">
        <v>7001</v>
      </c>
      <c r="C4" s="11" t="s">
        <v>317</v>
      </c>
      <c r="D4" s="11">
        <v>1.2</v>
      </c>
      <c r="E4" t="s">
        <v>347</v>
      </c>
      <c r="F4">
        <v>-1</v>
      </c>
      <c r="G4" s="17" t="s">
        <v>563</v>
      </c>
      <c r="H4" s="17"/>
    </row>
    <row r="5" spans="2:8">
      <c r="B5" s="19">
        <v>7002</v>
      </c>
      <c r="C5" s="19" t="s">
        <v>533</v>
      </c>
      <c r="D5" s="11">
        <v>0.8</v>
      </c>
      <c r="E5" t="s">
        <v>347</v>
      </c>
      <c r="F5">
        <v>-1</v>
      </c>
      <c r="G5" s="17" t="s">
        <v>565</v>
      </c>
      <c r="H5" s="17"/>
    </row>
    <row r="6" spans="2:8">
      <c r="B6" s="19">
        <v>7003</v>
      </c>
      <c r="C6" s="40" t="s">
        <v>519</v>
      </c>
      <c r="D6">
        <v>1</v>
      </c>
      <c r="E6" t="s">
        <v>521</v>
      </c>
      <c r="F6">
        <v>-1</v>
      </c>
      <c r="G6" s="17" t="s">
        <v>564</v>
      </c>
      <c r="H6" s="17"/>
    </row>
    <row r="7" spans="2:8">
      <c r="B7" s="19">
        <v>7003</v>
      </c>
      <c r="C7" s="40" t="s">
        <v>520</v>
      </c>
      <c r="D7">
        <v>1</v>
      </c>
      <c r="E7" t="s">
        <v>521</v>
      </c>
      <c r="F7">
        <v>-1</v>
      </c>
      <c r="G7" s="17" t="s">
        <v>564</v>
      </c>
      <c r="H7" s="17"/>
    </row>
    <row r="8" spans="2:8">
      <c r="B8" s="19">
        <v>7004</v>
      </c>
      <c r="C8" s="11" t="s">
        <v>2</v>
      </c>
      <c r="D8">
        <v>1.2</v>
      </c>
      <c r="E8" t="s">
        <v>521</v>
      </c>
      <c r="F8">
        <v>-1</v>
      </c>
      <c r="G8" s="17" t="s">
        <v>566</v>
      </c>
      <c r="H8" s="17"/>
    </row>
    <row r="9" spans="2:8">
      <c r="B9" s="19">
        <v>7005</v>
      </c>
      <c r="C9" s="11" t="s">
        <v>55</v>
      </c>
      <c r="D9">
        <v>25</v>
      </c>
      <c r="E9" t="s">
        <v>521</v>
      </c>
      <c r="F9">
        <v>-1</v>
      </c>
      <c r="G9" s="17" t="s">
        <v>567</v>
      </c>
      <c r="H9" s="17"/>
    </row>
    <row r="10" spans="2:8">
      <c r="B10" s="19">
        <v>8000</v>
      </c>
      <c r="C10" s="11" t="s">
        <v>318</v>
      </c>
      <c r="D10" s="14">
        <v>0.3</v>
      </c>
      <c r="E10" t="s">
        <v>521</v>
      </c>
      <c r="F10">
        <v>5</v>
      </c>
      <c r="G10" s="20" t="s">
        <v>593</v>
      </c>
      <c r="H10" s="47"/>
    </row>
    <row r="11" spans="2:8">
      <c r="B11" s="19">
        <v>8001</v>
      </c>
      <c r="C11" s="11" t="s">
        <v>318</v>
      </c>
      <c r="D11" s="14" t="s">
        <v>522</v>
      </c>
      <c r="E11" t="s">
        <v>521</v>
      </c>
      <c r="F11">
        <v>-1</v>
      </c>
      <c r="G11" s="17" t="s">
        <v>570</v>
      </c>
      <c r="H11" s="22"/>
    </row>
    <row r="12" spans="2:8">
      <c r="B12" s="19">
        <v>8002</v>
      </c>
      <c r="C12" t="s">
        <v>318</v>
      </c>
      <c r="D12">
        <v>0.1</v>
      </c>
      <c r="E12" t="s">
        <v>521</v>
      </c>
      <c r="F12">
        <v>-1</v>
      </c>
      <c r="G12" s="17" t="s">
        <v>573</v>
      </c>
      <c r="H12" s="22"/>
    </row>
    <row r="13" spans="2:8">
      <c r="B13" s="19">
        <v>8002</v>
      </c>
      <c r="C13" t="s">
        <v>2</v>
      </c>
      <c r="D13">
        <v>0.5</v>
      </c>
      <c r="E13" t="s">
        <v>521</v>
      </c>
      <c r="F13">
        <v>-1</v>
      </c>
      <c r="G13" s="17" t="s">
        <v>571</v>
      </c>
      <c r="H13" s="22"/>
    </row>
    <row r="14" spans="2:8">
      <c r="B14" s="19">
        <v>8002</v>
      </c>
      <c r="C14" t="s">
        <v>218</v>
      </c>
      <c r="D14">
        <v>-0.1</v>
      </c>
      <c r="E14" t="s">
        <v>521</v>
      </c>
      <c r="F14">
        <v>-1</v>
      </c>
      <c r="G14" s="17" t="s">
        <v>572</v>
      </c>
      <c r="H14" s="22"/>
    </row>
    <row r="15" spans="2:8">
      <c r="B15" s="19">
        <v>8003</v>
      </c>
      <c r="C15" t="s">
        <v>279</v>
      </c>
      <c r="D15">
        <v>0.5</v>
      </c>
      <c r="E15" t="s">
        <v>521</v>
      </c>
      <c r="F15">
        <v>-1</v>
      </c>
      <c r="G15" s="17" t="s">
        <v>574</v>
      </c>
      <c r="H15" s="22"/>
    </row>
    <row r="16" spans="2:8">
      <c r="B16" s="19">
        <v>8004</v>
      </c>
      <c r="C16" s="11" t="s">
        <v>24</v>
      </c>
      <c r="D16">
        <v>2</v>
      </c>
      <c r="E16" t="s">
        <v>521</v>
      </c>
      <c r="F16">
        <v>-1</v>
      </c>
      <c r="G16" s="17" t="s">
        <v>575</v>
      </c>
      <c r="H16" s="22"/>
    </row>
    <row r="17" spans="2:8">
      <c r="B17" s="19">
        <v>8004</v>
      </c>
      <c r="C17" s="11" t="s">
        <v>30</v>
      </c>
      <c r="D17">
        <v>2</v>
      </c>
      <c r="E17" t="s">
        <v>521</v>
      </c>
      <c r="F17">
        <v>-1</v>
      </c>
      <c r="G17" s="17" t="s">
        <v>575</v>
      </c>
      <c r="H17" s="22"/>
    </row>
    <row r="18" spans="2:8">
      <c r="B18" s="19">
        <v>8005</v>
      </c>
      <c r="C18" s="11" t="s">
        <v>318</v>
      </c>
      <c r="D18" t="s">
        <v>523</v>
      </c>
      <c r="E18" t="s">
        <v>521</v>
      </c>
      <c r="F18">
        <v>-1</v>
      </c>
      <c r="G18" s="20" t="s">
        <v>576</v>
      </c>
      <c r="H18" s="47" t="s">
        <v>569</v>
      </c>
    </row>
    <row r="19" spans="2:8">
      <c r="B19" s="19">
        <v>9000</v>
      </c>
      <c r="C19" s="11" t="s">
        <v>218</v>
      </c>
      <c r="D19">
        <v>1.2</v>
      </c>
      <c r="E19" t="s">
        <v>347</v>
      </c>
      <c r="F19">
        <v>-1</v>
      </c>
      <c r="G19" s="17" t="s">
        <v>577</v>
      </c>
      <c r="H19" s="22"/>
    </row>
    <row r="20" spans="2:8">
      <c r="B20" s="19">
        <v>9000</v>
      </c>
      <c r="C20" s="11" t="s">
        <v>339</v>
      </c>
      <c r="D20">
        <v>0.55000000000000004</v>
      </c>
      <c r="E20" t="s">
        <v>347</v>
      </c>
      <c r="F20">
        <v>-1</v>
      </c>
      <c r="G20" s="17" t="s">
        <v>578</v>
      </c>
      <c r="H20" s="22"/>
    </row>
    <row r="21" spans="2:8">
      <c r="B21" s="19">
        <v>9001</v>
      </c>
      <c r="C21" t="s">
        <v>2</v>
      </c>
      <c r="D21">
        <v>0.7</v>
      </c>
      <c r="E21" t="s">
        <v>347</v>
      </c>
      <c r="F21">
        <v>-1</v>
      </c>
      <c r="G21" s="17" t="s">
        <v>579</v>
      </c>
      <c r="H21" s="22"/>
    </row>
    <row r="22" spans="2:8">
      <c r="B22" s="19">
        <v>9001</v>
      </c>
      <c r="C22" s="48" t="s">
        <v>596</v>
      </c>
      <c r="D22">
        <v>0.6</v>
      </c>
      <c r="E22" t="s">
        <v>347</v>
      </c>
      <c r="F22">
        <v>-1</v>
      </c>
      <c r="G22" s="17" t="s">
        <v>595</v>
      </c>
      <c r="H22" s="22"/>
    </row>
    <row r="23" spans="2:8">
      <c r="B23" s="19">
        <v>9002</v>
      </c>
      <c r="C23" t="s">
        <v>318</v>
      </c>
      <c r="D23">
        <v>1</v>
      </c>
      <c r="E23" t="s">
        <v>521</v>
      </c>
      <c r="F23">
        <v>-1</v>
      </c>
      <c r="G23" s="17" t="s">
        <v>580</v>
      </c>
      <c r="H23" s="22"/>
    </row>
    <row r="24" spans="2:8">
      <c r="B24" s="19">
        <v>9003</v>
      </c>
      <c r="C24" s="11" t="s">
        <v>55</v>
      </c>
      <c r="D24">
        <v>-50</v>
      </c>
      <c r="E24" t="s">
        <v>521</v>
      </c>
      <c r="F24">
        <v>-1</v>
      </c>
      <c r="G24" s="17" t="s">
        <v>581</v>
      </c>
      <c r="H24" s="22"/>
    </row>
    <row r="25" spans="2:8">
      <c r="B25" s="19">
        <v>9003</v>
      </c>
      <c r="C25" t="s">
        <v>318</v>
      </c>
      <c r="D25">
        <v>0.6</v>
      </c>
      <c r="E25" t="s">
        <v>521</v>
      </c>
      <c r="F25">
        <v>-1</v>
      </c>
      <c r="G25" s="17" t="s">
        <v>582</v>
      </c>
      <c r="H25" s="22"/>
    </row>
    <row r="26" spans="2:8">
      <c r="B26" s="19">
        <v>9004</v>
      </c>
      <c r="C26" s="11" t="s">
        <v>24</v>
      </c>
      <c r="D26">
        <v>-1</v>
      </c>
      <c r="E26" t="s">
        <v>521</v>
      </c>
      <c r="F26">
        <v>-1</v>
      </c>
      <c r="G26" s="17" t="s">
        <v>583</v>
      </c>
      <c r="H26" s="22"/>
    </row>
    <row r="27" spans="2:8">
      <c r="B27" s="19">
        <v>9004</v>
      </c>
      <c r="C27" s="11" t="s">
        <v>30</v>
      </c>
      <c r="D27">
        <v>-1</v>
      </c>
      <c r="E27" t="s">
        <v>521</v>
      </c>
      <c r="F27">
        <v>-1</v>
      </c>
      <c r="G27" s="17" t="s">
        <v>583</v>
      </c>
      <c r="H27" s="22"/>
    </row>
    <row r="28" spans="2:8">
      <c r="B28" s="19">
        <v>9004</v>
      </c>
      <c r="C28" t="s">
        <v>186</v>
      </c>
      <c r="D28">
        <v>1</v>
      </c>
      <c r="E28" t="s">
        <v>524</v>
      </c>
      <c r="F28">
        <v>-1</v>
      </c>
      <c r="G28" s="17" t="s">
        <v>584</v>
      </c>
      <c r="H28" s="22"/>
    </row>
    <row r="29" spans="2:8">
      <c r="B29" s="39">
        <v>10002</v>
      </c>
      <c r="C29" t="s">
        <v>2</v>
      </c>
      <c r="D29">
        <v>2.5</v>
      </c>
      <c r="E29" t="s">
        <v>347</v>
      </c>
      <c r="F29">
        <v>5</v>
      </c>
      <c r="G29" s="22"/>
      <c r="H29" s="22"/>
    </row>
    <row r="30" spans="2:8">
      <c r="B30" s="39">
        <v>10002</v>
      </c>
      <c r="C30" t="s">
        <v>28</v>
      </c>
      <c r="D30">
        <v>0.2</v>
      </c>
      <c r="E30" t="s">
        <v>347</v>
      </c>
      <c r="F30">
        <v>5</v>
      </c>
      <c r="G30" s="22"/>
      <c r="H30" s="22"/>
    </row>
    <row r="31" spans="2:8">
      <c r="B31" s="39">
        <v>10002</v>
      </c>
      <c r="C31" t="s">
        <v>227</v>
      </c>
      <c r="D31">
        <v>3</v>
      </c>
      <c r="E31" t="s">
        <v>347</v>
      </c>
      <c r="F31">
        <v>5</v>
      </c>
      <c r="G31" s="22"/>
      <c r="H31" s="22"/>
    </row>
    <row r="32" spans="2:8">
      <c r="B32" s="39">
        <v>10002</v>
      </c>
      <c r="C32" t="s">
        <v>197</v>
      </c>
      <c r="D32">
        <v>0.05</v>
      </c>
      <c r="E32" t="s">
        <v>347</v>
      </c>
      <c r="F32">
        <v>5</v>
      </c>
      <c r="G32" s="22"/>
      <c r="H32" s="22"/>
    </row>
    <row r="33" spans="2:8">
      <c r="B33" s="39">
        <v>10002</v>
      </c>
      <c r="C33" t="s">
        <v>218</v>
      </c>
      <c r="D33">
        <v>0.3</v>
      </c>
      <c r="E33" t="s">
        <v>347</v>
      </c>
      <c r="F33">
        <v>5</v>
      </c>
      <c r="G33" s="22"/>
      <c r="H33" s="22"/>
    </row>
    <row r="34" spans="2:8">
      <c r="B34" s="39">
        <v>10002</v>
      </c>
      <c r="C34" t="s">
        <v>29</v>
      </c>
      <c r="D34">
        <v>2.5</v>
      </c>
      <c r="E34" t="s">
        <v>347</v>
      </c>
      <c r="F34">
        <v>5</v>
      </c>
      <c r="G34" s="22"/>
      <c r="H34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8"/>
  <sheetViews>
    <sheetView zoomScale="70" zoomScaleNormal="70" zoomScaleSheetLayoutView="100" workbookViewId="0">
      <selection activeCell="K22" sqref="K22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495</v>
      </c>
      <c r="F1" s="19" t="s">
        <v>495</v>
      </c>
      <c r="G1" s="19" t="s">
        <v>497</v>
      </c>
      <c r="H1" t="s">
        <v>124</v>
      </c>
      <c r="I1" s="19" t="s">
        <v>511</v>
      </c>
      <c r="J1" t="s">
        <v>124</v>
      </c>
      <c r="K1" s="19" t="s">
        <v>497</v>
      </c>
    </row>
    <row r="2" spans="2:11">
      <c r="B2" s="5" t="s">
        <v>125</v>
      </c>
      <c r="C2" s="5" t="s">
        <v>127</v>
      </c>
      <c r="D2" t="s">
        <v>75</v>
      </c>
      <c r="E2" s="19" t="s">
        <v>525</v>
      </c>
      <c r="F2" s="19" t="s">
        <v>526</v>
      </c>
      <c r="G2" s="19" t="s">
        <v>498</v>
      </c>
      <c r="H2" s="19" t="s">
        <v>499</v>
      </c>
      <c r="I2" s="37" t="s">
        <v>501</v>
      </c>
      <c r="J2" s="19" t="s">
        <v>500</v>
      </c>
      <c r="K2" s="37" t="s">
        <v>516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518</v>
      </c>
      <c r="I3" s="19"/>
      <c r="J3" s="19" t="s">
        <v>517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518</v>
      </c>
      <c r="J4" s="19" t="s">
        <v>517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518</v>
      </c>
      <c r="I5" s="19"/>
      <c r="J5" s="19" t="s">
        <v>517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0</v>
      </c>
      <c r="H6" s="19" t="s">
        <v>518</v>
      </c>
      <c r="J6" s="19" t="s">
        <v>517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518</v>
      </c>
      <c r="J7" s="19" t="s">
        <v>517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518</v>
      </c>
      <c r="J8" s="19" t="s">
        <v>517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5</v>
      </c>
      <c r="H9" s="19" t="s">
        <v>588</v>
      </c>
      <c r="J9" s="19" t="s">
        <v>517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531</v>
      </c>
      <c r="J10" s="19" t="s">
        <v>517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518</v>
      </c>
      <c r="J11" s="19" t="s">
        <v>517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518</v>
      </c>
      <c r="J12" s="19" t="s">
        <v>517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518</v>
      </c>
      <c r="J13" s="19" t="s">
        <v>517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530</v>
      </c>
      <c r="J14" s="19" t="s">
        <v>517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541</v>
      </c>
      <c r="J15" s="19" t="s">
        <v>517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518</v>
      </c>
      <c r="J16" s="19" t="s">
        <v>517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518</v>
      </c>
      <c r="J17" s="19" t="s">
        <v>517</v>
      </c>
    </row>
    <row r="18" spans="2:11">
      <c r="B18" s="4" t="str">
        <f>INDEX(ItemTable[Name],MATCH(ItemEffectTable[[#This Row],[Index]],ItemTable[ItemEffectDataId],0))</f>
        <v>청개굴 버섯구이</v>
      </c>
      <c r="C18" s="4" t="str">
        <f>INDEX(ItemTable[GradeType],MATCH(ItemEffectTable[[#This Row],[Index]],ItemTable[ItemEffectDataId],0))</f>
        <v>Cursed</v>
      </c>
      <c r="D18" s="19">
        <v>9002</v>
      </c>
      <c r="E18" s="19">
        <v>9002</v>
      </c>
      <c r="F18" s="19">
        <v>9002</v>
      </c>
      <c r="G18">
        <v>0</v>
      </c>
      <c r="H18" s="19" t="s">
        <v>518</v>
      </c>
      <c r="J18" s="19" t="s">
        <v>517</v>
      </c>
    </row>
    <row r="19" spans="2:11">
      <c r="B19" s="4" t="str">
        <f>INDEX(ItemTable[Name],MATCH(ItemEffectTable[[#This Row],[Index]],ItemTable[ItemEffectDataId],0))</f>
        <v>누군가의 일기장</v>
      </c>
      <c r="C19" s="4" t="str">
        <f>INDEX(ItemTable[GradeType],MATCH(ItemEffectTable[[#This Row],[Index]],ItemTable[ItemEffectDataId],0))</f>
        <v>Cursed</v>
      </c>
      <c r="D19" s="19">
        <v>9003</v>
      </c>
      <c r="E19" s="19">
        <v>9003</v>
      </c>
      <c r="F19" s="19"/>
      <c r="G19">
        <v>0</v>
      </c>
      <c r="H19" s="19" t="s">
        <v>518</v>
      </c>
      <c r="J19" s="19" t="s">
        <v>517</v>
      </c>
    </row>
    <row r="20" spans="2:11">
      <c r="B20" s="4" t="str">
        <f>INDEX(ItemTable[Name],MATCH(ItemEffectTable[[#This Row],[Index]],ItemTable[ItemEffectDataId],0))</f>
        <v>행성 만세</v>
      </c>
      <c r="C20" s="4" t="str">
        <f>INDEX(ItemTable[GradeType],MATCH(ItemEffectTable[[#This Row],[Index]],ItemTable[ItemEffectDataId],0))</f>
        <v>Cursed</v>
      </c>
      <c r="D20" s="19">
        <v>9004</v>
      </c>
      <c r="E20" s="19">
        <v>9004</v>
      </c>
      <c r="F20" s="19"/>
      <c r="G20">
        <v>0</v>
      </c>
      <c r="H20" s="19" t="s">
        <v>518</v>
      </c>
      <c r="J20" s="19" t="s">
        <v>517</v>
      </c>
    </row>
    <row r="21" spans="2:11">
      <c r="B21" s="4" t="str">
        <f>INDEX(ItemTable[Name],MATCH(ItemEffectTable[[#This Row],[Index]],ItemTable[ItemEffectDataId],0))</f>
        <v>인피니티 도넛</v>
      </c>
      <c r="C21" s="39" t="str">
        <f>INDEX(ItemTable[GradeType],MATCH(ItemEffectTable[[#This Row],[Index]],ItemTable[ItemEffectDataId],0))</f>
        <v>Active</v>
      </c>
      <c r="D21" s="39">
        <v>10000</v>
      </c>
      <c r="F21">
        <v>10000</v>
      </c>
      <c r="G21">
        <v>0.01</v>
      </c>
      <c r="H21" s="19" t="s">
        <v>529</v>
      </c>
      <c r="J21" s="19" t="s">
        <v>517</v>
      </c>
    </row>
    <row r="22" spans="2:11">
      <c r="B22" s="4" t="str">
        <f>INDEX(ItemTable[Name],MATCH(ItemEffectTable[[#This Row],[Index]],ItemTable[ItemEffectDataId],0))</f>
        <v>Dys-0n</v>
      </c>
      <c r="C22" s="39" t="str">
        <f>INDEX(ItemTable[GradeType],MATCH(ItemEffectTable[[#This Row],[Index]],ItemTable[ItemEffectDataId],0))</f>
        <v>Active</v>
      </c>
      <c r="D22" s="39">
        <v>10001</v>
      </c>
      <c r="F22">
        <v>10001</v>
      </c>
      <c r="G22">
        <v>8</v>
      </c>
      <c r="H22" s="19" t="s">
        <v>529</v>
      </c>
      <c r="I22" s="19" t="s">
        <v>537</v>
      </c>
      <c r="J22" s="19" t="s">
        <v>536</v>
      </c>
      <c r="K22" s="14">
        <v>6</v>
      </c>
    </row>
    <row r="23" spans="2:11">
      <c r="B23" s="4" t="str">
        <f>INDEX(ItemTable[Name],MATCH(ItemEffectTable[[#This Row],[Index]],ItemTable[ItemEffectDataId],0))</f>
        <v>화학물질 B</v>
      </c>
      <c r="C23" s="39" t="str">
        <f>INDEX(ItemTable[GradeType],MATCH(ItemEffectTable[[#This Row],[Index]],ItemTable[ItemEffectDataId],0))</f>
        <v>Active</v>
      </c>
      <c r="D23" s="39">
        <v>10002</v>
      </c>
      <c r="E23">
        <v>10002</v>
      </c>
      <c r="F23">
        <v>10002</v>
      </c>
      <c r="G23">
        <v>12</v>
      </c>
      <c r="H23" s="19" t="s">
        <v>529</v>
      </c>
      <c r="J23" s="19" t="s">
        <v>517</v>
      </c>
    </row>
    <row r="24" spans="2:11">
      <c r="B24" s="4" t="str">
        <f>INDEX(ItemTable[Name],MATCH(ItemEffectTable[[#This Row],[Index]],ItemTable[ItemEffectDataId],0))</f>
        <v>미사일 백팩</v>
      </c>
      <c r="C24" s="39" t="str">
        <f>INDEX(ItemTable[GradeType],MATCH(ItemEffectTable[[#This Row],[Index]],ItemTable[ItemEffectDataId],0))</f>
        <v>Active</v>
      </c>
      <c r="D24" s="39">
        <v>10003</v>
      </c>
      <c r="F24">
        <v>10003</v>
      </c>
      <c r="G24">
        <v>4</v>
      </c>
      <c r="H24" s="19" t="s">
        <v>529</v>
      </c>
      <c r="J24" s="19" t="s">
        <v>517</v>
      </c>
    </row>
    <row r="27" spans="2:11">
      <c r="G27" s="14"/>
    </row>
    <row r="28" spans="2:11">
      <c r="G28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8"/>
  <sheetViews>
    <sheetView tabSelected="1" zoomScale="85" zoomScaleNormal="85" zoomScaleSheetLayoutView="100" workbookViewId="0">
      <selection activeCell="I9" sqref="I9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1" customWidth="1"/>
    <col min="10" max="10" width="25.8984375" customWidth="1"/>
    <col min="11" max="11" width="11.8984375" bestFit="1" customWidth="1"/>
    <col min="12" max="12" width="15.19921875" customWidth="1"/>
  </cols>
  <sheetData>
    <row r="1" spans="2:12">
      <c r="B1" t="s">
        <v>46</v>
      </c>
      <c r="D1" t="s">
        <v>124</v>
      </c>
      <c r="E1" s="19" t="s">
        <v>497</v>
      </c>
      <c r="F1" s="19"/>
      <c r="G1" s="19" t="s">
        <v>506</v>
      </c>
      <c r="H1" s="19"/>
      <c r="I1" s="19" t="s">
        <v>506</v>
      </c>
      <c r="J1" s="19"/>
      <c r="K1" s="19" t="s">
        <v>506</v>
      </c>
    </row>
    <row r="2" spans="2:12">
      <c r="B2" t="s">
        <v>75</v>
      </c>
      <c r="C2" s="49" t="s">
        <v>598</v>
      </c>
      <c r="D2" s="19" t="s">
        <v>534</v>
      </c>
      <c r="E2" s="19" t="s">
        <v>503</v>
      </c>
      <c r="F2" s="19" t="s">
        <v>557</v>
      </c>
      <c r="G2" s="37" t="s">
        <v>504</v>
      </c>
      <c r="H2" s="19" t="s">
        <v>558</v>
      </c>
      <c r="I2" s="37" t="s">
        <v>505</v>
      </c>
      <c r="J2" s="37" t="s">
        <v>559</v>
      </c>
      <c r="K2" s="37" t="s">
        <v>615</v>
      </c>
      <c r="L2" s="37" t="s">
        <v>614</v>
      </c>
    </row>
    <row r="3" spans="2:12">
      <c r="B3" s="19">
        <v>8006</v>
      </c>
      <c r="C3" s="21" t="s">
        <v>599</v>
      </c>
      <c r="D3" s="19" t="s">
        <v>542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9002</v>
      </c>
      <c r="C4" s="21"/>
      <c r="D4" s="19" t="s">
        <v>527</v>
      </c>
      <c r="E4" s="11"/>
      <c r="F4" s="46"/>
      <c r="H4" s="46"/>
      <c r="J4" s="22"/>
      <c r="L4" s="22"/>
    </row>
    <row r="5" spans="2:12">
      <c r="B5" s="19">
        <v>10000</v>
      </c>
      <c r="C5" s="21"/>
      <c r="D5" s="19" t="s">
        <v>507</v>
      </c>
      <c r="E5" s="11">
        <v>8</v>
      </c>
      <c r="F5" s="50" t="s">
        <v>623</v>
      </c>
      <c r="H5" s="46"/>
      <c r="J5" s="22"/>
      <c r="L5" s="22"/>
    </row>
    <row r="6" spans="2:12">
      <c r="B6">
        <v>10001</v>
      </c>
      <c r="C6" s="22"/>
      <c r="D6" s="19" t="s">
        <v>535</v>
      </c>
      <c r="E6">
        <v>6</v>
      </c>
      <c r="F6" s="17" t="s">
        <v>616</v>
      </c>
      <c r="G6">
        <v>30</v>
      </c>
      <c r="H6" s="17" t="s">
        <v>617</v>
      </c>
      <c r="I6">
        <v>3</v>
      </c>
      <c r="J6" s="17" t="s">
        <v>618</v>
      </c>
      <c r="K6">
        <v>4</v>
      </c>
      <c r="L6" s="17" t="s">
        <v>619</v>
      </c>
    </row>
    <row r="7" spans="2:12">
      <c r="B7">
        <v>10002</v>
      </c>
      <c r="C7" s="22"/>
      <c r="D7" s="19" t="s">
        <v>528</v>
      </c>
      <c r="E7">
        <v>0.5</v>
      </c>
      <c r="F7" s="17" t="s">
        <v>560</v>
      </c>
      <c r="G7">
        <v>5</v>
      </c>
      <c r="H7" s="17" t="s">
        <v>561</v>
      </c>
      <c r="J7" s="22"/>
      <c r="L7" s="22"/>
    </row>
    <row r="8" spans="2:12">
      <c r="B8">
        <v>10003</v>
      </c>
      <c r="C8" s="22"/>
      <c r="D8" s="19" t="s">
        <v>540</v>
      </c>
      <c r="E8">
        <v>10</v>
      </c>
      <c r="F8" s="17" t="s">
        <v>620</v>
      </c>
      <c r="G8">
        <v>90</v>
      </c>
      <c r="H8" s="17" t="s">
        <v>621</v>
      </c>
      <c r="I8">
        <v>0.7</v>
      </c>
      <c r="J8" s="17" t="s">
        <v>622</v>
      </c>
      <c r="L8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2" sqref="D22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219</v>
      </c>
      <c r="F2" t="s">
        <v>220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322</v>
      </c>
      <c r="E3" t="s">
        <v>56</v>
      </c>
      <c r="F3" t="s">
        <v>247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297</v>
      </c>
      <c r="F4" t="s">
        <v>373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322</v>
      </c>
      <c r="E5" t="s">
        <v>56</v>
      </c>
      <c r="F5" t="s">
        <v>372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296</v>
      </c>
      <c r="E6" t="s">
        <v>199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323</v>
      </c>
      <c r="E7" t="s">
        <v>304</v>
      </c>
      <c r="F7" t="s">
        <v>375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322</v>
      </c>
      <c r="E8" t="s">
        <v>56</v>
      </c>
      <c r="F8" t="s">
        <v>374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323</v>
      </c>
      <c r="E9" t="s">
        <v>304</v>
      </c>
      <c r="F9" t="s">
        <v>269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286</v>
      </c>
      <c r="C2" t="s">
        <v>284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312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285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290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251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264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BuffEffectGameData</vt:lpstr>
      <vt:lpstr>ItemEffectGameData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2023-08-21T07:21:04Z</dcterms:modified>
  <cp:version>1200.0100.01</cp:version>
</cp:coreProperties>
</file>