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86394257-18F1-4449-A281-87A05CC634C5}" xr6:coauthVersionLast="47" xr6:coauthVersionMax="47" xr10:uidLastSave="{00000000-0000-0000-0000-000000000000}"/>
  <bookViews>
    <workbookView xWindow="-120" yWindow="-120" windowWidth="29040" windowHeight="15840" firstSheet="7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3" l="1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N29" i="14" a="1"/>
  <c r="N29" i="14" s="1"/>
  <c r="P29" i="14" s="1" a="1"/>
  <c r="P29" i="14" s="1"/>
  <c r="Q29" i="14" s="1" a="1"/>
  <c r="Q29" i="14" s="1"/>
  <c r="M29" i="14"/>
  <c r="H29" i="14"/>
  <c r="M28" i="14"/>
  <c r="N28" i="14" s="1" a="1"/>
  <c r="N28" i="14" s="1"/>
  <c r="P28" i="14" s="1" a="1"/>
  <c r="P28" i="14" s="1"/>
  <c r="Q28" i="14" s="1" a="1"/>
  <c r="Q28" i="14" s="1"/>
  <c r="H28" i="14"/>
  <c r="N27" i="14" a="1"/>
  <c r="N27" i="14" s="1"/>
  <c r="P27" i="14" s="1" a="1"/>
  <c r="P27" i="14" s="1"/>
  <c r="Q27" i="14" s="1" a="1"/>
  <c r="Q27" i="14" s="1"/>
  <c r="M27" i="14"/>
  <c r="H27" i="14"/>
  <c r="N26" i="14" a="1"/>
  <c r="N26" i="14" s="1"/>
  <c r="P26" i="14" s="1" a="1"/>
  <c r="P26" i="14" s="1"/>
  <c r="Q26" i="14" s="1" a="1"/>
  <c r="Q26" i="14" s="1"/>
  <c r="M26" i="14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Q23" i="14" s="1" a="1"/>
  <c r="Q23" i="14" s="1"/>
  <c r="H23" i="14"/>
  <c r="N22" i="14" a="1"/>
  <c r="N22" i="14" s="1"/>
  <c r="P22" i="14" s="1" a="1"/>
  <c r="P22" i="14" s="1"/>
  <c r="Q22" i="14" s="1" a="1"/>
  <c r="Q22" i="14" s="1"/>
  <c r="M22" i="14"/>
  <c r="H22" i="14"/>
  <c r="N21" i="14" a="1"/>
  <c r="N21" i="14" s="1"/>
  <c r="P21" i="14" s="1" a="1"/>
  <c r="P21" i="14" s="1"/>
  <c r="Q21" i="14" s="1" a="1"/>
  <c r="Q21" i="14" s="1"/>
  <c r="M21" i="14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N18" i="14" a="1"/>
  <c r="N18" i="14" s="1"/>
  <c r="P18" i="14" s="1" a="1"/>
  <c r="P18" i="14" s="1"/>
  <c r="Q18" i="14" s="1" a="1"/>
  <c r="Q18" i="14" s="1"/>
  <c r="M18" i="14"/>
  <c r="H18" i="14"/>
  <c r="M17" i="14"/>
  <c r="N17" i="14" s="1" a="1"/>
  <c r="N17" i="14" s="1"/>
  <c r="P17" i="14" s="1" a="1"/>
  <c r="P17" i="14" s="1"/>
  <c r="Q17" i="14" s="1" a="1"/>
  <c r="Q17" i="14" s="1"/>
  <c r="H17" i="14"/>
  <c r="P16" i="14" a="1"/>
  <c r="P16" i="14" s="1"/>
  <c r="Q16" i="14" s="1" a="1"/>
  <c r="Q16" i="14" s="1"/>
  <c r="N16" i="14" a="1"/>
  <c r="N16" i="14"/>
  <c r="M16" i="14"/>
  <c r="H16" i="14"/>
  <c r="N15" i="14" a="1"/>
  <c r="N15" i="14" s="1"/>
  <c r="P15" i="14" s="1" a="1"/>
  <c r="P15" i="14" s="1"/>
  <c r="Q15" i="14" s="1" a="1"/>
  <c r="Q15" i="14" s="1"/>
  <c r="M15" i="14"/>
  <c r="H15" i="14"/>
  <c r="N14" i="14" a="1"/>
  <c r="N14" i="14" s="1"/>
  <c r="P14" i="14" s="1" a="1"/>
  <c r="P14" i="14" s="1"/>
  <c r="Q14" i="14" s="1" a="1"/>
  <c r="Q14" i="14" s="1"/>
  <c r="M14" i="14"/>
  <c r="H14" i="14"/>
  <c r="M13" i="14"/>
  <c r="N13" i="14" s="1" a="1"/>
  <c r="N13" i="14" s="1"/>
  <c r="P13" i="14" s="1" a="1"/>
  <c r="P13" i="14" s="1"/>
  <c r="Q13" i="14" s="1" a="1"/>
  <c r="Q13" i="14" s="1"/>
  <c r="H13" i="14"/>
  <c r="M12" i="14"/>
  <c r="N12" i="14" s="1" a="1"/>
  <c r="N12" i="14" s="1"/>
  <c r="P12" i="14" s="1" a="1"/>
  <c r="P12" i="14" s="1"/>
  <c r="Q12" i="14" s="1" a="1"/>
  <c r="Q12" i="14" s="1"/>
  <c r="H12" i="14"/>
  <c r="O11" i="14"/>
  <c r="P11" i="14" s="1" a="1"/>
  <c r="P11" i="14" s="1"/>
  <c r="Q11" i="14" s="1" a="1"/>
  <c r="Q11" i="14" s="1"/>
  <c r="N11" i="14" a="1"/>
  <c r="N11" i="14"/>
  <c r="M11" i="14"/>
  <c r="H11" i="14"/>
  <c r="O10" i="14"/>
  <c r="M10" i="14"/>
  <c r="N10" i="14" s="1" a="1"/>
  <c r="N10" i="14" s="1"/>
  <c r="P10" i="14" s="1" a="1"/>
  <c r="P10" i="14" s="1"/>
  <c r="Q10" i="14" s="1" a="1"/>
  <c r="Q10" i="14" s="1"/>
  <c r="H10" i="14"/>
  <c r="M9" i="14"/>
  <c r="N9" i="14" s="1" a="1"/>
  <c r="N9" i="14" s="1"/>
  <c r="P9" i="14" s="1" a="1"/>
  <c r="P9" i="14" s="1"/>
  <c r="Q9" i="14" s="1" a="1"/>
  <c r="Q9" i="14" s="1"/>
  <c r="H9" i="14"/>
  <c r="N8" i="14" a="1"/>
  <c r="N8" i="14" s="1"/>
  <c r="P8" i="14" s="1" a="1"/>
  <c r="P8" i="14" s="1"/>
  <c r="Q8" i="14" s="1" a="1"/>
  <c r="Q8" i="14" s="1"/>
  <c r="M8" i="14"/>
  <c r="H8" i="14"/>
  <c r="M7" i="14"/>
  <c r="N7" i="14" s="1" a="1"/>
  <c r="N7" i="14" s="1"/>
  <c r="P7" i="14" s="1" a="1"/>
  <c r="P7" i="14" s="1"/>
  <c r="Q7" i="14" s="1" a="1"/>
  <c r="Q7" i="14" s="1"/>
  <c r="H7" i="14"/>
  <c r="P6" i="14" a="1"/>
  <c r="P6" i="14" s="1"/>
  <c r="Q6" i="14" s="1" a="1"/>
  <c r="Q6" i="14" s="1"/>
  <c r="N6" i="14" a="1"/>
  <c r="N6" i="14"/>
  <c r="M6" i="14"/>
  <c r="H6" i="14"/>
  <c r="N5" i="14" a="1"/>
  <c r="N5" i="14" s="1"/>
  <c r="P5" i="14" s="1" a="1"/>
  <c r="P5" i="14" s="1"/>
  <c r="Q5" i="14" s="1" a="1"/>
  <c r="Q5" i="14" s="1"/>
  <c r="M5" i="14"/>
  <c r="H5" i="14"/>
  <c r="N4" i="14" a="1"/>
  <c r="N4" i="14" s="1"/>
  <c r="P4" i="14" s="1" a="1"/>
  <c r="P4" i="14" s="1"/>
  <c r="Q4" i="14" s="1" a="1"/>
  <c r="Q4" i="14" s="1"/>
  <c r="M4" i="14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S11" i="9"/>
  <c r="D11" i="9"/>
  <c r="S10" i="9"/>
  <c r="D10" i="9"/>
  <c r="S9" i="9"/>
  <c r="D9" i="9"/>
  <c r="S8" i="9"/>
  <c r="D8" i="9"/>
  <c r="S7" i="9"/>
  <c r="D7" i="9"/>
  <c r="S6" i="9"/>
  <c r="D6" i="9"/>
  <c r="S5" i="9"/>
  <c r="D5" i="9"/>
  <c r="S4" i="9"/>
  <c r="D4" i="9"/>
  <c r="S3" i="9"/>
  <c r="D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J15" i="3"/>
  <c r="E15" i="3"/>
  <c r="E14" i="3"/>
  <c r="E13" i="3"/>
  <c r="O12" i="3" a="1"/>
  <c r="O12" i="3" s="1"/>
  <c r="L12" i="3" a="1"/>
  <c r="L12" i="3" s="1"/>
  <c r="K12" i="3" a="1"/>
  <c r="K12" i="3" s="1"/>
  <c r="J12" i="3"/>
  <c r="E12" i="3"/>
  <c r="O11" i="3" a="1"/>
  <c r="O11" i="3"/>
  <c r="L11" i="3" a="1"/>
  <c r="L11" i="3"/>
  <c r="P11" i="3" s="1"/>
  <c r="K11" i="3" a="1"/>
  <c r="K11" i="3"/>
  <c r="I11" i="3" s="1"/>
  <c r="J11" i="3"/>
  <c r="O10" i="3" a="1"/>
  <c r="O10" i="3"/>
  <c r="L10" i="3" a="1"/>
  <c r="L10" i="3"/>
  <c r="P10" i="3" s="1"/>
  <c r="K10" i="3" a="1"/>
  <c r="K10" i="3"/>
  <c r="I10" i="3" s="1"/>
  <c r="J10" i="3"/>
  <c r="E10" i="3"/>
  <c r="O9" i="3" a="1"/>
  <c r="O9" i="3" s="1"/>
  <c r="L9" i="3" a="1"/>
  <c r="L9" i="3" s="1"/>
  <c r="K9" i="3" a="1"/>
  <c r="K9" i="3" s="1"/>
  <c r="J9" i="3"/>
  <c r="E9" i="3"/>
  <c r="O8" i="3" a="1"/>
  <c r="O8" i="3"/>
  <c r="L8" i="3" a="1"/>
  <c r="L8" i="3"/>
  <c r="P8" i="3" s="1"/>
  <c r="K8" i="3" a="1"/>
  <c r="K8" i="3"/>
  <c r="I8" i="3" s="1"/>
  <c r="J8" i="3"/>
  <c r="E8" i="3"/>
  <c r="R7" i="3"/>
  <c r="L7" i="3" a="1"/>
  <c r="L7" i="3"/>
  <c r="K7" i="3" a="1"/>
  <c r="K7" i="3"/>
  <c r="H7" i="3" s="1"/>
  <c r="J7" i="3"/>
  <c r="I7" i="3"/>
  <c r="D7" i="2"/>
  <c r="I12" i="3" l="1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R25" i="14" a="1"/>
  <c r="R25" i="14" s="1"/>
  <c r="R14" i="14" a="1"/>
  <c r="R14" i="14" s="1"/>
  <c r="R4" i="14" a="1"/>
  <c r="R4" i="14" s="1"/>
  <c r="R24" i="14" a="1"/>
  <c r="R24" i="14" s="1"/>
  <c r="R13" i="14" a="1"/>
  <c r="R13" i="14" s="1"/>
  <c r="R3" i="14" a="1"/>
  <c r="R3" i="14" s="1"/>
  <c r="R23" i="14" a="1"/>
  <c r="R23" i="14" s="1"/>
  <c r="R12" i="14" a="1"/>
  <c r="R12" i="14" s="1"/>
  <c r="R22" i="14" a="1"/>
  <c r="R22" i="14" s="1"/>
  <c r="R11" i="14" a="1"/>
  <c r="R11" i="14" s="1"/>
  <c r="R21" i="14" a="1"/>
  <c r="R21" i="14" s="1"/>
  <c r="R20" i="14" a="1"/>
  <c r="R20" i="14" s="1"/>
  <c r="R10" i="14" a="1"/>
  <c r="R10" i="14" s="1"/>
  <c r="R19" i="14" a="1"/>
  <c r="R19" i="14" s="1"/>
  <c r="R18" i="14" a="1"/>
  <c r="R18" i="14" s="1"/>
  <c r="R9" i="14" a="1"/>
  <c r="R9" i="14" s="1"/>
  <c r="R29" i="14" a="1"/>
  <c r="R29" i="14" s="1"/>
  <c r="R8" i="14" a="1"/>
  <c r="R8" i="14" s="1"/>
  <c r="R28" i="14" a="1"/>
  <c r="R28" i="14" s="1"/>
  <c r="R17" i="14" a="1"/>
  <c r="R17" i="14" s="1"/>
  <c r="R7" i="14" a="1"/>
  <c r="R7" i="14" s="1"/>
  <c r="R27" i="14" a="1"/>
  <c r="R27" i="14" s="1"/>
  <c r="R16" i="14" a="1"/>
  <c r="R16" i="14" s="1"/>
  <c r="R6" i="14" a="1"/>
  <c r="R6" i="14" s="1"/>
  <c r="R26" i="14" a="1"/>
  <c r="R26" i="14" s="1"/>
  <c r="R15" i="14" a="1"/>
  <c r="R15" i="14" s="1"/>
  <c r="R5" i="14" a="1"/>
  <c r="R5" i="14" s="1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A6" i="16" l="1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D10" i="16" s="1" a="1"/>
  <c r="D10" i="16" s="1"/>
  <c r="I10" i="13" a="1"/>
  <c r="I10" i="13" s="1"/>
  <c r="I7" i="13" l="1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<sst xmlns="http://schemas.openxmlformats.org/spreadsheetml/2006/main" count="953" uniqueCount="493">
  <si>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</si>
  <si>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</si>
  <si>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</si>
  <si>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</si>
  <si>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</si>
  <si>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</si>
  <si>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</si>
  <si>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</si>
  <si>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</si>
  <si>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</si>
  <si>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</si>
  <si>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</si>
  <si>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</si>
  <si>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</si>
  <si>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</si>
  <si>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</si>
  <si>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</si>
  <si>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</si>
  <si>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</si>
  <si>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</si>
  <si>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</si>
  <si>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</si>
  <si>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</si>
  <si>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</si>
  <si>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</si>
  <si>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</si>
  <si>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</si>
  <si>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</si>
  <si>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</si>
  <si>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</si>
  <si>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</si>
  <si>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</si>
  <si>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방사 상하좌우4발 + 대각4발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</si>
  <si>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</si>
  <si>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</si>
  <si>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</si>
  <si>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</si>
  <si>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</si>
  <si>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</si>
  <si>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</si>
  <si>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</si>
  <si>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</si>
  <si>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</si>
  <si>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</si>
  <si>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</si>
  <si>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</si>
  <si>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</si>
  <si>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</si>
  <si>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</si>
  <si>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</si>
  <si>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</si>
  <si>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</si>
  <si>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</si>
  <si>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</si>
  <si>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</si>
  <si>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</si>
  <si>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</si>
  <si>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</si>
  <si>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</si>
  <si>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</si>
  <si>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</si>
  <si>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</si>
  <si>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</si>
  <si>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</si>
  <si>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</si>
  <si>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</si>
  <si>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</si>
  <si>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</si>
  <si>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</si>
  <si>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</si>
  <si>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</si>
  <si>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</si>
  <si>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</si>
  <si>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</si>
  <si>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</si>
  <si>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</si>
  <si>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</si>
  <si>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</si>
  <si>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</si>
  <si>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</si>
  <si>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</si>
  <si>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</si>
  <si>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</si>
  <si>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</si>
  <si>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</si>
  <si>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</si>
  <si>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</si>
  <si>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</si>
  <si>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</si>
  <si>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</si>
  <si>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</si>
  <si>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</si>
  <si>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</si>
  <si>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</si>
  <si>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</si>
  <si>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</si>
  <si>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</si>
  <si>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</si>
  <si>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</si>
  <si>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</si>
  <si>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</si>
  <si>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</si>
  <si>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</si>
  <si>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</si>
  <si>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</si>
  <si>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</si>
  <si>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</si>
  <si>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</si>
  <si>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</si>
  <si>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</si>
  <si>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</si>
  <si>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</si>
  <si>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</si>
  <si>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</si>
  <si>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</si>
  <si>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</si>
  <si>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</si>
  <si>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</si>
  <si>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</si>
  <si>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</si>
  <si>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</si>
  <si>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</si>
  <si>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</si>
  <si>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</si>
  <si>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</si>
  <si>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</si>
  <si>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</si>
  <si>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</si>
  <si>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</si>
  <si>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</si>
  <si>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</si>
  <si>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</si>
  <si>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</si>
  <si>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</si>
  <si>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</si>
  <si>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</si>
  <si>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</si>
  <si>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</si>
  <si>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</si>
  <si>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</si>
  <si>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</si>
  <si>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</si>
  <si>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</si>
  <si>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</si>
  <si>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</si>
  <si>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</si>
  <si>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</si>
  <si>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</si>
  <si>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</si>
  <si>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</si>
  <si>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</si>
  <si>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</si>
  <si>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</si>
  <si>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</si>
  <si>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</si>
  <si>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</si>
  <si>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</si>
  <si>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</si>
  <si>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</si>
  <si>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</si>
  <si>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</si>
  <si>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</si>
  <si>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</si>
  <si>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</si>
  <si>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</si>
  <si>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</si>
  <si>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</si>
  <si>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</si>
  <si>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</si>
  <si>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</si>
  <si>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</si>
  <si>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</si>
  <si>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</si>
  <si>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</si>
  <si>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</si>
  <si>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샷건 3연발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</si>
  <si>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</si>
  <si>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</si>
  <si>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</si>
  <si>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</si>
  <si>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</si>
  <si>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</si>
  <si>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</si>
  <si>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</si>
  <si>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</si>
  <si>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</si>
  <si>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</si>
  <si>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</si>
  <si>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</si>
  <si>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</si>
  <si>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</si>
  <si>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</si>
  <si>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</si>
  <si>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</si>
  <si>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</si>
  <si>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</si>
  <si>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</si>
  <si>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</si>
  <si>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</si>
  <si>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</si>
  <si>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</si>
  <si>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</si>
  <si>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</si>
  <si>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</si>
  <si>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</si>
  <si>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</si>
  <si>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</si>
  <si>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</si>
  <si>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</si>
  <si>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</si>
  <si>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</si>
  <si>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</si>
  <si>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</si>
  <si>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</si>
  <si>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</si>
  <si>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</si>
  <si>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</si>
  <si>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</si>
  <si>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</si>
  <si>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</si>
  <si>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</si>
  <si>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</si>
  <si>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</si>
  <si>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</si>
  <si>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</si>
  <si>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</si>
  <si>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</si>
  <si>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</si>
  <si>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</si>
  <si>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</si>
  <si>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</si>
  <si>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</si>
  <si>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</si>
  <si>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</si>
  <si>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</si>
  <si>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</si>
  <si>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</si>
  <si>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</si>
  <si>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</si>
  <si>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</si>
  <si>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</si>
  <si>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</si>
  <si>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</si>
  <si>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</si>
  <si>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</si>
  <si>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</si>
  <si>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</si>
  <si>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</si>
  <si>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</si>
  <si>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</si>
  <si>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</si>
  <si>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</si>
  <si>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</si>
  <si>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</si>
  <si>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</si>
  <si>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</si>
  <si>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</si>
  <si>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</si>
  <si>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</si>
  <si>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</si>
  <si>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</si>
  <si>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</si>
  <si>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</si>
  <si>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</si>
  <si>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</si>
  <si>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</si>
  <si>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</si>
  <si>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</si>
  <si>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</si>
  <si>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</si>
  <si>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</si>
  <si>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</si>
  <si>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</si>
  <si>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</si>
  <si>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</si>
  <si>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</si>
  <si>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</si>
  <si>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</si>
  <si>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</si>
  <si>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</si>
  <si>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</si>
  <si>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</si>
  <si>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</si>
  <si>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</si>
  <si>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</si>
  <si>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</si>
  <si>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</si>
  <si>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</si>
  <si>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</si>
  <si>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</si>
  <si>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</si>
  <si>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</si>
  <si>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</si>
  <si>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</si>
  <si>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</si>
  <si>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</si>
  <si>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</si>
  <si>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</si>
  <si>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</si>
  <si>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</si>
  <si>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</si>
  <si>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</si>
  <si>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</si>
  <si>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</si>
  <si>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</si>
  <si>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</si>
  <si>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</si>
  <si>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</si>
  <si>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</si>
  <si>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</si>
  <si>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</si>
  <si>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</si>
  <si>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</si>
  <si>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</si>
  <si>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</si>
  <si>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</si>
  <si>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</si>
  <si>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</si>
  <si>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</si>
  <si>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</si>
  <si>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</si>
  <si>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</si>
  <si>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</si>
  <si>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</si>
  <si>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</si>
  <si>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</si>
  <si>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</si>
  <si>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</si>
  <si>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</si>
  <si>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</si>
  <si>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</si>
  <si>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적 개체당 드랍골드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</si>
  <si>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</si>
  <si>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</si>
  <si>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</si>
  <si>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</si>
  <si>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</si>
  <si>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</si>
  <si>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</si>
  <si>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</si>
  <si>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</si>
  <si>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</si>
  <si>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</si>
  <si>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</si>
  <si>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</si>
  <si>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</si>
  <si>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</si>
  <si>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</si>
  <si>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</si>
  <si>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</si>
  <si>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</si>
  <si>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</si>
  <si>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</si>
  <si>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</si>
  <si>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</si>
  <si>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</si>
  <si>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</si>
  <si>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</si>
  <si>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</si>
  <si>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</si>
  <si>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</si>
  <si>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</si>
  <si>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</si>
  <si>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</si>
  <si>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</si>
  <si>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</si>
  <si>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</si>
  <si>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</si>
  <si>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</si>
  <si>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</si>
  <si>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</si>
  <si>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</si>
  <si>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</si>
  <si>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기관총 난사 4도</t>
  </si>
  <si>
    <t>기관총 난사 -4도</t>
  </si>
  <si>
    <t>기관총 난사 -6도</t>
  </si>
  <si>
    <t>기관총 난사 2도</t>
  </si>
  <si>
    <t>공격1_상하좌우뿌리기</t>
  </si>
  <si>
    <t>기관총 난사 6도</t>
  </si>
  <si>
    <t>공격2_기관총난사</t>
  </si>
  <si>
    <t>기관총 난사 10도</t>
  </si>
  <si>
    <t>기관총 난사 -2도</t>
  </si>
  <si>
    <t>공격1_대각뿌리기</t>
  </si>
  <si>
    <t>기관총 난사 12도</t>
  </si>
  <si>
    <t>기관총 난사 14도</t>
  </si>
  <si>
    <t>기관총 난사 16도</t>
  </si>
  <si>
    <t>4발 상하좌우 뿌리기</t>
  </si>
  <si>
    <t>기관총 난사 8도</t>
  </si>
  <si>
    <t>기관총 난사 -12도</t>
  </si>
  <si>
    <t>기관총 난사 -14도</t>
  </si>
  <si>
    <t>정방향 발사 튕김</t>
  </si>
  <si>
    <t>튕김 공 한발쏘기</t>
  </si>
  <si>
    <t>플레이어조준 기관총</t>
  </si>
  <si>
    <t>ApplyStat</t>
  </si>
  <si>
    <t>기관총 난사 -10도</t>
  </si>
  <si>
    <t>기관총 난사 -8도</t>
  </si>
  <si>
    <t>기관총 난사 -16도</t>
  </si>
  <si>
    <t>적 공격2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</si>
  <si>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</si>
  <si>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</si>
  <si>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</si>
  <si>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</si>
  <si>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</si>
  <si>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</si>
  <si>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</si>
  <si>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</si>
  <si>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</si>
  <si>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</si>
  <si>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</si>
  <si>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</si>
  <si>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</si>
  <si>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</si>
  <si>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</si>
  <si>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</si>
  <si>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</si>
  <si>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</si>
  <si>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</si>
  <si>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</si>
  <si>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</si>
  <si>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</si>
  <si>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</si>
  <si>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공격력 +50%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</si>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</sst>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3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9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Light Style 1 - Accent 1" table="0" count="7" xr9:uid="{00000000-0011-0000-FFFF-FFFF01000000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RowStripe" dxfId="84"/>
      <tableStyleElement type="firstColumnStripe" dxfId="83"/>
    </tableStyle>
    <tableStyle name="표 스타일 1" pivot="0" count="4" xr9:uid="{00000000-0011-0000-FFFF-FFFF02000000}">
      <tableStyleElement type="wholeTable" dxfId="82"/>
      <tableStyleElement type="headerRow" dxfId="81"/>
      <tableStyleElement type="firstRowStripe" dxfId="80"/>
      <tableStyleElement type="secondRowStripe" dxfId="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7" dataDxfId="76">
  <autoFilter ref="B6:E32" xr:uid="{00000000-0009-0000-0100-000008000000}"/>
  <tableColumns count="4">
    <tableColumn id="1" xr3:uid="{00000000-0010-0000-0100-000001000000}" name="스텟" dataDxfId="75"/>
    <tableColumn id="2" xr3:uid="{00000000-0010-0000-0100-000002000000}" name="참조 테이블" dataDxfId="74"/>
    <tableColumn id="3" xr3:uid="{00000000-0010-0000-0100-000003000000}" name="설명" dataDxfId="73"/>
    <tableColumn id="4" xr3:uid="{00000000-0010-0000-0100-000004000000}" name="Value 1당 가치" dataDxfId="72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1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0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9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8"/>
    <tableColumn id="4" xr3:uid="{00000000-0010-0000-0400-000004000000}" name="획득 무기"/>
    <tableColumn id="5" xr3:uid="{00000000-0010-0000-0400-000005000000}" name="획득 골드" dataDxfId="67"/>
    <tableColumn id="6" xr3:uid="{00000000-0010-0000-0400-000006000000}" name="적 체력" dataDxfId="66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5"/>
    <tableColumn id="10" xr3:uid="{00000000-0010-0000-0400-00000A000000}" name="예상 전투 시간" dataDxfId="64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3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2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1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0"/>
    <tableColumn id="3" xr3:uid="{00000000-0010-0000-0600-000003000000}" name="value"/>
    <tableColumn id="4" xr3:uid="{00000000-0010-0000-0600-000004000000}" name="#설명" dataDxfId="5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8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7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6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5"/>
    <tableColumn id="3" xr3:uid="{00000000-0010-0000-0800-000003000000}" name="ThrowCooldown" dataDxfId="54"/>
    <tableColumn id="4" xr3:uid="{00000000-0010-0000-0800-000004000000}" name="ThrowAfterDelay" dataDxfId="53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2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1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0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49"/>
    <tableColumn id="14" xr3:uid="{00000000-0010-0000-0900-00000E000000}" name="#드랍테이블2" dataDxfId="48"/>
    <tableColumn id="15" xr3:uid="{00000000-0010-0000-0900-00000F000000}" name="#드랍테이블3" dataDxfId="47"/>
    <tableColumn id="16" xr3:uid="{00000000-0010-0000-0900-000010000000}" name="#드랍테이블4" dataDxfId="46"/>
    <tableColumn id="17" xr3:uid="{00000000-0010-0000-0900-000011000000}" name="#드랍테이블5" dataDxfId="45"/>
    <tableColumn id="18" xr3:uid="{00000000-0010-0000-0900-000012000000}" name="#드랍테이블6" dataDxfId="44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3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2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1" totalsRowShown="0">
  <autoFilter ref="B2:S11" xr:uid="{00000000-0009-0000-0100-000012000000}"/>
  <tableColumns count="18">
    <tableColumn id="1" xr3:uid="{00000000-0010-0000-0B00-000001000000}" name="Index"/>
    <tableColumn id="2" xr3:uid="{00000000-0010-0000-0B00-000002000000}" name="#이름" dataDxfId="41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0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1" xr3:uid="{00000000-0010-0000-0C00-000001000000}" name="Index"/>
    <tableColumn id="2" xr3:uid="{00000000-0010-0000-0C00-000002000000}" name="#설명" dataDxfId="39"/>
    <tableColumn id="3" xr3:uid="{00000000-0010-0000-0C00-000003000000}" name="ShootDataId" dataDxfId="38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37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36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35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O24" totalsRowShown="0" headerRowDxfId="34">
  <autoFilter ref="B2:O24" xr:uid="{00000000-0009-0000-0100-000004000000}"/>
  <tableColumns count="14">
    <tableColumn id="1" xr3:uid="{00000000-0010-0000-0F00-000001000000}" name="Index" dataDxfId="33"/>
    <tableColumn id="2" xr3:uid="{00000000-0010-0000-0F00-000002000000}" name="Name" dataDxfId="32"/>
    <tableColumn id="3" xr3:uid="{00000000-0010-0000-0F00-000003000000}" name="Desc" dataDxfId="31"/>
    <tableColumn id="4" xr3:uid="{00000000-0010-0000-0F00-000004000000}" name="GradeType" dataDxfId="30"/>
    <tableColumn id="5" xr3:uid="{00000000-0010-0000-0F00-000005000000}" name="Value" dataDxfId="29"/>
    <tableColumn id="6" xr3:uid="{00000000-0010-0000-0F00-000006000000}" name="CostHp" dataDxfId="28"/>
    <tableColumn id="7" xr3:uid="{00000000-0010-0000-0F00-000007000000}" name="CostGold" dataDxfId="27"/>
    <tableColumn id="8" xr3:uid="{00000000-0010-0000-0F00-000008000000}" name="ItemEffectDataId" dataDxfId="26"/>
    <tableColumn id="9" xr3:uid="{00000000-0010-0000-0F00-000009000000}" name="ItemIconPath" dataDxfId="25"/>
    <tableColumn id="10" xr3:uid="{00000000-0010-0000-0F00-00000A000000}" name="#자료 위치 변환기" dataDxfId="24"/>
    <tableColumn id="11" xr3:uid="{E752B4AA-7181-4F60-B4A0-8DA8B2E2F337}" name="#" dataDxfId="23"/>
    <tableColumn id="12" xr3:uid="{F85A3E97-232B-4E3A-9F01-EF79D25FA9F9}" name="#2" dataDxfId="22"/>
    <tableColumn id="13" xr3:uid="{550D2A60-9FBB-40C8-A6C2-243D9848C602}" name="#3" dataDxfId="21"/>
    <tableColumn id="14" xr3:uid="{50807AE5-46D5-4351-8885-769C1629BA6A}" name="#4" dataDxfId="20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 x14ac:dyDescent="0.3"/>
  <sheetData>
    <row r="1" spans="2:5" s="1" customFormat="1" x14ac:dyDescent="0.3">
      <c r="B1" s="23" t="s">
        <v>351</v>
      </c>
      <c r="C1" s="24"/>
      <c r="D1" s="24"/>
      <c r="E1" s="24"/>
    </row>
    <row r="2" spans="2:5" s="1" customFormat="1" x14ac:dyDescent="0.3">
      <c r="B2" s="24"/>
      <c r="C2" s="24"/>
      <c r="D2" s="24"/>
      <c r="E2" s="24"/>
    </row>
    <row r="3" spans="2:5" s="1" customFormat="1" x14ac:dyDescent="0.3">
      <c r="B3" s="24"/>
      <c r="C3" s="24"/>
      <c r="D3" s="24"/>
      <c r="E3" s="2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H8"/>
  <sheetViews>
    <sheetView zoomScaleNormal="75" zoomScaleSheetLayoutView="100" workbookViewId="0">
      <selection activeCell="F30" sqref="F30"/>
    </sheetView>
  </sheetViews>
  <sheetFormatPr defaultColWidth="8.875" defaultRowHeight="16.5" x14ac:dyDescent="0.3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 x14ac:dyDescent="0.3">
      <c r="B1" s="23" t="s">
        <v>222</v>
      </c>
      <c r="C1" s="24"/>
      <c r="D1" s="24"/>
      <c r="E1" s="24"/>
    </row>
    <row r="2" spans="2:8" s="1" customFormat="1" x14ac:dyDescent="0.3">
      <c r="B2" s="24"/>
      <c r="C2" s="24"/>
      <c r="D2" s="24"/>
      <c r="E2" s="24"/>
    </row>
    <row r="3" spans="2:8" s="1" customFormat="1" x14ac:dyDescent="0.3">
      <c r="B3" s="24"/>
      <c r="C3" s="24"/>
      <c r="D3" s="24"/>
      <c r="E3" s="24"/>
    </row>
    <row r="5" spans="2:8" x14ac:dyDescent="0.3">
      <c r="B5" s="2" t="s">
        <v>93</v>
      </c>
    </row>
    <row r="6" spans="2:8" x14ac:dyDescent="0.3">
      <c r="B6" t="s">
        <v>48</v>
      </c>
      <c r="C6" t="s">
        <v>51</v>
      </c>
      <c r="D6" t="s">
        <v>97</v>
      </c>
      <c r="E6" t="s">
        <v>84</v>
      </c>
      <c r="F6" t="s">
        <v>85</v>
      </c>
      <c r="G6" t="s">
        <v>94</v>
      </c>
      <c r="H6" t="s">
        <v>87</v>
      </c>
    </row>
    <row r="7" spans="2:8" x14ac:dyDescent="0.3">
      <c r="B7" t="s">
        <v>51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 x14ac:dyDescent="0.3">
      <c r="B8" t="s">
        <v>97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34" sqref="H34"/>
    </sheetView>
  </sheetViews>
  <sheetFormatPr defaultColWidth="14.625" defaultRowHeight="16.5" x14ac:dyDescent="0.3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 x14ac:dyDescent="0.3">
      <c r="B1" s="23" t="s">
        <v>324</v>
      </c>
      <c r="C1" s="24"/>
      <c r="D1" s="24"/>
      <c r="E1" s="24"/>
      <c r="F1" s="24"/>
    </row>
    <row r="2" spans="1:21" s="1" customFormat="1" x14ac:dyDescent="0.3">
      <c r="B2" s="24"/>
      <c r="C2" s="24"/>
      <c r="D2" s="24"/>
      <c r="E2" s="24"/>
      <c r="F2" s="24"/>
    </row>
    <row r="3" spans="1:21" s="1" customFormat="1" x14ac:dyDescent="0.3">
      <c r="B3" s="24"/>
      <c r="C3" s="24"/>
      <c r="D3" s="24"/>
      <c r="E3" s="24"/>
      <c r="F3" s="24"/>
    </row>
    <row r="5" spans="1:21" x14ac:dyDescent="0.3">
      <c r="B5" s="2" t="s">
        <v>109</v>
      </c>
      <c r="G5" s="2" t="s">
        <v>236</v>
      </c>
      <c r="R5" s="2" t="s">
        <v>120</v>
      </c>
    </row>
    <row r="6" spans="1:21" x14ac:dyDescent="0.3">
      <c r="B6" t="s">
        <v>55</v>
      </c>
      <c r="C6" t="s">
        <v>154</v>
      </c>
      <c r="D6" t="s">
        <v>62</v>
      </c>
      <c r="E6" t="s">
        <v>371</v>
      </c>
      <c r="G6" t="s">
        <v>45</v>
      </c>
      <c r="H6" t="s">
        <v>84</v>
      </c>
      <c r="I6" t="s">
        <v>85</v>
      </c>
      <c r="J6" t="s">
        <v>122</v>
      </c>
      <c r="K6" t="s">
        <v>121</v>
      </c>
      <c r="L6" t="s">
        <v>116</v>
      </c>
      <c r="M6" t="s">
        <v>119</v>
      </c>
      <c r="N6" t="s">
        <v>330</v>
      </c>
      <c r="O6" t="s">
        <v>369</v>
      </c>
      <c r="P6" t="s">
        <v>328</v>
      </c>
      <c r="R6" t="s">
        <v>108</v>
      </c>
      <c r="S6" t="s">
        <v>331</v>
      </c>
    </row>
    <row r="7" spans="1:21" x14ac:dyDescent="0.3">
      <c r="A7" s="15"/>
      <c r="B7" s="13" t="s">
        <v>205</v>
      </c>
      <c r="C7" s="15" t="s">
        <v>34</v>
      </c>
      <c r="D7" t="s">
        <v>146</v>
      </c>
      <c r="E7">
        <v>0</v>
      </c>
      <c r="G7">
        <v>1</v>
      </c>
      <c r="H7">
        <f>밸런스시트[[#This Row],[획득 골드]]/INDEX(아이템가격[Normal],MATCH("Gold",아이템가격[재화],0))</f>
        <v>5</v>
      </c>
      <c r="I7">
        <f>밸런스시트[[#This Row],[획득 골드]]/INDEX(아이템가격[Rare],MATCH("Gold",아이템가격[재화],0))+1</f>
        <v>4</v>
      </c>
      <c r="J7">
        <f>IF(밸런스시트[[#This Row],[층]]=1,1,0)</f>
        <v>1</v>
      </c>
      <c r="K7">
        <f t="array" ref="K7">밸런스시트[[#This Row],[레벨당 평균 적]]*밸런스시트[[#This Row],[방 개수]]*표10[적 개체당 드랍골드]</f>
        <v>150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84.459459459459453</v>
      </c>
      <c r="P7">
        <f>(밸런스시트[[#This Row],[레벨당 평균 적]]*밸런스시트[[#This Row],[방 개수]]*밸런스시트[[#This Row],[적 체력]])/밸런스시트[[#This Row],[PC 최대 DPS]]</f>
        <v>59.2</v>
      </c>
      <c r="R7">
        <f>1/15</f>
        <v>6.6666666666666666E-2</v>
      </c>
      <c r="S7">
        <v>3</v>
      </c>
    </row>
    <row r="8" spans="1:21" x14ac:dyDescent="0.3">
      <c r="A8" s="13"/>
      <c r="B8" s="13" t="s">
        <v>2</v>
      </c>
      <c r="C8" s="13" t="s">
        <v>260</v>
      </c>
      <c r="D8" t="s">
        <v>157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6</v>
      </c>
      <c r="I8">
        <f>밸런스시트[[#This Row],[획득 골드]]/INDEX(아이템가격[Rare],MATCH("Gold",아이템가격[재화],0))+1</f>
        <v>4.5999999999999996</v>
      </c>
      <c r="J8">
        <f>IF(밸런스시트[[#This Row],[층]]=1,1,0)</f>
        <v>0</v>
      </c>
      <c r="K8">
        <f t="array" ref="K8">밸런스시트[[#This Row],[레벨당 평균 적]]*밸런스시트[[#This Row],[방 개수]]*표10[적 개체당 드랍골드]</f>
        <v>180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#REF!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x14ac:dyDescent="0.3">
      <c r="A9" s="13"/>
      <c r="B9" s="13" t="s">
        <v>59</v>
      </c>
      <c r="C9" s="13" t="s">
        <v>260</v>
      </c>
      <c r="D9" t="s">
        <v>159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7</v>
      </c>
      <c r="I9">
        <f>밸런스시트[[#This Row],[획득 골드]]/INDEX(아이템가격[Rare],MATCH("Gold",아이템가격[재화],0))+1</f>
        <v>5.2</v>
      </c>
      <c r="J9">
        <f>IF(밸런스시트[[#This Row],[층]]=1,1,0)</f>
        <v>0</v>
      </c>
      <c r="K9">
        <f t="array" ref="K9">밸런스시트[[#This Row],[레벨당 평균 적]]*밸런스시트[[#This Row],[방 개수]]*표10[적 개체당 드랍골드]</f>
        <v>210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#REF!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291</v>
      </c>
      <c r="S9" s="2"/>
      <c r="T9" s="2"/>
    </row>
    <row r="10" spans="1:21" x14ac:dyDescent="0.3">
      <c r="A10" s="13"/>
      <c r="B10" s="13" t="s">
        <v>215</v>
      </c>
      <c r="C10" s="13" t="s">
        <v>260</v>
      </c>
      <c r="D10" t="s">
        <v>366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8</v>
      </c>
      <c r="I10">
        <f>밸런스시트[[#This Row],[획득 골드]]/INDEX(아이템가격[Rare],MATCH("Gold",아이템가격[재화],0))+1</f>
        <v>5.8</v>
      </c>
      <c r="J10">
        <f>IF(밸런스시트[[#This Row],[층]]=1,1,0)</f>
        <v>0</v>
      </c>
      <c r="K10">
        <f t="array" ref="K10">밸런스시트[[#This Row],[레벨당 평균 적]]*밸런스시트[[#This Row],[방 개수]]*표10[적 개체당 드랍골드]</f>
        <v>240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#REF!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84</v>
      </c>
      <c r="S10" t="s">
        <v>85</v>
      </c>
      <c r="T10" t="s">
        <v>94</v>
      </c>
      <c r="U10" t="s">
        <v>87</v>
      </c>
    </row>
    <row r="11" spans="1:21" x14ac:dyDescent="0.3">
      <c r="A11" s="13"/>
      <c r="B11" s="13" t="s">
        <v>310</v>
      </c>
      <c r="C11" s="13" t="s">
        <v>260</v>
      </c>
      <c r="D11" t="s">
        <v>152</v>
      </c>
      <c r="E11">
        <v>100</v>
      </c>
      <c r="G11">
        <v>5</v>
      </c>
      <c r="H11">
        <f>밸런스시트[[#This Row],[획득 골드]]/INDEX(아이템가격[Normal],MATCH("Gold",아이템가격[재화],0))</f>
        <v>9</v>
      </c>
      <c r="I11">
        <f>밸런스시트[[#This Row],[획득 골드]]/INDEX(아이템가격[Rare],MATCH("Gold",아이템가격[재화],0))+1</f>
        <v>6.4</v>
      </c>
      <c r="J11">
        <f>IF(밸런스시트[[#This Row],[층]]=1,1,0)</f>
        <v>0</v>
      </c>
      <c r="K11">
        <f t="array" ref="K11">밸런스시트[[#This Row],[레벨당 평균 적]]*밸런스시트[[#This Row],[방 개수]]*표10[적 개체당 드랍골드]</f>
        <v>270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#REF!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x14ac:dyDescent="0.3">
      <c r="A12" s="13"/>
      <c r="B12" s="13" t="s">
        <v>189</v>
      </c>
      <c r="C12" s="13" t="s">
        <v>245</v>
      </c>
      <c r="D12" t="s">
        <v>158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10</v>
      </c>
      <c r="I12">
        <f>밸런스시트[[#This Row],[획득 골드]]/INDEX(아이템가격[Rare],MATCH("Gold",아이템가격[재화],0))+1</f>
        <v>7</v>
      </c>
      <c r="J12">
        <f>IF(밸런스시트[[#This Row],[층]]=1,1,0)</f>
        <v>0</v>
      </c>
      <c r="K12">
        <f t="array" ref="K12">밸런스시트[[#This Row],[레벨당 평균 적]]*밸런스시트[[#This Row],[방 개수]]*표10[적 개체당 드랍골드]</f>
        <v>300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#REF!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x14ac:dyDescent="0.3">
      <c r="A13" s="13"/>
      <c r="B13" s="13" t="s">
        <v>355</v>
      </c>
      <c r="C13" s="13" t="s">
        <v>22</v>
      </c>
      <c r="D13" t="s">
        <v>33</v>
      </c>
      <c r="E13">
        <f>30/0.46</f>
        <v>65.217391304347828</v>
      </c>
      <c r="R13" s="2" t="s">
        <v>115</v>
      </c>
    </row>
    <row r="14" spans="1:21" x14ac:dyDescent="0.3">
      <c r="A14" s="13"/>
      <c r="B14" s="13" t="s">
        <v>17</v>
      </c>
      <c r="C14" s="13" t="s">
        <v>22</v>
      </c>
      <c r="D14" t="s">
        <v>35</v>
      </c>
      <c r="E14">
        <f>50/360</f>
        <v>0.1388888888888889</v>
      </c>
      <c r="R14" t="s">
        <v>117</v>
      </c>
      <c r="S14" t="s">
        <v>322</v>
      </c>
    </row>
    <row r="15" spans="1:21" x14ac:dyDescent="0.3">
      <c r="A15" s="13"/>
      <c r="B15" s="13" t="s">
        <v>239</v>
      </c>
      <c r="C15" s="13" t="s">
        <v>22</v>
      </c>
      <c r="D15" t="s">
        <v>253</v>
      </c>
      <c r="E15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 x14ac:dyDescent="0.3">
      <c r="A16" s="13"/>
      <c r="B16" s="13" t="s">
        <v>207</v>
      </c>
      <c r="C16" s="13" t="s">
        <v>22</v>
      </c>
      <c r="D16" t="s">
        <v>265</v>
      </c>
      <c r="E16" s="12">
        <v>40</v>
      </c>
    </row>
    <row r="17" spans="1:5" x14ac:dyDescent="0.3">
      <c r="A17" s="13"/>
      <c r="B17" s="13" t="s">
        <v>356</v>
      </c>
      <c r="C17" s="13" t="s">
        <v>22</v>
      </c>
      <c r="D17" t="s">
        <v>147</v>
      </c>
      <c r="E17">
        <f>50/0.3</f>
        <v>166.66666666666669</v>
      </c>
    </row>
    <row r="18" spans="1:5" x14ac:dyDescent="0.3">
      <c r="A18" s="13"/>
      <c r="B18" s="13" t="s">
        <v>400</v>
      </c>
      <c r="C18" s="13" t="s">
        <v>22</v>
      </c>
      <c r="D18" t="s">
        <v>368</v>
      </c>
      <c r="E18" s="14">
        <f>30/-0.2</f>
        <v>-150</v>
      </c>
    </row>
    <row r="19" spans="1:5" x14ac:dyDescent="0.3">
      <c r="A19" s="13"/>
      <c r="B19" s="13" t="s">
        <v>229</v>
      </c>
      <c r="C19" s="13" t="s">
        <v>22</v>
      </c>
      <c r="D19" t="s">
        <v>252</v>
      </c>
      <c r="E19">
        <f>50/100</f>
        <v>0.5</v>
      </c>
    </row>
    <row r="20" spans="1:5" x14ac:dyDescent="0.3">
      <c r="A20" s="13"/>
      <c r="B20" s="13" t="s">
        <v>262</v>
      </c>
      <c r="C20" s="13" t="s">
        <v>22</v>
      </c>
      <c r="D20" t="s">
        <v>255</v>
      </c>
      <c r="E20">
        <f>50/100</f>
        <v>0.5</v>
      </c>
    </row>
    <row r="21" spans="1:5" x14ac:dyDescent="0.3">
      <c r="A21" s="13"/>
      <c r="B21" s="13" t="s">
        <v>24</v>
      </c>
      <c r="C21" s="13" t="s">
        <v>22</v>
      </c>
      <c r="D21" t="s">
        <v>280</v>
      </c>
      <c r="E21">
        <f>30/1/2</f>
        <v>15</v>
      </c>
    </row>
    <row r="22" spans="1:5" x14ac:dyDescent="0.3">
      <c r="A22" s="13"/>
      <c r="B22" s="13" t="s">
        <v>30</v>
      </c>
      <c r="C22" s="13" t="s">
        <v>22</v>
      </c>
      <c r="D22" t="s">
        <v>272</v>
      </c>
      <c r="E22">
        <f>30/1/2</f>
        <v>15</v>
      </c>
    </row>
    <row r="23" spans="1:5" x14ac:dyDescent="0.3">
      <c r="A23" s="13"/>
      <c r="B23" s="13" t="s">
        <v>243</v>
      </c>
      <c r="C23" s="13" t="s">
        <v>22</v>
      </c>
      <c r="D23" t="s">
        <v>364</v>
      </c>
      <c r="E23">
        <f>50/25</f>
        <v>2</v>
      </c>
    </row>
    <row r="24" spans="1:5" x14ac:dyDescent="0.3">
      <c r="A24" s="13"/>
      <c r="B24" s="13" t="s">
        <v>251</v>
      </c>
      <c r="C24" s="13" t="s">
        <v>22</v>
      </c>
      <c r="D24" t="s">
        <v>365</v>
      </c>
      <c r="E24">
        <f>50/25</f>
        <v>2</v>
      </c>
    </row>
    <row r="25" spans="1:5" x14ac:dyDescent="0.3">
      <c r="A25" s="13"/>
      <c r="B25" s="13" t="s">
        <v>271</v>
      </c>
      <c r="C25" s="13" t="s">
        <v>22</v>
      </c>
      <c r="D25" t="s">
        <v>405</v>
      </c>
      <c r="E25">
        <v>2</v>
      </c>
    </row>
    <row r="26" spans="1:5" x14ac:dyDescent="0.3">
      <c r="A26" s="13"/>
      <c r="B26" s="13" t="s">
        <v>294</v>
      </c>
      <c r="C26" s="13" t="s">
        <v>22</v>
      </c>
      <c r="D26" t="s">
        <v>406</v>
      </c>
      <c r="E26">
        <v>2</v>
      </c>
    </row>
    <row r="27" spans="1:5" x14ac:dyDescent="0.3">
      <c r="A27" s="13"/>
      <c r="B27" s="13" t="s">
        <v>213</v>
      </c>
      <c r="C27" s="13" t="s">
        <v>61</v>
      </c>
      <c r="D27" s="13" t="s">
        <v>25</v>
      </c>
      <c r="E27">
        <v>-50</v>
      </c>
    </row>
    <row r="28" spans="1:5" x14ac:dyDescent="0.3">
      <c r="A28" s="13"/>
      <c r="B28" s="13" t="s">
        <v>155</v>
      </c>
      <c r="C28" s="13" t="s">
        <v>61</v>
      </c>
      <c r="D28" s="13" t="s">
        <v>23</v>
      </c>
      <c r="E28">
        <v>-30</v>
      </c>
    </row>
    <row r="29" spans="1:5" x14ac:dyDescent="0.3">
      <c r="A29" s="13"/>
      <c r="B29" s="13" t="s">
        <v>311</v>
      </c>
      <c r="C29" s="13" t="s">
        <v>61</v>
      </c>
      <c r="D29" s="13" t="s">
        <v>21</v>
      </c>
      <c r="E29">
        <v>50</v>
      </c>
    </row>
    <row r="30" spans="1:5" x14ac:dyDescent="0.3">
      <c r="A30" s="13"/>
      <c r="B30" s="13" t="s">
        <v>53</v>
      </c>
      <c r="C30" s="13" t="s">
        <v>61</v>
      </c>
      <c r="D30" s="13" t="s">
        <v>443</v>
      </c>
      <c r="E30">
        <v>50</v>
      </c>
    </row>
    <row r="31" spans="1:5" x14ac:dyDescent="0.3">
      <c r="A31" s="13"/>
      <c r="B31" s="13" t="s">
        <v>307</v>
      </c>
      <c r="C31" s="13" t="s">
        <v>61</v>
      </c>
      <c r="D31" s="13" t="s">
        <v>200</v>
      </c>
      <c r="E31">
        <v>50</v>
      </c>
    </row>
    <row r="32" spans="1:5" x14ac:dyDescent="0.3">
      <c r="A32" s="13"/>
      <c r="B32" s="13" t="s">
        <v>212</v>
      </c>
      <c r="C32" s="13" t="s">
        <v>61</v>
      </c>
      <c r="D32" s="13" t="s">
        <v>246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13" sqref="C13"/>
    </sheetView>
  </sheetViews>
  <sheetFormatPr defaultColWidth="8.875" defaultRowHeight="16.5" x14ac:dyDescent="0.3"/>
  <cols>
    <col min="1" max="1" width="8.625" bestFit="1" customWidth="1"/>
    <col min="2" max="2" width="30.125" bestFit="1" customWidth="1"/>
    <col min="4" max="4" width="73.625" customWidth="1"/>
  </cols>
  <sheetData>
    <row r="1" spans="1:4" x14ac:dyDescent="0.3">
      <c r="A1" t="s">
        <v>103</v>
      </c>
      <c r="B1" t="s">
        <v>52</v>
      </c>
      <c r="C1" t="s">
        <v>104</v>
      </c>
      <c r="D1" t="s">
        <v>52</v>
      </c>
    </row>
    <row r="2" spans="1:4" x14ac:dyDescent="0.3">
      <c r="A2" t="s">
        <v>79</v>
      </c>
      <c r="B2" s="6" t="s">
        <v>123</v>
      </c>
      <c r="C2" t="s">
        <v>75</v>
      </c>
      <c r="D2" s="6" t="s">
        <v>46</v>
      </c>
    </row>
    <row r="3" spans="1:4" x14ac:dyDescent="0.3">
      <c r="A3">
        <v>1</v>
      </c>
      <c r="B3" s="4" t="s">
        <v>202</v>
      </c>
      <c r="C3">
        <v>5</v>
      </c>
      <c r="D3" s="4" t="s">
        <v>226</v>
      </c>
    </row>
    <row r="4" spans="1:4" x14ac:dyDescent="0.3">
      <c r="A4">
        <v>2</v>
      </c>
      <c r="B4" s="4" t="s">
        <v>269</v>
      </c>
      <c r="C4">
        <v>5</v>
      </c>
      <c r="D4" s="4" t="s">
        <v>201</v>
      </c>
    </row>
    <row r="5" spans="1:4" x14ac:dyDescent="0.3">
      <c r="A5">
        <v>3</v>
      </c>
      <c r="B5" s="4" t="s">
        <v>295</v>
      </c>
      <c r="C5">
        <v>20</v>
      </c>
      <c r="D5" s="4" t="s">
        <v>8</v>
      </c>
    </row>
    <row r="6" spans="1:4" x14ac:dyDescent="0.3">
      <c r="A6">
        <v>4</v>
      </c>
      <c r="B6" s="4" t="s">
        <v>297</v>
      </c>
      <c r="C6">
        <v>0.5</v>
      </c>
      <c r="D6" s="4" t="s">
        <v>217</v>
      </c>
    </row>
    <row r="7" spans="1:4" x14ac:dyDescent="0.3">
      <c r="A7">
        <v>5</v>
      </c>
      <c r="B7" s="4" t="s">
        <v>359</v>
      </c>
      <c r="C7">
        <v>50</v>
      </c>
      <c r="D7" s="4" t="s">
        <v>441</v>
      </c>
    </row>
    <row r="8" spans="1:4" x14ac:dyDescent="0.3">
      <c r="A8">
        <v>6</v>
      </c>
      <c r="B8" s="4" t="s">
        <v>363</v>
      </c>
      <c r="C8">
        <v>1</v>
      </c>
      <c r="D8" s="4" t="s">
        <v>190</v>
      </c>
    </row>
    <row r="9" spans="1:4" x14ac:dyDescent="0.3">
      <c r="A9">
        <v>7</v>
      </c>
      <c r="B9" s="4" t="s">
        <v>438</v>
      </c>
      <c r="C9">
        <v>10</v>
      </c>
      <c r="D9" s="4" t="s">
        <v>435</v>
      </c>
    </row>
    <row r="10" spans="1:4" x14ac:dyDescent="0.3">
      <c r="A10">
        <v>8</v>
      </c>
      <c r="B10" s="4" t="s">
        <v>27</v>
      </c>
      <c r="C10">
        <v>5</v>
      </c>
      <c r="D10" s="4" t="s">
        <v>186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D1" zoomScaleNormal="75" zoomScaleSheetLayoutView="100" workbookViewId="0">
      <selection activeCell="D3" sqref="D3"/>
    </sheetView>
  </sheetViews>
  <sheetFormatPr defaultColWidth="8.875" defaultRowHeight="16.5" x14ac:dyDescent="0.3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 x14ac:dyDescent="0.3">
      <c r="B1" t="s">
        <v>49</v>
      </c>
      <c r="C1" t="s">
        <v>52</v>
      </c>
      <c r="D1" t="s">
        <v>49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  <c r="J1" t="s">
        <v>104</v>
      </c>
      <c r="K1" t="s">
        <v>170</v>
      </c>
      <c r="L1" t="s">
        <v>170</v>
      </c>
      <c r="M1" t="s">
        <v>49</v>
      </c>
      <c r="N1" t="s">
        <v>49</v>
      </c>
      <c r="O1" t="s">
        <v>49</v>
      </c>
      <c r="P1" t="s">
        <v>49</v>
      </c>
    </row>
    <row r="2" spans="2:16" x14ac:dyDescent="0.3">
      <c r="B2" t="s">
        <v>79</v>
      </c>
      <c r="C2" s="6" t="s">
        <v>46</v>
      </c>
      <c r="D2" t="s">
        <v>167</v>
      </c>
      <c r="E2" t="s">
        <v>320</v>
      </c>
      <c r="F2" t="s">
        <v>2</v>
      </c>
      <c r="G2" t="s">
        <v>29</v>
      </c>
      <c r="H2" t="s">
        <v>14</v>
      </c>
      <c r="I2" t="s">
        <v>218</v>
      </c>
      <c r="J2" t="s">
        <v>12</v>
      </c>
      <c r="K2" t="s">
        <v>28</v>
      </c>
      <c r="L2" t="s">
        <v>249</v>
      </c>
      <c r="M2" t="s">
        <v>316</v>
      </c>
      <c r="N2" t="s">
        <v>215</v>
      </c>
      <c r="O2" t="s">
        <v>310</v>
      </c>
      <c r="P2" t="s">
        <v>18</v>
      </c>
    </row>
    <row r="3" spans="2:16" x14ac:dyDescent="0.3">
      <c r="B3">
        <v>100</v>
      </c>
      <c r="C3" s="4" t="s">
        <v>41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Q1" zoomScaleNormal="75" zoomScaleSheetLayoutView="100" workbookViewId="0">
      <selection activeCell="X11" sqref="X11"/>
    </sheetView>
  </sheetViews>
  <sheetFormatPr defaultColWidth="8.875" defaultRowHeight="16.5" x14ac:dyDescent="0.3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 x14ac:dyDescent="0.3">
      <c r="B1" t="s">
        <v>49</v>
      </c>
      <c r="C1" t="s">
        <v>52</v>
      </c>
      <c r="D1" t="s">
        <v>104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  <c r="J1" t="s">
        <v>104</v>
      </c>
      <c r="K1" t="s">
        <v>49</v>
      </c>
      <c r="L1" t="s">
        <v>104</v>
      </c>
      <c r="M1" t="s">
        <v>49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  <c r="T1" t="s">
        <v>49</v>
      </c>
      <c r="U1" t="s">
        <v>49</v>
      </c>
      <c r="V1" t="s">
        <v>49</v>
      </c>
      <c r="W1" t="s">
        <v>49</v>
      </c>
      <c r="AD1" s="12" t="s">
        <v>187</v>
      </c>
    </row>
    <row r="2" spans="2:31" x14ac:dyDescent="0.3">
      <c r="B2" t="s">
        <v>79</v>
      </c>
      <c r="C2" s="6" t="s">
        <v>46</v>
      </c>
      <c r="D2" s="8" t="s">
        <v>223</v>
      </c>
      <c r="E2" s="7" t="s">
        <v>230</v>
      </c>
      <c r="F2" s="7" t="s">
        <v>358</v>
      </c>
      <c r="G2" s="8" t="s">
        <v>20</v>
      </c>
      <c r="H2" s="9" t="s">
        <v>239</v>
      </c>
      <c r="I2" s="9" t="s">
        <v>242</v>
      </c>
      <c r="J2" s="9" t="s">
        <v>355</v>
      </c>
      <c r="K2" s="9" t="s">
        <v>17</v>
      </c>
      <c r="L2" s="9" t="s">
        <v>400</v>
      </c>
      <c r="M2" s="9" t="s">
        <v>207</v>
      </c>
      <c r="N2" s="9" t="s">
        <v>229</v>
      </c>
      <c r="O2" s="9" t="s">
        <v>262</v>
      </c>
      <c r="P2" s="9" t="s">
        <v>24</v>
      </c>
      <c r="Q2" s="9" t="s">
        <v>30</v>
      </c>
      <c r="R2" s="9" t="s">
        <v>31</v>
      </c>
      <c r="S2" s="10" t="s">
        <v>243</v>
      </c>
      <c r="T2" s="10" t="s">
        <v>251</v>
      </c>
      <c r="U2" s="10" t="s">
        <v>271</v>
      </c>
      <c r="V2" s="10" t="s">
        <v>294</v>
      </c>
      <c r="W2" s="1" t="s">
        <v>356</v>
      </c>
      <c r="X2" s="1" t="s">
        <v>446</v>
      </c>
      <c r="Y2" s="6" t="s">
        <v>372</v>
      </c>
      <c r="Z2" s="6" t="s">
        <v>244</v>
      </c>
      <c r="AA2" s="6" t="s">
        <v>268</v>
      </c>
      <c r="AB2" s="6" t="s">
        <v>247</v>
      </c>
      <c r="AC2" s="6" t="s">
        <v>267</v>
      </c>
      <c r="AD2" s="6" t="s">
        <v>259</v>
      </c>
      <c r="AE2" s="6" t="s">
        <v>26</v>
      </c>
    </row>
    <row r="3" spans="2:31" x14ac:dyDescent="0.3">
      <c r="B3">
        <v>200</v>
      </c>
      <c r="C3" s="4" t="s">
        <v>329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50</v>
      </c>
      <c r="V3">
        <v>100</v>
      </c>
      <c r="W3">
        <v>1</v>
      </c>
      <c r="X3">
        <v>7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51.8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84.459459459459453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defaultColWidth="8.875" defaultRowHeight="16.5" x14ac:dyDescent="0.3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 x14ac:dyDescent="0.3">
      <c r="B1" t="s">
        <v>49</v>
      </c>
      <c r="C1" t="s">
        <v>52</v>
      </c>
      <c r="D1" t="s">
        <v>49</v>
      </c>
      <c r="E1" t="s">
        <v>104</v>
      </c>
      <c r="F1" t="s">
        <v>104</v>
      </c>
      <c r="G1" t="s">
        <v>104</v>
      </c>
      <c r="H1" t="s">
        <v>49</v>
      </c>
      <c r="I1" t="s">
        <v>49</v>
      </c>
      <c r="J1" t="s">
        <v>49</v>
      </c>
      <c r="K1" t="s">
        <v>49</v>
      </c>
      <c r="L1" t="s">
        <v>49</v>
      </c>
      <c r="M1" t="s">
        <v>49</v>
      </c>
      <c r="N1" t="s">
        <v>52</v>
      </c>
      <c r="O1" t="s">
        <v>52</v>
      </c>
      <c r="P1" t="s">
        <v>52</v>
      </c>
      <c r="Q1" t="s">
        <v>52</v>
      </c>
      <c r="R1" t="s">
        <v>52</v>
      </c>
      <c r="S1" t="s">
        <v>52</v>
      </c>
    </row>
    <row r="2" spans="1:19" x14ac:dyDescent="0.3">
      <c r="B2" t="s">
        <v>79</v>
      </c>
      <c r="C2" s="6" t="s">
        <v>64</v>
      </c>
      <c r="D2" t="s">
        <v>235</v>
      </c>
      <c r="E2" t="s">
        <v>225</v>
      </c>
      <c r="F2" t="s">
        <v>321</v>
      </c>
      <c r="G2" t="s">
        <v>15</v>
      </c>
      <c r="H2" t="s">
        <v>344</v>
      </c>
      <c r="I2" t="s">
        <v>233</v>
      </c>
      <c r="J2" t="s">
        <v>231</v>
      </c>
      <c r="K2" t="s">
        <v>325</v>
      </c>
      <c r="L2" t="s">
        <v>227</v>
      </c>
      <c r="M2" t="s">
        <v>234</v>
      </c>
      <c r="N2" s="6" t="s">
        <v>140</v>
      </c>
      <c r="O2" s="6" t="s">
        <v>148</v>
      </c>
      <c r="P2" s="6" t="s">
        <v>149</v>
      </c>
      <c r="Q2" s="6" t="s">
        <v>150</v>
      </c>
      <c r="R2" s="6" t="s">
        <v>151</v>
      </c>
      <c r="S2" s="6" t="s">
        <v>143</v>
      </c>
    </row>
    <row r="3" spans="1:19" x14ac:dyDescent="0.3">
      <c r="B3">
        <v>800</v>
      </c>
      <c r="C3" s="4" t="s">
        <v>118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 x14ac:dyDescent="0.3">
      <c r="A4" t="s">
        <v>52</v>
      </c>
      <c r="B4">
        <v>801</v>
      </c>
      <c r="C4" s="4" t="s">
        <v>114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defaultColWidth="8.875" defaultRowHeight="16.5" x14ac:dyDescent="0.3"/>
  <cols>
    <col min="3" max="3" width="19.125" customWidth="1"/>
    <col min="4" max="4" width="10.375" bestFit="1" customWidth="1"/>
    <col min="7" max="7" width="10.875" customWidth="1"/>
  </cols>
  <sheetData>
    <row r="1" spans="1:9" x14ac:dyDescent="0.3">
      <c r="B1" t="s">
        <v>49</v>
      </c>
      <c r="C1" t="s">
        <v>52</v>
      </c>
      <c r="D1" t="s">
        <v>104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</row>
    <row r="2" spans="1:9" x14ac:dyDescent="0.3">
      <c r="B2" t="s">
        <v>79</v>
      </c>
      <c r="C2" s="6" t="s">
        <v>44</v>
      </c>
      <c r="D2" t="s">
        <v>84</v>
      </c>
      <c r="E2" t="s">
        <v>85</v>
      </c>
      <c r="F2" t="s">
        <v>94</v>
      </c>
      <c r="G2" t="s">
        <v>87</v>
      </c>
      <c r="H2" t="s">
        <v>51</v>
      </c>
      <c r="I2" t="s">
        <v>97</v>
      </c>
    </row>
    <row r="3" spans="1:9" x14ac:dyDescent="0.3">
      <c r="B3">
        <v>9000</v>
      </c>
      <c r="C3" s="4" t="s">
        <v>334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 x14ac:dyDescent="0.3">
      <c r="B4">
        <v>9001</v>
      </c>
      <c r="C4" s="11" t="s">
        <v>326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 x14ac:dyDescent="0.3">
      <c r="B5">
        <v>9002</v>
      </c>
      <c r="C5" s="11" t="s">
        <v>327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 x14ac:dyDescent="0.3">
      <c r="B6">
        <v>9003</v>
      </c>
      <c r="C6" s="11" t="s">
        <v>111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 x14ac:dyDescent="0.3">
      <c r="B7">
        <v>9004</v>
      </c>
      <c r="C7" s="4" t="s">
        <v>110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 x14ac:dyDescent="0.3">
      <c r="B8">
        <v>9005</v>
      </c>
      <c r="C8" s="11" t="s">
        <v>314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 x14ac:dyDescent="0.3">
      <c r="A9" t="s">
        <v>52</v>
      </c>
      <c r="B9">
        <v>9100</v>
      </c>
      <c r="C9" s="11" t="s">
        <v>335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 x14ac:dyDescent="0.3">
      <c r="A10" t="s">
        <v>52</v>
      </c>
      <c r="B10">
        <v>9101</v>
      </c>
      <c r="C10" s="11" t="s">
        <v>360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 x14ac:dyDescent="0.3">
      <c r="A11" t="s">
        <v>52</v>
      </c>
      <c r="B11">
        <v>9102</v>
      </c>
      <c r="C11" s="11" t="s">
        <v>336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 x14ac:dyDescent="0.3">
      <c r="A12" t="s">
        <v>52</v>
      </c>
      <c r="B12">
        <v>9103</v>
      </c>
      <c r="C12" s="11" t="s">
        <v>129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 x14ac:dyDescent="0.3">
      <c r="A13" t="s">
        <v>52</v>
      </c>
      <c r="B13">
        <v>9104</v>
      </c>
      <c r="C13" s="11" t="s">
        <v>128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 x14ac:dyDescent="0.3">
      <c r="A14" t="s">
        <v>52</v>
      </c>
      <c r="B14">
        <v>9105</v>
      </c>
      <c r="C14" s="11" t="s">
        <v>345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S11"/>
  <sheetViews>
    <sheetView topLeftCell="H1" zoomScaleNormal="75" zoomScaleSheetLayoutView="100" workbookViewId="0">
      <selection activeCell="Q11" sqref="Q11"/>
    </sheetView>
  </sheetViews>
  <sheetFormatPr defaultColWidth="8.875" defaultRowHeight="16.5" x14ac:dyDescent="0.3"/>
  <cols>
    <col min="2" max="2" width="8.625" bestFit="1" customWidth="1"/>
    <col min="3" max="3" width="30.375" customWidth="1"/>
    <col min="4" max="4" width="10.125" bestFit="1" customWidth="1"/>
    <col min="5" max="5" width="12.875" bestFit="1" customWidth="1"/>
    <col min="6" max="6" width="14" bestFit="1" customWidth="1"/>
    <col min="7" max="7" width="27.875" bestFit="1" customWidth="1"/>
    <col min="8" max="8" width="17" bestFit="1" customWidth="1"/>
    <col min="9" max="9" width="17.5" bestFit="1" customWidth="1"/>
    <col min="10" max="10" width="15.625" bestFit="1" customWidth="1"/>
    <col min="11" max="11" width="17.125" bestFit="1" customWidth="1"/>
    <col min="12" max="12" width="12.625" bestFit="1" customWidth="1"/>
    <col min="13" max="13" width="17.625" bestFit="1" customWidth="1"/>
    <col min="14" max="14" width="16" bestFit="1" customWidth="1"/>
    <col min="15" max="15" width="16.375" bestFit="1" customWidth="1"/>
    <col min="16" max="16" width="18.375" bestFit="1" customWidth="1"/>
    <col min="17" max="17" width="25" bestFit="1" customWidth="1"/>
    <col min="18" max="18" width="20.625" bestFit="1" customWidth="1"/>
    <col min="19" max="19" width="17.875" bestFit="1" customWidth="1"/>
  </cols>
  <sheetData>
    <row r="1" spans="2:19" x14ac:dyDescent="0.3">
      <c r="B1" t="s">
        <v>49</v>
      </c>
      <c r="C1" t="s">
        <v>52</v>
      </c>
      <c r="D1" t="s">
        <v>49</v>
      </c>
      <c r="E1" t="s">
        <v>134</v>
      </c>
      <c r="F1" t="s">
        <v>49</v>
      </c>
      <c r="G1" t="s">
        <v>104</v>
      </c>
      <c r="H1" t="s">
        <v>104</v>
      </c>
      <c r="I1" t="s">
        <v>104</v>
      </c>
      <c r="J1" t="s">
        <v>134</v>
      </c>
      <c r="K1" t="s">
        <v>104</v>
      </c>
      <c r="L1" t="s">
        <v>49</v>
      </c>
      <c r="M1" t="s">
        <v>49</v>
      </c>
      <c r="N1" t="s">
        <v>49</v>
      </c>
      <c r="O1" t="s">
        <v>49</v>
      </c>
      <c r="P1" t="s">
        <v>49</v>
      </c>
      <c r="Q1" t="s">
        <v>103</v>
      </c>
      <c r="R1" t="s">
        <v>52</v>
      </c>
      <c r="S1" t="s">
        <v>52</v>
      </c>
    </row>
    <row r="2" spans="2:19" x14ac:dyDescent="0.3">
      <c r="B2" t="s">
        <v>79</v>
      </c>
      <c r="C2" s="6" t="s">
        <v>64</v>
      </c>
      <c r="D2" t="s">
        <v>138</v>
      </c>
      <c r="E2" t="s">
        <v>338</v>
      </c>
      <c r="F2" t="s">
        <v>340</v>
      </c>
      <c r="G2" t="s">
        <v>288</v>
      </c>
      <c r="H2" t="s">
        <v>2</v>
      </c>
      <c r="I2" t="s">
        <v>221</v>
      </c>
      <c r="J2" t="s">
        <v>216</v>
      </c>
      <c r="K2" t="s">
        <v>219</v>
      </c>
      <c r="L2" t="s">
        <v>337</v>
      </c>
      <c r="M2" t="s">
        <v>228</v>
      </c>
      <c r="N2" t="s">
        <v>343</v>
      </c>
      <c r="O2" t="s">
        <v>341</v>
      </c>
      <c r="P2" t="s">
        <v>11</v>
      </c>
      <c r="Q2" t="s">
        <v>346</v>
      </c>
      <c r="R2" s="6" t="s">
        <v>348</v>
      </c>
      <c r="S2" s="6" t="s">
        <v>367</v>
      </c>
    </row>
    <row r="3" spans="2:19" x14ac:dyDescent="0.3">
      <c r="B3">
        <v>500</v>
      </c>
      <c r="C3" s="4" t="s">
        <v>43</v>
      </c>
      <c r="D3">
        <f>표14[적 기준 체력]*EnemyGameData[[#This Row],['#기준 적 체력 비율]]</f>
        <v>20</v>
      </c>
      <c r="E3" t="s">
        <v>130</v>
      </c>
      <c r="F3">
        <v>1</v>
      </c>
      <c r="G3">
        <v>0.3</v>
      </c>
      <c r="H3">
        <v>1.8</v>
      </c>
      <c r="I3">
        <v>0</v>
      </c>
      <c r="J3" t="s">
        <v>77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439</v>
      </c>
      <c r="R3">
        <v>0.2</v>
      </c>
      <c r="S3">
        <f>AVERAGE(EnemyGameData[[#This Row],[GoldDropMin]],EnemyGameData[[#This Row],[GoldDropMax]])</f>
        <v>0</v>
      </c>
    </row>
    <row r="4" spans="2:19" x14ac:dyDescent="0.3">
      <c r="B4">
        <v>501</v>
      </c>
      <c r="C4" s="4" t="s">
        <v>32</v>
      </c>
      <c r="D4">
        <f>표14[적 기준 체력]*EnemyGameData[[#This Row],['#기준 적 체력 비율]]</f>
        <v>80</v>
      </c>
      <c r="E4" t="s">
        <v>347</v>
      </c>
      <c r="F4">
        <v>6</v>
      </c>
      <c r="G4">
        <v>2</v>
      </c>
      <c r="H4">
        <v>2</v>
      </c>
      <c r="I4">
        <v>2.5</v>
      </c>
      <c r="J4" t="s">
        <v>237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432</v>
      </c>
      <c r="R4">
        <v>0.8</v>
      </c>
      <c r="S4">
        <f>AVERAGE(EnemyGameData[[#This Row],[GoldDropMin]],EnemyGameData[[#This Row],[GoldDropMax]])</f>
        <v>4.5</v>
      </c>
    </row>
    <row r="5" spans="2:19" x14ac:dyDescent="0.3">
      <c r="B5">
        <v>502</v>
      </c>
      <c r="C5" s="4" t="s">
        <v>392</v>
      </c>
      <c r="D5">
        <f>표14[적 기준 체력]*EnemyGameData[[#This Row],['#기준 적 체력 비율]]</f>
        <v>100</v>
      </c>
      <c r="E5" t="s">
        <v>130</v>
      </c>
      <c r="F5">
        <v>3</v>
      </c>
      <c r="G5">
        <v>1.2</v>
      </c>
      <c r="H5">
        <v>2</v>
      </c>
      <c r="I5">
        <v>3.5</v>
      </c>
      <c r="J5" t="s">
        <v>133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432</v>
      </c>
      <c r="R5">
        <v>1</v>
      </c>
      <c r="S5">
        <f>AVERAGE(EnemyGameData[[#This Row],[GoldDropMin]],EnemyGameData[[#This Row],[GoldDropMax]])</f>
        <v>4.5</v>
      </c>
    </row>
    <row r="6" spans="2:19" x14ac:dyDescent="0.3">
      <c r="B6">
        <v>503</v>
      </c>
      <c r="C6" s="4" t="s">
        <v>266</v>
      </c>
      <c r="D6">
        <f>표14[적 기준 체력]*EnemyGameData[[#This Row],['#기준 적 체력 비율]]</f>
        <v>80</v>
      </c>
      <c r="E6" t="s">
        <v>347</v>
      </c>
      <c r="F6">
        <v>6</v>
      </c>
      <c r="G6">
        <v>1.2</v>
      </c>
      <c r="H6">
        <v>2</v>
      </c>
      <c r="I6">
        <v>2</v>
      </c>
      <c r="J6" t="s">
        <v>133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432</v>
      </c>
      <c r="R6">
        <v>0.8</v>
      </c>
      <c r="S6">
        <f>AVERAGE(EnemyGameData[[#This Row],[GoldDropMin]],EnemyGameData[[#This Row],[GoldDropMax]])</f>
        <v>4.5</v>
      </c>
    </row>
    <row r="7" spans="2:19" x14ac:dyDescent="0.3">
      <c r="B7">
        <v>504</v>
      </c>
      <c r="C7" s="4" t="s">
        <v>257</v>
      </c>
      <c r="D7">
        <f>표14[적 기준 체력]*EnemyGameData[[#This Row],['#기준 적 체력 비율]]</f>
        <v>80</v>
      </c>
      <c r="E7" t="s">
        <v>347</v>
      </c>
      <c r="F7">
        <v>4</v>
      </c>
      <c r="G7">
        <v>1.5</v>
      </c>
      <c r="H7">
        <v>2</v>
      </c>
      <c r="I7">
        <v>2.5</v>
      </c>
      <c r="J7" t="s">
        <v>133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432</v>
      </c>
      <c r="R7">
        <v>0.8</v>
      </c>
      <c r="S7">
        <f>AVERAGE(EnemyGameData[[#This Row],[GoldDropMin]],EnemyGameData[[#This Row],[GoldDropMax]])</f>
        <v>4.5</v>
      </c>
    </row>
    <row r="8" spans="2:19" x14ac:dyDescent="0.3">
      <c r="B8">
        <v>505</v>
      </c>
      <c r="C8" s="4" t="s">
        <v>258</v>
      </c>
      <c r="D8">
        <f>표14[적 기준 체력]*EnemyGameData[[#This Row],['#기준 적 체력 비율]]</f>
        <v>100</v>
      </c>
      <c r="E8" t="s">
        <v>347</v>
      </c>
      <c r="F8">
        <v>4</v>
      </c>
      <c r="G8">
        <v>1.8</v>
      </c>
      <c r="H8">
        <v>2</v>
      </c>
      <c r="I8">
        <v>3.5</v>
      </c>
      <c r="J8" t="s">
        <v>133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432</v>
      </c>
      <c r="R8">
        <v>1</v>
      </c>
      <c r="S8">
        <f>AVERAGE(EnemyGameData[[#This Row],[GoldDropMin]],EnemyGameData[[#This Row],[GoldDropMax]])</f>
        <v>4.5</v>
      </c>
    </row>
    <row r="9" spans="2:19" x14ac:dyDescent="0.3">
      <c r="B9">
        <v>506</v>
      </c>
      <c r="C9" s="4" t="s">
        <v>261</v>
      </c>
      <c r="D9">
        <f>표14[적 기준 체력]*EnemyGameData[[#This Row],['#기준 적 체력 비율]]</f>
        <v>100</v>
      </c>
      <c r="E9" t="s">
        <v>347</v>
      </c>
      <c r="F9">
        <v>4</v>
      </c>
      <c r="G9">
        <v>1.4</v>
      </c>
      <c r="H9">
        <v>2</v>
      </c>
      <c r="I9">
        <v>2</v>
      </c>
      <c r="J9" t="s">
        <v>133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432</v>
      </c>
      <c r="R9">
        <v>1</v>
      </c>
      <c r="S9">
        <f>AVERAGE(EnemyGameData[[#This Row],[GoldDropMin]],EnemyGameData[[#This Row],[GoldDropMax]])</f>
        <v>4.5</v>
      </c>
    </row>
    <row r="10" spans="2:19" x14ac:dyDescent="0.3">
      <c r="B10">
        <v>507</v>
      </c>
      <c r="C10" s="4" t="s">
        <v>261</v>
      </c>
      <c r="D10">
        <f>표14[적 기준 체력]*EnemyGameData[[#This Row],['#기준 적 체력 비율]]</f>
        <v>100</v>
      </c>
      <c r="E10" t="s">
        <v>347</v>
      </c>
      <c r="F10">
        <v>4</v>
      </c>
      <c r="G10">
        <v>1.7</v>
      </c>
      <c r="H10">
        <v>2</v>
      </c>
      <c r="I10">
        <v>3</v>
      </c>
      <c r="J10" t="s">
        <v>133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432</v>
      </c>
      <c r="R10">
        <v>1</v>
      </c>
      <c r="S10">
        <f>AVERAGE(EnemyGameData[[#This Row],[GoldDropMin]],EnemyGameData[[#This Row],[GoldDropMax]])</f>
        <v>4.5</v>
      </c>
    </row>
    <row r="11" spans="2:19" x14ac:dyDescent="0.3">
      <c r="B11">
        <v>508</v>
      </c>
      <c r="C11" s="4" t="s">
        <v>426</v>
      </c>
      <c r="D11">
        <f>표14[적 기준 체력]*EnemyGameData[[#This Row],['#기준 적 체력 비율]]</f>
        <v>1000</v>
      </c>
      <c r="E11" t="s">
        <v>130</v>
      </c>
      <c r="F11">
        <v>1</v>
      </c>
      <c r="G11">
        <v>2</v>
      </c>
      <c r="H11">
        <v>1.5</v>
      </c>
      <c r="I11">
        <v>4</v>
      </c>
      <c r="J11" t="s">
        <v>133</v>
      </c>
      <c r="K11">
        <v>6</v>
      </c>
      <c r="L11">
        <v>0</v>
      </c>
      <c r="M11">
        <v>0</v>
      </c>
      <c r="N11">
        <v>25</v>
      </c>
      <c r="O11">
        <v>25</v>
      </c>
      <c r="P11">
        <v>0</v>
      </c>
      <c r="R11">
        <v>10</v>
      </c>
      <c r="S11">
        <f>AVERAGE(EnemyGameData[[#This Row],[GoldDropMin]],EnemyGameData[[#This Row],[GoldDropMax]])</f>
        <v>25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G30"/>
  <sheetViews>
    <sheetView zoomScaleNormal="75" zoomScaleSheetLayoutView="100" workbookViewId="0">
      <selection activeCell="I28" sqref="I28"/>
    </sheetView>
  </sheetViews>
  <sheetFormatPr defaultColWidth="8.875" defaultRowHeight="16.5" x14ac:dyDescent="0.3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</cols>
  <sheetData>
    <row r="1" spans="2:7" x14ac:dyDescent="0.3">
      <c r="B1" t="s">
        <v>49</v>
      </c>
      <c r="C1" t="s">
        <v>52</v>
      </c>
      <c r="D1" t="s">
        <v>49</v>
      </c>
      <c r="E1" t="s">
        <v>134</v>
      </c>
      <c r="F1" t="s">
        <v>104</v>
      </c>
      <c r="G1" t="s">
        <v>104</v>
      </c>
    </row>
    <row r="2" spans="2:7" x14ac:dyDescent="0.3">
      <c r="B2" t="s">
        <v>79</v>
      </c>
      <c r="C2" s="6" t="s">
        <v>46</v>
      </c>
      <c r="D2" t="s">
        <v>353</v>
      </c>
      <c r="E2" t="s">
        <v>136</v>
      </c>
      <c r="F2" t="s">
        <v>352</v>
      </c>
      <c r="G2" t="s">
        <v>349</v>
      </c>
    </row>
    <row r="3" spans="2:7" x14ac:dyDescent="0.3">
      <c r="B3">
        <v>600</v>
      </c>
      <c r="C3" s="4" t="s">
        <v>377</v>
      </c>
      <c r="D3">
        <v>700</v>
      </c>
      <c r="E3" t="s">
        <v>169</v>
      </c>
      <c r="F3">
        <v>0.5</v>
      </c>
      <c r="G3">
        <v>0.3</v>
      </c>
    </row>
    <row r="4" spans="2:7" x14ac:dyDescent="0.3">
      <c r="B4">
        <v>600</v>
      </c>
      <c r="C4" s="4" t="s">
        <v>382</v>
      </c>
      <c r="D4">
        <v>701</v>
      </c>
      <c r="E4" t="s">
        <v>169</v>
      </c>
      <c r="F4">
        <v>0</v>
      </c>
      <c r="G4">
        <v>1</v>
      </c>
    </row>
    <row r="5" spans="2:7" x14ac:dyDescent="0.3">
      <c r="B5">
        <v>601</v>
      </c>
      <c r="C5" s="4" t="s">
        <v>379</v>
      </c>
      <c r="D5">
        <v>702</v>
      </c>
      <c r="E5" t="s">
        <v>161</v>
      </c>
      <c r="F5">
        <v>0.5</v>
      </c>
      <c r="G5">
        <v>0.1</v>
      </c>
    </row>
    <row r="6" spans="2:7" x14ac:dyDescent="0.3">
      <c r="B6">
        <v>601</v>
      </c>
      <c r="C6" s="4" t="s">
        <v>379</v>
      </c>
      <c r="D6">
        <v>706</v>
      </c>
      <c r="E6" t="s">
        <v>161</v>
      </c>
      <c r="F6">
        <v>0</v>
      </c>
      <c r="G6">
        <v>0.1</v>
      </c>
    </row>
    <row r="7" spans="2:7" x14ac:dyDescent="0.3">
      <c r="B7">
        <v>601</v>
      </c>
      <c r="C7" s="4" t="s">
        <v>379</v>
      </c>
      <c r="D7">
        <v>712</v>
      </c>
      <c r="E7" t="s">
        <v>161</v>
      </c>
      <c r="F7">
        <v>0</v>
      </c>
      <c r="G7">
        <v>0.1</v>
      </c>
    </row>
    <row r="8" spans="2:7" x14ac:dyDescent="0.3">
      <c r="B8">
        <v>601</v>
      </c>
      <c r="C8" s="4" t="s">
        <v>379</v>
      </c>
      <c r="D8">
        <v>709</v>
      </c>
      <c r="E8" t="s">
        <v>161</v>
      </c>
      <c r="F8">
        <v>0</v>
      </c>
      <c r="G8">
        <v>0.1</v>
      </c>
    </row>
    <row r="9" spans="2:7" x14ac:dyDescent="0.3">
      <c r="B9">
        <v>601</v>
      </c>
      <c r="C9" s="4" t="s">
        <v>379</v>
      </c>
      <c r="D9">
        <v>711</v>
      </c>
      <c r="E9" t="s">
        <v>161</v>
      </c>
      <c r="F9">
        <v>0</v>
      </c>
      <c r="G9">
        <v>0.1</v>
      </c>
    </row>
    <row r="10" spans="2:7" x14ac:dyDescent="0.3">
      <c r="B10">
        <v>601</v>
      </c>
      <c r="C10" s="4" t="s">
        <v>379</v>
      </c>
      <c r="D10">
        <v>708</v>
      </c>
      <c r="E10" t="s">
        <v>161</v>
      </c>
      <c r="F10">
        <v>0</v>
      </c>
      <c r="G10">
        <v>0.1</v>
      </c>
    </row>
    <row r="11" spans="2:7" x14ac:dyDescent="0.3">
      <c r="B11">
        <v>601</v>
      </c>
      <c r="C11" s="4" t="s">
        <v>379</v>
      </c>
      <c r="D11">
        <v>718</v>
      </c>
      <c r="E11" t="s">
        <v>161</v>
      </c>
      <c r="F11">
        <v>0</v>
      </c>
      <c r="G11">
        <v>0.1</v>
      </c>
    </row>
    <row r="12" spans="2:7" x14ac:dyDescent="0.3">
      <c r="B12">
        <v>601</v>
      </c>
      <c r="C12" s="4" t="s">
        <v>379</v>
      </c>
      <c r="D12">
        <v>710</v>
      </c>
      <c r="E12" t="s">
        <v>161</v>
      </c>
      <c r="F12">
        <v>0</v>
      </c>
      <c r="G12">
        <v>0.1</v>
      </c>
    </row>
    <row r="13" spans="2:7" x14ac:dyDescent="0.3">
      <c r="B13">
        <v>601</v>
      </c>
      <c r="C13" s="4" t="s">
        <v>379</v>
      </c>
      <c r="D13">
        <v>703</v>
      </c>
      <c r="E13" t="s">
        <v>161</v>
      </c>
      <c r="F13">
        <v>0</v>
      </c>
      <c r="G13">
        <v>0.1</v>
      </c>
    </row>
    <row r="14" spans="2:7" x14ac:dyDescent="0.3">
      <c r="B14">
        <v>601</v>
      </c>
      <c r="C14" s="4" t="s">
        <v>379</v>
      </c>
      <c r="D14">
        <v>715</v>
      </c>
      <c r="E14" t="s">
        <v>161</v>
      </c>
      <c r="F14">
        <v>0</v>
      </c>
      <c r="G14">
        <v>0.1</v>
      </c>
    </row>
    <row r="15" spans="2:7" x14ac:dyDescent="0.3">
      <c r="B15">
        <v>601</v>
      </c>
      <c r="C15" s="4" t="s">
        <v>379</v>
      </c>
      <c r="D15">
        <v>707</v>
      </c>
      <c r="E15" t="s">
        <v>161</v>
      </c>
      <c r="F15">
        <v>0</v>
      </c>
      <c r="G15">
        <v>0.1</v>
      </c>
    </row>
    <row r="16" spans="2:7" x14ac:dyDescent="0.3">
      <c r="B16">
        <v>601</v>
      </c>
      <c r="C16" s="4" t="s">
        <v>379</v>
      </c>
      <c r="D16">
        <v>705</v>
      </c>
      <c r="E16" t="s">
        <v>161</v>
      </c>
      <c r="F16">
        <v>0</v>
      </c>
      <c r="G16">
        <v>0.1</v>
      </c>
    </row>
    <row r="17" spans="2:7" x14ac:dyDescent="0.3">
      <c r="B17">
        <v>601</v>
      </c>
      <c r="C17" s="4" t="s">
        <v>379</v>
      </c>
      <c r="D17">
        <v>716</v>
      </c>
      <c r="E17" t="s">
        <v>161</v>
      </c>
      <c r="F17">
        <v>0</v>
      </c>
      <c r="G17">
        <v>0.1</v>
      </c>
    </row>
    <row r="18" spans="2:7" x14ac:dyDescent="0.3">
      <c r="B18">
        <v>601</v>
      </c>
      <c r="C18" s="4" t="s">
        <v>379</v>
      </c>
      <c r="D18">
        <v>717</v>
      </c>
      <c r="E18" t="s">
        <v>161</v>
      </c>
      <c r="F18">
        <v>0</v>
      </c>
      <c r="G18">
        <v>0.1</v>
      </c>
    </row>
    <row r="19" spans="2:7" x14ac:dyDescent="0.3">
      <c r="B19">
        <v>601</v>
      </c>
      <c r="C19" s="4" t="s">
        <v>379</v>
      </c>
      <c r="D19">
        <v>704</v>
      </c>
      <c r="E19" t="s">
        <v>161</v>
      </c>
      <c r="F19">
        <v>0</v>
      </c>
      <c r="G19">
        <v>0.1</v>
      </c>
    </row>
    <row r="20" spans="2:7" x14ac:dyDescent="0.3">
      <c r="B20">
        <v>601</v>
      </c>
      <c r="C20" s="4" t="s">
        <v>379</v>
      </c>
      <c r="D20">
        <v>714</v>
      </c>
      <c r="E20" t="s">
        <v>161</v>
      </c>
      <c r="F20">
        <v>0</v>
      </c>
      <c r="G20">
        <v>0.1</v>
      </c>
    </row>
    <row r="21" spans="2:7" x14ac:dyDescent="0.3">
      <c r="B21">
        <v>601</v>
      </c>
      <c r="C21" s="4" t="s">
        <v>379</v>
      </c>
      <c r="D21">
        <v>713</v>
      </c>
      <c r="E21" t="s">
        <v>161</v>
      </c>
      <c r="F21">
        <v>0</v>
      </c>
      <c r="G21">
        <v>0.5</v>
      </c>
    </row>
    <row r="22" spans="2:7" x14ac:dyDescent="0.3">
      <c r="B22">
        <v>602</v>
      </c>
      <c r="C22" s="4" t="s">
        <v>391</v>
      </c>
      <c r="D22">
        <v>719</v>
      </c>
      <c r="E22" t="s">
        <v>161</v>
      </c>
      <c r="F22">
        <v>0</v>
      </c>
      <c r="G22">
        <v>1</v>
      </c>
    </row>
    <row r="23" spans="2:7" x14ac:dyDescent="0.3">
      <c r="B23">
        <v>603</v>
      </c>
      <c r="C23" s="4" t="s">
        <v>171</v>
      </c>
      <c r="D23">
        <v>720</v>
      </c>
      <c r="E23" t="s">
        <v>161</v>
      </c>
      <c r="F23">
        <v>0.5</v>
      </c>
      <c r="G23">
        <v>1</v>
      </c>
    </row>
    <row r="24" spans="2:7" x14ac:dyDescent="0.3">
      <c r="B24">
        <v>604</v>
      </c>
      <c r="C24" s="4" t="s">
        <v>175</v>
      </c>
      <c r="D24">
        <v>721</v>
      </c>
      <c r="E24" t="s">
        <v>161</v>
      </c>
      <c r="F24">
        <v>0.5</v>
      </c>
      <c r="G24">
        <v>0.5</v>
      </c>
    </row>
    <row r="25" spans="2:7" x14ac:dyDescent="0.3">
      <c r="B25">
        <v>604</v>
      </c>
      <c r="C25" s="4" t="s">
        <v>175</v>
      </c>
      <c r="D25">
        <v>722</v>
      </c>
      <c r="E25" t="s">
        <v>161</v>
      </c>
      <c r="F25">
        <v>0</v>
      </c>
      <c r="G25">
        <v>0.5</v>
      </c>
    </row>
    <row r="26" spans="2:7" x14ac:dyDescent="0.3">
      <c r="B26">
        <v>604</v>
      </c>
      <c r="C26" s="4" t="s">
        <v>175</v>
      </c>
      <c r="D26">
        <v>723</v>
      </c>
      <c r="E26" t="s">
        <v>161</v>
      </c>
      <c r="F26">
        <v>0</v>
      </c>
      <c r="G26">
        <v>1</v>
      </c>
    </row>
    <row r="27" spans="2:7" x14ac:dyDescent="0.3">
      <c r="B27">
        <v>605</v>
      </c>
      <c r="C27" s="4" t="s">
        <v>174</v>
      </c>
      <c r="D27">
        <v>724</v>
      </c>
      <c r="E27" t="s">
        <v>161</v>
      </c>
      <c r="F27">
        <v>0.5</v>
      </c>
      <c r="G27">
        <v>1</v>
      </c>
    </row>
    <row r="28" spans="2:7" x14ac:dyDescent="0.3">
      <c r="B28">
        <v>606</v>
      </c>
      <c r="C28" s="4" t="s">
        <v>402</v>
      </c>
      <c r="D28">
        <v>724</v>
      </c>
      <c r="E28" t="s">
        <v>161</v>
      </c>
      <c r="F28">
        <v>0.5</v>
      </c>
      <c r="G28">
        <v>0</v>
      </c>
    </row>
    <row r="29" spans="2:7" x14ac:dyDescent="0.3">
      <c r="B29">
        <v>606</v>
      </c>
      <c r="C29" s="4" t="s">
        <v>402</v>
      </c>
      <c r="D29">
        <v>724</v>
      </c>
      <c r="E29" t="s">
        <v>161</v>
      </c>
      <c r="F29">
        <v>0.2</v>
      </c>
      <c r="G29">
        <v>0</v>
      </c>
    </row>
    <row r="30" spans="2:7" x14ac:dyDescent="0.3">
      <c r="B30">
        <v>606</v>
      </c>
      <c r="C30" s="4" t="s">
        <v>402</v>
      </c>
      <c r="D30">
        <v>724</v>
      </c>
      <c r="E30" t="s">
        <v>161</v>
      </c>
      <c r="F30">
        <v>0.2</v>
      </c>
      <c r="G30"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63"/>
  <sheetViews>
    <sheetView zoomScaleNormal="75" zoomScaleSheetLayoutView="100" workbookViewId="0">
      <selection activeCell="G46" sqref="G46:G63"/>
    </sheetView>
  </sheetViews>
  <sheetFormatPr defaultColWidth="8.875" defaultRowHeight="16.5" x14ac:dyDescent="0.3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 x14ac:dyDescent="0.3">
      <c r="B1" t="s">
        <v>49</v>
      </c>
      <c r="C1" t="s">
        <v>52</v>
      </c>
      <c r="D1" t="s">
        <v>134</v>
      </c>
      <c r="E1" t="s">
        <v>49</v>
      </c>
      <c r="F1" t="s">
        <v>49</v>
      </c>
      <c r="G1" t="s">
        <v>49</v>
      </c>
    </row>
    <row r="2" spans="2:7" x14ac:dyDescent="0.3">
      <c r="B2" t="s">
        <v>79</v>
      </c>
      <c r="C2" s="6" t="s">
        <v>46</v>
      </c>
      <c r="D2" t="s">
        <v>354</v>
      </c>
      <c r="E2" t="s">
        <v>11</v>
      </c>
      <c r="F2" t="s">
        <v>238</v>
      </c>
      <c r="G2" t="s">
        <v>357</v>
      </c>
    </row>
    <row r="3" spans="2:7" x14ac:dyDescent="0.3">
      <c r="B3">
        <v>700</v>
      </c>
      <c r="C3" s="4" t="s">
        <v>386</v>
      </c>
      <c r="D3">
        <v>0</v>
      </c>
      <c r="E3">
        <v>401</v>
      </c>
      <c r="F3">
        <v>1</v>
      </c>
      <c r="G3">
        <v>5</v>
      </c>
    </row>
    <row r="4" spans="2:7" x14ac:dyDescent="0.3">
      <c r="B4">
        <v>700</v>
      </c>
      <c r="C4" s="4" t="s">
        <v>386</v>
      </c>
      <c r="D4">
        <v>90</v>
      </c>
      <c r="E4">
        <v>401</v>
      </c>
      <c r="F4">
        <v>1</v>
      </c>
      <c r="G4">
        <v>5</v>
      </c>
    </row>
    <row r="5" spans="2:7" x14ac:dyDescent="0.3">
      <c r="B5">
        <v>700</v>
      </c>
      <c r="C5" s="4" t="s">
        <v>386</v>
      </c>
      <c r="D5">
        <v>180</v>
      </c>
      <c r="E5">
        <v>401</v>
      </c>
      <c r="F5">
        <v>1</v>
      </c>
      <c r="G5">
        <v>5</v>
      </c>
    </row>
    <row r="6" spans="2:7" x14ac:dyDescent="0.3">
      <c r="B6">
        <v>700</v>
      </c>
      <c r="C6" s="4" t="s">
        <v>386</v>
      </c>
      <c r="D6">
        <v>-90</v>
      </c>
      <c r="E6">
        <v>401</v>
      </c>
      <c r="F6">
        <v>1</v>
      </c>
      <c r="G6">
        <v>5</v>
      </c>
    </row>
    <row r="7" spans="2:7" x14ac:dyDescent="0.3">
      <c r="B7">
        <v>701</v>
      </c>
      <c r="C7" s="4" t="s">
        <v>248</v>
      </c>
      <c r="D7">
        <v>45</v>
      </c>
      <c r="E7">
        <v>401</v>
      </c>
      <c r="F7">
        <v>1</v>
      </c>
      <c r="G7">
        <v>5</v>
      </c>
    </row>
    <row r="8" spans="2:7" x14ac:dyDescent="0.3">
      <c r="B8">
        <v>701</v>
      </c>
      <c r="C8" s="4" t="s">
        <v>248</v>
      </c>
      <c r="D8">
        <v>-45</v>
      </c>
      <c r="E8">
        <v>401</v>
      </c>
      <c r="F8">
        <v>1</v>
      </c>
      <c r="G8">
        <v>5</v>
      </c>
    </row>
    <row r="9" spans="2:7" x14ac:dyDescent="0.3">
      <c r="B9">
        <v>701</v>
      </c>
      <c r="C9" s="4" t="s">
        <v>248</v>
      </c>
      <c r="D9">
        <v>135</v>
      </c>
      <c r="E9">
        <v>401</v>
      </c>
      <c r="F9">
        <v>1</v>
      </c>
      <c r="G9">
        <v>5</v>
      </c>
    </row>
    <row r="10" spans="2:7" x14ac:dyDescent="0.3">
      <c r="B10">
        <v>701</v>
      </c>
      <c r="C10" s="4" t="s">
        <v>248</v>
      </c>
      <c r="D10">
        <v>-135</v>
      </c>
      <c r="E10">
        <v>401</v>
      </c>
      <c r="F10">
        <v>1</v>
      </c>
      <c r="G10">
        <v>5</v>
      </c>
    </row>
    <row r="11" spans="2:7" x14ac:dyDescent="0.3">
      <c r="B11">
        <v>702</v>
      </c>
      <c r="C11" s="4" t="s">
        <v>162</v>
      </c>
      <c r="D11">
        <v>0</v>
      </c>
      <c r="E11">
        <v>400</v>
      </c>
      <c r="F11">
        <v>0</v>
      </c>
      <c r="G11">
        <v>5</v>
      </c>
    </row>
    <row r="12" spans="2:7" x14ac:dyDescent="0.3">
      <c r="B12">
        <v>703</v>
      </c>
      <c r="C12" s="4" t="s">
        <v>376</v>
      </c>
      <c r="D12">
        <v>2</v>
      </c>
      <c r="E12">
        <v>400</v>
      </c>
      <c r="F12">
        <v>0</v>
      </c>
      <c r="G12">
        <v>4</v>
      </c>
    </row>
    <row r="13" spans="2:7" x14ac:dyDescent="0.3">
      <c r="B13">
        <v>704</v>
      </c>
      <c r="C13" s="4" t="s">
        <v>373</v>
      </c>
      <c r="D13">
        <v>4</v>
      </c>
      <c r="E13">
        <v>400</v>
      </c>
      <c r="F13">
        <v>0</v>
      </c>
      <c r="G13">
        <v>4</v>
      </c>
    </row>
    <row r="14" spans="2:7" x14ac:dyDescent="0.3">
      <c r="B14">
        <v>705</v>
      </c>
      <c r="C14" s="4" t="s">
        <v>378</v>
      </c>
      <c r="D14">
        <v>6</v>
      </c>
      <c r="E14">
        <v>400</v>
      </c>
      <c r="F14">
        <v>0</v>
      </c>
      <c r="G14">
        <v>4</v>
      </c>
    </row>
    <row r="15" spans="2:7" x14ac:dyDescent="0.3">
      <c r="B15">
        <v>706</v>
      </c>
      <c r="C15" s="4" t="s">
        <v>387</v>
      </c>
      <c r="D15">
        <v>8</v>
      </c>
      <c r="E15">
        <v>400</v>
      </c>
      <c r="F15">
        <v>0</v>
      </c>
      <c r="G15">
        <v>4</v>
      </c>
    </row>
    <row r="16" spans="2:7" x14ac:dyDescent="0.3">
      <c r="B16">
        <v>707</v>
      </c>
      <c r="C16" s="4" t="s">
        <v>380</v>
      </c>
      <c r="D16">
        <v>10</v>
      </c>
      <c r="E16">
        <v>400</v>
      </c>
      <c r="F16">
        <v>0</v>
      </c>
      <c r="G16">
        <v>4</v>
      </c>
    </row>
    <row r="17" spans="2:7" x14ac:dyDescent="0.3">
      <c r="B17">
        <v>708</v>
      </c>
      <c r="C17" s="4" t="s">
        <v>383</v>
      </c>
      <c r="D17">
        <v>12</v>
      </c>
      <c r="E17">
        <v>400</v>
      </c>
      <c r="F17">
        <v>0</v>
      </c>
      <c r="G17">
        <v>4</v>
      </c>
    </row>
    <row r="18" spans="2:7" x14ac:dyDescent="0.3">
      <c r="B18">
        <v>709</v>
      </c>
      <c r="C18" s="4" t="s">
        <v>384</v>
      </c>
      <c r="D18">
        <v>14</v>
      </c>
      <c r="E18">
        <v>400</v>
      </c>
      <c r="F18">
        <v>0</v>
      </c>
      <c r="G18">
        <v>4</v>
      </c>
    </row>
    <row r="19" spans="2:7" x14ac:dyDescent="0.3">
      <c r="B19">
        <v>710</v>
      </c>
      <c r="C19" s="4" t="s">
        <v>385</v>
      </c>
      <c r="D19">
        <v>16</v>
      </c>
      <c r="E19">
        <v>400</v>
      </c>
      <c r="F19">
        <v>0</v>
      </c>
      <c r="G19">
        <v>4</v>
      </c>
    </row>
    <row r="20" spans="2:7" x14ac:dyDescent="0.3">
      <c r="B20">
        <v>711</v>
      </c>
      <c r="C20" s="4" t="s">
        <v>381</v>
      </c>
      <c r="D20">
        <v>-2</v>
      </c>
      <c r="E20">
        <v>400</v>
      </c>
      <c r="F20">
        <v>0</v>
      </c>
      <c r="G20">
        <v>4</v>
      </c>
    </row>
    <row r="21" spans="2:7" x14ac:dyDescent="0.3">
      <c r="B21">
        <v>712</v>
      </c>
      <c r="C21" s="4" t="s">
        <v>374</v>
      </c>
      <c r="D21">
        <v>-4</v>
      </c>
      <c r="E21">
        <v>400</v>
      </c>
      <c r="F21">
        <v>0</v>
      </c>
      <c r="G21">
        <v>4</v>
      </c>
    </row>
    <row r="22" spans="2:7" x14ac:dyDescent="0.3">
      <c r="B22">
        <v>713</v>
      </c>
      <c r="C22" s="4" t="s">
        <v>375</v>
      </c>
      <c r="D22">
        <v>-6</v>
      </c>
      <c r="E22">
        <v>400</v>
      </c>
      <c r="F22">
        <v>0</v>
      </c>
      <c r="G22">
        <v>4</v>
      </c>
    </row>
    <row r="23" spans="2:7" x14ac:dyDescent="0.3">
      <c r="B23">
        <v>714</v>
      </c>
      <c r="C23" s="4" t="s">
        <v>395</v>
      </c>
      <c r="D23">
        <v>-8</v>
      </c>
      <c r="E23">
        <v>400</v>
      </c>
      <c r="F23">
        <v>0</v>
      </c>
      <c r="G23">
        <v>4</v>
      </c>
    </row>
    <row r="24" spans="2:7" x14ac:dyDescent="0.3">
      <c r="B24">
        <v>715</v>
      </c>
      <c r="C24" s="4" t="s">
        <v>394</v>
      </c>
      <c r="D24">
        <v>-10</v>
      </c>
      <c r="E24">
        <v>400</v>
      </c>
      <c r="F24">
        <v>0</v>
      </c>
      <c r="G24">
        <v>4</v>
      </c>
    </row>
    <row r="25" spans="2:7" x14ac:dyDescent="0.3">
      <c r="B25">
        <v>716</v>
      </c>
      <c r="C25" s="4" t="s">
        <v>388</v>
      </c>
      <c r="D25">
        <v>-12</v>
      </c>
      <c r="E25">
        <v>400</v>
      </c>
      <c r="F25">
        <v>0</v>
      </c>
      <c r="G25">
        <v>4</v>
      </c>
    </row>
    <row r="26" spans="2:7" x14ac:dyDescent="0.3">
      <c r="B26">
        <v>717</v>
      </c>
      <c r="C26" s="4" t="s">
        <v>389</v>
      </c>
      <c r="D26">
        <v>-14</v>
      </c>
      <c r="E26">
        <v>400</v>
      </c>
      <c r="F26">
        <v>0</v>
      </c>
      <c r="G26">
        <v>4</v>
      </c>
    </row>
    <row r="27" spans="2:7" x14ac:dyDescent="0.3">
      <c r="B27">
        <v>718</v>
      </c>
      <c r="C27" s="4" t="s">
        <v>396</v>
      </c>
      <c r="D27">
        <v>-16</v>
      </c>
      <c r="E27">
        <v>400</v>
      </c>
      <c r="F27">
        <v>0</v>
      </c>
      <c r="G27">
        <v>4</v>
      </c>
    </row>
    <row r="28" spans="2:7" x14ac:dyDescent="0.3">
      <c r="B28">
        <v>719</v>
      </c>
      <c r="C28" s="4" t="s">
        <v>390</v>
      </c>
      <c r="D28">
        <v>0</v>
      </c>
      <c r="E28">
        <v>403</v>
      </c>
      <c r="F28">
        <v>1</v>
      </c>
      <c r="G28">
        <v>5</v>
      </c>
    </row>
    <row r="29" spans="2:7" x14ac:dyDescent="0.3">
      <c r="B29">
        <v>720</v>
      </c>
      <c r="C29" s="4" t="s">
        <v>403</v>
      </c>
      <c r="D29">
        <v>-35</v>
      </c>
      <c r="E29">
        <v>400</v>
      </c>
      <c r="F29">
        <v>0</v>
      </c>
      <c r="G29">
        <v>4</v>
      </c>
    </row>
    <row r="30" spans="2:7" x14ac:dyDescent="0.3">
      <c r="B30">
        <v>720</v>
      </c>
      <c r="C30" s="4" t="s">
        <v>403</v>
      </c>
      <c r="D30">
        <v>-25</v>
      </c>
      <c r="E30">
        <v>400</v>
      </c>
      <c r="F30">
        <v>0</v>
      </c>
      <c r="G30">
        <v>4</v>
      </c>
    </row>
    <row r="31" spans="2:7" x14ac:dyDescent="0.3">
      <c r="B31">
        <v>720</v>
      </c>
      <c r="C31" s="4" t="s">
        <v>403</v>
      </c>
      <c r="D31">
        <v>-15</v>
      </c>
      <c r="E31">
        <v>400</v>
      </c>
      <c r="F31">
        <v>0</v>
      </c>
      <c r="G31">
        <v>4</v>
      </c>
    </row>
    <row r="32" spans="2:7" x14ac:dyDescent="0.3">
      <c r="B32">
        <v>720</v>
      </c>
      <c r="C32" s="4" t="s">
        <v>403</v>
      </c>
      <c r="D32">
        <v>-5</v>
      </c>
      <c r="E32">
        <v>400</v>
      </c>
      <c r="F32">
        <v>0</v>
      </c>
      <c r="G32">
        <v>4</v>
      </c>
    </row>
    <row r="33" spans="2:7" x14ac:dyDescent="0.3">
      <c r="B33">
        <v>720</v>
      </c>
      <c r="C33" s="4" t="s">
        <v>403</v>
      </c>
      <c r="D33">
        <v>5</v>
      </c>
      <c r="E33">
        <v>400</v>
      </c>
      <c r="F33">
        <v>0</v>
      </c>
      <c r="G33">
        <v>4</v>
      </c>
    </row>
    <row r="34" spans="2:7" x14ac:dyDescent="0.3">
      <c r="B34">
        <v>720</v>
      </c>
      <c r="C34" s="4" t="s">
        <v>403</v>
      </c>
      <c r="D34">
        <v>15</v>
      </c>
      <c r="E34">
        <v>400</v>
      </c>
      <c r="F34">
        <v>0</v>
      </c>
      <c r="G34">
        <v>4</v>
      </c>
    </row>
    <row r="35" spans="2:7" x14ac:dyDescent="0.3">
      <c r="B35">
        <v>720</v>
      </c>
      <c r="C35" s="4" t="s">
        <v>403</v>
      </c>
      <c r="D35">
        <v>25</v>
      </c>
      <c r="E35">
        <v>400</v>
      </c>
      <c r="F35">
        <v>0</v>
      </c>
      <c r="G35">
        <v>4</v>
      </c>
    </row>
    <row r="36" spans="2:7" x14ac:dyDescent="0.3">
      <c r="B36">
        <v>720</v>
      </c>
      <c r="C36" s="4" t="s">
        <v>403</v>
      </c>
      <c r="D36">
        <v>35</v>
      </c>
      <c r="E36">
        <v>400</v>
      </c>
      <c r="F36">
        <v>0</v>
      </c>
      <c r="G36">
        <v>4</v>
      </c>
    </row>
    <row r="37" spans="2:7" x14ac:dyDescent="0.3">
      <c r="B37">
        <v>721</v>
      </c>
      <c r="C37" s="4" t="s">
        <v>250</v>
      </c>
      <c r="D37">
        <v>-26</v>
      </c>
      <c r="E37">
        <v>402</v>
      </c>
      <c r="F37">
        <v>0</v>
      </c>
      <c r="G37">
        <v>4</v>
      </c>
    </row>
    <row r="38" spans="2:7" x14ac:dyDescent="0.3">
      <c r="B38">
        <v>721</v>
      </c>
      <c r="C38" s="4" t="s">
        <v>250</v>
      </c>
      <c r="D38">
        <v>-12</v>
      </c>
      <c r="E38">
        <v>402</v>
      </c>
      <c r="F38">
        <v>0</v>
      </c>
      <c r="G38">
        <v>4</v>
      </c>
    </row>
    <row r="39" spans="2:7" x14ac:dyDescent="0.3">
      <c r="B39">
        <v>721</v>
      </c>
      <c r="C39" s="4" t="s">
        <v>250</v>
      </c>
      <c r="D39">
        <v>-7</v>
      </c>
      <c r="E39">
        <v>402</v>
      </c>
      <c r="F39">
        <v>0</v>
      </c>
      <c r="G39">
        <v>4</v>
      </c>
    </row>
    <row r="40" spans="2:7" x14ac:dyDescent="0.3">
      <c r="B40">
        <v>721</v>
      </c>
      <c r="C40" s="4" t="s">
        <v>250</v>
      </c>
      <c r="D40">
        <v>1</v>
      </c>
      <c r="E40">
        <v>402</v>
      </c>
      <c r="F40">
        <v>0</v>
      </c>
      <c r="G40">
        <v>4</v>
      </c>
    </row>
    <row r="41" spans="2:7" x14ac:dyDescent="0.3">
      <c r="B41">
        <v>721</v>
      </c>
      <c r="C41" s="4" t="s">
        <v>250</v>
      </c>
      <c r="D41">
        <v>5</v>
      </c>
      <c r="E41">
        <v>402</v>
      </c>
      <c r="F41">
        <v>0</v>
      </c>
      <c r="G41">
        <v>4</v>
      </c>
    </row>
    <row r="42" spans="2:7" x14ac:dyDescent="0.3">
      <c r="B42">
        <v>721</v>
      </c>
      <c r="C42" s="4" t="s">
        <v>250</v>
      </c>
      <c r="D42">
        <v>10</v>
      </c>
      <c r="E42">
        <v>402</v>
      </c>
      <c r="F42">
        <v>0</v>
      </c>
      <c r="G42">
        <v>4</v>
      </c>
    </row>
    <row r="43" spans="2:7" x14ac:dyDescent="0.3">
      <c r="B43">
        <v>721</v>
      </c>
      <c r="C43" s="4" t="s">
        <v>250</v>
      </c>
      <c r="D43">
        <v>14</v>
      </c>
      <c r="E43">
        <v>402</v>
      </c>
      <c r="F43">
        <v>0</v>
      </c>
      <c r="G43">
        <v>4</v>
      </c>
    </row>
    <row r="44" spans="2:7" x14ac:dyDescent="0.3">
      <c r="B44">
        <v>721</v>
      </c>
      <c r="C44" s="4" t="s">
        <v>250</v>
      </c>
      <c r="D44">
        <v>22</v>
      </c>
      <c r="E44">
        <v>402</v>
      </c>
      <c r="F44">
        <v>0</v>
      </c>
      <c r="G44">
        <v>4</v>
      </c>
    </row>
    <row r="45" spans="2:7" x14ac:dyDescent="0.3">
      <c r="B45">
        <v>722</v>
      </c>
      <c r="C45" s="4" t="s">
        <v>263</v>
      </c>
      <c r="D45">
        <v>28</v>
      </c>
      <c r="E45">
        <v>402</v>
      </c>
      <c r="F45">
        <v>0</v>
      </c>
      <c r="G45">
        <v>4</v>
      </c>
    </row>
    <row r="46" spans="2:7" x14ac:dyDescent="0.3">
      <c r="B46">
        <v>722</v>
      </c>
      <c r="C46" s="4" t="s">
        <v>263</v>
      </c>
      <c r="D46">
        <v>12</v>
      </c>
      <c r="E46">
        <v>402</v>
      </c>
      <c r="F46">
        <v>0</v>
      </c>
      <c r="G46">
        <v>4</v>
      </c>
    </row>
    <row r="47" spans="2:7" x14ac:dyDescent="0.3">
      <c r="B47">
        <v>722</v>
      </c>
      <c r="C47" s="4" t="s">
        <v>263</v>
      </c>
      <c r="D47">
        <v>0</v>
      </c>
      <c r="E47">
        <v>402</v>
      </c>
      <c r="F47">
        <v>0</v>
      </c>
      <c r="G47">
        <v>4</v>
      </c>
    </row>
    <row r="48" spans="2:7" x14ac:dyDescent="0.3">
      <c r="B48">
        <v>722</v>
      </c>
      <c r="C48" s="4" t="s">
        <v>263</v>
      </c>
      <c r="D48">
        <v>-21</v>
      </c>
      <c r="E48">
        <v>402</v>
      </c>
      <c r="F48">
        <v>0</v>
      </c>
      <c r="G48">
        <v>4</v>
      </c>
    </row>
    <row r="49" spans="2:7" x14ac:dyDescent="0.3">
      <c r="B49">
        <v>722</v>
      </c>
      <c r="C49" s="4" t="s">
        <v>263</v>
      </c>
      <c r="D49">
        <v>24</v>
      </c>
      <c r="E49">
        <v>402</v>
      </c>
      <c r="F49">
        <v>0</v>
      </c>
      <c r="G49">
        <v>4</v>
      </c>
    </row>
    <row r="50" spans="2:7" x14ac:dyDescent="0.3">
      <c r="B50">
        <v>722</v>
      </c>
      <c r="C50" s="4" t="s">
        <v>263</v>
      </c>
      <c r="D50">
        <v>26</v>
      </c>
      <c r="E50">
        <v>402</v>
      </c>
      <c r="F50">
        <v>0</v>
      </c>
      <c r="G50">
        <v>4</v>
      </c>
    </row>
    <row r="51" spans="2:7" x14ac:dyDescent="0.3">
      <c r="B51">
        <v>722</v>
      </c>
      <c r="C51" s="4" t="s">
        <v>263</v>
      </c>
      <c r="D51">
        <v>-23</v>
      </c>
      <c r="E51">
        <v>402</v>
      </c>
      <c r="F51">
        <v>0</v>
      </c>
      <c r="G51">
        <v>4</v>
      </c>
    </row>
    <row r="52" spans="2:7" x14ac:dyDescent="0.3">
      <c r="B52">
        <v>722</v>
      </c>
      <c r="C52" s="4" t="s">
        <v>263</v>
      </c>
      <c r="D52">
        <v>-17</v>
      </c>
      <c r="E52">
        <v>402</v>
      </c>
      <c r="F52">
        <v>0</v>
      </c>
      <c r="G52">
        <v>4</v>
      </c>
    </row>
    <row r="53" spans="2:7" x14ac:dyDescent="0.3">
      <c r="B53">
        <v>723</v>
      </c>
      <c r="C53" s="4" t="s">
        <v>254</v>
      </c>
      <c r="D53">
        <v>-5</v>
      </c>
      <c r="E53">
        <v>402</v>
      </c>
      <c r="F53">
        <v>0</v>
      </c>
      <c r="G53">
        <v>4</v>
      </c>
    </row>
    <row r="54" spans="2:7" x14ac:dyDescent="0.3">
      <c r="B54">
        <v>723</v>
      </c>
      <c r="C54" s="4" t="s">
        <v>254</v>
      </c>
      <c r="D54">
        <v>-17</v>
      </c>
      <c r="E54">
        <v>402</v>
      </c>
      <c r="F54">
        <v>0</v>
      </c>
      <c r="G54">
        <v>4</v>
      </c>
    </row>
    <row r="55" spans="2:7" x14ac:dyDescent="0.3">
      <c r="B55">
        <v>723</v>
      </c>
      <c r="C55" s="4" t="s">
        <v>254</v>
      </c>
      <c r="D55">
        <v>-10</v>
      </c>
      <c r="E55">
        <v>402</v>
      </c>
      <c r="F55">
        <v>0</v>
      </c>
      <c r="G55">
        <v>4</v>
      </c>
    </row>
    <row r="56" spans="2:7" x14ac:dyDescent="0.3">
      <c r="B56">
        <v>723</v>
      </c>
      <c r="C56" s="4" t="s">
        <v>254</v>
      </c>
      <c r="D56">
        <v>3</v>
      </c>
      <c r="E56">
        <v>402</v>
      </c>
      <c r="F56">
        <v>0</v>
      </c>
      <c r="G56">
        <v>4</v>
      </c>
    </row>
    <row r="57" spans="2:7" x14ac:dyDescent="0.3">
      <c r="B57">
        <v>723</v>
      </c>
      <c r="C57" s="4" t="s">
        <v>254</v>
      </c>
      <c r="D57">
        <v>15</v>
      </c>
      <c r="E57">
        <v>402</v>
      </c>
      <c r="F57">
        <v>0</v>
      </c>
      <c r="G57">
        <v>4</v>
      </c>
    </row>
    <row r="58" spans="2:7" x14ac:dyDescent="0.3">
      <c r="B58">
        <v>723</v>
      </c>
      <c r="C58" s="4" t="s">
        <v>254</v>
      </c>
      <c r="D58">
        <v>23</v>
      </c>
      <c r="E58">
        <v>402</v>
      </c>
      <c r="F58">
        <v>0</v>
      </c>
      <c r="G58">
        <v>4</v>
      </c>
    </row>
    <row r="59" spans="2:7" x14ac:dyDescent="0.3">
      <c r="B59">
        <v>723</v>
      </c>
      <c r="C59" s="4" t="s">
        <v>254</v>
      </c>
      <c r="D59">
        <v>-4</v>
      </c>
      <c r="E59">
        <v>402</v>
      </c>
      <c r="F59">
        <v>0</v>
      </c>
      <c r="G59">
        <v>4</v>
      </c>
    </row>
    <row r="60" spans="2:7" x14ac:dyDescent="0.3">
      <c r="B60">
        <v>723</v>
      </c>
      <c r="C60" s="4" t="s">
        <v>254</v>
      </c>
      <c r="D60">
        <v>-8</v>
      </c>
      <c r="E60">
        <v>402</v>
      </c>
      <c r="F60">
        <v>0</v>
      </c>
      <c r="G60">
        <v>4</v>
      </c>
    </row>
    <row r="61" spans="2:7" x14ac:dyDescent="0.3">
      <c r="B61">
        <v>724</v>
      </c>
      <c r="C61" s="4" t="s">
        <v>174</v>
      </c>
      <c r="D61">
        <v>-30</v>
      </c>
      <c r="E61">
        <v>402</v>
      </c>
      <c r="F61">
        <v>0</v>
      </c>
      <c r="G61">
        <v>4</v>
      </c>
    </row>
    <row r="62" spans="2:7" x14ac:dyDescent="0.3">
      <c r="B62">
        <v>724</v>
      </c>
      <c r="C62" s="4" t="s">
        <v>174</v>
      </c>
      <c r="D62">
        <v>0</v>
      </c>
      <c r="E62">
        <v>402</v>
      </c>
      <c r="F62">
        <v>0</v>
      </c>
      <c r="G62">
        <v>4</v>
      </c>
    </row>
    <row r="63" spans="2:7" x14ac:dyDescent="0.3">
      <c r="B63">
        <v>724</v>
      </c>
      <c r="C63" s="4" t="s">
        <v>174</v>
      </c>
      <c r="D63">
        <v>30</v>
      </c>
      <c r="E63">
        <v>402</v>
      </c>
      <c r="F63">
        <v>0</v>
      </c>
      <c r="G63">
        <v>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9"/>
  <sheetViews>
    <sheetView zoomScaleNormal="75" zoomScaleSheetLayoutView="100" workbookViewId="0">
      <selection activeCell="I10" sqref="I10"/>
    </sheetView>
  </sheetViews>
  <sheetFormatPr defaultColWidth="8.875" defaultRowHeight="16.5" x14ac:dyDescent="0.3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 x14ac:dyDescent="0.3">
      <c r="B1" t="s">
        <v>49</v>
      </c>
      <c r="C1" t="s">
        <v>52</v>
      </c>
      <c r="D1" t="s">
        <v>141</v>
      </c>
      <c r="E1" t="s">
        <v>104</v>
      </c>
      <c r="F1" t="s">
        <v>49</v>
      </c>
      <c r="G1" t="s">
        <v>103</v>
      </c>
    </row>
    <row r="2" spans="2:7" x14ac:dyDescent="0.3">
      <c r="B2" t="s">
        <v>79</v>
      </c>
      <c r="C2" s="6" t="s">
        <v>46</v>
      </c>
      <c r="D2" t="s">
        <v>370</v>
      </c>
      <c r="E2" t="s">
        <v>189</v>
      </c>
      <c r="F2" t="s">
        <v>339</v>
      </c>
      <c r="G2" t="s">
        <v>346</v>
      </c>
    </row>
    <row r="3" spans="2:7" x14ac:dyDescent="0.3">
      <c r="B3">
        <v>200</v>
      </c>
      <c r="C3" s="4" t="s">
        <v>42</v>
      </c>
      <c r="D3" t="b">
        <v>1</v>
      </c>
      <c r="E3">
        <v>0.8</v>
      </c>
      <c r="F3">
        <v>25</v>
      </c>
      <c r="G3" t="s">
        <v>433</v>
      </c>
    </row>
    <row r="4" spans="2:7" x14ac:dyDescent="0.3">
      <c r="B4">
        <v>500</v>
      </c>
      <c r="C4" s="4" t="s">
        <v>43</v>
      </c>
      <c r="D4" s="3" t="b">
        <v>0</v>
      </c>
      <c r="E4">
        <v>1</v>
      </c>
      <c r="F4">
        <v>25</v>
      </c>
      <c r="G4" t="s">
        <v>431</v>
      </c>
    </row>
    <row r="5" spans="2:7" x14ac:dyDescent="0.3">
      <c r="B5">
        <v>501</v>
      </c>
      <c r="C5" s="4" t="s">
        <v>168</v>
      </c>
      <c r="D5" s="3" t="b">
        <v>0</v>
      </c>
      <c r="E5">
        <v>1</v>
      </c>
      <c r="F5">
        <v>25</v>
      </c>
      <c r="G5" t="s">
        <v>431</v>
      </c>
    </row>
    <row r="6" spans="2:7" x14ac:dyDescent="0.3">
      <c r="B6">
        <v>400</v>
      </c>
      <c r="C6" s="4" t="s">
        <v>142</v>
      </c>
      <c r="D6" s="3" t="b">
        <v>0</v>
      </c>
      <c r="E6">
        <v>0.25</v>
      </c>
      <c r="F6">
        <v>25</v>
      </c>
      <c r="G6" t="s">
        <v>431</v>
      </c>
    </row>
    <row r="7" spans="2:7" x14ac:dyDescent="0.3">
      <c r="B7">
        <v>401</v>
      </c>
      <c r="C7" s="4" t="s">
        <v>404</v>
      </c>
      <c r="D7" s="3" t="b">
        <v>1</v>
      </c>
      <c r="E7">
        <v>0.25</v>
      </c>
      <c r="F7">
        <v>25</v>
      </c>
      <c r="G7" t="s">
        <v>431</v>
      </c>
    </row>
    <row r="8" spans="2:7" x14ac:dyDescent="0.3">
      <c r="B8">
        <v>402</v>
      </c>
      <c r="C8" s="4" t="s">
        <v>139</v>
      </c>
      <c r="D8" s="3" t="b">
        <v>0</v>
      </c>
      <c r="E8">
        <v>0.4</v>
      </c>
      <c r="F8">
        <v>25</v>
      </c>
      <c r="G8" t="s">
        <v>431</v>
      </c>
    </row>
    <row r="9" spans="2:7" x14ac:dyDescent="0.3">
      <c r="B9">
        <v>403</v>
      </c>
      <c r="C9" s="4" t="s">
        <v>397</v>
      </c>
      <c r="D9" s="3" t="b">
        <v>1</v>
      </c>
      <c r="E9">
        <v>0.4</v>
      </c>
      <c r="F9">
        <v>25</v>
      </c>
      <c r="G9" t="s">
        <v>431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24"/>
  <sheetViews>
    <sheetView tabSelected="1" zoomScaleNormal="75" zoomScaleSheetLayoutView="100" workbookViewId="0">
      <selection activeCell="D22" sqref="D22"/>
    </sheetView>
  </sheetViews>
  <sheetFormatPr defaultColWidth="8.875" defaultRowHeight="16.5" x14ac:dyDescent="0.3"/>
  <cols>
    <col min="2" max="2" width="8.625" bestFit="1" customWidth="1"/>
    <col min="3" max="3" width="15.125" customWidth="1"/>
    <col min="4" max="4" width="94.7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2" max="12" width="97" customWidth="1"/>
    <col min="13" max="13" width="44.75" customWidth="1"/>
    <col min="14" max="14" width="24.375" customWidth="1"/>
    <col min="15" max="15" width="64.5" customWidth="1"/>
  </cols>
  <sheetData>
    <row r="1" spans="2:15" x14ac:dyDescent="0.3">
      <c r="B1" t="s">
        <v>54</v>
      </c>
      <c r="C1" t="s">
        <v>80</v>
      </c>
      <c r="D1" t="s">
        <v>80</v>
      </c>
      <c r="E1" t="s">
        <v>80</v>
      </c>
      <c r="F1" t="s">
        <v>49</v>
      </c>
      <c r="G1" t="s">
        <v>49</v>
      </c>
      <c r="H1" t="s">
        <v>49</v>
      </c>
      <c r="I1" t="s">
        <v>49</v>
      </c>
      <c r="J1" t="s">
        <v>103</v>
      </c>
      <c r="K1" t="s">
        <v>52</v>
      </c>
    </row>
    <row r="2" spans="2:15" x14ac:dyDescent="0.3">
      <c r="B2" t="s">
        <v>79</v>
      </c>
      <c r="C2" t="s">
        <v>83</v>
      </c>
      <c r="D2" t="s">
        <v>184</v>
      </c>
      <c r="E2" t="s">
        <v>312</v>
      </c>
      <c r="F2" t="s">
        <v>92</v>
      </c>
      <c r="G2" t="s">
        <v>96</v>
      </c>
      <c r="H2" t="s">
        <v>313</v>
      </c>
      <c r="I2" t="s">
        <v>16</v>
      </c>
      <c r="J2" t="s">
        <v>214</v>
      </c>
      <c r="K2" s="6" t="s">
        <v>420</v>
      </c>
      <c r="L2" s="1" t="s">
        <v>52</v>
      </c>
      <c r="M2" s="1" t="s">
        <v>469</v>
      </c>
      <c r="N2" s="1" t="s">
        <v>470</v>
      </c>
      <c r="O2" s="1" t="s">
        <v>471</v>
      </c>
    </row>
    <row r="3" spans="2:15" x14ac:dyDescent="0.3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51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</row>
    <row r="4" spans="2:15" x14ac:dyDescent="0.3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51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</row>
    <row r="5" spans="2:15" x14ac:dyDescent="0.3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97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36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</row>
    <row r="6" spans="2:15" x14ac:dyDescent="0.3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97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36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</row>
    <row r="7" spans="2:15" x14ac:dyDescent="0.3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97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36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</row>
    <row r="8" spans="2:15" x14ac:dyDescent="0.3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401</v>
      </c>
      <c r="D8" s="20" t="s">
        <v>473</v>
      </c>
      <c r="E8" t="s">
        <v>84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10</v>
      </c>
      <c r="I8">
        <f t="array" ref="I8">_xlfn.IFS(OR(ItemTable[[#This Row],[GradeType]]="Hp",ItemTable[[#This Row],[GradeType]]="Gold"),0,TRUE,5000+ItemTable[[#This Row],[Index]])</f>
        <v>7000</v>
      </c>
      <c r="J8" t="s">
        <v>278</v>
      </c>
      <c r="K8" s="4" t="str">
        <f>MID(ItemTable[[#This Row],[ItemIconPath]],FIND("icon",ItemTable[[#This Row],[ItemIconPath]]),999)</f>
        <v>icon/item/item_02.png</v>
      </c>
      <c r="L8" s="22" t="s">
        <v>455</v>
      </c>
      <c r="M8" s="21" t="s">
        <v>422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</row>
    <row r="9" spans="2:15" x14ac:dyDescent="0.3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176</v>
      </c>
      <c r="D9" t="s">
        <v>474</v>
      </c>
      <c r="E9" t="s">
        <v>84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10</v>
      </c>
      <c r="I9">
        <f t="array" ref="I9">_xlfn.IFS(OR(ItemTable[[#This Row],[GradeType]]="Hp",ItemTable[[#This Row],[GradeType]]="Gold"),0,TRUE,5000+ItemTable[[#This Row],[Index]])</f>
        <v>7001</v>
      </c>
      <c r="J9" t="s">
        <v>281</v>
      </c>
      <c r="K9" s="4" t="str">
        <f>MID(ItemTable[[#This Row],[ItemIconPath]],FIND("icon",ItemTable[[#This Row],[ItemIconPath]]),999)</f>
        <v>icon/item/item_04.png</v>
      </c>
      <c r="L9" s="22" t="s">
        <v>472</v>
      </c>
      <c r="M9" s="21" t="s">
        <v>429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</row>
    <row r="10" spans="2:15" x14ac:dyDescent="0.3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179</v>
      </c>
      <c r="D10" t="s">
        <v>475</v>
      </c>
      <c r="E10" t="s">
        <v>84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10</v>
      </c>
      <c r="I10">
        <f t="array" ref="I10">_xlfn.IFS(OR(ItemTable[[#This Row],[GradeType]]="Hp",ItemTable[[#This Row],[GradeType]]="Gold"),0,TRUE,5000+ItemTable[[#This Row],[Index]])</f>
        <v>7002</v>
      </c>
      <c r="J10" t="s">
        <v>275</v>
      </c>
      <c r="K10" s="4" t="str">
        <f>MID(ItemTable[[#This Row],[ItemIconPath]],FIND("icon",ItemTable[[#This Row],[ItemIconPath]]),999)</f>
        <v>icon/item/item_05.png</v>
      </c>
      <c r="L10" s="22" t="s">
        <v>453</v>
      </c>
      <c r="M10" s="21" t="s">
        <v>417</v>
      </c>
      <c r="N10" s="21"/>
      <c r="O10" s="21" t="str">
        <f t="shared" si="0"/>
        <v>얼.죽.아 클럽의 새로운 유행입니다.\n\n&lt;size=20&gt;&lt;color=#97C456&gt;차징속도 +20%&lt;/color&gt;&lt;/size&gt;</v>
      </c>
    </row>
    <row r="11" spans="2:15" x14ac:dyDescent="0.3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178</v>
      </c>
      <c r="D11" t="s">
        <v>476</v>
      </c>
      <c r="E11" t="s">
        <v>84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10</v>
      </c>
      <c r="I11">
        <f t="array" ref="I11">_xlfn.IFS(OR(ItemTable[[#This Row],[GradeType]]="Hp",ItemTable[[#This Row],[GradeType]]="Gold"),0,TRUE,5000+ItemTable[[#This Row],[Index]])</f>
        <v>7003</v>
      </c>
      <c r="J11" t="s">
        <v>273</v>
      </c>
      <c r="K11" s="4" t="str">
        <f>MID(ItemTable[[#This Row],[ItemIconPath]],FIND("icon",ItemTable[[#This Row],[ItemIconPath]]),999)</f>
        <v>icon/item/item_07.png</v>
      </c>
      <c r="L11" s="22" t="s">
        <v>454</v>
      </c>
      <c r="M11" s="21" t="s">
        <v>416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</row>
    <row r="12" spans="2:15" x14ac:dyDescent="0.3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173</v>
      </c>
      <c r="D12" s="19" t="s">
        <v>477</v>
      </c>
      <c r="E12" t="s">
        <v>84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10</v>
      </c>
      <c r="I12">
        <f t="array" ref="I12">_xlfn.IFS(OR(ItemTable[[#This Row],[GradeType]]="Hp",ItemTable[[#This Row],[GradeType]]="Gold"),0,TRUE,5000+ItemTable[[#This Row],[Index]])</f>
        <v>7004</v>
      </c>
      <c r="J12" t="s">
        <v>276</v>
      </c>
      <c r="K12" s="4" t="str">
        <f>MID(ItemTable[[#This Row],[ItemIconPath]],FIND("icon",ItemTable[[#This Row],[ItemIconPath]]),999)</f>
        <v>icon/item/item_11.png</v>
      </c>
      <c r="L12" s="22" t="s">
        <v>462</v>
      </c>
      <c r="M12" s="21" t="s">
        <v>415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</row>
    <row r="13" spans="2:15" x14ac:dyDescent="0.3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182</v>
      </c>
      <c r="D13" t="s">
        <v>478</v>
      </c>
      <c r="E13" t="s">
        <v>84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10</v>
      </c>
      <c r="I13">
        <f t="array" ref="I13">_xlfn.IFS(OR(ItemTable[[#This Row],[GradeType]]="Hp",ItemTable[[#This Row],[GradeType]]="Gold"),0,TRUE,5000+ItemTable[[#This Row],[Index]])</f>
        <v>7005</v>
      </c>
      <c r="J13" t="s">
        <v>277</v>
      </c>
      <c r="K13" s="4" t="str">
        <f>MID(ItemTable[[#This Row],[ItemIconPath]],FIND("icon",ItemTable[[#This Row],[ItemIconPath]]),999)</f>
        <v>icon/item/item_15.png</v>
      </c>
      <c r="L13" s="22" t="s">
        <v>468</v>
      </c>
      <c r="M13" s="21" t="s">
        <v>413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</row>
    <row r="14" spans="2:15" x14ac:dyDescent="0.3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63</v>
      </c>
      <c r="D14" s="19" t="s">
        <v>491</v>
      </c>
      <c r="E14" t="s">
        <v>85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20</v>
      </c>
      <c r="I14">
        <f t="array" ref="I14">_xlfn.IFS(OR(ItemTable[[#This Row],[GradeType]]="Hp",ItemTable[[#This Row],[GradeType]]="Gold"),0,TRUE,5000+ItemTable[[#This Row],[Index]])</f>
        <v>8000</v>
      </c>
      <c r="J14" t="s">
        <v>279</v>
      </c>
      <c r="K14" s="4" t="str">
        <f>MID(ItemTable[[#This Row],[ItemIconPath]],FIND("icon",ItemTable[[#This Row],[ItemIconPath]]),999)</f>
        <v>icon/item/item_17.png</v>
      </c>
      <c r="L14" s="22" t="s">
        <v>490</v>
      </c>
      <c r="M14" s="21" t="s">
        <v>301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</row>
    <row r="15" spans="2:15" x14ac:dyDescent="0.3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456</v>
      </c>
      <c r="D15" t="s">
        <v>492</v>
      </c>
      <c r="E15" t="s">
        <v>85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20</v>
      </c>
      <c r="I15">
        <f t="array" ref="I15">_xlfn.IFS(OR(ItemTable[[#This Row],[GradeType]]="Hp",ItemTable[[#This Row],[GradeType]]="Gold"),0,TRUE,5000+ItemTable[[#This Row],[Index]])</f>
        <v>8001</v>
      </c>
      <c r="J15" t="s">
        <v>282</v>
      </c>
      <c r="K15" s="4" t="str">
        <f>MID(ItemTable[[#This Row],[ItemIconPath]],FIND("icon",ItemTable[[#This Row],[ItemIconPath]]),999)</f>
        <v>icon/item/item_12.png</v>
      </c>
      <c r="L15" s="22" t="s">
        <v>489</v>
      </c>
      <c r="M15" s="21" t="s">
        <v>38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</row>
    <row r="16" spans="2:15" x14ac:dyDescent="0.3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65</v>
      </c>
      <c r="D16" t="s">
        <v>479</v>
      </c>
      <c r="E16" t="s">
        <v>85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20</v>
      </c>
      <c r="I16">
        <f t="array" ref="I16">_xlfn.IFS(OR(ItemTable[[#This Row],[GradeType]]="Hp",ItemTable[[#This Row],[GradeType]]="Gold"),0,TRUE,5000+ItemTable[[#This Row],[Index]])</f>
        <v>8002</v>
      </c>
      <c r="J16" t="s">
        <v>284</v>
      </c>
      <c r="K16" s="4" t="str">
        <f>MID(ItemTable[[#This Row],[ItemIconPath]],FIND("icon",ItemTable[[#This Row],[ItemIconPath]]),999)</f>
        <v>icon/item/item_09.png</v>
      </c>
      <c r="L16" s="22" t="s">
        <v>467</v>
      </c>
      <c r="M16" s="22" t="s">
        <v>452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</row>
    <row r="17" spans="2:15" x14ac:dyDescent="0.3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398</v>
      </c>
      <c r="D17" t="s">
        <v>480</v>
      </c>
      <c r="E17" t="s">
        <v>85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20</v>
      </c>
      <c r="I17">
        <f t="array" ref="I17">_xlfn.IFS(OR(ItemTable[[#This Row],[GradeType]]="Hp",ItemTable[[#This Row],[GradeType]]="Gold"),0,TRUE,5000+ItemTable[[#This Row],[Index]])</f>
        <v>8003</v>
      </c>
      <c r="J17" t="s">
        <v>285</v>
      </c>
      <c r="K17" s="4" t="str">
        <f>MID(ItemTable[[#This Row],[ItemIconPath]],FIND("icon",ItemTable[[#This Row],[ItemIconPath]]),999)</f>
        <v>icon/item/item_10.png</v>
      </c>
      <c r="L17" s="22" t="s">
        <v>457</v>
      </c>
      <c r="M17" s="21" t="s">
        <v>412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</row>
    <row r="18" spans="2:15" x14ac:dyDescent="0.3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419</v>
      </c>
      <c r="D18" t="s">
        <v>481</v>
      </c>
      <c r="E18" t="s">
        <v>85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20</v>
      </c>
      <c r="I18">
        <f t="array" ref="I18">_xlfn.IFS(OR(ItemTable[[#This Row],[GradeType]]="Hp",ItemTable[[#This Row],[GradeType]]="Gold"),0,TRUE,5000+ItemTable[[#This Row],[Index]])</f>
        <v>8004</v>
      </c>
      <c r="J18" t="s">
        <v>286</v>
      </c>
      <c r="K18" s="4" t="str">
        <f>MID(ItemTable[[#This Row],[ItemIconPath]],FIND("icon",ItemTable[[#This Row],[ItemIconPath]]),999)</f>
        <v>icon/item/item_16.png</v>
      </c>
      <c r="L18" s="22" t="s">
        <v>461</v>
      </c>
      <c r="M18" s="21" t="s">
        <v>414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</row>
    <row r="19" spans="2:15" x14ac:dyDescent="0.3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185</v>
      </c>
      <c r="D19" t="s">
        <v>482</v>
      </c>
      <c r="E19" t="s">
        <v>85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20</v>
      </c>
      <c r="I19">
        <f t="array" ref="I19">_xlfn.IFS(OR(ItemTable[[#This Row],[GradeType]]="Hp",ItemTable[[#This Row],[GradeType]]="Gold"),0,TRUE,5000+ItemTable[[#This Row],[Index]])</f>
        <v>8005</v>
      </c>
      <c r="J19" t="s">
        <v>289</v>
      </c>
      <c r="K19" s="4" t="str">
        <f>MID(ItemTable[[#This Row],[ItemIconPath]],FIND("icon",ItemTable[[#This Row],[ItemIconPath]]),999)</f>
        <v>icon/item/item_03.png</v>
      </c>
      <c r="L19" s="22" t="s">
        <v>458</v>
      </c>
      <c r="M19" s="22" t="s">
        <v>463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</row>
    <row r="20" spans="2:15" x14ac:dyDescent="0.3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177</v>
      </c>
      <c r="D20" t="s">
        <v>483</v>
      </c>
      <c r="E20" t="s">
        <v>94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20</v>
      </c>
      <c r="I20">
        <f t="array" ref="I20">_xlfn.IFS(OR(ItemTable[[#This Row],[GradeType]]="Hp",ItemTable[[#This Row],[GradeType]]="Gold"),0,TRUE,5000+ItemTable[[#This Row],[Index]])</f>
        <v>9000</v>
      </c>
      <c r="J20" t="s">
        <v>303</v>
      </c>
      <c r="K20" s="4" t="str">
        <f>MID(ItemTable[[#This Row],[ItemIconPath]],FIND("icon",ItemTable[[#This Row],[ItemIconPath]]),999)</f>
        <v>icon/item/item_06.png</v>
      </c>
      <c r="L20" s="22" t="s">
        <v>466</v>
      </c>
      <c r="M20" s="21" t="s">
        <v>428</v>
      </c>
      <c r="N20" s="21" t="s">
        <v>424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</row>
    <row r="21" spans="2:15" x14ac:dyDescent="0.3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172</v>
      </c>
      <c r="D21" t="s">
        <v>484</v>
      </c>
      <c r="E21" t="s">
        <v>94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20</v>
      </c>
      <c r="I21">
        <f t="array" ref="I21">_xlfn.IFS(OR(ItemTable[[#This Row],[GradeType]]="Hp",ItemTable[[#This Row],[GradeType]]="Gold"),0,TRUE,5000+ItemTable[[#This Row],[Index]])</f>
        <v>9001</v>
      </c>
      <c r="J21" t="s">
        <v>306</v>
      </c>
      <c r="K21" s="4" t="str">
        <f>MID(ItemTable[[#This Row],[ItemIconPath]],FIND("icon",ItemTable[[#This Row],[ItemIconPath]]),999)</f>
        <v>icon/item/item_08.png</v>
      </c>
      <c r="L21" s="22" t="s">
        <v>459</v>
      </c>
      <c r="M21" s="21" t="s">
        <v>423</v>
      </c>
      <c r="N21" s="21" t="s">
        <v>425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</row>
    <row r="22" spans="2:15" x14ac:dyDescent="0.3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408</v>
      </c>
      <c r="D22" t="s">
        <v>485</v>
      </c>
      <c r="E22" t="s">
        <v>94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20</v>
      </c>
      <c r="I22">
        <f t="array" ref="I22">_xlfn.IFS(OR(ItemTable[[#This Row],[GradeType]]="Hp",ItemTable[[#This Row],[GradeType]]="Gold"),0,TRUE,5000+ItemTable[[#This Row],[Index]])</f>
        <v>9002</v>
      </c>
      <c r="J22" t="s">
        <v>304</v>
      </c>
      <c r="K22" s="4" t="str">
        <f>MID(ItemTable[[#This Row],[ItemIconPath]],FIND("icon",ItemTable[[#This Row],[ItemIconPath]]),999)</f>
        <v>icon/item/item_14.png</v>
      </c>
      <c r="L22" s="22" t="s">
        <v>465</v>
      </c>
      <c r="M22" s="21" t="s">
        <v>421</v>
      </c>
      <c r="N22" s="21" t="s">
        <v>264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v>
      </c>
    </row>
    <row r="23" spans="2:15" x14ac:dyDescent="0.3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399</v>
      </c>
      <c r="D23" t="s">
        <v>486</v>
      </c>
      <c r="E23" t="s">
        <v>94</v>
      </c>
      <c r="F23">
        <v>1</v>
      </c>
      <c r="G23">
        <v>50</v>
      </c>
      <c r="H23">
        <v>20</v>
      </c>
      <c r="I23">
        <f t="array" ref="I23">_xlfn.IFS(OR(ItemTable[[#This Row],[GradeType]]="Hp",ItemTable[[#This Row],[GradeType]]="Gold"),0,TRUE,5000+ItemTable[[#This Row],[Index]])</f>
        <v>9003</v>
      </c>
      <c r="J23" t="s">
        <v>305</v>
      </c>
      <c r="K23" s="4" t="str">
        <f>MID(ItemTable[[#This Row],[ItemIconPath]],FIND("icon",ItemTable[[#This Row],[ItemIconPath]]),999)</f>
        <v>icon/item/item_01.png</v>
      </c>
      <c r="L23" s="22" t="s">
        <v>460</v>
      </c>
      <c r="M23" s="21" t="s">
        <v>418</v>
      </c>
      <c r="N23" s="21" t="s">
        <v>427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</row>
    <row r="24" spans="2:15" x14ac:dyDescent="0.3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58</v>
      </c>
      <c r="D24" s="20" t="s">
        <v>487</v>
      </c>
      <c r="E24" t="s">
        <v>94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20</v>
      </c>
      <c r="I24">
        <f t="array" ref="I24">_xlfn.IFS(OR(ItemTable[[#This Row],[GradeType]]="Hp",ItemTable[[#This Row],[GradeType]]="Gold"),0,TRUE,5000+ItemTable[[#This Row],[Index]])</f>
        <v>9004</v>
      </c>
      <c r="J24" t="s">
        <v>283</v>
      </c>
      <c r="K24" s="4" t="str">
        <f>MID(ItemTable[[#This Row],[ItemIconPath]],FIND("icon",ItemTable[[#This Row],[ItemIconPath]]),999)</f>
        <v>icon/item/item_13.png</v>
      </c>
      <c r="L24" s="22" t="s">
        <v>488</v>
      </c>
      <c r="M24" s="22" t="s">
        <v>464</v>
      </c>
      <c r="N24" s="21" t="s">
        <v>430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A3" zoomScaleNormal="75" zoomScaleSheetLayoutView="100" workbookViewId="0">
      <selection activeCell="I3" sqref="I3:I29"/>
    </sheetView>
  </sheetViews>
  <sheetFormatPr defaultColWidth="8.875" defaultRowHeight="16.5" x14ac:dyDescent="0.3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2" customWidth="1"/>
    <col min="16" max="17" width="20.375" customWidth="1"/>
    <col min="18" max="19" width="17.125" customWidth="1"/>
  </cols>
  <sheetData>
    <row r="1" spans="2:19" x14ac:dyDescent="0.3">
      <c r="E1" t="s">
        <v>49</v>
      </c>
      <c r="F1" t="s">
        <v>134</v>
      </c>
      <c r="G1" t="s">
        <v>103</v>
      </c>
      <c r="J1" t="s">
        <v>103</v>
      </c>
      <c r="K1" t="s">
        <v>134</v>
      </c>
      <c r="L1" t="s">
        <v>134</v>
      </c>
      <c r="M1" s="12" t="s">
        <v>160</v>
      </c>
      <c r="N1" s="12"/>
      <c r="P1" s="12"/>
      <c r="Q1" s="12"/>
    </row>
    <row r="2" spans="2:19" x14ac:dyDescent="0.3">
      <c r="B2" s="6" t="s">
        <v>132</v>
      </c>
      <c r="C2" s="6" t="s">
        <v>135</v>
      </c>
      <c r="D2" s="6" t="s">
        <v>137</v>
      </c>
      <c r="E2" t="s">
        <v>79</v>
      </c>
      <c r="F2" t="s">
        <v>315</v>
      </c>
      <c r="G2" t="s">
        <v>393</v>
      </c>
      <c r="H2" s="6" t="s">
        <v>131</v>
      </c>
      <c r="I2" s="6" t="s">
        <v>180</v>
      </c>
      <c r="J2" t="s">
        <v>308</v>
      </c>
      <c r="K2" t="s">
        <v>13</v>
      </c>
      <c r="L2" t="s">
        <v>309</v>
      </c>
      <c r="M2" s="6" t="s">
        <v>156</v>
      </c>
      <c r="N2" s="6" t="s">
        <v>165</v>
      </c>
      <c r="O2" s="6" t="s">
        <v>256</v>
      </c>
      <c r="P2" s="2" t="s">
        <v>164</v>
      </c>
      <c r="Q2" s="6" t="s">
        <v>153</v>
      </c>
      <c r="R2" s="16" t="s">
        <v>163</v>
      </c>
      <c r="S2" s="16" t="s">
        <v>166</v>
      </c>
    </row>
    <row r="3" spans="2:19" x14ac:dyDescent="0.3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409</v>
      </c>
      <c r="G3" s="13" t="s">
        <v>239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422</v>
      </c>
      <c r="J3">
        <v>0.7</v>
      </c>
      <c r="K3" t="s">
        <v>410</v>
      </c>
      <c r="L3" t="s">
        <v>183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61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x14ac:dyDescent="0.3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409</v>
      </c>
      <c r="G4" s="13" t="s">
        <v>355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429</v>
      </c>
      <c r="J4">
        <v>1.2</v>
      </c>
      <c r="K4" s="13" t="s">
        <v>410</v>
      </c>
      <c r="L4" t="s">
        <v>183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x14ac:dyDescent="0.3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409</v>
      </c>
      <c r="G5" s="13" t="s">
        <v>400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417</v>
      </c>
      <c r="J5">
        <v>0.8</v>
      </c>
      <c r="K5" t="s">
        <v>410</v>
      </c>
      <c r="L5" t="s">
        <v>183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x14ac:dyDescent="0.3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409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416</v>
      </c>
      <c r="J6">
        <v>1</v>
      </c>
      <c r="K6" t="s">
        <v>407</v>
      </c>
      <c r="L6" t="s">
        <v>183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x14ac:dyDescent="0.3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409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416</v>
      </c>
      <c r="J7">
        <v>1</v>
      </c>
      <c r="K7" t="s">
        <v>407</v>
      </c>
      <c r="L7" t="s">
        <v>183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x14ac:dyDescent="0.3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409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415</v>
      </c>
      <c r="J8">
        <v>1.1000000000000001</v>
      </c>
      <c r="K8" s="13" t="s">
        <v>410</v>
      </c>
      <c r="L8" t="s">
        <v>183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x14ac:dyDescent="0.3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409</v>
      </c>
      <c r="G9" s="13" t="s">
        <v>59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413</v>
      </c>
      <c r="J9">
        <v>50</v>
      </c>
      <c r="K9" t="s">
        <v>407</v>
      </c>
      <c r="L9" t="s">
        <v>183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x14ac:dyDescent="0.3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409</v>
      </c>
      <c r="G10" s="13" t="s">
        <v>356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301</v>
      </c>
      <c r="J10" t="s">
        <v>444</v>
      </c>
      <c r="K10" t="s">
        <v>407</v>
      </c>
      <c r="L10" t="s">
        <v>298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x14ac:dyDescent="0.3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409</v>
      </c>
      <c r="G11" s="13" t="s">
        <v>356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38</v>
      </c>
      <c r="J11" t="s">
        <v>302</v>
      </c>
      <c r="K11" t="s">
        <v>407</v>
      </c>
      <c r="L11" t="s">
        <v>411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 x14ac:dyDescent="0.3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409</v>
      </c>
      <c r="G12" t="s">
        <v>356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434</v>
      </c>
      <c r="J12">
        <v>0.1</v>
      </c>
      <c r="K12" t="s">
        <v>407</v>
      </c>
      <c r="L12" t="s">
        <v>183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 x14ac:dyDescent="0.3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409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434</v>
      </c>
      <c r="J13">
        <v>0.5</v>
      </c>
      <c r="K13" t="s">
        <v>407</v>
      </c>
      <c r="L13" t="s">
        <v>183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 x14ac:dyDescent="0.3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409</v>
      </c>
      <c r="G14" t="s">
        <v>239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434</v>
      </c>
      <c r="J14">
        <v>-0.1</v>
      </c>
      <c r="K14" t="s">
        <v>407</v>
      </c>
      <c r="L14" t="s">
        <v>183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 x14ac:dyDescent="0.3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409</v>
      </c>
      <c r="G15" t="s">
        <v>310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412</v>
      </c>
      <c r="J15">
        <v>0.5</v>
      </c>
      <c r="K15" t="s">
        <v>407</v>
      </c>
      <c r="L15" t="s">
        <v>183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x14ac:dyDescent="0.3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409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414</v>
      </c>
      <c r="J16">
        <v>2</v>
      </c>
      <c r="K16" t="s">
        <v>407</v>
      </c>
      <c r="L16" t="s">
        <v>183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x14ac:dyDescent="0.3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409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414</v>
      </c>
      <c r="J17">
        <v>2</v>
      </c>
      <c r="K17" t="s">
        <v>407</v>
      </c>
      <c r="L17" t="s">
        <v>183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x14ac:dyDescent="0.3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409</v>
      </c>
      <c r="G18" s="13" t="s">
        <v>356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39</v>
      </c>
      <c r="J18" t="s">
        <v>442</v>
      </c>
      <c r="K18" t="s">
        <v>407</v>
      </c>
      <c r="L18" t="s">
        <v>449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x14ac:dyDescent="0.3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409</v>
      </c>
      <c r="G19" s="13" t="s">
        <v>239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300</v>
      </c>
      <c r="J19">
        <v>1.2</v>
      </c>
      <c r="K19" t="s">
        <v>410</v>
      </c>
      <c r="L19" t="s">
        <v>183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x14ac:dyDescent="0.3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409</v>
      </c>
      <c r="G20" s="13" t="s">
        <v>400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300</v>
      </c>
      <c r="J20">
        <v>0.55000000000000004</v>
      </c>
      <c r="K20" t="s">
        <v>410</v>
      </c>
      <c r="L20" t="s">
        <v>183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 x14ac:dyDescent="0.3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409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299</v>
      </c>
      <c r="J21">
        <v>0.75</v>
      </c>
      <c r="K21" t="s">
        <v>410</v>
      </c>
      <c r="L21" t="s">
        <v>183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x14ac:dyDescent="0.3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409</v>
      </c>
      <c r="G22" s="13" t="s">
        <v>59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299</v>
      </c>
      <c r="J22">
        <v>200</v>
      </c>
      <c r="K22" t="s">
        <v>407</v>
      </c>
      <c r="L22" t="s">
        <v>183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 x14ac:dyDescent="0.3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409</v>
      </c>
      <c r="G23" t="s">
        <v>356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5" t="s">
        <v>436</v>
      </c>
      <c r="J23">
        <v>0.5</v>
      </c>
      <c r="K23" t="s">
        <v>407</v>
      </c>
      <c r="L23" t="s">
        <v>183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83.333333333333343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 x14ac:dyDescent="0.3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155</v>
      </c>
      <c r="G24" t="s">
        <v>77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436</v>
      </c>
      <c r="J24">
        <v>0</v>
      </c>
      <c r="K24" t="s">
        <v>181</v>
      </c>
      <c r="L24" t="s">
        <v>183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x14ac:dyDescent="0.3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409</v>
      </c>
      <c r="G25" s="13" t="s">
        <v>59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37</v>
      </c>
      <c r="J25">
        <v>-100</v>
      </c>
      <c r="K25" t="s">
        <v>407</v>
      </c>
      <c r="L25" t="s">
        <v>183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 x14ac:dyDescent="0.3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409</v>
      </c>
      <c r="G26" t="s">
        <v>356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37</v>
      </c>
      <c r="J26">
        <v>0.6</v>
      </c>
      <c r="K26" t="s">
        <v>407</v>
      </c>
      <c r="L26" t="s">
        <v>183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x14ac:dyDescent="0.3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409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440</v>
      </c>
      <c r="J27">
        <v>-1</v>
      </c>
      <c r="K27" t="s">
        <v>407</v>
      </c>
      <c r="L27" t="s">
        <v>183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 x14ac:dyDescent="0.3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409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440</v>
      </c>
      <c r="J28">
        <v>-1</v>
      </c>
      <c r="K28" t="s">
        <v>407</v>
      </c>
      <c r="L28" t="s">
        <v>183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 x14ac:dyDescent="0.3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409</v>
      </c>
      <c r="G29" t="s">
        <v>207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440</v>
      </c>
      <c r="J29">
        <v>2</v>
      </c>
      <c r="K29" t="s">
        <v>181</v>
      </c>
      <c r="L29" t="s">
        <v>183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defaultColWidth="8.875" defaultRowHeight="16.5" x14ac:dyDescent="0.3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 x14ac:dyDescent="0.3">
      <c r="B1" t="s">
        <v>54</v>
      </c>
      <c r="C1" t="s">
        <v>52</v>
      </c>
      <c r="D1" t="s">
        <v>52</v>
      </c>
      <c r="E1" t="s">
        <v>81</v>
      </c>
      <c r="F1" t="s">
        <v>80</v>
      </c>
    </row>
    <row r="2" spans="2:6" x14ac:dyDescent="0.3">
      <c r="B2" t="s">
        <v>79</v>
      </c>
      <c r="C2" s="6" t="s">
        <v>125</v>
      </c>
      <c r="D2" s="6" t="s">
        <v>126</v>
      </c>
      <c r="E2" t="s">
        <v>240</v>
      </c>
      <c r="F2" t="s">
        <v>241</v>
      </c>
    </row>
    <row r="3" spans="2:6" x14ac:dyDescent="0.3">
      <c r="B3">
        <v>900</v>
      </c>
      <c r="C3" s="4" t="e">
        <f>INDEX(#REF!,MATCH(ItemResourceTable[[#This Row],[Index]],ItemEffectTable[ApplyValue],0))</f>
        <v>#REF!</v>
      </c>
      <c r="D3" s="4" t="s">
        <v>361</v>
      </c>
      <c r="E3" t="s">
        <v>60</v>
      </c>
      <c r="F3" t="s">
        <v>270</v>
      </c>
    </row>
    <row r="4" spans="2:6" x14ac:dyDescent="0.3">
      <c r="B4">
        <v>900</v>
      </c>
      <c r="C4" s="4" t="e">
        <f>INDEX(#REF!,MATCH(ItemResourceTable[[#This Row],[Index]],ItemEffectTable[ApplyValue],0))</f>
        <v>#REF!</v>
      </c>
      <c r="D4" s="4" t="s">
        <v>127</v>
      </c>
      <c r="E4" t="s">
        <v>333</v>
      </c>
      <c r="F4" t="s">
        <v>447</v>
      </c>
    </row>
    <row r="5" spans="2:6" x14ac:dyDescent="0.3">
      <c r="B5">
        <v>901</v>
      </c>
      <c r="C5" s="4" t="e">
        <f>INDEX(#REF!,MATCH(ItemResourceTable[[#This Row],[Index]],ItemEffectTable[ApplyValue],0))</f>
        <v>#REF!</v>
      </c>
      <c r="D5" s="4" t="s">
        <v>361</v>
      </c>
      <c r="E5" t="s">
        <v>60</v>
      </c>
      <c r="F5" t="s">
        <v>445</v>
      </c>
    </row>
    <row r="6" spans="2:6" x14ac:dyDescent="0.3">
      <c r="B6">
        <v>901</v>
      </c>
      <c r="C6" s="4" t="e">
        <f>INDEX(#REF!,MATCH(ItemResourceTable[[#This Row],[Index]],ItemEffectTable[ApplyValue],0))</f>
        <v>#REF!</v>
      </c>
      <c r="D6" s="4" t="s">
        <v>332</v>
      </c>
      <c r="E6" t="s">
        <v>220</v>
      </c>
      <c r="F6" t="s">
        <v>203</v>
      </c>
    </row>
    <row r="7" spans="2:6" x14ac:dyDescent="0.3">
      <c r="B7">
        <v>901</v>
      </c>
      <c r="C7" s="4" t="e">
        <f>INDEX(#REF!,MATCH(ItemResourceTable[[#This Row],[Index]],ItemEffectTable[ApplyValue],0))</f>
        <v>#REF!</v>
      </c>
      <c r="D7" s="4" t="s">
        <v>362</v>
      </c>
      <c r="E7" t="s">
        <v>342</v>
      </c>
      <c r="F7" t="s">
        <v>450</v>
      </c>
    </row>
    <row r="8" spans="2:6" x14ac:dyDescent="0.3">
      <c r="B8">
        <v>902</v>
      </c>
      <c r="C8" s="4" t="e">
        <f>INDEX(#REF!,MATCH(ItemResourceTable[[#This Row],[Index]],ItemEffectTable[ApplyValue],0))</f>
        <v>#REF!</v>
      </c>
      <c r="D8" s="4" t="s">
        <v>361</v>
      </c>
      <c r="E8" t="s">
        <v>60</v>
      </c>
      <c r="F8" t="s">
        <v>448</v>
      </c>
    </row>
    <row r="9" spans="2:6" x14ac:dyDescent="0.3">
      <c r="B9">
        <v>902</v>
      </c>
      <c r="C9" s="4" t="e">
        <f>INDEX(#REF!,MATCH(ItemResourceTable[[#This Row],[Index]],ItemEffectTable[ApplyValue],0))</f>
        <v>#REF!</v>
      </c>
      <c r="D9" s="4" t="s">
        <v>362</v>
      </c>
      <c r="E9" t="s">
        <v>342</v>
      </c>
      <c r="F9" t="s">
        <v>293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defaultColWidth="8.875" defaultRowHeight="16.5" x14ac:dyDescent="0.3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 x14ac:dyDescent="0.3">
      <c r="A1" t="s">
        <v>54</v>
      </c>
      <c r="B1" t="s">
        <v>80</v>
      </c>
      <c r="C1" t="s">
        <v>80</v>
      </c>
      <c r="D1" t="s">
        <v>52</v>
      </c>
    </row>
    <row r="2" spans="1:4" x14ac:dyDescent="0.3">
      <c r="A2" t="s">
        <v>79</v>
      </c>
      <c r="B2" t="s">
        <v>319</v>
      </c>
      <c r="C2" t="s">
        <v>317</v>
      </c>
      <c r="D2" s="6" t="s">
        <v>124</v>
      </c>
    </row>
    <row r="3" spans="1:4" x14ac:dyDescent="0.3">
      <c r="A3">
        <f>ItemTable[[#This Row],[Index]]+10000</f>
        <v>10010</v>
      </c>
      <c r="B3" t="s">
        <v>98</v>
      </c>
      <c r="C3" t="s">
        <v>105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 x14ac:dyDescent="0.3">
      <c r="A4">
        <f>ItemTable[[#This Row],[Index]]+10000</f>
        <v>10011</v>
      </c>
      <c r="B4" t="s">
        <v>99</v>
      </c>
      <c r="C4" t="s">
        <v>106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 x14ac:dyDescent="0.3">
      <c r="A5">
        <f>ItemTable[[#This Row],[Index]]+10000</f>
        <v>10020</v>
      </c>
      <c r="B5" t="s">
        <v>95</v>
      </c>
      <c r="C5" t="s">
        <v>107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 x14ac:dyDescent="0.3">
      <c r="A6">
        <f>ItemTable[[#This Row],[Index]]+10000</f>
        <v>10021</v>
      </c>
      <c r="B6" t="s">
        <v>100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 x14ac:dyDescent="0.3">
      <c r="A7">
        <f>ItemTable[[#This Row],[Index]]+10000</f>
        <v>10022</v>
      </c>
      <c r="B7" t="s">
        <v>101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 x14ac:dyDescent="0.3">
      <c r="A8">
        <f>ItemTable[[#This Row],[Index]]+10000</f>
        <v>12000</v>
      </c>
      <c r="B8" t="s">
        <v>102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 x14ac:dyDescent="0.3">
      <c r="A9">
        <f>ItemTable[[#This Row],[Index]]+10000</f>
        <v>12001</v>
      </c>
      <c r="B9" t="s">
        <v>144</v>
      </c>
      <c r="C9" t="s">
        <v>145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 x14ac:dyDescent="0.3">
      <c r="A10">
        <f>ItemTable[[#This Row],[Index]]+10000</f>
        <v>12002</v>
      </c>
      <c r="B10" t="s">
        <v>350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 x14ac:dyDescent="0.3">
      <c r="A11">
        <v>11002</v>
      </c>
      <c r="B11" t="s">
        <v>40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 x14ac:dyDescent="0.3">
      <c r="A12">
        <v>12000</v>
      </c>
      <c r="B12" t="s">
        <v>67</v>
      </c>
      <c r="C12" t="s">
        <v>318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 x14ac:dyDescent="0.3">
      <c r="A13">
        <v>12001</v>
      </c>
      <c r="B13" t="s">
        <v>56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 x14ac:dyDescent="0.3">
      <c r="A14">
        <v>12002</v>
      </c>
      <c r="B14" t="s">
        <v>88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 x14ac:dyDescent="0.3">
      <c r="A15">
        <v>12003</v>
      </c>
      <c r="B15" t="s">
        <v>323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 x14ac:dyDescent="0.3">
      <c r="A16">
        <v>12004</v>
      </c>
      <c r="B16" t="s">
        <v>91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 x14ac:dyDescent="0.3">
      <c r="A17">
        <v>12005</v>
      </c>
      <c r="B17" t="s">
        <v>69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 x14ac:dyDescent="0.3">
      <c r="A18">
        <v>12006</v>
      </c>
      <c r="B18" t="s">
        <v>57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 x14ac:dyDescent="0.3">
      <c r="A19">
        <v>13000</v>
      </c>
      <c r="B19" t="s">
        <v>211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 x14ac:dyDescent="0.3">
      <c r="A20">
        <v>13001</v>
      </c>
      <c r="B20" t="s">
        <v>66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 x14ac:dyDescent="0.3">
      <c r="A21">
        <v>13002</v>
      </c>
      <c r="B21" t="s">
        <v>112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 x14ac:dyDescent="0.3">
      <c r="A22">
        <v>13003</v>
      </c>
      <c r="B22" t="s">
        <v>47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 x14ac:dyDescent="0.3">
      <c r="A23">
        <v>13004</v>
      </c>
      <c r="B23" t="s">
        <v>68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 x14ac:dyDescent="0.3">
      <c r="A24">
        <v>13005</v>
      </c>
      <c r="B24" t="s">
        <v>70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 x14ac:dyDescent="0.3">
      <c r="A25">
        <v>13006</v>
      </c>
      <c r="B25" t="s">
        <v>50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 x14ac:dyDescent="0.3">
      <c r="A26">
        <v>13007</v>
      </c>
      <c r="B26" t="s">
        <v>89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 x14ac:dyDescent="0.3">
      <c r="A27">
        <v>13008</v>
      </c>
      <c r="B27" t="s">
        <v>86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 x14ac:dyDescent="0.3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 x14ac:dyDescent="0.3">
      <c r="A29">
        <v>13010</v>
      </c>
      <c r="B29" t="s">
        <v>78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 x14ac:dyDescent="0.3">
      <c r="A30">
        <v>13011</v>
      </c>
      <c r="B30" t="s">
        <v>71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 x14ac:dyDescent="0.3">
      <c r="A31">
        <v>13012</v>
      </c>
      <c r="B31" t="s">
        <v>113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 x14ac:dyDescent="0.3">
      <c r="A32">
        <v>14000</v>
      </c>
      <c r="B32" t="s">
        <v>72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 x14ac:dyDescent="0.3">
      <c r="A33">
        <v>14001</v>
      </c>
      <c r="B33" t="s">
        <v>73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 x14ac:dyDescent="0.3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 x14ac:dyDescent="0.3">
      <c r="A35">
        <v>14003</v>
      </c>
      <c r="B35" t="s">
        <v>74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 x14ac:dyDescent="0.3">
      <c r="A36">
        <v>14004</v>
      </c>
      <c r="B36" t="s">
        <v>90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 x14ac:dyDescent="0.3">
      <c r="A37">
        <v>14005</v>
      </c>
      <c r="B37" t="s">
        <v>82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 x14ac:dyDescent="0.3">
      <c r="A38">
        <v>14006</v>
      </c>
      <c r="B38" t="s">
        <v>76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 x14ac:dyDescent="0.3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 x14ac:dyDescent="0.3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 x14ac:dyDescent="0.3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 x14ac:dyDescent="0.3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 x14ac:dyDescent="0.3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 x14ac:dyDescent="0.3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 x14ac:dyDescent="0.3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 x14ac:dyDescent="0.3">
      <c r="A46">
        <v>21000</v>
      </c>
      <c r="B46" t="s">
        <v>192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 x14ac:dyDescent="0.3">
      <c r="A47">
        <v>21001</v>
      </c>
      <c r="B47" t="s">
        <v>274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 x14ac:dyDescent="0.3">
      <c r="A48">
        <v>21002</v>
      </c>
      <c r="B48" t="s">
        <v>437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 x14ac:dyDescent="0.3">
      <c r="A49">
        <v>22000</v>
      </c>
      <c r="B49" t="s">
        <v>210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 x14ac:dyDescent="0.3">
      <c r="A50">
        <v>22001</v>
      </c>
      <c r="B50" t="s">
        <v>451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 x14ac:dyDescent="0.3">
      <c r="A51">
        <v>22002</v>
      </c>
      <c r="B51" t="s">
        <v>209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 x14ac:dyDescent="0.3">
      <c r="A52">
        <v>22003</v>
      </c>
      <c r="B52" t="s">
        <v>206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 x14ac:dyDescent="0.3">
      <c r="A53">
        <v>22004</v>
      </c>
      <c r="B53" t="s">
        <v>204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 x14ac:dyDescent="0.3">
      <c r="A54">
        <v>22005</v>
      </c>
      <c r="B54" t="s">
        <v>224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 x14ac:dyDescent="0.3">
      <c r="A55">
        <v>22006</v>
      </c>
      <c r="B55" t="s">
        <v>290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 x14ac:dyDescent="0.3">
      <c r="A56">
        <v>23000</v>
      </c>
      <c r="B56" t="s">
        <v>208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 x14ac:dyDescent="0.3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 x14ac:dyDescent="0.3">
      <c r="A58">
        <v>23002</v>
      </c>
      <c r="B58" t="s">
        <v>287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 x14ac:dyDescent="0.3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 x14ac:dyDescent="0.3">
      <c r="A60">
        <v>23004</v>
      </c>
      <c r="B60" t="s">
        <v>194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 x14ac:dyDescent="0.3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 x14ac:dyDescent="0.3">
      <c r="A62">
        <v>23006</v>
      </c>
      <c r="B62" t="s">
        <v>197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 x14ac:dyDescent="0.3">
      <c r="A63">
        <v>23007</v>
      </c>
      <c r="B63" t="s">
        <v>296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 x14ac:dyDescent="0.3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 x14ac:dyDescent="0.3">
      <c r="A65">
        <v>23009</v>
      </c>
      <c r="B65" t="s">
        <v>292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 x14ac:dyDescent="0.3">
      <c r="A66">
        <v>23010</v>
      </c>
      <c r="B66" t="s">
        <v>232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 x14ac:dyDescent="0.3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 x14ac:dyDescent="0.3">
      <c r="A68">
        <v>23012</v>
      </c>
      <c r="B68" t="s">
        <v>195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 x14ac:dyDescent="0.3">
      <c r="A69">
        <v>24000</v>
      </c>
      <c r="B69" t="s">
        <v>199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 x14ac:dyDescent="0.3">
      <c r="A70">
        <v>24001</v>
      </c>
      <c r="B70" t="s">
        <v>198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 x14ac:dyDescent="0.3">
      <c r="A71">
        <v>24002</v>
      </c>
      <c r="B71" t="s">
        <v>188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 x14ac:dyDescent="0.3">
      <c r="A72">
        <v>24003</v>
      </c>
      <c r="B72" t="s">
        <v>193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 x14ac:dyDescent="0.3">
      <c r="A73">
        <v>24004</v>
      </c>
      <c r="B73" t="s">
        <v>191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 x14ac:dyDescent="0.3">
      <c r="A74">
        <v>24005</v>
      </c>
      <c r="B74" t="s">
        <v>196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 x14ac:dyDescent="0.3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 x14ac:dyDescent="0.3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2023-06-07T08:53:04Z</dcterms:modified>
  <cp:version>1200.0100.01</cp:version>
</cp:coreProperties>
</file>