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_Dev/_GameData/"/>
    </mc:Choice>
  </mc:AlternateContent>
  <xr:revisionPtr revIDLastSave="0" documentId="13_ncr:1_{1FB9301B-590D-4A4F-9000-4CB03462604B}" xr6:coauthVersionLast="47" xr6:coauthVersionMax="47" xr10:uidLastSave="{00000000-0000-0000-0000-000000000000}"/>
  <bookViews>
    <workbookView xWindow="-30240" yWindow="2060" windowWidth="30240" windowHeight="18880" firstSheet="10" activeTab="17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3" i="16" l="1"/>
  <c r="B62" i="16"/>
  <c r="I62" i="16"/>
  <c r="I63" i="16"/>
  <c r="I8" i="3" a="1"/>
  <c r="I8" i="3" s="1"/>
  <c r="I9" i="3" a="1"/>
  <c r="I9" i="3"/>
  <c r="I7" i="3" a="1"/>
  <c r="I7" i="3"/>
  <c r="I53" i="16"/>
  <c r="B53" i="16" s="1"/>
  <c r="I52" i="16"/>
  <c r="B52" i="16" s="1"/>
  <c r="I50" i="16"/>
  <c r="B50" i="16" s="1"/>
  <c r="I51" i="16"/>
  <c r="B51" i="16" s="1"/>
  <c r="I49" i="16"/>
  <c r="B49" i="16" s="1"/>
  <c r="I48" i="16"/>
  <c r="B48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C19" i="19"/>
  <c r="I19" i="19" a="1"/>
  <c r="I19" i="19" s="1"/>
  <c r="J19" i="19" s="1" a="1"/>
  <c r="J19" i="19" s="1"/>
  <c r="L19" i="19" s="1"/>
  <c r="N19" i="19"/>
  <c r="T19" i="19" a="1"/>
  <c r="T19" i="19" s="1"/>
  <c r="D169" i="11"/>
  <c r="D170" i="11"/>
  <c r="D171" i="11"/>
  <c r="D172" i="11"/>
  <c r="D173" i="11"/>
  <c r="D181" i="11" s="1"/>
  <c r="D174" i="11"/>
  <c r="D182" i="11" s="1"/>
  <c r="D175" i="11"/>
  <c r="D183" i="11" s="1"/>
  <c r="D176" i="11"/>
  <c r="D184" i="11" s="1"/>
  <c r="D177" i="11"/>
  <c r="D178" i="11"/>
  <c r="D179" i="11"/>
  <c r="D180" i="11"/>
  <c r="D162" i="11"/>
  <c r="D163" i="11"/>
  <c r="D164" i="11"/>
  <c r="D165" i="11"/>
  <c r="D166" i="11"/>
  <c r="D167" i="11"/>
  <c r="D168" i="11"/>
  <c r="D161" i="11"/>
  <c r="D154" i="11"/>
  <c r="D155" i="11"/>
  <c r="D156" i="11"/>
  <c r="D157" i="11"/>
  <c r="D158" i="11"/>
  <c r="D159" i="11"/>
  <c r="D160" i="11"/>
  <c r="D153" i="11"/>
  <c r="D146" i="11"/>
  <c r="D147" i="11"/>
  <c r="D148" i="11"/>
  <c r="D149" i="11"/>
  <c r="D150" i="11"/>
  <c r="D151" i="11"/>
  <c r="D152" i="11"/>
  <c r="D145" i="11"/>
  <c r="D138" i="11"/>
  <c r="D139" i="11"/>
  <c r="D140" i="11"/>
  <c r="D141" i="11"/>
  <c r="D142" i="11"/>
  <c r="D143" i="11"/>
  <c r="D144" i="11"/>
  <c r="D137" i="11"/>
  <c r="D130" i="11"/>
  <c r="D131" i="11"/>
  <c r="D132" i="11"/>
  <c r="D133" i="11"/>
  <c r="D134" i="11"/>
  <c r="D135" i="11"/>
  <c r="D136" i="11"/>
  <c r="D129" i="11"/>
  <c r="D122" i="11"/>
  <c r="D123" i="11"/>
  <c r="D124" i="11"/>
  <c r="D125" i="11"/>
  <c r="D126" i="11"/>
  <c r="D127" i="11"/>
  <c r="D128" i="11"/>
  <c r="D121" i="11"/>
  <c r="D114" i="11"/>
  <c r="D115" i="11"/>
  <c r="D116" i="11"/>
  <c r="D117" i="11"/>
  <c r="D118" i="11"/>
  <c r="D119" i="11"/>
  <c r="D120" i="11"/>
  <c r="D113" i="11"/>
  <c r="D106" i="11"/>
  <c r="D107" i="11"/>
  <c r="D108" i="11"/>
  <c r="D109" i="11"/>
  <c r="D110" i="11"/>
  <c r="D111" i="11"/>
  <c r="D112" i="11"/>
  <c r="D105" i="11"/>
  <c r="C112" i="11"/>
  <c r="B112" i="11"/>
  <c r="B120" i="11" s="1"/>
  <c r="B111" i="11"/>
  <c r="B119" i="11" s="1"/>
  <c r="C110" i="11"/>
  <c r="B110" i="11"/>
  <c r="B118" i="11" s="1"/>
  <c r="B109" i="11"/>
  <c r="B117" i="11" s="1"/>
  <c r="B108" i="11"/>
  <c r="B116" i="11" s="1"/>
  <c r="B107" i="11"/>
  <c r="B115" i="11" s="1"/>
  <c r="B106" i="11"/>
  <c r="B114" i="11" s="1"/>
  <c r="B105" i="11"/>
  <c r="B113" i="11" s="1"/>
  <c r="C104" i="11"/>
  <c r="C103" i="11"/>
  <c r="C102" i="11"/>
  <c r="C101" i="11"/>
  <c r="C100" i="11"/>
  <c r="C99" i="11"/>
  <c r="C98" i="11"/>
  <c r="C97" i="11"/>
  <c r="E17" i="3"/>
  <c r="E22" i="3"/>
  <c r="M3" i="20"/>
  <c r="M4" i="20"/>
  <c r="M5" i="20"/>
  <c r="M6" i="20"/>
  <c r="M7" i="20"/>
  <c r="M8" i="20"/>
  <c r="M9" i="20"/>
  <c r="M10" i="20"/>
  <c r="M11" i="20"/>
  <c r="M12" i="20"/>
  <c r="M13" i="20"/>
  <c r="M14" i="20"/>
  <c r="M15" i="20"/>
  <c r="M16" i="20"/>
  <c r="E56" i="3" a="1"/>
  <c r="E56" i="3"/>
  <c r="E27" i="3"/>
  <c r="E26" i="3" a="1"/>
  <c r="E26" i="3" s="1"/>
  <c r="E16" i="3"/>
  <c r="S3" i="14"/>
  <c r="S4" i="14"/>
  <c r="S5" i="14"/>
  <c r="S6" i="14"/>
  <c r="S7" i="14"/>
  <c r="S8" i="14"/>
  <c r="S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2" i="14"/>
  <c r="N3" i="19"/>
  <c r="N4" i="19"/>
  <c r="N5" i="19"/>
  <c r="N6" i="19"/>
  <c r="N7" i="19"/>
  <c r="N8" i="19"/>
  <c r="N9" i="19"/>
  <c r="N10" i="19"/>
  <c r="N11" i="19"/>
  <c r="N12" i="19"/>
  <c r="N13" i="19"/>
  <c r="N14" i="19"/>
  <c r="N15" i="19"/>
  <c r="N16" i="19"/>
  <c r="N17" i="19"/>
  <c r="N18" i="19"/>
  <c r="N20" i="19"/>
  <c r="N21" i="19"/>
  <c r="N22" i="19"/>
  <c r="N23" i="19"/>
  <c r="N24" i="19"/>
  <c r="N25" i="19"/>
  <c r="N26" i="19"/>
  <c r="N27" i="19"/>
  <c r="N28" i="19"/>
  <c r="N29" i="19"/>
  <c r="N30" i="19"/>
  <c r="N31" i="19"/>
  <c r="E44" i="3"/>
  <c r="E48" i="3"/>
  <c r="E50" i="3"/>
  <c r="E51" i="3"/>
  <c r="E52" i="3"/>
  <c r="D50" i="3" a="1"/>
  <c r="D50" i="3" s="1"/>
  <c r="D49" i="3" a="1"/>
  <c r="D49" i="3" s="1"/>
  <c r="E49" i="3" s="1"/>
  <c r="D48" i="3" a="1"/>
  <c r="D48" i="3" s="1"/>
  <c r="D47" i="3" a="1"/>
  <c r="D47" i="3" s="1"/>
  <c r="E47" i="3" s="1"/>
  <c r="D46" i="3" a="1"/>
  <c r="D46" i="3"/>
  <c r="E46" i="3" s="1"/>
  <c r="D45" i="3" a="1"/>
  <c r="D45" i="3" s="1"/>
  <c r="E45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5" i="16"/>
  <c r="B75" i="16" s="1"/>
  <c r="I74" i="16"/>
  <c r="B74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64" i="16"/>
  <c r="B64" i="16" s="1"/>
  <c r="I65" i="16"/>
  <c r="B65" i="16" s="1"/>
  <c r="I6" i="16"/>
  <c r="B6" i="16" s="1"/>
  <c r="N10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9" i="14"/>
  <c r="Q9" i="14" s="1"/>
  <c r="N11" i="14"/>
  <c r="Q11" i="14" s="1"/>
  <c r="N12" i="14"/>
  <c r="Q12" i="14" s="1"/>
  <c r="N13" i="14"/>
  <c r="Q13" i="14" s="1"/>
  <c r="N14" i="14"/>
  <c r="Q14" i="14" s="1"/>
  <c r="N15" i="14"/>
  <c r="Q15" i="14" s="1"/>
  <c r="N16" i="14"/>
  <c r="Q16" i="14" s="1"/>
  <c r="N17" i="14"/>
  <c r="Q17" i="14" s="1"/>
  <c r="N18" i="14"/>
  <c r="Q18" i="14" s="1"/>
  <c r="N19" i="14"/>
  <c r="Q19" i="14" s="1"/>
  <c r="N20" i="14"/>
  <c r="Q20" i="14" s="1"/>
  <c r="N21" i="14"/>
  <c r="Q21" i="14" s="1"/>
  <c r="N22" i="14"/>
  <c r="Q22" i="14" s="1"/>
  <c r="N23" i="14"/>
  <c r="Q23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9" i="14"/>
  <c r="P9" i="14" s="1"/>
  <c r="M10" i="14"/>
  <c r="P10" i="14" s="1"/>
  <c r="M11" i="14"/>
  <c r="P11" i="14" s="1"/>
  <c r="M12" i="14"/>
  <c r="P12" i="14" s="1"/>
  <c r="M13" i="14"/>
  <c r="P13" i="14" s="1"/>
  <c r="M14" i="14"/>
  <c r="P14" i="14" s="1"/>
  <c r="M15" i="14"/>
  <c r="P15" i="14" s="1"/>
  <c r="M16" i="14"/>
  <c r="P16" i="14" s="1"/>
  <c r="M17" i="14"/>
  <c r="P17" i="14" s="1"/>
  <c r="M18" i="14"/>
  <c r="P18" i="14" s="1"/>
  <c r="M19" i="14"/>
  <c r="P19" i="14" s="1"/>
  <c r="M20" i="14"/>
  <c r="P20" i="14" s="1"/>
  <c r="M21" i="14"/>
  <c r="P21" i="14" s="1"/>
  <c r="M22" i="14"/>
  <c r="P22" i="14" s="1"/>
  <c r="M23" i="14"/>
  <c r="P23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L10" i="14"/>
  <c r="L3" i="14"/>
  <c r="L4" i="14"/>
  <c r="L5" i="14"/>
  <c r="L6" i="14"/>
  <c r="L7" i="14"/>
  <c r="L8" i="14"/>
  <c r="L9" i="14"/>
  <c r="L11" i="14"/>
  <c r="L12" i="14"/>
  <c r="R12" i="14" s="1"/>
  <c r="M11" i="19" s="1"/>
  <c r="O11" i="19" s="1"/>
  <c r="L13" i="14"/>
  <c r="R13" i="14" s="1"/>
  <c r="M12" i="19" s="1"/>
  <c r="O12" i="19" s="1"/>
  <c r="L14" i="14"/>
  <c r="L15" i="14"/>
  <c r="L16" i="14"/>
  <c r="L17" i="14"/>
  <c r="L18" i="14"/>
  <c r="L19" i="14"/>
  <c r="L20" i="14"/>
  <c r="L21" i="14"/>
  <c r="L22" i="14"/>
  <c r="L23" i="14"/>
  <c r="L24" i="14"/>
  <c r="R24" i="14" s="1"/>
  <c r="M22" i="19" s="1"/>
  <c r="O22" i="19" s="1"/>
  <c r="L25" i="14"/>
  <c r="R25" i="14" s="1"/>
  <c r="M23" i="19" s="1"/>
  <c r="O23" i="19" s="1"/>
  <c r="L26" i="14"/>
  <c r="L27" i="14"/>
  <c r="L28" i="14"/>
  <c r="O28" i="14" s="1"/>
  <c r="L29" i="14"/>
  <c r="L30" i="14"/>
  <c r="L31" i="14"/>
  <c r="L32" i="14"/>
  <c r="T3" i="19" a="1"/>
  <c r="T3" i="19" s="1"/>
  <c r="T4" i="19" a="1"/>
  <c r="T4" i="19" s="1"/>
  <c r="T5" i="19" a="1"/>
  <c r="T5" i="19" s="1"/>
  <c r="T6" i="19" a="1"/>
  <c r="T6" i="19" s="1"/>
  <c r="T7" i="19" a="1"/>
  <c r="T7" i="19" s="1"/>
  <c r="T8" i="19" a="1"/>
  <c r="T8" i="19" s="1"/>
  <c r="T9" i="19" a="1"/>
  <c r="T9" i="19" s="1"/>
  <c r="T10" i="19" a="1"/>
  <c r="T10" i="19" s="1"/>
  <c r="T11" i="19" a="1"/>
  <c r="T11" i="19" s="1"/>
  <c r="T12" i="19" a="1"/>
  <c r="T12" i="19" s="1"/>
  <c r="T13" i="19" a="1"/>
  <c r="T13" i="19" s="1"/>
  <c r="T14" i="19" a="1"/>
  <c r="T14" i="19" s="1"/>
  <c r="T15" i="19" a="1"/>
  <c r="T15" i="19" s="1"/>
  <c r="T16" i="19" a="1"/>
  <c r="T16" i="19" s="1"/>
  <c r="T17" i="19" a="1"/>
  <c r="T17" i="19" s="1"/>
  <c r="T18" i="19" a="1"/>
  <c r="T18" i="19" s="1"/>
  <c r="T20" i="19" a="1"/>
  <c r="T20" i="19" s="1"/>
  <c r="T21" i="19" a="1"/>
  <c r="T21" i="19" s="1"/>
  <c r="T22" i="19" a="1"/>
  <c r="T22" i="19" s="1"/>
  <c r="T23" i="19" a="1"/>
  <c r="T23" i="19" s="1"/>
  <c r="T24" i="19" a="1"/>
  <c r="T24" i="19" s="1"/>
  <c r="T25" i="19" a="1"/>
  <c r="T25" i="19" s="1"/>
  <c r="T26" i="19" a="1"/>
  <c r="T26" i="19" s="1"/>
  <c r="T27" i="19" a="1"/>
  <c r="T27" i="19" s="1"/>
  <c r="T28" i="19" a="1"/>
  <c r="T28" i="19" s="1"/>
  <c r="T29" i="19" a="1"/>
  <c r="T29" i="19" s="1"/>
  <c r="T30" i="19" a="1"/>
  <c r="T30" i="19" s="1"/>
  <c r="T31" i="19" a="1"/>
  <c r="T31" i="19" s="1"/>
  <c r="C7" i="3"/>
  <c r="C3" i="19"/>
  <c r="C4" i="19"/>
  <c r="C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E24" i="3" a="1"/>
  <c r="E24" i="3" s="1"/>
  <c r="B7" i="3"/>
  <c r="E21" i="3" s="1" a="1"/>
  <c r="E21" i="3" s="1"/>
  <c r="O25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L7" i="19" s="1"/>
  <c r="I9" i="19" a="1"/>
  <c r="I9" i="19" s="1"/>
  <c r="J9" i="19" s="1" a="1"/>
  <c r="J9" i="19" s="1"/>
  <c r="I10" i="19" a="1"/>
  <c r="I10" i="19" s="1"/>
  <c r="J10" i="19" s="1" a="1"/>
  <c r="J10" i="19" s="1"/>
  <c r="I11" i="19" a="1"/>
  <c r="I11" i="19" s="1"/>
  <c r="J11" i="19" s="1" a="1"/>
  <c r="J11" i="19" s="1"/>
  <c r="L11" i="19" s="1"/>
  <c r="I12" i="19" a="1"/>
  <c r="I12" i="19" s="1"/>
  <c r="J12" i="19" s="1" a="1"/>
  <c r="J12" i="19" s="1"/>
  <c r="I14" i="19" a="1"/>
  <c r="I14" i="19" s="1"/>
  <c r="J14" i="19" s="1" a="1"/>
  <c r="J14" i="19" s="1"/>
  <c r="I15" i="19" a="1"/>
  <c r="I15" i="19" s="1"/>
  <c r="J15" i="19" s="1" a="1"/>
  <c r="J15" i="19" s="1"/>
  <c r="I16" i="19" a="1"/>
  <c r="I16" i="19" s="1"/>
  <c r="J16" i="19" s="1" a="1"/>
  <c r="J16" i="19" s="1"/>
  <c r="I17" i="19" a="1"/>
  <c r="I17" i="19" s="1"/>
  <c r="J17" i="19" s="1" a="1"/>
  <c r="J17" i="19" s="1"/>
  <c r="I18" i="19" a="1"/>
  <c r="I18" i="19" s="1"/>
  <c r="J18" i="19" s="1" a="1"/>
  <c r="J18" i="19" s="1"/>
  <c r="I20" i="19" a="1"/>
  <c r="I20" i="19" s="1"/>
  <c r="J20" i="19" s="1" a="1"/>
  <c r="J20" i="19" s="1"/>
  <c r="I21" i="19" a="1"/>
  <c r="I21" i="19" s="1"/>
  <c r="J21" i="19" s="1" a="1"/>
  <c r="J21" i="19" s="1"/>
  <c r="I22" i="19" a="1"/>
  <c r="I22" i="19" s="1"/>
  <c r="J22" i="19" s="1" a="1"/>
  <c r="J22" i="19" s="1"/>
  <c r="L22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I26" i="19" a="1"/>
  <c r="I26" i="19" s="1"/>
  <c r="J26" i="19" s="1" a="1"/>
  <c r="J26" i="19" s="1"/>
  <c r="L26" i="19" s="1"/>
  <c r="I27" i="19" a="1"/>
  <c r="I27" i="19" s="1"/>
  <c r="J27" i="19" s="1" a="1"/>
  <c r="J27" i="19" s="1"/>
  <c r="L27" i="19" s="1"/>
  <c r="I28" i="19" a="1"/>
  <c r="I28" i="19" s="1"/>
  <c r="J28" i="19" s="1" a="1"/>
  <c r="J28" i="19" s="1"/>
  <c r="I29" i="19" a="1"/>
  <c r="I29" i="19" s="1"/>
  <c r="J29" i="19" s="1" a="1"/>
  <c r="J29" i="19" s="1"/>
  <c r="I30" i="19" a="1"/>
  <c r="I30" i="19" s="1"/>
  <c r="J30" i="19" s="1" a="1"/>
  <c r="J30" i="19" s="1"/>
  <c r="I31" i="19" a="1"/>
  <c r="I31" i="19" s="1"/>
  <c r="J31" i="19" s="1" a="1"/>
  <c r="J31" i="19" s="1"/>
  <c r="E20" i="3"/>
  <c r="E23" i="3"/>
  <c r="E28" i="3"/>
  <c r="E29" i="3"/>
  <c r="E30" i="3"/>
  <c r="E31" i="3"/>
  <c r="E32" i="3"/>
  <c r="I61" i="16"/>
  <c r="B61" i="16" s="1"/>
  <c r="I60" i="16"/>
  <c r="B60" i="16" s="1"/>
  <c r="I76" i="16"/>
  <c r="B76" i="16" s="1"/>
  <c r="I77" i="16"/>
  <c r="B77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K20" i="2"/>
  <c r="L20" i="2" s="1"/>
  <c r="O20" i="2"/>
  <c r="P20" i="2" s="1"/>
  <c r="O21" i="2"/>
  <c r="P21" i="2" s="1"/>
  <c r="M20" i="2"/>
  <c r="N20" i="2" s="1"/>
  <c r="M21" i="2"/>
  <c r="N21" i="2" s="1"/>
  <c r="M22" i="2"/>
  <c r="N22" i="2" s="1"/>
  <c r="K21" i="2"/>
  <c r="L21" i="2" s="1"/>
  <c r="K22" i="2"/>
  <c r="L22" i="2" s="1"/>
  <c r="K13" i="2"/>
  <c r="K14" i="2"/>
  <c r="K15" i="2"/>
  <c r="O22" i="2" s="1"/>
  <c r="P22" i="2" s="1"/>
  <c r="Q21" i="2" l="1"/>
  <c r="Q22" i="2"/>
  <c r="Q20" i="2"/>
  <c r="C106" i="11"/>
  <c r="C111" i="11"/>
  <c r="C107" i="11"/>
  <c r="C108" i="11"/>
  <c r="C117" i="11"/>
  <c r="B125" i="11"/>
  <c r="C118" i="11"/>
  <c r="B126" i="11"/>
  <c r="C114" i="11"/>
  <c r="B122" i="11"/>
  <c r="C119" i="11"/>
  <c r="B127" i="11"/>
  <c r="C115" i="11"/>
  <c r="B123" i="11"/>
  <c r="B121" i="11"/>
  <c r="C113" i="11"/>
  <c r="C120" i="11"/>
  <c r="B128" i="11"/>
  <c r="C116" i="11"/>
  <c r="B124" i="11"/>
  <c r="C109" i="11"/>
  <c r="C105" i="11"/>
  <c r="O4" i="14"/>
  <c r="O16" i="14"/>
  <c r="L31" i="19"/>
  <c r="O26" i="14"/>
  <c r="O14" i="14"/>
  <c r="Q10" i="14"/>
  <c r="K10" i="19" a="1"/>
  <c r="K10" i="19" s="1"/>
  <c r="L10" i="19" s="1"/>
  <c r="P22" i="19"/>
  <c r="P11" i="19"/>
  <c r="R22" i="14"/>
  <c r="M21" i="19" s="1"/>
  <c r="O21" i="19" s="1"/>
  <c r="R8" i="14"/>
  <c r="M8" i="19" s="1"/>
  <c r="O8" i="19" s="1"/>
  <c r="R20" i="14"/>
  <c r="R18" i="14"/>
  <c r="M17" i="19" s="1"/>
  <c r="O17" i="19" s="1"/>
  <c r="M24" i="19"/>
  <c r="O24" i="19" s="1"/>
  <c r="R10" i="14"/>
  <c r="M10" i="19" s="1"/>
  <c r="O10" i="19" s="1"/>
  <c r="R26" i="14"/>
  <c r="R14" i="14"/>
  <c r="M13" i="19" s="1"/>
  <c r="O13" i="19" s="1"/>
  <c r="R19" i="14"/>
  <c r="M18" i="19" s="1"/>
  <c r="O18" i="19" s="1"/>
  <c r="R7" i="14"/>
  <c r="M7" i="19" s="1"/>
  <c r="O7" i="19" s="1"/>
  <c r="P7" i="19" s="1"/>
  <c r="R5" i="14"/>
  <c r="M5" i="19" s="1"/>
  <c r="O5" i="19" s="1"/>
  <c r="R28" i="14"/>
  <c r="R16" i="14"/>
  <c r="R4" i="14"/>
  <c r="M4" i="19" s="1"/>
  <c r="O4" i="19" s="1"/>
  <c r="R3" i="14"/>
  <c r="M3" i="19" s="1"/>
  <c r="O3" i="19" s="1"/>
  <c r="P3" i="19" s="1"/>
  <c r="O30" i="14"/>
  <c r="R30" i="14" s="1"/>
  <c r="O22" i="14"/>
  <c r="O18" i="14"/>
  <c r="O10" i="14"/>
  <c r="O6" i="14"/>
  <c r="R6" i="14" s="1"/>
  <c r="M6" i="19" s="1"/>
  <c r="O6" i="19" s="1"/>
  <c r="O29" i="14"/>
  <c r="R29" i="14" s="1"/>
  <c r="O25" i="14"/>
  <c r="O21" i="14"/>
  <c r="R21" i="14" s="1"/>
  <c r="O17" i="14"/>
  <c r="O13" i="14"/>
  <c r="O9" i="14"/>
  <c r="R9" i="14" s="1"/>
  <c r="M9" i="19" s="1"/>
  <c r="O9" i="19" s="1"/>
  <c r="O5" i="14"/>
  <c r="O32" i="14"/>
  <c r="O24" i="14"/>
  <c r="O20" i="14"/>
  <c r="O12" i="14"/>
  <c r="O8" i="14"/>
  <c r="O31" i="14"/>
  <c r="O27" i="14"/>
  <c r="R27" i="14" s="1"/>
  <c r="O23" i="14"/>
  <c r="R23" i="14" s="1"/>
  <c r="O19" i="14"/>
  <c r="O15" i="14"/>
  <c r="R15" i="14" s="1"/>
  <c r="O11" i="14"/>
  <c r="R11" i="14" s="1"/>
  <c r="O7" i="14"/>
  <c r="O3" i="14"/>
  <c r="L29" i="19"/>
  <c r="L16" i="19"/>
  <c r="L17" i="19"/>
  <c r="L28" i="19"/>
  <c r="L14" i="19"/>
  <c r="L24" i="19"/>
  <c r="L23" i="19"/>
  <c r="P23" i="19" s="1"/>
  <c r="L9" i="19"/>
  <c r="L6" i="19"/>
  <c r="L20" i="19"/>
  <c r="L5" i="19"/>
  <c r="L18" i="19"/>
  <c r="L4" i="19"/>
  <c r="L15" i="19"/>
  <c r="L12" i="19"/>
  <c r="P12" i="19" s="1"/>
  <c r="L13" i="3"/>
  <c r="I19" i="3" s="1" a="1"/>
  <c r="I19" i="3" s="1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6" i="13"/>
  <c r="J27" i="13"/>
  <c r="J28" i="13"/>
  <c r="J29" i="13"/>
  <c r="J30" i="13"/>
  <c r="J31" i="13"/>
  <c r="J32" i="13"/>
  <c r="J33" i="13"/>
  <c r="J3" i="13"/>
  <c r="I4" i="13"/>
  <c r="I5" i="13"/>
  <c r="I6" i="13"/>
  <c r="I7" i="13"/>
  <c r="I26" i="13"/>
  <c r="I27" i="13"/>
  <c r="I28" i="13"/>
  <c r="I29" i="13"/>
  <c r="I30" i="13"/>
  <c r="I31" i="13"/>
  <c r="I32" i="13"/>
  <c r="I33" i="13"/>
  <c r="I3" i="13"/>
  <c r="H4" i="13"/>
  <c r="H5" i="13"/>
  <c r="H6" i="13"/>
  <c r="H7" i="13"/>
  <c r="H26" i="13"/>
  <c r="H27" i="13"/>
  <c r="H28" i="13"/>
  <c r="H29" i="13"/>
  <c r="H30" i="13"/>
  <c r="H31" i="13"/>
  <c r="H32" i="13"/>
  <c r="H33" i="13"/>
  <c r="H3" i="13"/>
  <c r="G4" i="13"/>
  <c r="G5" i="13"/>
  <c r="G6" i="13"/>
  <c r="G7" i="13"/>
  <c r="G26" i="13"/>
  <c r="G27" i="13"/>
  <c r="G28" i="13"/>
  <c r="G29" i="13"/>
  <c r="G30" i="13"/>
  <c r="G31" i="13"/>
  <c r="G32" i="13"/>
  <c r="G33" i="13"/>
  <c r="G3" i="13"/>
  <c r="R27" i="13"/>
  <c r="N13" i="9"/>
  <c r="N3" i="9"/>
  <c r="N4" i="9"/>
  <c r="N5" i="9"/>
  <c r="N6" i="9"/>
  <c r="N7" i="9"/>
  <c r="N8" i="9"/>
  <c r="N9" i="9"/>
  <c r="N10" i="9"/>
  <c r="N11" i="9"/>
  <c r="N12" i="9"/>
  <c r="N14" i="9"/>
  <c r="N15" i="9"/>
  <c r="N16" i="9"/>
  <c r="F3" i="20" a="1"/>
  <c r="F3" i="20" s="1"/>
  <c r="F12" i="20" a="1"/>
  <c r="F12" i="20" s="1"/>
  <c r="F13" i="20" a="1"/>
  <c r="F13" i="20" s="1"/>
  <c r="F4" i="20" a="1"/>
  <c r="F4" i="20" s="1"/>
  <c r="F5" i="20" a="1"/>
  <c r="F5" i="20" s="1"/>
  <c r="F6" i="20" a="1"/>
  <c r="F6" i="20" s="1"/>
  <c r="F7" i="20" a="1"/>
  <c r="F7" i="20" s="1"/>
  <c r="F8" i="20" a="1"/>
  <c r="F8" i="20" s="1"/>
  <c r="F9" i="20" a="1"/>
  <c r="F9" i="20" s="1"/>
  <c r="F10" i="20" a="1"/>
  <c r="F10" i="20" s="1"/>
  <c r="F11" i="20" a="1"/>
  <c r="F11" i="20" s="1"/>
  <c r="R3" i="13"/>
  <c r="R4" i="13"/>
  <c r="R5" i="13"/>
  <c r="R6" i="13"/>
  <c r="R7" i="13"/>
  <c r="R8" i="13"/>
  <c r="R9" i="13"/>
  <c r="R10" i="13"/>
  <c r="R1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R25" i="13"/>
  <c r="R26" i="13"/>
  <c r="R28" i="13"/>
  <c r="R29" i="13"/>
  <c r="R30" i="13"/>
  <c r="R31" i="13"/>
  <c r="R32" i="13"/>
  <c r="R33" i="13"/>
  <c r="I3" i="16"/>
  <c r="B3" i="16" s="1"/>
  <c r="I4" i="16"/>
  <c r="B4" i="16" s="1"/>
  <c r="I5" i="16"/>
  <c r="B5" i="16" s="1"/>
  <c r="I59" i="16"/>
  <c r="B59" i="16" s="1"/>
  <c r="I58" i="16"/>
  <c r="B58" i="16" s="1"/>
  <c r="I57" i="16"/>
  <c r="B57" i="16" s="1"/>
  <c r="I56" i="16"/>
  <c r="B56" i="16" s="1"/>
  <c r="I55" i="16"/>
  <c r="B55" i="16" s="1"/>
  <c r="I54" i="16"/>
  <c r="B54" i="16" s="1"/>
  <c r="I47" i="16"/>
  <c r="B47" i="16" s="1"/>
  <c r="I46" i="16"/>
  <c r="B46" i="16" s="1"/>
  <c r="I78" i="16"/>
  <c r="B78" i="16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1" i="16"/>
  <c r="B121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29" i="16"/>
  <c r="B129" i="16" s="1"/>
  <c r="I130" i="16"/>
  <c r="B130" i="16" s="1"/>
  <c r="I131" i="16"/>
  <c r="B131" i="16" s="1"/>
  <c r="I132" i="16"/>
  <c r="B132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39" i="16"/>
  <c r="B139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2" i="16"/>
  <c r="B152" i="16" s="1"/>
  <c r="I153" i="16"/>
  <c r="B153" i="16" s="1"/>
  <c r="I154" i="16"/>
  <c r="B154" i="16" s="1"/>
  <c r="I155" i="16"/>
  <c r="B155" i="16" s="1"/>
  <c r="I156" i="16"/>
  <c r="B156" i="16" s="1"/>
  <c r="I157" i="16"/>
  <c r="B157" i="16" s="1"/>
  <c r="I158" i="16"/>
  <c r="B158" i="16" s="1"/>
  <c r="I159" i="16"/>
  <c r="B159" i="16" s="1"/>
  <c r="I160" i="16"/>
  <c r="B160" i="16" s="1"/>
  <c r="I161" i="16"/>
  <c r="B161" i="16" s="1"/>
  <c r="I162" i="16"/>
  <c r="B162" i="16" s="1"/>
  <c r="O27" i="13" a="1"/>
  <c r="O27" i="13" s="1"/>
  <c r="M27" i="13" a="1"/>
  <c r="M27" i="13" s="1"/>
  <c r="O26" i="13" a="1"/>
  <c r="O26" i="13" s="1"/>
  <c r="M26" i="13" a="1"/>
  <c r="M26" i="13" s="1"/>
  <c r="M9" i="2"/>
  <c r="L9" i="2"/>
  <c r="F21" i="13" a="1"/>
  <c r="F21" i="13" s="1"/>
  <c r="F22" i="13" s="1" a="1"/>
  <c r="F22" i="13" s="1"/>
  <c r="F23" i="13" s="1" a="1"/>
  <c r="F23" i="13" s="1"/>
  <c r="F24" i="13" s="1" a="1"/>
  <c r="F24" i="13" s="1"/>
  <c r="F25" i="13" s="1" a="1"/>
  <c r="F25" i="13" s="1"/>
  <c r="J25" i="13" s="1"/>
  <c r="E5" i="9"/>
  <c r="K7" i="8"/>
  <c r="K8" i="8"/>
  <c r="K9" i="8"/>
  <c r="K10" i="8"/>
  <c r="K11" i="8"/>
  <c r="K3" i="8"/>
  <c r="K6" i="8"/>
  <c r="K5" i="8"/>
  <c r="K4" i="8"/>
  <c r="M20" i="13" a="1"/>
  <c r="M20" i="13" s="1"/>
  <c r="E24" i="13" l="1"/>
  <c r="E21" i="13"/>
  <c r="M20" i="19"/>
  <c r="O20" i="19" s="1"/>
  <c r="P20" i="19" s="1"/>
  <c r="M19" i="19"/>
  <c r="O19" i="19" s="1"/>
  <c r="P19" i="19" s="1"/>
  <c r="C123" i="11"/>
  <c r="B131" i="11"/>
  <c r="C127" i="11"/>
  <c r="B135" i="11"/>
  <c r="C121" i="11"/>
  <c r="B129" i="11"/>
  <c r="C124" i="11"/>
  <c r="B132" i="11"/>
  <c r="C126" i="11"/>
  <c r="B134" i="11"/>
  <c r="C122" i="11"/>
  <c r="B130" i="11"/>
  <c r="C128" i="11"/>
  <c r="B136" i="11"/>
  <c r="B133" i="11"/>
  <c r="C125" i="11"/>
  <c r="P9" i="19"/>
  <c r="P24" i="19"/>
  <c r="P6" i="19"/>
  <c r="P10" i="19"/>
  <c r="P17" i="19"/>
  <c r="P4" i="19"/>
  <c r="P5" i="19"/>
  <c r="P18" i="19"/>
  <c r="M28" i="19"/>
  <c r="O28" i="19" s="1"/>
  <c r="P28" i="19" s="1"/>
  <c r="M29" i="19"/>
  <c r="O29" i="19" s="1"/>
  <c r="P29" i="19" s="1"/>
  <c r="M26" i="19"/>
  <c r="O26" i="19" s="1"/>
  <c r="P26" i="19" s="1"/>
  <c r="M25" i="19"/>
  <c r="O25" i="19" s="1"/>
  <c r="M27" i="19"/>
  <c r="O27" i="19" s="1"/>
  <c r="P27" i="19" s="1"/>
  <c r="M15" i="19"/>
  <c r="O15" i="19" s="1"/>
  <c r="P15" i="19" s="1"/>
  <c r="M14" i="19"/>
  <c r="O14" i="19" s="1"/>
  <c r="P14" i="19" s="1"/>
  <c r="R32" i="14"/>
  <c r="M31" i="19" s="1"/>
  <c r="O31" i="19" s="1"/>
  <c r="P31" i="19" s="1"/>
  <c r="R31" i="14"/>
  <c r="M30" i="19" s="1"/>
  <c r="O30" i="19" s="1"/>
  <c r="R17" i="14"/>
  <c r="M16" i="19" s="1"/>
  <c r="O16" i="19" s="1"/>
  <c r="P16" i="19" s="1"/>
  <c r="G25" i="13"/>
  <c r="G24" i="13"/>
  <c r="H25" i="13"/>
  <c r="C25" i="13" s="1"/>
  <c r="G23" i="13"/>
  <c r="H24" i="13"/>
  <c r="C24" i="13" s="1"/>
  <c r="I25" i="13"/>
  <c r="D25" i="13" s="1"/>
  <c r="G22" i="13"/>
  <c r="H23" i="13"/>
  <c r="C23" i="13" s="1"/>
  <c r="I24" i="13"/>
  <c r="D24" i="13" s="1"/>
  <c r="G21" i="13"/>
  <c r="H22" i="13"/>
  <c r="C22" i="13" s="1"/>
  <c r="I23" i="13"/>
  <c r="J24" i="13"/>
  <c r="H21" i="13"/>
  <c r="C21" i="13" s="1"/>
  <c r="I22" i="13"/>
  <c r="D22" i="13" s="1"/>
  <c r="J23" i="13"/>
  <c r="I21" i="13"/>
  <c r="D21" i="13" s="1"/>
  <c r="J22" i="13"/>
  <c r="E22" i="13" s="1"/>
  <c r="J21" i="13"/>
  <c r="B29" i="13"/>
  <c r="B27" i="13"/>
  <c r="B26" i="13"/>
  <c r="B28" i="13"/>
  <c r="B33" i="13"/>
  <c r="B25" i="13"/>
  <c r="B32" i="13"/>
  <c r="B24" i="13"/>
  <c r="B31" i="13"/>
  <c r="B23" i="13"/>
  <c r="B30" i="13"/>
  <c r="E7" i="13"/>
  <c r="E15" i="13"/>
  <c r="E23" i="13"/>
  <c r="E31" i="13"/>
  <c r="D32" i="13"/>
  <c r="C33" i="13"/>
  <c r="E8" i="13"/>
  <c r="E16" i="13"/>
  <c r="E32" i="13"/>
  <c r="D33" i="13"/>
  <c r="C26" i="13"/>
  <c r="B4" i="13"/>
  <c r="C30" i="13"/>
  <c r="E9" i="13"/>
  <c r="E17" i="13"/>
  <c r="E25" i="13"/>
  <c r="E33" i="13"/>
  <c r="D26" i="13"/>
  <c r="C3" i="13"/>
  <c r="C27" i="13"/>
  <c r="B5" i="13"/>
  <c r="E12" i="13"/>
  <c r="E20" i="13"/>
  <c r="E28" i="13"/>
  <c r="D5" i="13"/>
  <c r="C6" i="13"/>
  <c r="E10" i="13"/>
  <c r="E18" i="13"/>
  <c r="E26" i="13"/>
  <c r="D3" i="13"/>
  <c r="D27" i="13"/>
  <c r="C4" i="13"/>
  <c r="C28" i="13"/>
  <c r="B6" i="13"/>
  <c r="E3" i="13"/>
  <c r="E11" i="13"/>
  <c r="E19" i="13"/>
  <c r="E27" i="13"/>
  <c r="D4" i="13"/>
  <c r="D28" i="13"/>
  <c r="C5" i="13"/>
  <c r="C29" i="13"/>
  <c r="B7" i="13"/>
  <c r="E4" i="13"/>
  <c r="D29" i="13"/>
  <c r="E5" i="13"/>
  <c r="E13" i="13"/>
  <c r="E29" i="13"/>
  <c r="D6" i="13"/>
  <c r="D30" i="13"/>
  <c r="C7" i="13"/>
  <c r="C31" i="13"/>
  <c r="B3" i="13"/>
  <c r="E6" i="13"/>
  <c r="E14" i="13"/>
  <c r="E30" i="13"/>
  <c r="D7" i="13"/>
  <c r="D23" i="13"/>
  <c r="D31" i="13"/>
  <c r="C32" i="13"/>
  <c r="I57" i="10"/>
  <c r="I55" i="10"/>
  <c r="I53" i="10"/>
  <c r="I52" i="10"/>
  <c r="I51" i="10"/>
  <c r="I50" i="10"/>
  <c r="I54" i="10"/>
  <c r="I56" i="10"/>
  <c r="N5" i="7"/>
  <c r="O5" i="7"/>
  <c r="P5" i="7"/>
  <c r="Q5" i="7"/>
  <c r="R5" i="7"/>
  <c r="S5" i="7"/>
  <c r="K9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V11" i="9"/>
  <c r="E11" i="9"/>
  <c r="H22" i="10"/>
  <c r="V16" i="9"/>
  <c r="E16" i="9"/>
  <c r="V15" i="9"/>
  <c r="E15" i="9"/>
  <c r="E14" i="9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E13" i="9"/>
  <c r="E12" i="9"/>
  <c r="C9" i="15"/>
  <c r="C8" i="15"/>
  <c r="C7" i="15"/>
  <c r="C6" i="15"/>
  <c r="C5" i="15"/>
  <c r="C4" i="15"/>
  <c r="C3" i="15"/>
  <c r="M25" i="13" a="1"/>
  <c r="M25" i="13" s="1"/>
  <c r="M23" i="13" a="1"/>
  <c r="M23" i="13" s="1"/>
  <c r="M22" i="13" a="1"/>
  <c r="M22" i="13" s="1"/>
  <c r="M21" i="13" a="1"/>
  <c r="M21" i="13" s="1"/>
  <c r="O22" i="13" a="1"/>
  <c r="O22" i="13" s="1"/>
  <c r="M19" i="13" a="1"/>
  <c r="M19" i="13" s="1"/>
  <c r="M18" i="13" a="1"/>
  <c r="M18" i="13" s="1"/>
  <c r="M17" i="13" a="1"/>
  <c r="M17" i="13" s="1"/>
  <c r="M16" i="13" a="1"/>
  <c r="M16" i="13" s="1"/>
  <c r="M15" i="13" a="1"/>
  <c r="M15" i="13" s="1"/>
  <c r="M14" i="13" a="1"/>
  <c r="M14" i="13" s="1"/>
  <c r="F14" i="13" a="1"/>
  <c r="F14" i="13" s="1"/>
  <c r="M13" i="13" a="1"/>
  <c r="M13" i="13" s="1"/>
  <c r="M12" i="13" a="1"/>
  <c r="M12" i="13" s="1"/>
  <c r="M11" i="13" a="1"/>
  <c r="M11" i="13" s="1"/>
  <c r="M10" i="13" a="1"/>
  <c r="M10" i="13" s="1"/>
  <c r="M9" i="13" a="1"/>
  <c r="M9" i="13" s="1"/>
  <c r="M8" i="13" a="1"/>
  <c r="M8" i="13" s="1"/>
  <c r="F8" i="13" a="1"/>
  <c r="F8" i="13" s="1"/>
  <c r="N7" i="13"/>
  <c r="N6" i="13"/>
  <c r="N5" i="13"/>
  <c r="F5" i="13" a="1"/>
  <c r="F5" i="13" s="1"/>
  <c r="M4" i="13"/>
  <c r="M3" i="13"/>
  <c r="F3" i="13" a="1"/>
  <c r="F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G14" i="2" l="1"/>
  <c r="G15" i="2"/>
  <c r="C130" i="11"/>
  <c r="B138" i="11"/>
  <c r="C132" i="11"/>
  <c r="B140" i="11"/>
  <c r="C134" i="11"/>
  <c r="B142" i="11"/>
  <c r="C129" i="11"/>
  <c r="B137" i="11"/>
  <c r="C135" i="11"/>
  <c r="B143" i="11"/>
  <c r="B141" i="11"/>
  <c r="C133" i="11"/>
  <c r="C136" i="11"/>
  <c r="B144" i="11"/>
  <c r="C131" i="11"/>
  <c r="B139" i="11"/>
  <c r="L25" i="19"/>
  <c r="P25" i="19" s="1"/>
  <c r="L21" i="19"/>
  <c r="P21" i="19" s="1"/>
  <c r="L30" i="19"/>
  <c r="P30" i="19" s="1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B22" i="13"/>
  <c r="B21" i="13"/>
  <c r="J7" i="3"/>
  <c r="J8" i="3"/>
  <c r="J9" i="3"/>
  <c r="I14" i="13"/>
  <c r="D14" i="13" s="1"/>
  <c r="H14" i="13"/>
  <c r="C14" i="13" s="1"/>
  <c r="G14" i="13"/>
  <c r="G8" i="13"/>
  <c r="I8" i="13"/>
  <c r="D8" i="13" s="1"/>
  <c r="H8" i="13"/>
  <c r="C8" i="13" s="1"/>
  <c r="F9" i="13" a="1"/>
  <c r="F9" i="13" s="1"/>
  <c r="F15" i="13" a="1"/>
  <c r="F15" i="13" s="1"/>
  <c r="M14" i="2"/>
  <c r="M15" i="2"/>
  <c r="G13" i="2"/>
  <c r="O21" i="13" a="1"/>
  <c r="O21" i="13" s="1"/>
  <c r="O14" i="13" a="1"/>
  <c r="O14" i="13" s="1"/>
  <c r="O23" i="13" a="1"/>
  <c r="O23" i="13" s="1"/>
  <c r="F4" i="13" a="1"/>
  <c r="F4" i="13" s="1"/>
  <c r="O3" i="13" a="1"/>
  <c r="O3" i="13" s="1"/>
  <c r="F6" i="13" a="1"/>
  <c r="F6" i="13" s="1"/>
  <c r="O5" i="13" a="1"/>
  <c r="O5" i="13" s="1"/>
  <c r="O8" i="13" a="1"/>
  <c r="O8" i="13" s="1"/>
  <c r="C141" i="11" l="1"/>
  <c r="B149" i="11"/>
  <c r="B145" i="11"/>
  <c r="C137" i="11"/>
  <c r="C140" i="11"/>
  <c r="B148" i="11"/>
  <c r="C143" i="11"/>
  <c r="B151" i="11"/>
  <c r="C144" i="11"/>
  <c r="B152" i="11"/>
  <c r="C138" i="11"/>
  <c r="B146" i="11"/>
  <c r="C142" i="11"/>
  <c r="B150" i="11"/>
  <c r="C139" i="11"/>
  <c r="B147" i="11"/>
  <c r="B8" i="13"/>
  <c r="B14" i="13"/>
  <c r="M13" i="2"/>
  <c r="L13" i="2"/>
  <c r="F16" i="13" a="1"/>
  <c r="F16" i="13" s="1"/>
  <c r="F17" i="13" s="1" a="1"/>
  <c r="F17" i="13" s="1"/>
  <c r="I15" i="13"/>
  <c r="D15" i="13" s="1"/>
  <c r="H15" i="13"/>
  <c r="C15" i="13" s="1"/>
  <c r="G15" i="13"/>
  <c r="H9" i="13"/>
  <c r="C9" i="13" s="1"/>
  <c r="G9" i="13"/>
  <c r="I9" i="13"/>
  <c r="D9" i="13" s="1"/>
  <c r="O9" i="13" a="1"/>
  <c r="O9" i="13" s="1"/>
  <c r="F10" i="13" a="1"/>
  <c r="F10" i="13" s="1"/>
  <c r="O16" i="13" a="1"/>
  <c r="O16" i="13" s="1"/>
  <c r="O15" i="13" a="1"/>
  <c r="O15" i="13" s="1"/>
  <c r="L14" i="2"/>
  <c r="L15" i="2"/>
  <c r="O7" i="3"/>
  <c r="F7" i="13" a="1"/>
  <c r="F7" i="13" s="1"/>
  <c r="O6" i="13" a="1"/>
  <c r="O6" i="13" s="1"/>
  <c r="O24" i="13" a="1"/>
  <c r="O24" i="13" s="1"/>
  <c r="O4" i="13" a="1"/>
  <c r="O4" i="13" s="1"/>
  <c r="C148" i="11" l="1"/>
  <c r="B156" i="11"/>
  <c r="C146" i="11"/>
  <c r="B154" i="11"/>
  <c r="C152" i="11"/>
  <c r="B160" i="11"/>
  <c r="C151" i="11"/>
  <c r="B159" i="11"/>
  <c r="B153" i="11"/>
  <c r="C145" i="11"/>
  <c r="C147" i="11"/>
  <c r="B155" i="11"/>
  <c r="C150" i="11"/>
  <c r="B158" i="11"/>
  <c r="B157" i="11"/>
  <c r="C149" i="11"/>
  <c r="B9" i="13"/>
  <c r="B15" i="13"/>
  <c r="F11" i="13" a="1"/>
  <c r="F11" i="13" s="1"/>
  <c r="F12" i="13" s="1" a="1"/>
  <c r="F12" i="13" s="1"/>
  <c r="I10" i="13"/>
  <c r="D10" i="13" s="1"/>
  <c r="H10" i="13"/>
  <c r="C10" i="13" s="1"/>
  <c r="G10" i="13"/>
  <c r="I17" i="13"/>
  <c r="D17" i="13" s="1"/>
  <c r="H17" i="13"/>
  <c r="C17" i="13" s="1"/>
  <c r="G17" i="13"/>
  <c r="I16" i="13"/>
  <c r="D16" i="13" s="1"/>
  <c r="H16" i="13"/>
  <c r="C16" i="13" s="1"/>
  <c r="G16" i="13"/>
  <c r="O11" i="13" a="1"/>
  <c r="O11" i="13" s="1"/>
  <c r="O10" i="13" a="1"/>
  <c r="O10" i="13" s="1"/>
  <c r="O17" i="13" a="1"/>
  <c r="O17" i="13" s="1"/>
  <c r="M16" i="2"/>
  <c r="P14" i="2" s="1"/>
  <c r="O7" i="13" a="1"/>
  <c r="O7" i="13" s="1"/>
  <c r="F18" i="13" a="1"/>
  <c r="F18" i="13" s="1"/>
  <c r="O25" i="13" a="1"/>
  <c r="O25" i="13" s="1"/>
  <c r="B161" i="11" l="1"/>
  <c r="C153" i="11"/>
  <c r="C159" i="11"/>
  <c r="B167" i="11"/>
  <c r="C154" i="11"/>
  <c r="B162" i="11"/>
  <c r="C157" i="11"/>
  <c r="B165" i="11"/>
  <c r="C160" i="11"/>
  <c r="B168" i="11"/>
  <c r="C158" i="11"/>
  <c r="B166" i="11"/>
  <c r="C156" i="11"/>
  <c r="B164" i="11"/>
  <c r="C155" i="11"/>
  <c r="B163" i="11"/>
  <c r="B4" i="14"/>
  <c r="B4" i="19" s="1"/>
  <c r="B3" i="14"/>
  <c r="B3" i="19" s="1"/>
  <c r="B17" i="13"/>
  <c r="B10" i="13"/>
  <c r="B5" i="14" s="1"/>
  <c r="B5" i="19" s="1"/>
  <c r="B16" i="13"/>
  <c r="G18" i="13"/>
  <c r="I18" i="13"/>
  <c r="D18" i="13" s="1"/>
  <c r="H18" i="13"/>
  <c r="C18" i="13" s="1"/>
  <c r="I12" i="13"/>
  <c r="D12" i="13" s="1"/>
  <c r="H12" i="13"/>
  <c r="C12" i="13" s="1"/>
  <c r="G12" i="13"/>
  <c r="I11" i="13"/>
  <c r="D11" i="13" s="1"/>
  <c r="H11" i="13"/>
  <c r="C11" i="13" s="1"/>
  <c r="G11" i="13"/>
  <c r="O18" i="13" a="1"/>
  <c r="O18" i="13" s="1"/>
  <c r="O12" i="13" a="1"/>
  <c r="O12" i="13" s="1"/>
  <c r="C4" i="14"/>
  <c r="P13" i="2"/>
  <c r="C5" i="14"/>
  <c r="C3" i="14"/>
  <c r="C6" i="14"/>
  <c r="F13" i="13" a="1"/>
  <c r="F13" i="13" s="1"/>
  <c r="F19" i="13" a="1"/>
  <c r="F19" i="13" s="1"/>
  <c r="C168" i="11" l="1"/>
  <c r="B176" i="11"/>
  <c r="C165" i="11"/>
  <c r="B173" i="11"/>
  <c r="C166" i="11"/>
  <c r="B174" i="11"/>
  <c r="C163" i="11"/>
  <c r="B171" i="11"/>
  <c r="C167" i="11"/>
  <c r="B175" i="11"/>
  <c r="C162" i="11"/>
  <c r="B170" i="11"/>
  <c r="C164" i="11"/>
  <c r="B172" i="11"/>
  <c r="B169" i="11"/>
  <c r="C161" i="11"/>
  <c r="B12" i="13"/>
  <c r="B7" i="14" s="1"/>
  <c r="B7" i="19" s="1"/>
  <c r="B18" i="13"/>
  <c r="B11" i="13"/>
  <c r="B6" i="14" s="1"/>
  <c r="B6" i="19" s="1"/>
  <c r="H19" i="13"/>
  <c r="C19" i="13" s="1"/>
  <c r="G19" i="13"/>
  <c r="I19" i="13"/>
  <c r="D19" i="13" s="1"/>
  <c r="I13" i="13"/>
  <c r="D13" i="13" s="1"/>
  <c r="H13" i="13"/>
  <c r="C13" i="13" s="1"/>
  <c r="G13" i="13"/>
  <c r="C7" i="14"/>
  <c r="F20" i="13" a="1"/>
  <c r="F20" i="13" s="1"/>
  <c r="O13" i="13" a="1"/>
  <c r="O13" i="13" s="1"/>
  <c r="O19" i="13" a="1"/>
  <c r="O19" i="13" s="1"/>
  <c r="C14" i="14" s="1"/>
  <c r="C170" i="11" l="1"/>
  <c r="B178" i="11"/>
  <c r="C178" i="11" s="1"/>
  <c r="C171" i="11"/>
  <c r="B179" i="11"/>
  <c r="C179" i="11" s="1"/>
  <c r="C174" i="11"/>
  <c r="B182" i="11"/>
  <c r="C182" i="11" s="1"/>
  <c r="C173" i="11"/>
  <c r="B181" i="11"/>
  <c r="C181" i="11" s="1"/>
  <c r="C175" i="11"/>
  <c r="B183" i="11"/>
  <c r="C183" i="11" s="1"/>
  <c r="C169" i="11"/>
  <c r="B177" i="11"/>
  <c r="C177" i="11" s="1"/>
  <c r="C172" i="11"/>
  <c r="B180" i="11"/>
  <c r="C180" i="11" s="1"/>
  <c r="C176" i="11"/>
  <c r="B184" i="11"/>
  <c r="C184" i="11" s="1"/>
  <c r="H42" i="10"/>
  <c r="B13" i="14"/>
  <c r="B12" i="19" s="1"/>
  <c r="B11" i="14"/>
  <c r="C4" i="20" s="1"/>
  <c r="B9" i="14"/>
  <c r="B9" i="19" s="1"/>
  <c r="B10" i="14"/>
  <c r="B10" i="19" s="1"/>
  <c r="B19" i="13"/>
  <c r="B13" i="13"/>
  <c r="O20" i="13" a="1"/>
  <c r="O20" i="13" s="1"/>
  <c r="B16" i="14" s="1"/>
  <c r="I20" i="13"/>
  <c r="D20" i="13" s="1"/>
  <c r="H20" i="13"/>
  <c r="C20" i="13" s="1"/>
  <c r="G20" i="13"/>
  <c r="C11" i="14"/>
  <c r="C13" i="14"/>
  <c r="C9" i="14"/>
  <c r="C12" i="14"/>
  <c r="C8" i="14"/>
  <c r="C10" i="14"/>
  <c r="H23" i="10" l="1"/>
  <c r="H24" i="10"/>
  <c r="H49" i="10"/>
  <c r="H50" i="10"/>
  <c r="H53" i="10"/>
  <c r="H48" i="10"/>
  <c r="H52" i="10"/>
  <c r="H44" i="10"/>
  <c r="H56" i="10"/>
  <c r="H57" i="10"/>
  <c r="H47" i="10"/>
  <c r="H55" i="10"/>
  <c r="H43" i="10"/>
  <c r="H45" i="10"/>
  <c r="H25" i="10"/>
  <c r="H58" i="10"/>
  <c r="H46" i="10"/>
  <c r="H54" i="10"/>
  <c r="H51" i="10"/>
  <c r="B21" i="14"/>
  <c r="C7" i="20" s="1"/>
  <c r="C22" i="14"/>
  <c r="B25" i="14"/>
  <c r="B24" i="19" s="1"/>
  <c r="B27" i="14"/>
  <c r="C12" i="20" s="1"/>
  <c r="C24" i="14"/>
  <c r="C25" i="14"/>
  <c r="C23" i="14"/>
  <c r="C27" i="14"/>
  <c r="B22" i="14"/>
  <c r="B21" i="19" s="1"/>
  <c r="B29" i="14"/>
  <c r="B27" i="19" s="1"/>
  <c r="B23" i="14"/>
  <c r="C8" i="20" s="1"/>
  <c r="C32" i="14"/>
  <c r="B19" i="14"/>
  <c r="C9" i="20" s="1"/>
  <c r="B17" i="14"/>
  <c r="B16" i="19" s="1"/>
  <c r="B24" i="14"/>
  <c r="B22" i="19" s="1"/>
  <c r="B30" i="14"/>
  <c r="C15" i="20" s="1"/>
  <c r="B18" i="14"/>
  <c r="B17" i="19" s="1"/>
  <c r="B14" i="14"/>
  <c r="B13" i="19" s="1"/>
  <c r="B12" i="14"/>
  <c r="B11" i="19" s="1"/>
  <c r="B32" i="14"/>
  <c r="B31" i="19" s="1"/>
  <c r="B28" i="14"/>
  <c r="C13" i="20" s="1"/>
  <c r="B20" i="14"/>
  <c r="B31" i="14"/>
  <c r="B30" i="19" s="1"/>
  <c r="R30" i="19" s="1"/>
  <c r="B26" i="14"/>
  <c r="B20" i="13"/>
  <c r="C29" i="14"/>
  <c r="C19" i="14"/>
  <c r="C15" i="14"/>
  <c r="C26" i="14"/>
  <c r="C16" i="14"/>
  <c r="C21" i="14"/>
  <c r="C28" i="14"/>
  <c r="C30" i="14"/>
  <c r="C20" i="14"/>
  <c r="C18" i="14"/>
  <c r="C17" i="14"/>
  <c r="C31" i="14"/>
  <c r="C16" i="20"/>
  <c r="B14" i="19"/>
  <c r="B15" i="19"/>
  <c r="B20" i="19" l="1"/>
  <c r="B19" i="19"/>
  <c r="C11" i="20"/>
  <c r="B23" i="19"/>
  <c r="C5" i="20"/>
  <c r="B15" i="14"/>
  <c r="C6" i="20" s="1"/>
  <c r="B8" i="14"/>
  <c r="C10" i="20"/>
  <c r="C14" i="20"/>
  <c r="B25" i="19"/>
  <c r="B26" i="19"/>
  <c r="B29" i="19"/>
  <c r="B28" i="19"/>
  <c r="B18" i="19"/>
  <c r="B8" i="19" l="1"/>
  <c r="C3" i="20"/>
  <c r="R18" i="19" s="1"/>
  <c r="R19" i="19" l="1"/>
  <c r="Q26" i="19"/>
  <c r="Q19" i="19"/>
  <c r="Q29" i="19"/>
  <c r="R21" i="19"/>
  <c r="R31" i="19"/>
  <c r="R27" i="19"/>
  <c r="R24" i="19"/>
  <c r="R22" i="19"/>
  <c r="R25" i="19"/>
  <c r="R23" i="19"/>
  <c r="R26" i="19"/>
  <c r="R28" i="19"/>
  <c r="R29" i="19"/>
  <c r="R5" i="19"/>
  <c r="R3" i="19"/>
  <c r="R4" i="19"/>
  <c r="R6" i="19"/>
  <c r="R7" i="19"/>
  <c r="R10" i="19"/>
  <c r="R12" i="19"/>
  <c r="R9" i="19"/>
  <c r="R11" i="19"/>
  <c r="R17" i="19"/>
  <c r="R15" i="19"/>
  <c r="R13" i="19"/>
  <c r="R14" i="19"/>
  <c r="R16" i="19"/>
  <c r="R20" i="19"/>
  <c r="R8" i="19"/>
  <c r="Q8" i="19"/>
  <c r="Q4" i="19"/>
  <c r="Q6" i="19"/>
  <c r="Q7" i="19"/>
  <c r="Q3" i="19"/>
  <c r="Q5" i="19"/>
  <c r="Q10" i="19"/>
  <c r="Q9" i="19"/>
  <c r="Q12" i="19"/>
  <c r="Q21" i="19"/>
  <c r="Q11" i="19"/>
  <c r="Q13" i="19"/>
  <c r="Q31" i="19"/>
  <c r="Q17" i="19"/>
  <c r="Q15" i="19"/>
  <c r="Q24" i="19"/>
  <c r="Q27" i="19"/>
  <c r="Q16" i="19"/>
  <c r="Q22" i="19"/>
  <c r="Q20" i="19"/>
  <c r="Q14" i="19"/>
  <c r="Q30" i="19"/>
  <c r="Q23" i="19"/>
  <c r="Q25" i="19"/>
  <c r="Q18" i="19"/>
  <c r="Q28" i="19"/>
  <c r="S19" i="19" l="1"/>
  <c r="U19" i="19" s="1"/>
  <c r="S15" i="19"/>
  <c r="U15" i="19" s="1"/>
  <c r="S17" i="19"/>
  <c r="U17" i="19" s="1"/>
  <c r="S11" i="19"/>
  <c r="U11" i="19" s="1"/>
  <c r="S9" i="19"/>
  <c r="U9" i="19" s="1"/>
  <c r="S12" i="19"/>
  <c r="U12" i="19" s="1"/>
  <c r="S10" i="19"/>
  <c r="U10" i="19" s="1"/>
  <c r="S7" i="19"/>
  <c r="U7" i="19" s="1"/>
  <c r="S8" i="19"/>
  <c r="U8" i="19" s="1"/>
  <c r="S6" i="19"/>
  <c r="U6" i="19" s="1"/>
  <c r="S20" i="19"/>
  <c r="U20" i="19" s="1"/>
  <c r="S4" i="19"/>
  <c r="U4" i="19" s="1"/>
  <c r="S16" i="19"/>
  <c r="U16" i="19" s="1"/>
  <c r="S3" i="19"/>
  <c r="U3" i="19" s="1"/>
  <c r="S31" i="19"/>
  <c r="U31" i="19" s="1"/>
  <c r="S30" i="19"/>
  <c r="U30" i="19" s="1"/>
  <c r="S21" i="19"/>
  <c r="U21" i="19" s="1"/>
  <c r="S22" i="19"/>
  <c r="U22" i="19" s="1"/>
  <c r="S23" i="19"/>
  <c r="U23" i="19" s="1"/>
  <c r="S25" i="19"/>
  <c r="U25" i="19" s="1"/>
  <c r="S26" i="19"/>
  <c r="U26" i="19" s="1"/>
  <c r="S27" i="19"/>
  <c r="U27" i="19" s="1"/>
  <c r="S28" i="19"/>
  <c r="U28" i="19" s="1"/>
  <c r="S29" i="19"/>
  <c r="U29" i="19" s="1"/>
  <c r="S24" i="19"/>
  <c r="U24" i="19" s="1"/>
  <c r="S14" i="19"/>
  <c r="U14" i="19" s="1"/>
  <c r="S5" i="19"/>
  <c r="U5" i="19" s="1"/>
  <c r="S13" i="19"/>
  <c r="U13" i="19" s="1"/>
  <c r="S18" i="19"/>
  <c r="U18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3028EB66-3708-4CDA-AF9D-2CA955CE285F}">
      <text>
        <r>
          <rPr>
            <b/>
            <sz val="9"/>
            <color indexed="81"/>
            <rFont val="Tahoma"/>
            <family val="2"/>
          </rPr>
          <t>Kim_Dongju: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나중에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바꿔야함</t>
        </r>
        <r>
          <rPr>
            <sz val="9"/>
            <color indexed="81"/>
            <rFont val="Tahoma"/>
            <family val="2"/>
          </rPr>
          <t xml:space="preserve">.
- </t>
        </r>
        <r>
          <rPr>
            <sz val="9"/>
            <color indexed="81"/>
            <rFont val="돋움"/>
            <family val="3"/>
            <charset val="129"/>
          </rPr>
          <t>투사체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메커닉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밸런싱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거꾸로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<sst xmlns="http://schemas.openxmlformats.org/spreadsheetml/2006/main" count="1861" uniqueCount="904">
  <si>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</si>
  <si>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</si>
  <si>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</si>
  <si>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</si>
  <si>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</si>
  <si>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</si>
  <si>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</si>
  <si>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</si>
  <si>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</si>
  <si>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행동하지 않을 때 시간이 멈춤.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</si>
  <si>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</si>
  <si>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</si>
  <si>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</si>
  <si>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</si>
  <si>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</si>
  <si>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</si>
  <si>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</si>
  <si>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</si>
  <si>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icon/item/coin.png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</si>
  <si>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</si>
  <si>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</si>
  <si>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</si>
  <si>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</si>
  <si>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</si>
  <si>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</si>
  <si>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</si>
  <si>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</si>
  <si>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</si>
  <si>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</si>
  <si>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Fly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</si>
  <si>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</si>
  <si>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</si>
  <si>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</si>
  <si>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</si>
  <si>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</si>
  <si>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</si>
  <si>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</si>
  <si>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</si>
  <si>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</si>
  <si>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</si>
  <si>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</si>
  <si>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</si>
  <si>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</si>
  <si>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</si>
  <si>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</si>
  <si>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</si>
  <si>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</si>
  <si>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</si>
  <si>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</si>
  <si>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</si>
  <si>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</si>
  <si>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</si>
  <si>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</si>
  <si>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</si>
  <si>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</si>
  <si>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</si>
  <si>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</si>
  <si>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</si>
  <si>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</si>
  <si>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</si>
  <si>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</si>
  <si>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</si>
  <si>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</si>
  <si>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</si>
  <si>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</si>
  <si>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</si>
  <si>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</si>
  <si>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</si>
  <si>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</si>
  <si>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</si>
  <si>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</si>
  <si>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</si>
  <si>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</si>
  <si>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</si>
  <si>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</si>
  <si>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</si>
  <si>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</si>
  <si>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</si>
  <si>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</si>
  <si>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</si>
  <si>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</si>
  <si>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</si>
  <si>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</si>
  <si>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</si>
  <si>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</si>
  <si>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</si>
  <si>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</si>
  <si>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</si>
  <si>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</si>
  <si>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</si>
  <si>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</si>
  <si>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</si>
  <si>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</si>
  <si>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</si>
  <si>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</si>
  <si>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</si>
  <si>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</si>
  <si>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</si>
  <si>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</si>
  <si>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</si>
  <si>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</si>
  <si>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</si>
  <si>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</si>
  <si>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</si>
  <si>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</si>
  <si>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</si>
  <si>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</si>
  <si>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</si>
  <si>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</si>
  <si>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</si>
  <si>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</si>
  <si>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</si>
  <si>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</si>
  <si>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</si>
  <si>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</si>
  <si>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ChargeAtkPierce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</si>
  <si>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</si>
  <si>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</si>
  <si>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</si>
  <si>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</si>
  <si>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</si>
  <si>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</si>
  <si>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</si>
  <si>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</si>
  <si>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</si>
  <si>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</si>
  <si>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</si>
  <si>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</si>
  <si>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</si>
  <si>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</si>
  <si>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</si>
  <si>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</si>
  <si>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</si>
  <si>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</si>
  <si>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</si>
  <si>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</si>
  <si>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</si>
  <si>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</si>
  <si>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</si>
  <si>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</si>
  <si>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</si>
  <si>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</si>
  <si>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가장 가까운 적을 추격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</si>
  <si>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</si>
  <si>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</si>
  <si>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</si>
  <si>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</si>
  <si>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</si>
  <si>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</si>
  <si>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</si>
  <si>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</si>
  <si>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</si>
  <si>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</si>
  <si>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</si>
  <si>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</si>
  <si>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</si>
  <si>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차징에 따른 관통샷 변경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</si>
  <si>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</si>
  <si>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</si>
  <si>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</si>
  <si>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</si>
  <si>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</si>
  <si>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</si>
  <si>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</si>
  <si>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</si>
  <si>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</si>
  <si>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BlackHole</t>
  </si>
  <si>
    <t>GoldGain</t>
  </si>
  <si>
    <t>TimeStop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</si>
  <si>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</si>
  <si>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</si>
  <si>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</si>
  <si>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</si>
  <si>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</si>
  <si>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</si>
  <si>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</si>
  <si>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</si>
  <si>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</si>
  <si>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</si>
  <si>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</si>
  <si>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</si>
  <si>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</si>
  <si>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</si>
  <si>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</si>
  <si>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</si>
  <si>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</si>
  <si>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</si>
  <si>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</si>
  <si>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</si>
  <si>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</si>
  <si>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</si>
  <si>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</si>
  <si>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</si>
  <si>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</si>
  <si>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</si>
  <si>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</si>
  <si>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</si>
  <si>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</si>
  <si>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</si>
  <si>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</si>
  <si>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</si>
  <si>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</si>
  <si>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</si>
  <si>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</si>
  <si>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</si>
  <si>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</si>
  <si>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</si>
  <si>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</si>
  <si>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</si>
  <si>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</si>
  <si>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</si>
  <si>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</si>
  <si>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</si>
  <si>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</si>
  <si>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</si>
  <si>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</si>
  <si>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</si>
  <si>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</si>
  <si>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</si>
  <si>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</si>
  <si>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</si>
  <si>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</si>
  <si>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</si>
  <si>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</si>
  <si>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</si>
  <si>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</si>
  <si>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</si>
  <si>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성배 속 무언가</t>
  </si>
  <si>
    <t>보스1 - 듀라한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</si>
  <si>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</si>
  <si>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</si>
  <si>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</si>
  <si>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</si>
  <si>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</si>
  <si>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</si>
  <si>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</si>
  <si>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</si>
  <si>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</si>
  <si>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</si>
  <si>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</si>
  <si>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</si>
  <si>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대인 지뢰</t>
    <phoneticPr fontId="6" type="noConversion"/>
  </si>
  <si>
    <t>자아를 가진 저금통입니다.\n숨겨진 돈을 잘 찾아내는 듯 합니다.\n잠깐, 제 지갑의 돈이 사라진 것 같습니다.</t>
    <phoneticPr fontId="6" type="noConversion"/>
  </si>
  <si>
    <t>낡은 추억들이 느껴집니다.\n3년 전 이 사람은...\n잠깐, 우리가 이걸봐도 괜찮은걸까요?</t>
    <phoneticPr fontId="6" type="noConversion"/>
  </si>
  <si>
    <t>종교적인 용도로 보이는 컵입니다.\n잠깐, 방금 조금 움직인 것 같은데요?</t>
    <phoneticPr fontId="6" type="noConversion"/>
  </si>
  <si>
    <t>바싹 구워도 여전히 미끌거립니다.\n시각적 거부감을 이겨내고 한입\n베어물면 무엇이든 반대로 하고 싶어집니다.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</si>
  <si>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</si>
  <si>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</si>
  <si>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태초부터 시작되더라도 절망하지 않습니다.\n'자 이제 시작이야'</t>
    <phoneticPr fontId="6" type="noConversion"/>
  </si>
  <si>
    <t>1. 태양의 방향으로 기립.\n2. 팔을 벌려 Y자로 선다.\n3. 태양을 바라보며 외친다.</t>
    <phoneticPr fontId="6" type="noConversion"/>
  </si>
  <si>
    <t>고대에 멸종된 것으로 보이는 유물 입니다. 많은 시간이 지났지만 튼튼하고 고통스럽습니다.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</si>
  <si>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</si>
  <si>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</si>
  <si>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</si>
  <si>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</si>
  <si>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</si>
  <si>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</si>
  <si>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</si>
  <si>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</si>
  <si>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</si>
  <si>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</si>
  <si>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</si>
  <si>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</si>
  <si>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</si>
  <si>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</si>
  <si>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</si>
  <si>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</si>
  <si>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</si>
  <si>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</si>
  <si>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</si>
  <si>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</si>
  <si>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</si>
  <si>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</si>
  <si>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</si>
  <si>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</si>
  <si>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</si>
  <si>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</si>
  <si>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</si>
  <si>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</si>
  <si>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</si>
  <si>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</si>
  <si>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</si>
  <si>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</si>
  <si>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</si>
  <si>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</si>
  <si>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</si>
  <si>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</si>
  <si>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</si>
  <si>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</si>
  <si>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</si>
  <si>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</si>
  <si>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</si>
  <si>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</si>
  <si>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</si>
  <si>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</si>
  <si>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</si>
  <si>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</si>
  <si>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</si>
  <si>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</si>
  <si>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</si>
  <si>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</si>
  <si>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</si>
  <si>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</si>
  <si>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</si>
  <si>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</si>
  <si>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</si>
  <si>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</si>
  <si>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</si>
  <si>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</si>
  <si>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</si>
  <si>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</si>
  <si>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</si>
  <si>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</si>
  <si>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</si>
  <si>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</si>
  <si>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</si>
  <si>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</si>
  <si>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</si>
  <si>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</si>
  <si>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</si>
  <si>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</si>
  <si>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</si>
  <si>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</si>
  <si>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</si>
  <si>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</si>
  <si>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</si>
  <si>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</si>
  <si>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</si>
  <si>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</si>
  <si>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</si>
  <si>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</si>
  <si>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</si>
  <si>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</si>
  <si>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</si>
  <si>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</si>
  <si>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</si>
  <si>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</si>
  <si>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</si>
  <si>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</si>
  <si>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</si>
  <si>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</si>
  <si>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</si>
  <si>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</si>
  <si>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</si>
  <si>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</si>
  <si>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</si>
  <si>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</si>
  <si>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</si>
  <si>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</si>
  <si>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</si>
  <si>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</si>
  <si>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</si>
  <si>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</si>
  <si>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</si>
  <si>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</si>
  <si>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</si>
  <si>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</si>
  <si>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</si>
  <si>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</si>
  <si>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</si>
  <si>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</si>
  <si>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</si>
  <si>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</si>
  <si>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</si>
  <si>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</si>
  <si>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</si>
  <si>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</si>
  <si>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</si>
  <si>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</si>
  <si>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</si>
  <si>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시간 배율</t>
    <phoneticPr fontId="12" type="noConversion"/>
  </si>
  <si>
    <t>인피니티 도넛</t>
    <phoneticPr fontId="6" type="noConversion"/>
  </si>
  <si>
    <t>기절한 적에게 순간이동하며 공격합니다.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</si>
  <si>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</si>
  <si>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</si>
  <si>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</si>
  <si>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</si>
  <si>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</si>
  <si>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</si>
  <si>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</si>
  <si>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</si>
  <si>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</si>
  <si>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</si>
  <si>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</si>
  <si>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골드획득량 +50%</t>
    <phoneticPr fontId="6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</si>
  <si>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</si>
  <si>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</si>
  <si>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</si>
  <si>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</si>
  <si>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</si>
  <si>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</si>
  <si>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</si>
  <si>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</si>
  <si>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OnParry</t>
    <phoneticPr fontId="6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</si>
  <si>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</si>
  <si>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</si>
  <si>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</si>
  <si>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</si>
  <si>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도넛에 구멍은 몇 개일까요? 적어도\n이 도넛은 무한한 구멍을 가졌습니다.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</si>
  <si>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</si>
  <si>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</si>
  <si>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</si>
  <si>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</si>
  <si>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</si>
  <si>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</si>
  <si>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</si>
  <si>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</si>
  <si>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</si>
  <si>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</si>
  <si>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</si>
  <si>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</si>
  <si>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</si>
  <si>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</si>
  <si>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</si>
  <si>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</si>
  <si>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차징 타격 시 5초간\n공격력 +20%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</si>
  <si>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</si>
  <si>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</si>
  <si>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</si>
  <si>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</si>
  <si>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</si>
  <si>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</si>
  <si>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</si>
  <si>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</si>
  <si>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일반 공격이\n차징 공격이 됩니다.</t>
    <phoneticPr fontId="6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</si>
  <si>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</si>
  <si>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</si>
  <si>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</si>
  <si>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</si>
  <si>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</si>
  <si>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</si>
  <si>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</si>
  <si>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</si>
  <si>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</si>
  <si>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</si>
  <si>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</si>
  <si>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</si>
  <si>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</si>
  <si>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</si>
  <si>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</si>
  <si>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</si>
  <si>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</si>
  <si>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</si>
  <si>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</si>
  <si>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</si>
  <si>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</si>
  <si>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</si>
  <si>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</si>
  <si>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</si>
  <si>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</si>
  <si>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</si>
  <si>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</si>
  <si>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</si>
  <si>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기절한 적을 공격할 때\n4초간 공격력 +30%</t>
    <phoneticPr fontId="6" type="noConversion"/>
  </si>
  <si>
    <t>공격 시 33%확률로 공 3개 발사</t>
    <phoneticPr fontId="6" type="noConversion"/>
  </si>
  <si>
    <t>회피 캣 아이템 효과</t>
    <phoneticPr fontId="6" type="noConversion"/>
  </si>
  <si>
    <t>회피 캣</t>
    <phoneticPr fontId="6" type="noConversion"/>
  </si>
  <si>
    <t>피격 시 공 8개 발사</t>
    <phoneticPr fontId="6" type="noConversion"/>
  </si>
  <si>
    <t>MovementSpd</t>
    <phoneticPr fontId="12" type="noConversion"/>
  </si>
  <si>
    <t>회피쿨타임 +50%</t>
    <phoneticPr fontId="6" type="noConversion"/>
  </si>
  <si>
    <t>어른의 카드</t>
    <phoneticPr fontId="6" type="noConversion"/>
  </si>
  <si>
    <t>그 리스크는 어렴풋하게는 이해하고 있습니다.\n사용할수록, 깎여나갑니다. 당신의 삶이, 시간이.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</si>
  <si>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</si>
  <si>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2023-09-24 변경사항이 존재하는 것들은 빨간색으로 표기함.</t>
    <phoneticPr fontId="6" type="noConversion"/>
  </si>
  <si>
    <t>엑스칼리배트</t>
    <phoneticPr fontId="6" type="noConversion"/>
  </si>
  <si>
    <t>약속된 홈런의 배트!</t>
  </si>
  <si>
    <t>조준 방향으로 강력한 빔을 발사합니다.</t>
    <phoneticPr fontId="6" type="noConversion"/>
  </si>
  <si>
    <t>SplashRectangle</t>
    <phoneticPr fontId="12" type="noConversion"/>
  </si>
  <si>
    <t>피해량</t>
    <phoneticPr fontId="12" type="noConversion"/>
  </si>
  <si>
    <t>폭</t>
    <phoneticPr fontId="12" type="noConversion"/>
  </si>
  <si>
    <t>길이</t>
    <phoneticPr fontId="12" type="noConversion"/>
  </si>
  <si>
    <t>#10004</t>
    <phoneticPr fontId="6" type="noConversion"/>
  </si>
  <si>
    <t>OnDamage</t>
    <phoneticPr fontId="6" type="noConversion"/>
  </si>
  <si>
    <t>#10004</t>
    <phoneticPr fontId="12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</si>
  <si>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</si>
  <si>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</si>
  <si>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</si>
  <si>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</si>
  <si>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</si>
  <si>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icon/item/Passive_Item/item_04.png</t>
    <phoneticPr fontId="6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</si>
  <si>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</si>
  <si>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</si>
  <si>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</si>
  <si>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</si>
  <si>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</si>
  <si>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icon/item/Passive_Item/item_12.png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</si>
  <si>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</si>
  <si>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</si>
  <si>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icon/item/Passive_Item/item_16.png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</si>
  <si>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</si>
  <si>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</si>
  <si>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</si>
  <si>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</si>
  <si>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icon/item/Passive_Item/item_14.png</t>
    <phoneticPr fontId="6" type="noConversion"/>
  </si>
  <si>
    <t>icon/item/Passive_Item/item_01.png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</si>
  <si>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</si>
  <si>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</si>
  <si>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</si>
  <si>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</si>
  <si>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</si>
  <si>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icon/item/Passive_Item/item_20.png</t>
    <phoneticPr fontId="6" type="noConversion"/>
  </si>
  <si>
    <t>icon/item/Passive_Item/item_19.png</t>
    <phoneticPr fontId="6" type="noConversion"/>
  </si>
  <si>
    <t>icon/item/Active_item/A_item_07.png</t>
    <phoneticPr fontId="6" type="noConversion"/>
  </si>
  <si>
    <t>Prefabs/Enemy/Enemy_Dullahan.prefab</t>
    <phoneticPr fontId="6" type="noConversion"/>
  </si>
  <si>
    <t>이동속도 -5%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</si>
  <si>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</si>
  <si>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</si>
  <si>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</si>
  <si>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주변 투사체를 흡수하여 발사합니다.\n(쿨타임 10초)</t>
    <phoneticPr fontId="6" type="noConversion"/>
  </si>
  <si>
    <t>사이버웨어</t>
    <phoneticPr fontId="6" type="noConversion"/>
  </si>
  <si>
    <t>기초적인 임플란트입니다.\/마구 사용하다간 사이버 미치광이가 될 수 있습니다.</t>
    <phoneticPr fontId="6" type="noConversion"/>
  </si>
  <si>
    <t>6초간 주변 시간이 느려집니다.\n(쿨타임 12초)</t>
    <phoneticPr fontId="6" type="noConversion"/>
  </si>
  <si>
    <t>Metal Unicorn Keyring</t>
  </si>
  <si>
    <t>a champion hat</t>
  </si>
  <si>
    <t>Cool - Dog</t>
  </si>
  <si>
    <t>QT powder</t>
  </si>
  <si>
    <t>Devil Bull</t>
  </si>
  <si>
    <t>strange candy</t>
  </si>
  <si>
    <t>a bucket of cocoa</t>
  </si>
  <si>
    <t>Sad Canrio</t>
  </si>
  <si>
    <t>someone's diary</t>
  </si>
  <si>
    <t>Infinity doughnut</t>
  </si>
  <si>
    <t>Cyberware</t>
  </si>
  <si>
    <t>a missile backpack</t>
  </si>
  <si>
    <t>Excalibat</t>
  </si>
  <si>
    <t>#번역본</t>
    <phoneticPr fontId="6" type="noConversion"/>
  </si>
  <si>
    <t>#카멜</t>
    <phoneticPr fontId="6" type="noConversion"/>
  </si>
  <si>
    <t>Red Hobbyhorse</t>
  </si>
  <si>
    <t>Red Hobbyhorse</t>
    <phoneticPr fontId="6" type="noConversion"/>
  </si>
  <si>
    <t>Rice_Ball</t>
    <phoneticPr fontId="6" type="noConversion"/>
  </si>
  <si>
    <t>The Boobytrap</t>
  </si>
  <si>
    <t>The Boobytrap</t>
    <phoneticPr fontId="6" type="noConversion"/>
  </si>
  <si>
    <t>Stone Mask</t>
  </si>
  <si>
    <t>Stone Mask</t>
    <phoneticPr fontId="6" type="noConversion"/>
  </si>
  <si>
    <t>a fierce piggy bank</t>
    <phoneticPr fontId="6" type="noConversion"/>
  </si>
  <si>
    <t>Something in the Holy Grail</t>
    <phoneticPr fontId="6" type="noConversion"/>
  </si>
  <si>
    <t>Kerberos pitcher</t>
    <phoneticPr fontId="6" type="noConversion"/>
  </si>
  <si>
    <t>Praise the sun</t>
    <phoneticPr fontId="6" type="noConversion"/>
  </si>
  <si>
    <t>Dodge cat</t>
    <phoneticPr fontId="6" type="noConversion"/>
  </si>
  <si>
    <t>ultra-small black hole</t>
    <phoneticPr fontId="6" type="noConversion"/>
  </si>
  <si>
    <t>Ruyi Jingu Bat</t>
    <phoneticPr fontId="6" type="noConversion"/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</si>
  <si>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</si>
  <si>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</si>
  <si>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</si>
  <si>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</si>
  <si>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</si>
  <si>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</si>
  <si>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</si>
  <si>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</si>
  <si>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</si>
  <si>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</si>
  <si>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</si>
  <si>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</si>
  <si>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</si>
  <si>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</si>
  <si>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</si>
  <si>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</si>
  <si>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</si>
  <si>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</si>
  <si>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</si>
  <si>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</si>
  <si>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</si>
  <si>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</si>
  <si>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</si>
  <si>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</si>
  <si>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</si>
  <si>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</si>
  <si>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</si>
  <si>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</si>
  <si>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</si>
  <si>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</si>
  <si>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</si>
  <si>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</si>
  <si>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</si>
  <si>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</si>
  <si>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</si>
  <si>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</si>
  <si>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</si>
  <si>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</si>
  <si>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</si>
  <si>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</si>
  <si>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</si>
  <si>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</si>
  <si>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</si>
  <si>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A Champion Hat</t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</si>
  <si>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</si>
  <si>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</si>
  <si>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</si>
  <si>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</si>
  <si>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</si>
  <si>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</si>
  <si>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</si>
  <si>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</si>
  <si>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</si>
  <si>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</si>
  <si>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</si>
  <si>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</si>
  <si>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t>Someone's Diary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</si>
  <si>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</si>
  <si>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#NameString</t>
    <phoneticPr fontId="6" type="noConversion"/>
  </si>
  <si>
    <t>#DescString</t>
    <phoneticPr fontId="6" type="noConversion"/>
  </si>
  <si>
    <t>#PlusDescString</t>
    <phoneticPr fontId="6" type="noConversion"/>
  </si>
  <si>
    <t>#MinusDescString</t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</si>
  <si>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</si>
  <si>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</si>
  <si>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</si>
  <si>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</si>
  <si>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It's a rare candy that only makes it into one out of every million bags.</t>
    <phoneticPr fontId="6" type="noConversion"/>
  </si>
  <si>
    <t>They are dogs who like balls. No, there's only one?</t>
  </si>
  <si>
    <t>It's a candle that keeps crying for some reason. I don't want to touch it.</t>
  </si>
  <si>
    <t>Grilled tree frog</t>
    <phoneticPr fontId="6" type="noConversion"/>
  </si>
  <si>
    <t>Grilled Tree frog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</si>
  <si>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</si>
  <si>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</si>
  <si>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 feel old memories.\n3 years ago, this guy...\nWait, is it okay if we look at this?</t>
  </si>
  <si>
    <t>The Adult Card</t>
    <phoneticPr fontId="6" type="noConversion"/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</si>
  <si>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</si>
  <si>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</si>
  <si>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</si>
  <si>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It's a hat where it all started. 'Gotta catch ém all'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</si>
  <si>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</si>
  <si>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</si>
  <si>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</si>
  <si>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</si>
  <si>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</si>
  <si>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</si>
  <si>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</si>
  <si>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Gold acquisition +50%</t>
  </si>
  <si>
    <t>33% chance to release 3 projectiles with each attack.</t>
  </si>
  <si>
    <t>Normal attacks become charged attacks.</t>
  </si>
  <si>
    <t>Attack Power +100%</t>
  </si>
  <si>
    <t>Attack Power +60%</t>
  </si>
  <si>
    <t>Teleports to stunned enemies and attacks.</t>
  </si>
  <si>
    <t>Fires a powerful beam in the aimed direction.</t>
  </si>
  <si>
    <t>Attack Speed -30%</t>
  </si>
  <si>
    <t>Attack direction becomes reversed.</t>
  </si>
  <si>
    <t>Movement Speed -5%</t>
  </si>
  <si>
    <t>Evasion cooldown +50%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</si>
  <si>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</si>
  <si>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</si>
  <si>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</si>
  <si>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</si>
  <si>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</si>
  <si>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</si>
  <si>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</si>
  <si>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</si>
  <si>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</si>
  <si>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</si>
  <si>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</si>
  <si>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</si>
  <si>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</si>
  <si>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</si>
  <si>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</si>
  <si>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</si>
  <si>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</si>
  <si>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</si>
  <si>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</si>
  <si>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</si>
  <si>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</si>
  <si>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</si>
  <si>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</si>
  <si>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</si>
  <si>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</si>
  <si>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</si>
  <si>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</si>
  <si>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</si>
  <si>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</si>
  <si>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</si>
  <si>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</si>
  <si>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</si>
  <si>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</si>
  <si>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</si>
  <si>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</si>
  <si>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</si>
  <si>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</si>
  <si>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</si>
  <si>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</si>
  <si>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</si>
  <si>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</si>
  <si>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</si>
  <si>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</si>
  <si>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</si>
  <si>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</si>
  <si>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</si>
  <si>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</si>
  <si>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</si>
  <si>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</si>
  <si>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</si>
  <si>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</si>
  <si>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</si>
  <si>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</si>
  <si>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</si>
  <si>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</si>
  <si>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</si>
  <si>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</si>
  <si>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</si>
  <si>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</si>
  <si>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</si>
  <si>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</si>
  <si>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</si>
  <si>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</si>
  <si>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</si>
  <si>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</si>
  <si>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</si>
  <si>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</si>
  <si>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</si>
  <si>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</si>
  <si>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</si>
  <si>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</si>
  <si>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잃은 체력 반칸당 공격력 +5%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</si>
  <si>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</si>
  <si>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</si>
  <si>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</si>
  <si>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</si>
  <si>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</si>
  <si>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</si>
  <si>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</si>
  <si>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</si>
  <si>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</si>
  <si>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</si>
  <si>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</si>
  <si>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</si>
  <si>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</si>
  <si>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</si>
  <si>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</si>
  <si>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</si>
  <si>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</si>
  <si>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</si>
  <si>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</si>
  <si>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</si>
  <si>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</si>
  <si>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</si>
  <si>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</si>
  <si>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</si>
  <si>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</si>
  <si>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</si>
  <si>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</si>
  <si>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</si>
  <si>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</si>
  <si>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</si>
  <si>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</si>
  <si>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</si>
  <si>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</si>
  <si>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</si>
  <si>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</si>
  <si>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</si>
  <si>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</si>
  <si>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</si>
  <si>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</si>
  <si>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</si>
  <si>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</si>
  <si>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</si>
  <si>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</si>
  <si>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</si>
  <si>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</si>
  <si>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</si>
  <si>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</si>
  <si>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</si>
  <si>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</si>
  <si>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</si>
  <si>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</si>
  <si>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</si>
  <si>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</si>
  <si>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</si>
  <si>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</si>
  <si>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</si>
  <si>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</si>
  <si>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</si>
  <si>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relic that's gone from ancient times.\nIt was an anti-personnel mine by the Danish army.</t>
    <phoneticPr fontId="6" type="noConversion"/>
  </si>
  <si>
    <t>You can see a sharp point inside the mask.\nProbably... It's not dangerous, is it?</t>
    <phoneticPr fontId="6" type="noConversion"/>
  </si>
  <si>
    <t>It's a piggy bank with an ego.\nIt smells like gold!</t>
    <phoneticPr fontId="6" type="noConversion"/>
  </si>
  <si>
    <t>Don't judge the taste by the appearance of the food.\nThis food contains an important message of treating all foods equally.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</si>
  <si>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</si>
  <si>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</si>
  <si>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</si>
  <si>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a powerful sweetness that will melt your whole body.\nBe careful not to get sticky!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</si>
  <si>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</si>
  <si>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</si>
  <si>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</si>
  <si>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</si>
  <si>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</si>
  <si>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</si>
  <si>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</si>
  <si>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</si>
  <si>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</si>
  <si>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</si>
  <si>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</si>
  <si>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</si>
  <si>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</si>
  <si>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</si>
  <si>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</si>
  <si>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</si>
  <si>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</si>
  <si>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</si>
  <si>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</si>
  <si>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</si>
  <si>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</si>
  <si>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</si>
  <si>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</si>
  <si>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</si>
  <si>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</si>
  <si>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</si>
  <si>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</si>
  <si>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</si>
  <si>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</si>
  <si>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</si>
  <si>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</si>
  <si>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</si>
  <si>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</si>
  <si>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</si>
  <si>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</si>
  <si>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</si>
  <si>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공격속도 +20%</t>
    <phoneticPr fontId="6" type="noConversion"/>
  </si>
  <si>
    <t>공격범위 +60%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</si>
  <si>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</si>
  <si>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</si>
  <si>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공격속도 -50%</t>
    <phoneticPr fontId="6" type="noConversion"/>
  </si>
  <si>
    <t>Attack Speed -50%</t>
    <phoneticPr fontId="6" type="noConversion"/>
  </si>
  <si>
    <t>Attack Speed +20%</t>
    <phoneticPr fontId="6" type="noConversion"/>
  </si>
  <si>
    <t>Charging Speed +15%</t>
    <phoneticPr fontId="6" type="noConversion"/>
  </si>
  <si>
    <t>Attack Range +30%</t>
    <phoneticPr fontId="6" type="noConversion"/>
  </si>
  <si>
    <t>Attack Range +60%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</si>
  <si>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</si>
  <si>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</si>
  <si>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</si>
  <si>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</si>
  <si>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</si>
  <si>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</si>
  <si>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</si>
  <si>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</si>
  <si>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</si>
  <si>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</si>
  <si>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</si>
  <si>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</si>
  <si>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Maximum Health - 2</t>
    <phoneticPr fontId="6" type="noConversion"/>
  </si>
  <si>
    <t>체력을 전부 회복합니다.\n최대체력 + 1칸</t>
    <phoneticPr fontId="6" type="noConversion"/>
  </si>
  <si>
    <t>Maximum Health +1</t>
    <phoneticPr fontId="6" type="noConversion"/>
  </si>
  <si>
    <t>Projectile collision count +3</t>
    <phoneticPr fontId="6" type="noConversion"/>
  </si>
  <si>
    <t>Restore all hp\nMaximum Health +1</t>
    <phoneticPr fontId="6" type="noConversion"/>
  </si>
  <si>
    <t>When attacking stunned enemies,\nhas a 10% chance to recover half of health.</t>
    <phoneticPr fontId="6" type="noConversion"/>
  </si>
  <si>
    <t>When attacking stunned enemies,\nincreases Attack Power by 30% for 4 seconds.</t>
    <phoneticPr fontId="6" type="noConversion"/>
  </si>
  <si>
    <t>When charged,\nincreases Attack Power by 20% for 5 seconds.</t>
    <phoneticPr fontId="6" type="noConversion"/>
  </si>
  <si>
    <t>Recommended for the forward-thinker in your life.\nPerfect for daily wear.</t>
    <phoneticPr fontId="6" type="noConversion"/>
  </si>
  <si>
    <t>Increases attack range by 100% for 10 seconds\n(Cooldown: 18 seconds).</t>
    <phoneticPr fontId="6" type="noConversion"/>
  </si>
  <si>
    <t>Dashes in the direction of the cursor\n(Cooldown: 8 seconds).</t>
    <phoneticPr fontId="6" type="noConversion"/>
  </si>
  <si>
    <t>Slows down time in the vicinity for 6 seconds\n(Cooldown: 12 seconds).</t>
    <phoneticPr fontId="6" type="noConversion"/>
  </si>
  <si>
    <t>Absorbs and shoots nearby projectiles\n(Cooldown: 10 seconds).</t>
    <phoneticPr fontId="6" type="noConversion"/>
  </si>
  <si>
    <t>For each hit, increases Attack Speed by 10% for 4 seconds\n(effects can stack).</t>
    <phoneticPr fontId="6" type="noConversion"/>
  </si>
  <si>
    <t>공격속도 -20%,\n공격 시 골드 -1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</si>
  <si>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</si>
  <si>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</si>
  <si>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Shoots 8 projectiles when getting hit.</t>
    <phoneticPr fontId="6" type="noConversion"/>
  </si>
  <si>
    <t>Attack Speed -20%,\nGold -1 when attack.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</si>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</sst>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7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85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18" fillId="8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20" fillId="0" borderId="0" xfId="0" applyFont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0" borderId="0" xfId="0" quotePrefix="1" applyFont="1" applyAlignment="1">
      <alignment vertical="center" wrapText="1"/>
    </xf>
    <xf numFmtId="0" fontId="19" fillId="7" borderId="0" xfId="0" applyFont="1" applyFill="1">
      <alignment vertical="center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3" borderId="0" xfId="0" applyFont="1" applyFill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22" fillId="9" borderId="0" xfId="0" applyFont="1" applyFill="1">
      <alignment vertical="center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0" fillId="7" borderId="0" xfId="0" applyNumberFormat="1" applyFill="1">
      <alignment vertical="center"/>
    </xf>
    <xf numFmtId="0" fontId="8" fillId="7" borderId="0" xfId="0" applyNumberFormat="1" applyFont="1" applyFill="1">
      <alignment vertical="center"/>
    </xf>
    <xf numFmtId="0" fontId="17" fillId="4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9" fontId="0" fillId="7" borderId="0" xfId="1" applyNumberFormat="1" applyFont="1" applyFill="1">
      <alignment vertical="center"/>
    </xf>
    <xf numFmtId="0" fontId="17" fillId="0" borderId="0" xfId="0" applyFont="1" applyFill="1" applyAlignment="1">
      <alignment vertical="center" wrapText="1"/>
    </xf>
    <xf numFmtId="0" fontId="1" fillId="7" borderId="0" xfId="0" applyNumberFormat="1" applyFont="1" applyFill="1">
      <alignment vertical="center"/>
    </xf>
  </cellXfs>
  <cellStyles count="2">
    <cellStyle name="백분율" xfId="1" builtinId="5"/>
    <cellStyle name="표준" xfId="0" builtinId="0"/>
  </cellStyles>
  <dxfs count="175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ont>
        <color auto="1"/>
        <family val="3"/>
        <charset val="129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  <family val="3"/>
        <charset val="129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74"/>
      <tableStyleElement type="headerRow" dxfId="173"/>
      <tableStyleElement type="totalRow" dxfId="172"/>
      <tableStyleElement type="firstColumn" dxfId="171"/>
      <tableStyleElement type="lastColumn" dxfId="170"/>
      <tableStyleElement type="firstRowStripe" dxfId="169"/>
      <tableStyleElement type="firstColumnStripe" dxfId="168"/>
    </tableStyle>
    <tableStyle name="Light Style 1 - Accent 1" table="0" count="7" xr9:uid="{00000000-0011-0000-FFFF-FFFF01000000}">
      <tableStyleElement type="wholeTable" dxfId="167"/>
      <tableStyleElement type="headerRow" dxfId="166"/>
      <tableStyleElement type="totalRow" dxfId="165"/>
      <tableStyleElement type="firstColumn" dxfId="164"/>
      <tableStyleElement type="lastColumn" dxfId="163"/>
      <tableStyleElement type="firstRowStripe" dxfId="162"/>
      <tableStyleElement type="firstColumnStripe" dxfId="161"/>
    </tableStyle>
    <tableStyle name="표 스타일 1" pivot="0" count="4" xr9:uid="{00000000-0011-0000-FFFF-FFFF02000000}">
      <tableStyleElement type="wholeTable" dxfId="160"/>
      <tableStyleElement type="headerRow" dxfId="159"/>
      <tableStyleElement type="firstRowStripe" dxfId="158"/>
      <tableStyleElement type="secondRowStripe" dxfId="157"/>
    </tableStyle>
  </tableStyles>
  <colors>
    <mruColors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56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55">
  <autoFilter ref="B12:G42" xr:uid="{00000000-0009-0000-0100-00000B000000}"/>
  <tableColumns count="6">
    <tableColumn id="11" xr3:uid="{00000000-0010-0000-0100-00000B000000}" name="층" dataDxfId="154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53"/>
    <tableColumn id="6" xr3:uid="{00000000-0010-0000-0100-000006000000}" name="평균획득골드" totalsRowFunction="average" dataDxfId="152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51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50" totalsRowDxfId="149"/>
    <tableColumn id="2" xr3:uid="{00000000-0010-0000-0300-000002000000}" name="개수" dataDxfId="148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47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46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4B3CAC3-26FC-3340-9458-142ED1020D76}" name="FloorEnemyHPInfo" displayName="FloorEnemyHPInfo" ref="J19:Q22" totalsRowShown="0">
  <autoFilter ref="J19:Q22" xr:uid="{64B3CAC3-26FC-3340-9458-142ED1020D76}"/>
  <tableColumns count="8">
    <tableColumn id="1" xr3:uid="{0CCF3704-A975-9042-9A54-291E86B97059}" name="층"/>
    <tableColumn id="2" xr3:uid="{35DB366D-3B5D-DF4F-8872-BF2AE887617F}" name="박쥐 평균 개수" dataDxfId="145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AC035B82-D962-6649-BA1C-AB0BE8BC4096}" name="박쥐 총 HP" dataDxfId="144">
      <calculatedColumnFormula>FloorEnemyHPInfo[[#This Row],[박쥐 평균 개수]]*INDEX(EnemyHPInfo[박쥐],MATCH(FloorEnemyHPInfo[[#This Row],[층]],EnemyHPInfo[층]))</calculatedColumnFormula>
    </tableColumn>
    <tableColumn id="4" xr3:uid="{F7032A03-5CAF-054D-9086-7D5BA7D97A4A}" name="일반 평균 개수" dataDxfId="143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5AA55800-B8EC-2042-92D6-EC6C7DFBB64F}" name="일반 총 HP" dataDxfId="142">
      <calculatedColumnFormula>FloorEnemyHPInfo[[#This Row],[일반 평균 개수]]*INDEX(EnemyHPInfo[일반],MATCH(FloorEnemyHPInfo[[#This Row],[층]],EnemyHPInfo[층]))</calculatedColumnFormula>
    </tableColumn>
    <tableColumn id="6" xr3:uid="{F3EF0ADA-02FA-9948-8E5F-07F774644C05}" name="정예 평균 개수" dataDxfId="141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436A325B-2B3D-8F4C-9A1B-04A60D1287E7}" name="정예 총 HP" dataDxfId="140">
      <calculatedColumnFormula>FloorEnemyHPInfo[[#This Row],[정예 평균 개수]]*INDEX(EnemyHPInfo[박쥐],MATCH(FloorEnemyHPInfo[[#This Row],[층]],EnemyHPInfo[층]))</calculatedColumnFormula>
    </tableColumn>
    <tableColumn id="8" xr3:uid="{5149A0C5-85A8-E140-B3B5-2A8889F4F101}" name="총합" dataDxfId="139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01D39DF-0CEA-EE46-A63D-99AF7D5C7A51}" name="EnemyHPInfo" displayName="EnemyHPInfo" ref="O6:R9" totalsRowShown="0">
  <autoFilter ref="O6:R9" xr:uid="{D01D39DF-0CEA-EE46-A63D-99AF7D5C7A51}"/>
  <tableColumns count="4">
    <tableColumn id="1" xr3:uid="{DE6CC482-C234-6C4E-AB37-77335787D0B9}" name="층"/>
    <tableColumn id="2" xr3:uid="{D30FB69F-FC89-3B46-911F-F0DF305D24E9}" name="박쥐"/>
    <tableColumn id="3" xr3:uid="{5C245E0F-A96A-BF43-B020-8BD1C7AA9F0D}" name="일반"/>
    <tableColumn id="4" xr3:uid="{66A5A191-ECB8-6845-A7B7-46A8BAA2C459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11:F40" totalsRowShown="0" headerRowDxfId="138" dataDxfId="137">
  <autoFilter ref="B11:F40" xr:uid="{00000000-0009-0000-0100-000008000000}"/>
  <tableColumns count="5">
    <tableColumn id="1" xr3:uid="{00000000-0010-0000-0400-000001000000}" name="스텟" dataDxfId="136"/>
    <tableColumn id="2" xr3:uid="{00000000-0010-0000-0400-000002000000}" name="참조 테이블" dataDxfId="135"/>
    <tableColumn id="3" xr3:uid="{00000000-0010-0000-0400-000003000000}" name="설명" dataDxfId="134"/>
    <tableColumn id="4" xr3:uid="{00000000-0010-0000-0400-000004000000}" name="Value 1당 가치" dataDxfId="133"/>
    <tableColumn id="5" xr3:uid="{E80FF9E0-4D51-4BB5-9D04-891CF4119D93}" name="OP계수" dataDxfId="132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N6:O7" totalsRowShown="0" headerRowDxfId="131">
  <autoFilter ref="N6:O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N14:O15" totalsRowShown="0" headerRowDxfId="130">
  <autoFilter ref="N14:O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H6:J9" totalsRowShown="0" headerRowDxfId="129">
  <autoFilter ref="H6:J9" xr:uid="{00000000-0009-0000-0100-00000F000000}"/>
  <tableColumns count="3">
    <tableColumn id="1" xr3:uid="{00000000-0010-0000-0700-000001000000}" name="층"/>
    <tableColumn id="9" xr3:uid="{00000000-0010-0000-0700-000009000000}" name="PC 최대 DPS" dataDxfId="128">
      <calculatedColumnFormula array="1">표27[최종 DPS]</calculatedColumnFormula>
    </tableColumn>
    <tableColumn id="10" xr3:uid="{00000000-0010-0000-0700-00000A000000}" name="예상 전투 시간" dataDxfId="127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N10:Q11" totalsRowShown="0" headerRowDxfId="126">
  <autoFilter ref="N10:Q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active" dataDxfId="125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A39BDA6-5227-4F3A-BB7B-457C71991C01}" name="표25" displayName="표25" ref="H12:L13" totalsRowShown="0" dataDxfId="124">
  <autoFilter ref="H12:L13" xr:uid="{1A39BDA6-5227-4F3A-BB7B-457C71991C01}"/>
  <tableColumns count="5">
    <tableColumn id="1" xr3:uid="{C2200712-B727-4558-990C-91912E8DE66E}" name="직접 공격 DPS" dataDxfId="123">
      <calculatedColumnFormula array="1">CharacterAtkTable[ChargeRigidDmg1]/CharacterAtkTable[SwingCooldown]</calculatedColumnFormula>
    </tableColumn>
    <tableColumn id="2" xr3:uid="{7A94433E-C49F-40C3-8DEB-869FEDCBFEBA}" name="직접 차징 DPS" dataDxfId="122">
      <calculatedColumnFormula array="1">CharacterAtkTable[ChargeRigidDmg2]/(CharacterAtkTable[SwingCooldown]+CharacterAtkTable[ChargeTime])</calculatedColumnFormula>
    </tableColumn>
    <tableColumn id="3" xr3:uid="{1E748811-1512-4C9D-B70A-118679081E1A}" name="차징 튕김 데미지 추가" dataDxfId="121">
      <calculatedColumnFormula array="1">CharacterAtkTable[ChargeShootSpd]*표26[튕김 기댓값]*표26[튕김 속도 데미지 감쇄]</calculatedColumnFormula>
    </tableColumn>
    <tableColumn id="4" xr3:uid="{69F6A0B8-41EE-4A6D-AC11-6561743E2068}" name="차징 공격 적 맞춤 데미지 추가" dataDxfId="120">
      <calculatedColumnFormula array="1">CharacterAtkTable[EnemyProjectileDmg]*표26[적에게 튕김 기댓값]</calculatedColumnFormula>
    </tableColumn>
    <tableColumn id="5" xr3:uid="{B8F641EE-C92E-4085-9FC5-1D7A1E85838D}" name="차징공격 DPS" dataDxfId="119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6159906-5C29-49F6-B0BD-414C122A03F8}" name="표26" displayName="표26" ref="H15:J16" totalsRowShown="0">
  <autoFilter ref="H15:J16" xr:uid="{96159906-5C29-49F6-B0BD-414C122A03F8}"/>
  <tableColumns count="3">
    <tableColumn id="1" xr3:uid="{1DA4F7D0-18B7-4841-B35E-432CA86C9161}" name="튕김 기댓값"/>
    <tableColumn id="2" xr3:uid="{5396ACD7-D7C0-44A6-A48B-C4662121D47D}" name="적에게 튕김 기댓값"/>
    <tableColumn id="3" xr3:uid="{D1F47981-2F0B-46C5-A8DA-6FAA1A86F013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E951D88-EC64-470B-8197-9D7A2CC9AE91}" name="표27" displayName="표27" ref="H18:J19" totalsRowShown="0">
  <autoFilter ref="H18:J19" xr:uid="{EE951D88-EC64-470B-8197-9D7A2CC9AE91}"/>
  <tableColumns count="3">
    <tableColumn id="1" xr3:uid="{8A4503F4-D76C-4738-9A5F-9F6C309397D5}" name="차징 공격 사용 비율" dataDxfId="118"/>
    <tableColumn id="2" xr3:uid="{7BC54428-2097-4B23-ACAC-4CF6F55435E4}" name="최종 DPS" dataDxfId="117">
      <calculatedColumnFormula array="1">(표25[직접 공격 DPS]*표27[[#This Row],[차징 공격 사용 비율]])+(표25[차징공격 DPS]*(1-표27[[#This Row],[차징 공격 사용 비율]]))</calculatedColumnFormula>
    </tableColumn>
    <tableColumn id="3" xr3:uid="{F752FE16-14B9-45DE-8693-1A4E50EA6138}" name="가정" dataDxfId="116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1F6D87A-5B88-4C6A-9E93-64150DD023BB}" name="밸런스시트31" displayName="밸런스시트31" ref="B6:D7" totalsRowShown="0" headerRowDxfId="115">
  <autoFilter ref="B6:D7" xr:uid="{81F6D87A-5B88-4C6A-9E93-64150DD023BB}"/>
  <tableColumns count="3">
    <tableColumn id="1" xr3:uid="{194B9D5C-2233-44FE-88A7-D3D65119A0B5}" name="DPS 상승량">
      <calculatedColumnFormula>30/0.12</calculatedColumnFormula>
    </tableColumn>
    <tableColumn id="2" xr3:uid="{BA0E6431-6328-46DE-941B-661E20E92199}" name="체력 상승량">
      <calculatedColumnFormula>30/25</calculatedColumnFormula>
    </tableColumn>
    <tableColumn id="3" xr3:uid="{24B739BF-EB38-4934-83CF-0F647A58F035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52C1D108-3D49-4B42-B815-0005AC0F8DFB}" name="스텟별가치29" displayName="스텟별가치29" ref="B43:F52" totalsRowShown="0" headerRowDxfId="114" dataDxfId="113">
  <autoFilter ref="B43:F52" xr:uid="{52C1D108-3D49-4B42-B815-0005AC0F8DFB}"/>
  <tableColumns count="5">
    <tableColumn id="1" xr3:uid="{97C44805-9CD2-45EA-B5DF-D65CFA5C28DC}" name="트리거" dataDxfId="112"/>
    <tableColumn id="2" xr3:uid="{0CB69347-3D8F-4363-BA6F-16EF9B4A762D}" name="발동 여부" dataDxfId="111"/>
    <tableColumn id="3" xr3:uid="{176A61E6-C094-47E3-8CBF-78EA6EEA3FB7}" name="발동에 걸리는 시간" dataDxfId="110"/>
    <tableColumn id="4" xr3:uid="{C9DEDF42-6084-4BE1-AED3-7B9E6FA248C1}" name="발동율" dataDxfId="109">
      <calculatedColumnFormula>IF(스텟별가치29[[#This Row],[발동 여부]],스텟별가치29[[#This Row],[발동에 걸리는 시간]],-1)*(1+스텟별가치29[[#This Row],[OP계수]])</calculatedColumnFormula>
    </tableColumn>
    <tableColumn id="5" xr3:uid="{D3F5DD1A-BD15-4987-9FEF-BA567ADDE35C}" name="OP계수" dataDxfId="108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DE4A78B-5308-430C-BFB3-A3DED3312CD7}" name="표29" displayName="표29" ref="B55:F64" totalsRowShown="0" dataDxfId="107">
  <autoFilter ref="B55:F64" xr:uid="{5DE4A78B-5308-430C-BFB3-A3DED3312CD7}"/>
  <tableColumns count="5">
    <tableColumn id="1" xr3:uid="{D8664B31-C1C5-4F94-9493-0E923670269C}" name="특수 이펙트 명칭" dataDxfId="106"/>
    <tableColumn id="2" xr3:uid="{75D26A2C-66A5-4D4E-8467-00AB4551DB09}" name="열1" dataDxfId="105"/>
    <tableColumn id="3" xr3:uid="{C016E32B-6A25-4781-91D0-3F1F049AB241}" name="설명" dataDxfId="104"/>
    <tableColumn id="4" xr3:uid="{87B4D8C0-06AC-4B77-972D-B4F0F00820E7}" name="1당 가치" dataDxfId="103">
      <calculatedColumnFormula>E14</calculatedColumnFormula>
    </tableColumn>
    <tableColumn id="5" xr3:uid="{B8215913-9E5B-4616-A7FB-EBC3ED6C83CC}" name="OP계수" dataDxfId="102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101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100"/>
    <tableColumn id="3" xr3:uid="{00000000-0010-0000-0900-000003000000}" name="value"/>
    <tableColumn id="4" xr3:uid="{00000000-0010-0000-0900-000004000000}" name="#설명" dataDxfId="99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98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97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P3" totalsRowShown="0" headerRowDxfId="96">
  <autoFilter ref="B2:P3" xr:uid="{00000000-0009-0000-0100-000007000000}"/>
  <tableColumns count="15">
    <tableColumn id="1" xr3:uid="{00000000-0010-0000-0B00-000001000000}" name="Index"/>
    <tableColumn id="2" xr3:uid="{00000000-0010-0000-0B00-000002000000}" name="#설명" dataDxfId="95"/>
    <tableColumn id="7" xr3:uid="{00000000-0010-0000-0B00-000007000000}" name="SwingCooldown" dataDxfId="94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12" xr3:uid="{00000000-0010-0000-0B00-00000C000000}" name="ChargeAtk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93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92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91"/>
    <tableColumn id="14" xr3:uid="{00000000-0010-0000-0C00-00000E000000}" name="#드랍테이블2" dataDxfId="90"/>
    <tableColumn id="15" xr3:uid="{00000000-0010-0000-0C00-00000F000000}" name="#드랍테이블3" dataDxfId="89"/>
    <tableColumn id="16" xr3:uid="{00000000-0010-0000-0C00-000010000000}" name="#드랍테이블4" dataDxfId="88"/>
    <tableColumn id="17" xr3:uid="{00000000-0010-0000-0C00-000011000000}" name="#드랍테이블5" dataDxfId="87"/>
    <tableColumn id="18" xr3:uid="{00000000-0010-0000-0C00-000012000000}" name="#드랍테이블6" dataDxfId="86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85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84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16" totalsRowShown="0">
  <autoFilter ref="B2:V16" xr:uid="{00000000-0009-0000-0100-000012000000}"/>
  <tableColumns count="21">
    <tableColumn id="1" xr3:uid="{00000000-0010-0000-0E00-000001000000}" name="Index"/>
    <tableColumn id="2" xr3:uid="{00000000-0010-0000-0E00-000002000000}" name="Name" dataDxfId="83"/>
    <tableColumn id="19" xr3:uid="{00000000-0010-0000-0E00-000013000000}" name="#" dataDxfId="82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81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80"/>
    <tableColumn id="17" xr3:uid="{00000000-0010-0000-0E00-000011000000}" name="#기준 적 체력 비율"/>
    <tableColumn id="18" xr3:uid="{00000000-0010-0000-0E00-000012000000}" name="#평균 드랍 골드" dataDxfId="79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58" totalsRowShown="0">
  <autoFilter ref="B2:I58" xr:uid="{00000000-0009-0000-0100-000015000000}"/>
  <tableColumns count="8">
    <tableColumn id="1" xr3:uid="{00000000-0010-0000-0F00-000001000000}" name="Index"/>
    <tableColumn id="2" xr3:uid="{00000000-0010-0000-0F00-000002000000}" name="#설명" dataDxfId="78"/>
    <tableColumn id="3" xr3:uid="{00000000-0010-0000-0F00-000003000000}" name="ShootDataId" dataDxfId="77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76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7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G184" totalsRowShown="0">
  <autoFilter ref="B2:G184" xr:uid="{00000000-0009-0000-0100-000013000000}"/>
  <tableColumns count="6">
    <tableColumn id="1" xr3:uid="{00000000-0010-0000-1000-000001000000}" name="Index"/>
    <tableColumn id="2" xr3:uid="{00000000-0010-0000-1000-000002000000}" name="#설명" dataDxfId="74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4" totalsRowShown="0" headerRowDxfId="73">
  <autoFilter ref="B2:G14" xr:uid="{00000000-0009-0000-0100-000011000000}"/>
  <tableColumns count="6">
    <tableColumn id="1" xr3:uid="{00000000-0010-0000-1100-000001000000}" name="Index"/>
    <tableColumn id="2" xr3:uid="{00000000-0010-0000-1100-000002000000}" name="#설명" dataDxfId="72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R33" totalsRowShown="0" headerRowDxfId="71" dataDxfId="70">
  <autoFilter ref="B2:R33" xr:uid="{00000000-0009-0000-0100-000004000000}"/>
  <tableColumns count="17">
    <tableColumn id="11" xr3:uid="{00000000-0010-0000-1200-00000B000000}" name="#NameString" dataDxfId="69">
      <calculatedColumnFormula>INDEX(LocaleTable[LocaleKR],MATCH(ItemTable[[#This Row],[Name]],LocaleTable[StringKey],0))</calculatedColumnFormula>
    </tableColumn>
    <tableColumn id="16" xr3:uid="{BD981A3F-409D-4C64-B49F-2D8E2500BA62}" name="#DescString" dataDxfId="68">
      <calculatedColumnFormula>INDEX(LocaleTable[LocaleKR],MATCH(ItemTable[[#This Row],[Desc]],LocaleTable[StringKey],0))</calculatedColumnFormula>
    </tableColumn>
    <tableColumn id="17" xr3:uid="{1B500542-CB1F-4E31-BC77-415A06C9F656}" name="#PlusDescString" dataDxfId="67">
      <calculatedColumnFormula>INDEX(LocaleTable[LocaleKR],MATCH(ItemTable[[#This Row],[PlusDesc]],LocaleTable[StringKey],0))</calculatedColumnFormula>
    </tableColumn>
    <tableColumn id="20" xr3:uid="{78B82A2A-7097-4744-A5E9-85BB7D653EB0}" name="#MinusDescString" dataDxfId="66">
      <calculatedColumnFormula>INDEX(LocaleTable[LocaleKR],MATCH(ItemTable[[#This Row],[MinusDesc]],LocaleTable[StringKey],0))</calculatedColumnFormula>
    </tableColumn>
    <tableColumn id="1" xr3:uid="{00000000-0010-0000-1200-000001000000}" name="Index" dataDxfId="65"/>
    <tableColumn id="2" xr3:uid="{00000000-0010-0000-1200-000002000000}" name="Name" dataDxfId="64">
      <calculatedColumnFormula>IF(OR(ItemTable[[#This Row],[GradeType]]="Normal",
ItemTable[[#This Row],[GradeType]]="Rare",
ItemTable[[#This Row],[GradeType]]="Cursed",
ItemTable[[#This Row],[GradeType]]="Active"
),
_xlfn.CONCAT("Item_Name_",ItemTable[[#This Row],[Index]]),""
)</calculatedColumnFormula>
    </tableColumn>
    <tableColumn id="3" xr3:uid="{00000000-0010-0000-1200-000003000000}" name="Desc" dataDxfId="63">
      <calculatedColumnFormula>IF(OR(ItemTable[[#This Row],[GradeType]]="Normal",
ItemTable[[#This Row],[GradeType]]="Rare",
ItemTable[[#This Row],[GradeType]]="Cursed",
ItemTable[[#This Row],[GradeType]]="Active"
),
_xlfn.CONCAT("Item_Desc_",ItemTable[[#This Row],[Index]]),""
)</calculatedColumnFormula>
    </tableColumn>
    <tableColumn id="18" xr3:uid="{00000000-0010-0000-1200-000012000000}" name="PlusDesc" dataDxfId="62">
      <calculatedColumnFormula>IF(OR(ItemTable[[#This Row],[GradeType]]="Normal",
ItemTable[[#This Row],[GradeType]]="Rare",
ItemTable[[#This Row],[GradeType]]="Cursed",
ItemTable[[#This Row],[GradeType]]="Active"
),
_xlfn.CONCAT("Item_PlusDesc_",ItemTable[[#This Row],[Index]]),""
)</calculatedColumnFormula>
    </tableColumn>
    <tableColumn id="19" xr3:uid="{00000000-0010-0000-1200-000013000000}" name="MinusDesc" dataDxfId="61">
      <calculatedColumnFormula>IF(ItemTable[[#This Row],[GradeType]]="Cursed",
_xlfn.CONCAT("Item_MinusDesc_",ItemTable[[#This Row],[Index]]),""
)</calculatedColumnFormula>
    </tableColumn>
    <tableColumn id="4" xr3:uid="{00000000-0010-0000-1200-000004000000}" name="GradeType" dataDxfId="60"/>
    <tableColumn id="5" xr3:uid="{00000000-0010-0000-1200-000005000000}" name="Value" dataDxfId="59"/>
    <tableColumn id="6" xr3:uid="{00000000-0010-0000-1200-000006000000}" name="CostHp" dataDxfId="58"/>
    <tableColumn id="7" xr3:uid="{00000000-0010-0000-1200-000007000000}" name="CostGold" dataDxfId="57"/>
    <tableColumn id="8" xr3:uid="{00000000-0010-0000-1200-000008000000}" name="ItemEffectDataId" dataDxfId="56"/>
    <tableColumn id="9" xr3:uid="{00000000-0010-0000-1200-000009000000}" name="ItemIconPath" dataDxfId="55"/>
    <tableColumn id="14" xr3:uid="{829A0395-49A4-44F6-B211-44D70A03413C}" name="#번역본" dataDxfId="54"/>
    <tableColumn id="15" xr3:uid="{9EE43C0B-06A2-4BC2-BB29-E39DC0E0339C}" name="#카멜" dataDxfId="53">
      <calculatedColumnFormula>SUBSTITUTE(PROPER(ItemTable[[#This Row],['#번역본]])," "," ")</calculatedColumnFormula>
    </tableColumn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S32" totalsRowShown="0" headerRowDxfId="52">
  <autoFilter ref="B2:S32" xr:uid="{00000000-0009-0000-0100-000001000000}"/>
  <tableColumns count="18">
    <tableColumn id="2" xr3:uid="{00000000-0010-0000-1300-000002000000}" name="#이름값" dataDxfId="51">
      <calculatedColumnFormula>INDEX(ItemTable['#NameString],MATCH(ItemEffectTable[[#This Row],[Index]],ItemTable[ItemEffectDataId],0))</calculatedColumnFormula>
    </tableColumn>
    <tableColumn id="3" xr3:uid="{00000000-0010-0000-1300-000003000000}" name="#Grade" dataDxfId="50">
      <calculatedColumnFormula>INDEX(ItemTable[GradeType],MATCH(ItemEffectTable[[#This Row],[Index]],ItemTable[ItemEffectDataId],0))</calculatedColumnFormula>
    </tableColumn>
    <tableColumn id="4" xr3:uid="{00000000-0010-0000-1300-000004000000}" name="Index" dataDxfId="49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48"/>
    <tableColumn id="12" xr3:uid="{00000000-0010-0000-1300-00000C000000}" name="ConditionValue"/>
    <tableColumn id="1" xr3:uid="{0B4ED250-DA0A-47BD-8D15-6BC486DF4AD6}" name="#트리거1" dataDxfId="47">
      <calculatedColumnFormula>IFERROR(LEFT(ItemEffectTable[[#This Row],[TriggerType]],FIND(",",ItemEffectTable[[#This Row],[TriggerType]],1)-1),ItemEffectTable[[#This Row],[TriggerType]])</calculatedColumnFormula>
    </tableColumn>
    <tableColumn id="13" xr3:uid="{9DFD0B72-F6DD-441C-A249-60E7C5627080}" name="#트리거2" dataDxfId="46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81DEBF1A-8091-4895-847C-BA9D9EDBD863}" name="#트리거3" dataDxfId="45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594989A2-D94C-4B58-A2A6-502EF81399CA}" name="#트리거1 발동 간격" dataDxfId="44">
      <calculatedColumnFormula>IFERROR(INDEX(스텟별가치29[발동율],MATCH(ItemEffectTable[[#This Row],['#트리거1]],스텟별가치29[트리거],0)),0)</calculatedColumnFormula>
    </tableColumn>
    <tableColumn id="17" xr3:uid="{42428A73-0C22-4408-89F6-B3F791C76DE9}" name="#트리거2 발동 간격" dataDxfId="43">
      <calculatedColumnFormula>IFERROR(INDEX(스텟별가치29[발동율],MATCH(ItemEffectTable[[#This Row],['#트리거2]],스텟별가치29[트리거],0)),-1)</calculatedColumnFormula>
    </tableColumn>
    <tableColumn id="18" xr3:uid="{63CC1E3C-7126-416C-B322-3980D5CA7D9B}" name="#트리거3 발동 간격" dataDxfId="42">
      <calculatedColumnFormula>IFERROR(INDEX(스텟별가치29[발동율],MATCH(ItemEffectTable[[#This Row],['#트리거3]],스텟별가치29[트리거],0)),-1)</calculatedColumnFormula>
    </tableColumn>
    <tableColumn id="19" xr3:uid="{F4C87584-0C3C-4533-B1C1-1A61E655B61E}" name="#발동율" dataDxfId="41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85B127AF-9363-40DF-973D-76A95A911EAF}" name="#지속 시간" dataDxfId="40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U31" totalsRowShown="0" headerRowDxfId="39">
  <autoFilter ref="B2:U31" xr:uid="{00000000-0009-0000-0100-000016000000}"/>
  <tableColumns count="20">
    <tableColumn id="3" xr3:uid="{E74DAA42-5E4A-4F89-AD3E-565200EEF3AE}" name="#아이템 명칭" dataDxfId="38">
      <calculatedColumnFormula>IFERROR(INDEX(ItemEffectTable['#이름값],MATCH(ItemEffectTable23[[#This Row],[Index]],ItemEffectTable[Index],0)),INDEX(ItemEffectTable['#이름값],MATCH(ItemEffectTable23[[#This Row],[Index]],ItemEffectTable[ApplyBuffId],0)))</calculatedColumnFormula>
    </tableColumn>
    <tableColumn id="7" xr3:uid="{1075694C-1377-4816-A99B-2CEA670AC05C}" name="#텍스트로 설명" dataDxfId="37">
      <calculatedColumnFormula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400-000004000000}" name="Index" dataDxfId="36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9" xr3:uid="{F3389CE0-5BA5-467B-8F93-C558D8C433D9}" name="#스텟의 default값" dataDxfId="35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D0E5DF7D-B43B-4A60-95E3-7AF6BDCF045E}" name="#변화 후 값" dataDxfId="34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9B789B2E-4B97-4759-A9EB-2273407ED9FB}" name="#변화 후 값 예외처리" dataDxfId="33"/>
    <tableColumn id="8" xr3:uid="{27E501F3-F27A-44EE-8F20-18B66E39DD44}" name="#효력 가치 판단" dataDxfId="32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91F0BDB1-57BB-44BB-B87B-6BDCAD8755D9}" name="#발동율" dataDxfId="31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2B265F62-F34A-4E87-9EFD-47D27E5E97BF}" name="#쿨타임" dataDxfId="30">
      <calculatedColumnFormula>INDEX(ItemEffectTable[CoolTime],MATCH(ItemEffectTable23[[#This Row],[Index]],ItemEffectTable[ApplyBuffId],0))</calculatedColumnFormula>
    </tableColumn>
    <tableColumn id="2" xr3:uid="{823B8CD2-FD6B-4052-8604-4A74DB5CF8F0}" name="#발동량" dataDxfId="29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B3B58D9E-B721-4B76-97A4-98C709233CA1}" name="#총 가치판단" dataDxfId="28">
      <calculatedColumnFormula>ItemEffectTable23[[#This Row],['#효력 가치 판단]]/IF(ItemEffectTable23[[#This Row],['#발동량]]=-1,1,ItemEffectTable23[[#This Row],['#발동량]])</calculatedColumnFormula>
    </tableColumn>
    <tableColumn id="18" xr3:uid="{DAE41A94-6D6C-4B30-A4EB-3BCE15F5EA05}" name="#아이템 효력 합산" dataDxfId="27">
      <calculatedColumnFormula>SUMIF(ItemEffectTable23['#아이템 명칭],ItemEffectTable23[[#This Row],['#아이템 명칭]],ItemEffectTable23['#총 가치판단])</calculatedColumnFormula>
    </tableColumn>
    <tableColumn id="19" xr3:uid="{675E3CDD-206B-437F-8932-709A25577865}" name="#특수 효력" dataDxfId="26">
      <calculatedColumnFormula>IFERROR(INDEX(ItemEffectTable2324['#가치판단],MATCH(ItemEffectTable23[[#This Row],['#아이템 명칭]],ItemEffectTable2324['#명칭],0)),0)</calculatedColumnFormula>
    </tableColumn>
    <tableColumn id="20" xr3:uid="{3094EFE3-D751-4DC0-ABE2-2BF73B378B63}" name="#종합 효력" dataDxfId="25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4843E28C-2C83-4AE2-B58A-08B5DD232E09}" name="#기준 효력" dataDxfId="24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FE600936-A4DE-4595-9DC6-45104DF27497}" name="#차이값" dataDxfId="23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N16" totalsRowShown="0" headerRowDxfId="22">
  <autoFilter ref="B2:N16" xr:uid="{00000000-0009-0000-0100-000017000000}"/>
  <tableColumns count="13">
    <tableColumn id="4" xr3:uid="{00000000-0010-0000-1500-000004000000}" name="Index" dataDxfId="21"/>
    <tableColumn id="7" xr3:uid="{00000000-0010-0000-1500-000007000000}" name="#명칭" dataDxfId="20">
      <calculatedColumnFormula>IFERROR(INDEX(ItemEffectTable['#이름값],MATCH(ItemEffectTable2324[[#This Row],[Index]],ItemEffectTable[Index],0)),INDEX(ItemEffectTable['#이름값],MATCH(ItemEffectTable2324[[#This Row],[Index]],ItemEffectTable[ApplyBuffId],0)))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19"/>
    <tableColumn id="13" xr3:uid="{00000000-0010-0000-1500-00000D000000}" name="Param2"/>
    <tableColumn id="2" xr3:uid="{00000000-0010-0000-1500-000002000000}" name="#Param2설명" dataDxfId="18"/>
    <tableColumn id="14" xr3:uid="{00000000-0010-0000-1500-00000E000000}" name="Param3"/>
    <tableColumn id="3" xr3:uid="{00000000-0010-0000-1500-000003000000}" name="#Param3설명" dataDxfId="17"/>
    <tableColumn id="8" xr3:uid="{00000000-0010-0000-1500-000008000000}" name="Param4" dataDxfId="16"/>
    <tableColumn id="9" xr3:uid="{00000000-0010-0000-1500-000009000000}" name="#Param3설명3" dataDxfId="15"/>
    <tableColumn id="10" xr3:uid="{951A949B-EF34-47CE-8BAF-0E6EF248C2E8}" name="#가치판단" dataDxfId="14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16639CEB-9AF4-4ABA-A988-F97B25CCDAF3}" name="#예외처리" dataDxfId="13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12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11"/>
    <tableColumn id="3" xr3:uid="{00000000-0010-0000-1600-000003000000}" name="#리소스 유형" dataDxfId="10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162" totalsRowShown="0" headerRowDxfId="9" dataDxfId="8">
  <autoFilter ref="B2:I162" xr:uid="{00000000-0009-0000-0100-000003000000}"/>
  <tableColumns count="8">
    <tableColumn id="1" xr3:uid="{00000000-0010-0000-1700-000001000000}" name="StringKey" dataDxfId="7"/>
    <tableColumn id="2" xr3:uid="{00000000-0010-0000-1700-000002000000}" name="LocaleKR" dataDxfId="6"/>
    <tableColumn id="3" xr3:uid="{00000000-0010-0000-1700-000003000000}" name="LocaleUS" dataDxfId="5"/>
    <tableColumn id="6" xr3:uid="{E3862F4E-A202-4C33-8F08-0A8EE362E05D}" name="#컴포넌트1" dataDxfId="4"/>
    <tableColumn id="7" xr3:uid="{A8B25166-9EBA-45B8-A228-83468AA6119B}" name="#컴포넌트2" dataDxfId="3"/>
    <tableColumn id="8" xr3:uid="{32BD4EBA-A1BF-40F2-89E8-6AC453E97F65}" name="#컴포넌트3" dataDxfId="2"/>
    <tableColumn id="9" xr3:uid="{E4B209A1-024F-4787-87AC-CB0822188CFE}" name="#컴포넌트4" dataDxfId="1"/>
    <tableColumn id="5" xr3:uid="{E2A87673-1FFD-49A7-BA63-308B2C186E48}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76" t="s">
        <v>196</v>
      </c>
      <c r="C1" s="77"/>
      <c r="D1" s="77"/>
      <c r="E1" s="77"/>
    </row>
    <row r="2" spans="2:5" s="1" customFormat="1">
      <c r="B2" s="77"/>
      <c r="C2" s="77"/>
      <c r="D2" s="77"/>
      <c r="E2" s="77"/>
    </row>
    <row r="3" spans="2:5" s="1" customFormat="1">
      <c r="B3" s="77"/>
      <c r="C3" s="77"/>
      <c r="D3" s="77"/>
      <c r="E3" s="77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P15" sqref="P15"/>
    </sheetView>
  </sheetViews>
  <sheetFormatPr baseColWidth="10" defaultColWidth="8.83203125" defaultRowHeight="17"/>
  <cols>
    <col min="2" max="2" width="10.1640625" customWidth="1"/>
    <col min="3" max="3" width="12.1640625" customWidth="1"/>
    <col min="4" max="4" width="12.6640625" bestFit="1" customWidth="1"/>
    <col min="5" max="5" width="10.33203125" bestFit="1" customWidth="1"/>
    <col min="6" max="6" width="11.1640625" customWidth="1"/>
    <col min="7" max="7" width="15.1640625" customWidth="1"/>
    <col min="8" max="8" width="13.33203125" customWidth="1"/>
    <col min="9" max="9" width="11.83203125" customWidth="1"/>
    <col min="11" max="12" width="16" customWidth="1"/>
    <col min="13" max="13" width="17.1640625" customWidth="1"/>
    <col min="14" max="14" width="16.6640625" customWidth="1"/>
    <col min="15" max="15" width="16.1640625" customWidth="1"/>
    <col min="16" max="16" width="17" customWidth="1"/>
    <col min="17" max="17" width="14.83203125" customWidth="1"/>
    <col min="18" max="18" width="15.6640625" customWidth="1"/>
  </cols>
  <sheetData>
    <row r="1" spans="2:18" s="1" customFormat="1">
      <c r="B1" s="76" t="s">
        <v>125</v>
      </c>
      <c r="C1" s="77"/>
      <c r="D1" s="77"/>
      <c r="E1" s="77"/>
    </row>
    <row r="2" spans="2:18" s="1" customFormat="1">
      <c r="B2" s="77"/>
      <c r="C2" s="77"/>
      <c r="D2" s="77"/>
      <c r="E2" s="77"/>
    </row>
    <row r="3" spans="2:18" s="1" customFormat="1">
      <c r="B3" s="77"/>
      <c r="C3" s="77"/>
      <c r="D3" s="77"/>
      <c r="E3" s="77"/>
    </row>
    <row r="5" spans="2:18">
      <c r="B5" s="2" t="s">
        <v>49</v>
      </c>
      <c r="J5" s="2" t="s">
        <v>307</v>
      </c>
      <c r="K5" s="2"/>
      <c r="O5" s="31" t="s">
        <v>647</v>
      </c>
      <c r="P5" s="5"/>
    </row>
    <row r="6" spans="2:18">
      <c r="B6" t="s">
        <v>25</v>
      </c>
      <c r="C6" t="s">
        <v>27</v>
      </c>
      <c r="D6" t="s">
        <v>52</v>
      </c>
      <c r="E6" t="s">
        <v>45</v>
      </c>
      <c r="F6" t="s">
        <v>46</v>
      </c>
      <c r="G6" t="s">
        <v>50</v>
      </c>
      <c r="H6" t="s">
        <v>47</v>
      </c>
      <c r="J6" s="11" t="s">
        <v>623</v>
      </c>
      <c r="K6" s="11" t="s">
        <v>306</v>
      </c>
      <c r="L6" s="11" t="s">
        <v>303</v>
      </c>
      <c r="M6" s="11" t="s">
        <v>304</v>
      </c>
      <c r="O6" s="16" t="s">
        <v>399</v>
      </c>
      <c r="P6" s="16" t="s">
        <v>306</v>
      </c>
      <c r="Q6" s="16" t="s">
        <v>303</v>
      </c>
      <c r="R6" s="16" t="s">
        <v>304</v>
      </c>
    </row>
    <row r="7" spans="2:18">
      <c r="B7" t="s">
        <v>27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308</v>
      </c>
      <c r="K7">
        <v>0</v>
      </c>
      <c r="L7">
        <v>4</v>
      </c>
      <c r="M7">
        <v>7</v>
      </c>
      <c r="O7" s="16" t="s">
        <v>401</v>
      </c>
      <c r="P7">
        <v>20</v>
      </c>
      <c r="Q7">
        <v>80</v>
      </c>
      <c r="R7">
        <v>150</v>
      </c>
    </row>
    <row r="8" spans="2:18">
      <c r="B8" t="s">
        <v>52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309</v>
      </c>
      <c r="K8">
        <v>0</v>
      </c>
      <c r="L8">
        <v>6</v>
      </c>
      <c r="M8">
        <v>12</v>
      </c>
      <c r="O8" s="16" t="s">
        <v>402</v>
      </c>
      <c r="P8">
        <v>20</v>
      </c>
      <c r="Q8">
        <v>80</v>
      </c>
      <c r="R8">
        <v>150</v>
      </c>
    </row>
    <row r="9" spans="2:18">
      <c r="J9" t="s">
        <v>310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404</v>
      </c>
      <c r="P9">
        <v>20</v>
      </c>
      <c r="Q9">
        <v>80</v>
      </c>
      <c r="R9">
        <v>150</v>
      </c>
    </row>
    <row r="11" spans="2:18">
      <c r="B11" s="2" t="s">
        <v>640</v>
      </c>
      <c r="C11" s="2"/>
      <c r="D11" s="2"/>
      <c r="J11" s="2" t="s">
        <v>400</v>
      </c>
    </row>
    <row r="12" spans="2:18">
      <c r="B12" s="11" t="s">
        <v>399</v>
      </c>
      <c r="C12" s="11" t="s">
        <v>305</v>
      </c>
      <c r="D12" s="11" t="s">
        <v>306</v>
      </c>
      <c r="E12" s="11" t="s">
        <v>303</v>
      </c>
      <c r="F12" s="11" t="s">
        <v>304</v>
      </c>
      <c r="G12" s="11" t="s">
        <v>406</v>
      </c>
      <c r="H12" s="16"/>
      <c r="J12" s="11" t="s">
        <v>399</v>
      </c>
      <c r="K12" s="11" t="s">
        <v>405</v>
      </c>
      <c r="L12" s="11" t="s">
        <v>621</v>
      </c>
      <c r="M12" s="11" t="s">
        <v>622</v>
      </c>
    </row>
    <row r="13" spans="2:18">
      <c r="B13" s="11" t="s">
        <v>401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25</v>
      </c>
      <c r="J13" s="11" t="s">
        <v>401</v>
      </c>
      <c r="K13">
        <f>INDEX(ProductialTable[MaxRoomValue],MATCH(FloorInfo[[#This Row],[층]],ProductialTable['#이름],0))-3</f>
        <v>4</v>
      </c>
      <c r="L13">
        <f>(SUMIFS(StageEnemyInfo[평균획득골드],StageEnemyInfo[층],FloorInfo[[#This Row],[층]])/_xlfn.MAXIFS(StageEnemyInfo[스테이지],StageEnemyInfo[층],FloorInfo[[#This Row],[층]]))</f>
        <v>25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100</v>
      </c>
      <c r="O13" s="11" t="s">
        <v>407</v>
      </c>
      <c r="P13" s="11">
        <f>FloorInfo[[#Totals],[층 완료 획득 골드]]/30</f>
        <v>19.716666666666665</v>
      </c>
    </row>
    <row r="14" spans="2:18">
      <c r="B14" s="11" t="s">
        <v>402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30</v>
      </c>
      <c r="J14" s="11" t="s">
        <v>402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30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180</v>
      </c>
      <c r="O14" s="11" t="s">
        <v>408</v>
      </c>
      <c r="P14" s="11">
        <f>FloorInfo[[#Totals],[층 완료 획득 골드]]/50</f>
        <v>11.83</v>
      </c>
    </row>
    <row r="15" spans="2:18">
      <c r="B15" s="11" t="s">
        <v>403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44.5</v>
      </c>
      <c r="J15" s="11" t="s">
        <v>404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44.5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311.5</v>
      </c>
    </row>
    <row r="16" spans="2:18">
      <c r="B16" s="11"/>
      <c r="J16" s="11" t="s">
        <v>310</v>
      </c>
      <c r="M16">
        <f>SUBTOTAL(109,FloorInfo[층 완료 획득 골드])</f>
        <v>591.5</v>
      </c>
    </row>
    <row r="17" spans="2:17">
      <c r="B17" s="11"/>
    </row>
    <row r="18" spans="2:17">
      <c r="B18" s="11"/>
      <c r="J18" s="31" t="s">
        <v>638</v>
      </c>
      <c r="K18" s="5"/>
    </row>
    <row r="19" spans="2:17">
      <c r="B19" s="11"/>
      <c r="J19" s="16" t="s">
        <v>399</v>
      </c>
      <c r="K19" s="16" t="s">
        <v>643</v>
      </c>
      <c r="L19" s="16" t="s">
        <v>642</v>
      </c>
      <c r="M19" s="16" t="s">
        <v>644</v>
      </c>
      <c r="N19" s="16" t="s">
        <v>641</v>
      </c>
      <c r="O19" s="16" t="s">
        <v>645</v>
      </c>
      <c r="P19" s="16" t="s">
        <v>646</v>
      </c>
      <c r="Q19" s="16" t="s">
        <v>639</v>
      </c>
    </row>
    <row r="20" spans="2:17">
      <c r="B20" s="11"/>
      <c r="J20" s="16" t="s">
        <v>401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8</v>
      </c>
      <c r="L20">
        <f>FloorEnemyHPInfo[[#This Row],[박쥐 평균 개수]]*INDEX(EnemyHPInfo[박쥐],MATCH(FloorEnemyHPInfo[[#This Row],[층]],EnemyHPInfo[층]))</f>
        <v>160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20</v>
      </c>
      <c r="N20">
        <f>FloorEnemyHPInfo[[#This Row],[일반 평균 개수]]*INDEX(EnemyHPInfo[일반],MATCH(FloorEnemyHPInfo[[#This Row],[층]],EnemyHPInfo[층]))</f>
        <v>1600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1760</v>
      </c>
    </row>
    <row r="21" spans="2:17">
      <c r="B21" s="11"/>
      <c r="J21" s="16" t="s">
        <v>402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404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</row>
    <row r="28" spans="2:17">
      <c r="B28" s="11"/>
    </row>
    <row r="29" spans="2:17">
      <c r="B29" s="11"/>
    </row>
    <row r="30" spans="2:17">
      <c r="B30" s="11"/>
    </row>
    <row r="31" spans="2:17">
      <c r="B31" s="11"/>
    </row>
    <row r="32" spans="2:17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11"/>
    </row>
    <row r="40" spans="2:2">
      <c r="B40" s="11"/>
    </row>
    <row r="41" spans="2:2">
      <c r="B41" s="11"/>
    </row>
    <row r="42" spans="2:2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4"/>
  <sheetViews>
    <sheetView topLeftCell="D5" zoomScale="113" zoomScaleNormal="85" zoomScaleSheetLayoutView="100" workbookViewId="0">
      <selection activeCell="I23" sqref="I23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7" customWidth="1"/>
    <col min="6" max="6" width="13.1640625" customWidth="1"/>
    <col min="7" max="7" width="3.5" customWidth="1"/>
    <col min="8" max="12" width="16.5" customWidth="1"/>
    <col min="13" max="13" width="2.5" customWidth="1"/>
    <col min="14" max="14" width="15.6640625" customWidth="1"/>
    <col min="15" max="15" width="18.5" customWidth="1"/>
  </cols>
  <sheetData>
    <row r="1" spans="1:17" s="1" customFormat="1">
      <c r="B1" s="76" t="s">
        <v>176</v>
      </c>
      <c r="C1" s="77"/>
      <c r="D1" s="77"/>
      <c r="E1" s="77"/>
      <c r="F1" s="77"/>
      <c r="G1" s="77"/>
    </row>
    <row r="2" spans="1:17" s="1" customFormat="1">
      <c r="B2" s="77"/>
      <c r="C2" s="77"/>
      <c r="D2" s="77"/>
      <c r="E2" s="77"/>
      <c r="F2" s="77"/>
      <c r="G2" s="77"/>
    </row>
    <row r="3" spans="1:17" s="1" customFormat="1">
      <c r="B3" s="77"/>
      <c r="C3" s="77"/>
      <c r="D3" s="77"/>
      <c r="E3" s="77"/>
      <c r="F3" s="77"/>
      <c r="G3" s="77"/>
    </row>
    <row r="5" spans="1:17">
      <c r="B5" s="2" t="s">
        <v>702</v>
      </c>
      <c r="C5" s="8" t="s">
        <v>703</v>
      </c>
      <c r="H5" s="2" t="s">
        <v>648</v>
      </c>
      <c r="N5" s="2" t="s">
        <v>59</v>
      </c>
    </row>
    <row r="6" spans="1:17">
      <c r="B6" s="11" t="s">
        <v>711</v>
      </c>
      <c r="C6" s="11" t="s">
        <v>712</v>
      </c>
      <c r="D6" s="11" t="s">
        <v>788</v>
      </c>
      <c r="H6" t="s">
        <v>23</v>
      </c>
      <c r="I6" t="s">
        <v>211</v>
      </c>
      <c r="J6" t="s">
        <v>178</v>
      </c>
      <c r="N6" t="s">
        <v>55</v>
      </c>
      <c r="O6" s="11" t="s">
        <v>311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401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27.229254571026726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402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404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161</v>
      </c>
      <c r="O9" s="2"/>
    </row>
    <row r="10" spans="1:17">
      <c r="A10" s="9"/>
      <c r="B10" s="2" t="s">
        <v>56</v>
      </c>
      <c r="N10" t="s">
        <v>45</v>
      </c>
      <c r="O10" t="s">
        <v>46</v>
      </c>
      <c r="P10" t="s">
        <v>50</v>
      </c>
      <c r="Q10" s="11" t="s">
        <v>713</v>
      </c>
    </row>
    <row r="11" spans="1:17">
      <c r="A11" s="9"/>
      <c r="B11" t="s">
        <v>31</v>
      </c>
      <c r="C11" t="s">
        <v>85</v>
      </c>
      <c r="D11" t="s">
        <v>35</v>
      </c>
      <c r="E11" t="s">
        <v>213</v>
      </c>
      <c r="F11" s="11" t="s">
        <v>700</v>
      </c>
      <c r="H11" s="61" t="s">
        <v>620</v>
      </c>
      <c r="N11">
        <v>30</v>
      </c>
      <c r="O11">
        <v>50</v>
      </c>
      <c r="P11">
        <v>50</v>
      </c>
      <c r="Q11">
        <v>50</v>
      </c>
    </row>
    <row r="12" spans="1:17" ht="18">
      <c r="A12" s="9"/>
      <c r="B12" s="9" t="s">
        <v>114</v>
      </c>
      <c r="C12" s="10" t="s">
        <v>17</v>
      </c>
      <c r="D12" t="s">
        <v>78</v>
      </c>
      <c r="E12" s="19">
        <v>0</v>
      </c>
      <c r="F12" s="67">
        <v>0</v>
      </c>
      <c r="H12" s="11" t="s">
        <v>694</v>
      </c>
      <c r="I12" s="11" t="s">
        <v>695</v>
      </c>
      <c r="J12" s="11" t="s">
        <v>696</v>
      </c>
      <c r="K12" t="s">
        <v>688</v>
      </c>
      <c r="L12" t="s">
        <v>689</v>
      </c>
    </row>
    <row r="13" spans="1:17" ht="18">
      <c r="A13" s="9"/>
      <c r="B13" s="9" t="s">
        <v>0</v>
      </c>
      <c r="C13" s="9" t="s">
        <v>152</v>
      </c>
      <c r="D13" t="s">
        <v>87</v>
      </c>
      <c r="E13" s="19">
        <f>50/1</f>
        <v>50</v>
      </c>
      <c r="F13" s="67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57</v>
      </c>
    </row>
    <row r="14" spans="1:17" ht="18">
      <c r="A14" s="9"/>
      <c r="B14" s="9" t="s">
        <v>32</v>
      </c>
      <c r="C14" s="9" t="s">
        <v>152</v>
      </c>
      <c r="D14" t="s">
        <v>89</v>
      </c>
      <c r="E14" s="19">
        <v>0</v>
      </c>
      <c r="F14" s="67">
        <v>0</v>
      </c>
      <c r="N14" t="s">
        <v>58</v>
      </c>
      <c r="O14" t="s">
        <v>175</v>
      </c>
    </row>
    <row r="15" spans="1:17" ht="18">
      <c r="A15" s="9"/>
      <c r="B15" s="62" t="s">
        <v>119</v>
      </c>
      <c r="C15" s="62" t="s">
        <v>152</v>
      </c>
      <c r="D15" s="20" t="s">
        <v>209</v>
      </c>
      <c r="E15" s="22">
        <f>50/3</f>
        <v>16.666666666666668</v>
      </c>
      <c r="F15" s="67">
        <v>0</v>
      </c>
      <c r="H15" s="11" t="s">
        <v>822</v>
      </c>
      <c r="I15" t="s">
        <v>690</v>
      </c>
      <c r="J15" t="s">
        <v>691</v>
      </c>
      <c r="N15">
        <v>100</v>
      </c>
      <c r="O15">
        <v>0.2</v>
      </c>
    </row>
    <row r="16" spans="1:17" ht="18">
      <c r="A16" s="9"/>
      <c r="B16" s="9" t="s">
        <v>167</v>
      </c>
      <c r="C16" s="9" t="s">
        <v>152</v>
      </c>
      <c r="D16" t="s">
        <v>84</v>
      </c>
      <c r="E16" s="14">
        <f>50/0.5</f>
        <v>100</v>
      </c>
      <c r="F16" s="67">
        <v>0</v>
      </c>
      <c r="H16">
        <v>1</v>
      </c>
      <c r="I16">
        <v>1</v>
      </c>
      <c r="J16">
        <v>0.8</v>
      </c>
    </row>
    <row r="17" spans="1:15" ht="18">
      <c r="A17" s="9"/>
      <c r="B17" s="63" t="s">
        <v>359</v>
      </c>
      <c r="C17" s="9" t="s">
        <v>152</v>
      </c>
      <c r="D17" s="11" t="s">
        <v>677</v>
      </c>
      <c r="E17" s="14">
        <f>50/0.8</f>
        <v>62.5</v>
      </c>
      <c r="F17" s="67">
        <v>0</v>
      </c>
    </row>
    <row r="18" spans="1:15" ht="18">
      <c r="A18" s="9"/>
      <c r="B18" s="63" t="s">
        <v>679</v>
      </c>
      <c r="C18" s="9" t="s">
        <v>152</v>
      </c>
      <c r="D18" s="11" t="s">
        <v>680</v>
      </c>
      <c r="E18" s="19">
        <v>100</v>
      </c>
      <c r="F18" s="67">
        <v>0</v>
      </c>
      <c r="H18" t="s">
        <v>692</v>
      </c>
      <c r="I18" t="s">
        <v>693</v>
      </c>
      <c r="J18" s="11" t="s">
        <v>701</v>
      </c>
    </row>
    <row r="19" spans="1:15" ht="18">
      <c r="A19" s="9"/>
      <c r="B19" t="s">
        <v>144</v>
      </c>
      <c r="C19" s="9" t="s">
        <v>141</v>
      </c>
      <c r="D19" s="11" t="s">
        <v>681</v>
      </c>
      <c r="E19" s="19">
        <v>100</v>
      </c>
      <c r="F19" s="67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 ht="18">
      <c r="A20" s="9"/>
      <c r="B20" s="9" t="s">
        <v>108</v>
      </c>
      <c r="C20" s="9" t="s">
        <v>141</v>
      </c>
      <c r="D20" t="s">
        <v>88</v>
      </c>
      <c r="E20" s="19">
        <f>20/0.2</f>
        <v>100</v>
      </c>
      <c r="F20" s="67">
        <v>0</v>
      </c>
    </row>
    <row r="21" spans="1:15" ht="18">
      <c r="A21" s="9"/>
      <c r="B21" s="9" t="s">
        <v>201</v>
      </c>
      <c r="C21" s="9" t="s">
        <v>10</v>
      </c>
      <c r="D21" t="s">
        <v>79</v>
      </c>
      <c r="E21" s="19" cm="1">
        <f t="array" ref="E21">밸런스시트31[DPS 상승량]</f>
        <v>250</v>
      </c>
      <c r="F21" s="67">
        <v>0</v>
      </c>
    </row>
    <row r="22" spans="1:15" ht="18">
      <c r="A22" s="9"/>
      <c r="B22" s="9" t="s">
        <v>200</v>
      </c>
      <c r="C22" s="9" t="s">
        <v>10</v>
      </c>
      <c r="D22" s="11" t="s">
        <v>699</v>
      </c>
      <c r="E22" s="19">
        <f>30/0.3</f>
        <v>100</v>
      </c>
      <c r="F22" s="67">
        <v>0</v>
      </c>
    </row>
    <row r="23" spans="1:15" ht="18">
      <c r="A23" s="9"/>
      <c r="B23" s="9" t="s">
        <v>8</v>
      </c>
      <c r="C23" s="9" t="s">
        <v>10</v>
      </c>
      <c r="D23" s="11" t="s">
        <v>698</v>
      </c>
      <c r="E23" s="19">
        <f>50/360</f>
        <v>0.1388888888888889</v>
      </c>
      <c r="F23" s="67">
        <v>0</v>
      </c>
    </row>
    <row r="24" spans="1:15" ht="18">
      <c r="A24" s="9"/>
      <c r="B24" s="9" t="s">
        <v>137</v>
      </c>
      <c r="C24" s="9" t="s">
        <v>10</v>
      </c>
      <c r="D24" s="11" t="s">
        <v>697</v>
      </c>
      <c r="E24" s="19" cm="1">
        <f t="array" ref="E24">30/(CharacterAtkTable[SwingCooldown]*-0.08)</f>
        <v>-750</v>
      </c>
      <c r="F24" s="67">
        <v>0</v>
      </c>
    </row>
    <row r="25" spans="1:15" ht="18">
      <c r="A25" s="9"/>
      <c r="B25" s="9" t="s">
        <v>115</v>
      </c>
      <c r="C25" s="9" t="s">
        <v>10</v>
      </c>
      <c r="D25" t="s">
        <v>156</v>
      </c>
      <c r="E25" s="65">
        <v>30</v>
      </c>
      <c r="F25" s="67">
        <v>0</v>
      </c>
      <c r="O25" s="11">
        <f>0.5*0.8</f>
        <v>0.4</v>
      </c>
    </row>
    <row r="26" spans="1:15" ht="18">
      <c r="A26" s="9"/>
      <c r="B26" s="9" t="s">
        <v>218</v>
      </c>
      <c r="C26" s="9" t="s">
        <v>10</v>
      </c>
      <c r="D26" s="11" t="s">
        <v>682</v>
      </c>
      <c r="E26" s="66" cm="1">
        <f t="array" ref="E26">30/(CharacterAtkTable[ChargeTime]*-0.15)</f>
        <v>-333.33333333333337</v>
      </c>
      <c r="F26" s="67">
        <v>0</v>
      </c>
    </row>
    <row r="27" spans="1:15" ht="18">
      <c r="A27" s="9"/>
      <c r="B27" s="63" t="s">
        <v>381</v>
      </c>
      <c r="C27" s="9" t="s">
        <v>10</v>
      </c>
      <c r="D27" s="11" t="s">
        <v>683</v>
      </c>
      <c r="E27" s="66">
        <f>30/-0.08</f>
        <v>-375</v>
      </c>
      <c r="F27" s="67">
        <v>0</v>
      </c>
    </row>
    <row r="28" spans="1:15" ht="18">
      <c r="A28" s="9"/>
      <c r="B28" s="9" t="s">
        <v>130</v>
      </c>
      <c r="C28" s="9" t="s">
        <v>10</v>
      </c>
      <c r="D28" t="s">
        <v>147</v>
      </c>
      <c r="E28" s="19">
        <f>50/100</f>
        <v>0.5</v>
      </c>
      <c r="F28" s="67">
        <v>0</v>
      </c>
    </row>
    <row r="29" spans="1:15" ht="18">
      <c r="A29" s="9"/>
      <c r="B29" s="9" t="s">
        <v>153</v>
      </c>
      <c r="C29" s="9" t="s">
        <v>10</v>
      </c>
      <c r="D29" t="s">
        <v>149</v>
      </c>
      <c r="E29" s="19">
        <f>50/100</f>
        <v>0.5</v>
      </c>
      <c r="F29" s="67">
        <v>0</v>
      </c>
    </row>
    <row r="30" spans="1:15" ht="18">
      <c r="A30" s="9"/>
      <c r="B30" s="53" t="s">
        <v>413</v>
      </c>
      <c r="C30" s="9" t="s">
        <v>10</v>
      </c>
      <c r="D30" t="s">
        <v>160</v>
      </c>
      <c r="E30" s="19">
        <f>30/1/2</f>
        <v>15</v>
      </c>
      <c r="F30" s="67">
        <v>0</v>
      </c>
    </row>
    <row r="31" spans="1:15" ht="18">
      <c r="A31" s="9"/>
      <c r="B31" s="9" t="s">
        <v>140</v>
      </c>
      <c r="C31" s="9" t="s">
        <v>10</v>
      </c>
      <c r="D31" t="s">
        <v>207</v>
      </c>
      <c r="E31" s="19">
        <f>50/25</f>
        <v>2</v>
      </c>
      <c r="F31" s="67">
        <v>0</v>
      </c>
    </row>
    <row r="32" spans="1:15" ht="18">
      <c r="A32" s="9"/>
      <c r="B32" s="9" t="s">
        <v>146</v>
      </c>
      <c r="C32" s="9" t="s">
        <v>10</v>
      </c>
      <c r="D32" t="s">
        <v>208</v>
      </c>
      <c r="E32" s="19">
        <f>50/25</f>
        <v>2</v>
      </c>
      <c r="F32" s="67">
        <v>0</v>
      </c>
    </row>
    <row r="33" spans="1:6" ht="18">
      <c r="A33" s="9"/>
      <c r="B33" s="9" t="s">
        <v>159</v>
      </c>
      <c r="C33" s="9" t="s">
        <v>10</v>
      </c>
      <c r="D33" t="s">
        <v>223</v>
      </c>
      <c r="E33" s="19">
        <v>2</v>
      </c>
      <c r="F33" s="67">
        <v>0</v>
      </c>
    </row>
    <row r="34" spans="1:6" ht="18">
      <c r="A34" s="9"/>
      <c r="B34" s="9" t="s">
        <v>163</v>
      </c>
      <c r="C34" s="9" t="s">
        <v>10</v>
      </c>
      <c r="D34" t="s">
        <v>224</v>
      </c>
      <c r="E34" s="19">
        <v>2</v>
      </c>
      <c r="F34" s="67">
        <v>0</v>
      </c>
    </row>
    <row r="35" spans="1:6" ht="18">
      <c r="B35" s="9" t="s">
        <v>117</v>
      </c>
      <c r="C35" s="9" t="s">
        <v>34</v>
      </c>
      <c r="D35" s="9" t="s">
        <v>12</v>
      </c>
      <c r="E35" s="19">
        <v>-50</v>
      </c>
      <c r="F35" s="67">
        <v>0</v>
      </c>
    </row>
    <row r="36" spans="1:6" ht="18">
      <c r="B36" s="9" t="s">
        <v>86</v>
      </c>
      <c r="C36" s="9" t="s">
        <v>34</v>
      </c>
      <c r="D36" s="9" t="s">
        <v>11</v>
      </c>
      <c r="E36" s="19">
        <v>-30</v>
      </c>
      <c r="F36" s="67">
        <v>0</v>
      </c>
    </row>
    <row r="37" spans="1:6" ht="18">
      <c r="B37" s="9" t="s">
        <v>168</v>
      </c>
      <c r="C37" s="9" t="s">
        <v>34</v>
      </c>
      <c r="D37" s="9" t="s">
        <v>9</v>
      </c>
      <c r="E37" s="19">
        <v>50</v>
      </c>
      <c r="F37" s="67">
        <v>0</v>
      </c>
    </row>
    <row r="38" spans="1:6" ht="18">
      <c r="B38" s="9" t="s">
        <v>29</v>
      </c>
      <c r="C38" s="9" t="s">
        <v>34</v>
      </c>
      <c r="D38" s="9" t="s">
        <v>234</v>
      </c>
      <c r="E38" s="19">
        <v>50</v>
      </c>
      <c r="F38" s="67">
        <v>0</v>
      </c>
    </row>
    <row r="39" spans="1:6" ht="18">
      <c r="B39" s="9" t="s">
        <v>166</v>
      </c>
      <c r="C39" s="9" t="s">
        <v>34</v>
      </c>
      <c r="D39" s="9" t="s">
        <v>110</v>
      </c>
      <c r="E39" s="19">
        <v>50</v>
      </c>
      <c r="F39" s="67">
        <v>0</v>
      </c>
    </row>
    <row r="40" spans="1:6" ht="18">
      <c r="B40" s="9" t="s">
        <v>116</v>
      </c>
      <c r="C40" s="9" t="s">
        <v>34</v>
      </c>
      <c r="D40" s="9" t="s">
        <v>142</v>
      </c>
      <c r="E40" s="19">
        <v>50</v>
      </c>
      <c r="F40" s="67">
        <v>0</v>
      </c>
    </row>
    <row r="42" spans="1:6">
      <c r="B42" s="2" t="s">
        <v>777</v>
      </c>
    </row>
    <row r="43" spans="1:6">
      <c r="B43" s="11" t="s">
        <v>787</v>
      </c>
      <c r="C43" s="11" t="s">
        <v>789</v>
      </c>
      <c r="D43" s="11" t="s">
        <v>790</v>
      </c>
      <c r="E43" s="11" t="s">
        <v>777</v>
      </c>
      <c r="F43" s="11" t="s">
        <v>700</v>
      </c>
    </row>
    <row r="44" spans="1:6" ht="18">
      <c r="B44" s="9" t="s">
        <v>778</v>
      </c>
      <c r="C44" s="63" t="b">
        <v>0</v>
      </c>
      <c r="D44">
        <v>0</v>
      </c>
      <c r="E44" s="19">
        <f>IF(스텟별가치29[[#This Row],[발동 여부]],스텟별가치29[[#This Row],[발동에 걸리는 시간]],-1)*(1+스텟별가치29[[#This Row],[OP계수]])</f>
        <v>-1</v>
      </c>
      <c r="F44" s="67">
        <v>0</v>
      </c>
    </row>
    <row r="45" spans="1:6" ht="18">
      <c r="B45" s="9" t="s">
        <v>779</v>
      </c>
      <c r="C45" s="63" t="b">
        <v>1</v>
      </c>
      <c r="D45" s="11" cm="1">
        <f t="array" ref="D45">CharacterAtkTable[SwingCooldown]+CharacterAtkTable[ChargeTime]</f>
        <v>1.1000000000000001</v>
      </c>
      <c r="E45" s="19">
        <f>IF(스텟별가치29[[#This Row],[발동 여부]],스텟별가치29[[#This Row],[발동에 걸리는 시간]],-1)*(1+스텟별가치29[[#This Row],[OP계수]])</f>
        <v>3.3000000000000003</v>
      </c>
      <c r="F45" s="67">
        <v>2</v>
      </c>
    </row>
    <row r="46" spans="1:6" ht="18">
      <c r="B46" s="9" t="s">
        <v>780</v>
      </c>
      <c r="C46" s="63" t="b">
        <v>1</v>
      </c>
      <c r="D46" s="11" cm="1">
        <f t="array" ref="D46">CharacterAtkTable[SwingCooldown]</f>
        <v>0.5</v>
      </c>
      <c r="E46" s="19">
        <f>IF(스텟별가치29[[#This Row],[발동 여부]],스텟별가치29[[#This Row],[발동에 걸리는 시간]],-1)*(1+스텟별가치29[[#This Row],[OP계수]])</f>
        <v>2</v>
      </c>
      <c r="F46" s="67">
        <v>3</v>
      </c>
    </row>
    <row r="47" spans="1:6">
      <c r="B47" t="s">
        <v>781</v>
      </c>
      <c r="C47" s="63" t="b">
        <v>1</v>
      </c>
      <c r="D47" s="11" cm="1">
        <f t="array" ref="D47">CharacterAtkTable[SwingCooldown]</f>
        <v>0.5</v>
      </c>
      <c r="E47" s="19">
        <f>IF(스텟별가치29[[#This Row],[발동 여부]],스텟별가치29[[#This Row],[발동에 걸리는 시간]],-1)*(1+스텟별가치29[[#This Row],[OP계수]])</f>
        <v>0.5</v>
      </c>
      <c r="F47" s="67">
        <v>0</v>
      </c>
    </row>
    <row r="48" spans="1:6">
      <c r="B48" t="s">
        <v>782</v>
      </c>
      <c r="C48" s="63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0.875</v>
      </c>
      <c r="F48" s="67">
        <v>0.75</v>
      </c>
    </row>
    <row r="49" spans="2:6">
      <c r="B49" t="s">
        <v>783</v>
      </c>
      <c r="C49" s="63" t="b">
        <v>1</v>
      </c>
      <c r="D49" s="11" cm="1">
        <f t="array" ref="D49">(CharacterTable[MaxHP]/25)+CharacterTable[MercyInvincibleTime]</f>
        <v>7.5</v>
      </c>
      <c r="E49" s="19">
        <f>IF(스텟별가치29[[#This Row],[발동 여부]],스텟별가치29[[#This Row],[발동에 걸리는 시간]],-1)*(1+스텟별가치29[[#This Row],[OP계수]])</f>
        <v>8.25</v>
      </c>
      <c r="F49" s="67">
        <v>0.1</v>
      </c>
    </row>
    <row r="50" spans="2:6">
      <c r="B50" t="s">
        <v>784</v>
      </c>
      <c r="C50" s="63" t="b">
        <v>1</v>
      </c>
      <c r="D50" s="11" cm="1">
        <f t="array" ref="D50">CharacterTable[DodgeCooldown]</f>
        <v>1.7</v>
      </c>
      <c r="E50" s="19">
        <f>IF(스텟별가치29[[#This Row],[발동 여부]],스텟별가치29[[#This Row],[발동에 걸리는 시간]],-1)*(1+스텟별가치29[[#This Row],[OP계수]])</f>
        <v>2.5499999999999998</v>
      </c>
      <c r="F50" s="67">
        <v>0.5</v>
      </c>
    </row>
    <row r="51" spans="2:6">
      <c r="B51" t="s">
        <v>785</v>
      </c>
      <c r="C51" s="63" t="b">
        <v>0</v>
      </c>
      <c r="D51" s="11">
        <v>0</v>
      </c>
      <c r="E51" s="19">
        <f>IF(스텟별가치29[[#This Row],[발동 여부]],스텟별가치29[[#This Row],[발동에 걸리는 시간]],-1)*(1+스텟별가치29[[#This Row],[OP계수]])</f>
        <v>-1</v>
      </c>
      <c r="F51" s="67">
        <v>0</v>
      </c>
    </row>
    <row r="52" spans="2:6">
      <c r="B52" t="s">
        <v>786</v>
      </c>
      <c r="C52" s="63" t="b">
        <v>0</v>
      </c>
      <c r="D52" s="11">
        <v>0</v>
      </c>
      <c r="E52" s="19">
        <f>IF(스텟별가치29[[#This Row],[발동 여부]],스텟별가치29[[#This Row],[발동에 걸리는 시간]],-1)*(1+스텟별가치29[[#This Row],[OP계수]])</f>
        <v>-1</v>
      </c>
      <c r="F52" s="67">
        <v>0</v>
      </c>
    </row>
    <row r="53" spans="2:6">
      <c r="C53" s="63"/>
      <c r="D53" s="67"/>
      <c r="E53" s="67"/>
      <c r="F53" s="67"/>
    </row>
    <row r="54" spans="2:6">
      <c r="B54" s="2" t="s">
        <v>777</v>
      </c>
    </row>
    <row r="55" spans="2:6">
      <c r="B55" s="11" t="s">
        <v>804</v>
      </c>
      <c r="C55" t="s">
        <v>806</v>
      </c>
      <c r="D55" s="11" t="s">
        <v>807</v>
      </c>
      <c r="E55" s="11" t="s">
        <v>805</v>
      </c>
      <c r="F55" s="11" t="s">
        <v>700</v>
      </c>
    </row>
    <row r="56" spans="2:6">
      <c r="B56" s="16" t="s">
        <v>449</v>
      </c>
      <c r="E56" s="19" cm="1">
        <f t="array" ref="E56">밸런스시트31[체력 상승량]</f>
        <v>1.2</v>
      </c>
    </row>
    <row r="57" spans="2:6">
      <c r="B57" s="16" t="s">
        <v>363</v>
      </c>
      <c r="E57" s="19"/>
    </row>
    <row r="58" spans="2:6">
      <c r="B58" s="16" t="s">
        <v>350</v>
      </c>
      <c r="E58" s="19"/>
    </row>
    <row r="59" spans="2:6">
      <c r="B59" s="48" t="s">
        <v>478</v>
      </c>
      <c r="E59" s="57">
        <v>1</v>
      </c>
    </row>
    <row r="60" spans="2:6">
      <c r="B60" s="16" t="s">
        <v>335</v>
      </c>
      <c r="E60" s="19"/>
    </row>
    <row r="61" spans="2:6">
      <c r="B61" s="16" t="s">
        <v>356</v>
      </c>
      <c r="E61" s="19"/>
    </row>
    <row r="62" spans="2:6">
      <c r="B62" s="16" t="s">
        <v>351</v>
      </c>
      <c r="E62" s="19"/>
    </row>
    <row r="63" spans="2:6">
      <c r="B63" s="16" t="s">
        <v>361</v>
      </c>
      <c r="E63" s="19"/>
    </row>
    <row r="64" spans="2:6">
      <c r="B64" s="20" t="s">
        <v>467</v>
      </c>
      <c r="E64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53</v>
      </c>
      <c r="B1" t="s">
        <v>28</v>
      </c>
      <c r="C1" t="s">
        <v>54</v>
      </c>
      <c r="D1" t="s">
        <v>28</v>
      </c>
    </row>
    <row r="2" spans="1:4">
      <c r="A2" t="s">
        <v>41</v>
      </c>
      <c r="B2" s="5" t="s">
        <v>60</v>
      </c>
      <c r="C2" t="s">
        <v>39</v>
      </c>
      <c r="D2" s="5" t="s">
        <v>24</v>
      </c>
    </row>
    <row r="3" spans="1:4">
      <c r="A3">
        <v>1</v>
      </c>
      <c r="B3" s="4" t="s">
        <v>112</v>
      </c>
      <c r="C3">
        <v>5</v>
      </c>
      <c r="D3" s="4" t="s">
        <v>127</v>
      </c>
    </row>
    <row r="4" spans="1:4">
      <c r="A4">
        <v>2</v>
      </c>
      <c r="B4" s="4" t="s">
        <v>157</v>
      </c>
      <c r="C4">
        <v>5</v>
      </c>
      <c r="D4" s="4" t="s">
        <v>111</v>
      </c>
    </row>
    <row r="5" spans="1:4">
      <c r="A5">
        <v>3</v>
      </c>
      <c r="B5" s="4" t="s">
        <v>164</v>
      </c>
      <c r="C5">
        <v>20</v>
      </c>
      <c r="D5" s="4" t="s">
        <v>1</v>
      </c>
    </row>
    <row r="6" spans="1:4">
      <c r="A6">
        <v>4</v>
      </c>
      <c r="B6" s="4" t="s">
        <v>165</v>
      </c>
      <c r="C6">
        <v>0.5</v>
      </c>
      <c r="D6" s="4" t="s">
        <v>121</v>
      </c>
    </row>
    <row r="7" spans="1:4">
      <c r="A7">
        <v>5</v>
      </c>
      <c r="B7" s="4" t="s">
        <v>203</v>
      </c>
      <c r="C7">
        <v>50</v>
      </c>
      <c r="D7" s="4" t="s">
        <v>233</v>
      </c>
    </row>
    <row r="8" spans="1:4">
      <c r="A8">
        <v>6</v>
      </c>
      <c r="B8" s="4" t="s">
        <v>206</v>
      </c>
      <c r="C8">
        <v>1</v>
      </c>
      <c r="D8" s="4" t="s">
        <v>109</v>
      </c>
    </row>
    <row r="9" spans="1:4">
      <c r="A9">
        <v>7</v>
      </c>
      <c r="B9" s="4" t="s">
        <v>232</v>
      </c>
      <c r="C9">
        <v>10</v>
      </c>
      <c r="D9" s="4" t="s">
        <v>231</v>
      </c>
    </row>
    <row r="10" spans="1:4">
      <c r="A10">
        <v>8</v>
      </c>
      <c r="B10" s="4" t="s">
        <v>13</v>
      </c>
      <c r="C10">
        <v>5</v>
      </c>
      <c r="D10" s="4" t="s">
        <v>107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G10" sqref="G10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1.83203125" bestFit="1" customWidth="1"/>
  </cols>
  <sheetData>
    <row r="1" spans="2:13">
      <c r="B1" t="s">
        <v>26</v>
      </c>
      <c r="C1" t="s">
        <v>28</v>
      </c>
      <c r="D1" t="s">
        <v>26</v>
      </c>
      <c r="E1" t="s">
        <v>54</v>
      </c>
      <c r="F1" t="s">
        <v>54</v>
      </c>
      <c r="G1" t="s">
        <v>54</v>
      </c>
      <c r="H1" t="s">
        <v>54</v>
      </c>
      <c r="I1" t="s">
        <v>54</v>
      </c>
      <c r="J1" t="s">
        <v>54</v>
      </c>
      <c r="K1" t="s">
        <v>95</v>
      </c>
      <c r="L1" t="s">
        <v>95</v>
      </c>
      <c r="M1" t="s">
        <v>26</v>
      </c>
    </row>
    <row r="2" spans="2:13">
      <c r="B2" t="s">
        <v>41</v>
      </c>
      <c r="C2" s="5" t="s">
        <v>24</v>
      </c>
      <c r="D2" t="s">
        <v>92</v>
      </c>
      <c r="E2" t="s">
        <v>173</v>
      </c>
      <c r="F2" t="s">
        <v>0</v>
      </c>
      <c r="G2" s="11" t="s">
        <v>381</v>
      </c>
      <c r="H2" t="s">
        <v>5</v>
      </c>
      <c r="I2" s="16" t="s">
        <v>359</v>
      </c>
      <c r="J2" t="s">
        <v>3</v>
      </c>
      <c r="K2" t="s">
        <v>14</v>
      </c>
      <c r="L2" t="s">
        <v>144</v>
      </c>
      <c r="M2" t="s">
        <v>167</v>
      </c>
    </row>
    <row r="3" spans="2:13">
      <c r="B3">
        <v>100</v>
      </c>
      <c r="C3" s="4" t="s">
        <v>19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V15"/>
  <sheetViews>
    <sheetView topLeftCell="F1" zoomScaleNormal="100" zoomScaleSheetLayoutView="100" workbookViewId="0">
      <selection activeCell="M9" sqref="M9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7.33203125" bestFit="1" customWidth="1"/>
    <col min="5" max="5" width="12.33203125" bestFit="1" customWidth="1"/>
    <col min="6" max="6" width="20.33203125" bestFit="1" customWidth="1"/>
    <col min="7" max="7" width="13.6640625" bestFit="1" customWidth="1"/>
    <col min="8" max="8" width="18.1640625" bestFit="1" customWidth="1"/>
    <col min="9" max="9" width="19.1640625" bestFit="1" customWidth="1"/>
    <col min="10" max="10" width="22.6640625" bestFit="1" customWidth="1"/>
    <col min="11" max="11" width="18.83203125" bestFit="1" customWidth="1"/>
    <col min="12" max="13" width="19.5" bestFit="1" customWidth="1"/>
    <col min="14" max="14" width="23.33203125" bestFit="1" customWidth="1"/>
    <col min="15" max="15" width="23.1640625" bestFit="1" customWidth="1"/>
    <col min="16" max="16" width="13.33203125" bestFit="1" customWidth="1"/>
    <col min="17" max="17" width="14.1640625" bestFit="1" customWidth="1"/>
    <col min="18" max="18" width="25.1640625" bestFit="1" customWidth="1"/>
    <col min="19" max="21" width="22.33203125" bestFit="1" customWidth="1"/>
    <col min="22" max="22" width="21.1640625" customWidth="1"/>
    <col min="23" max="23" width="27.1640625" bestFit="1" customWidth="1"/>
  </cols>
  <sheetData>
    <row r="1" spans="2:22">
      <c r="B1" t="s">
        <v>26</v>
      </c>
      <c r="C1" t="s">
        <v>28</v>
      </c>
      <c r="D1" t="s">
        <v>54</v>
      </c>
      <c r="E1" t="s">
        <v>54</v>
      </c>
      <c r="F1" t="s">
        <v>26</v>
      </c>
      <c r="G1" t="s">
        <v>54</v>
      </c>
      <c r="H1" t="s">
        <v>26</v>
      </c>
      <c r="I1" t="s">
        <v>26</v>
      </c>
      <c r="J1" t="s">
        <v>26</v>
      </c>
      <c r="K1" t="s">
        <v>26</v>
      </c>
      <c r="L1" t="s">
        <v>26</v>
      </c>
      <c r="M1" t="s">
        <v>26</v>
      </c>
      <c r="N1" t="s">
        <v>26</v>
      </c>
      <c r="O1" t="s">
        <v>26</v>
      </c>
      <c r="P1" t="s">
        <v>26</v>
      </c>
      <c r="V1" s="8"/>
    </row>
    <row r="2" spans="2:22">
      <c r="B2" t="s">
        <v>41</v>
      </c>
      <c r="C2" s="5" t="s">
        <v>24</v>
      </c>
      <c r="D2" s="33" t="s">
        <v>360</v>
      </c>
      <c r="E2" s="6" t="s">
        <v>200</v>
      </c>
      <c r="F2" s="37" t="s">
        <v>477</v>
      </c>
      <c r="G2" s="6" t="s">
        <v>218</v>
      </c>
      <c r="H2" s="6" t="s">
        <v>115</v>
      </c>
      <c r="I2" s="33" t="s">
        <v>428</v>
      </c>
      <c r="J2" s="37" t="s">
        <v>420</v>
      </c>
      <c r="K2" s="6" t="s">
        <v>16</v>
      </c>
      <c r="L2" s="7" t="s">
        <v>140</v>
      </c>
      <c r="M2" s="7" t="s">
        <v>146</v>
      </c>
      <c r="N2" s="38" t="s">
        <v>426</v>
      </c>
      <c r="O2" s="28" t="s">
        <v>427</v>
      </c>
      <c r="P2" s="1" t="s">
        <v>201</v>
      </c>
    </row>
    <row r="3" spans="2:22">
      <c r="B3">
        <v>200</v>
      </c>
      <c r="C3" s="4" t="s">
        <v>179</v>
      </c>
      <c r="D3">
        <v>0.5</v>
      </c>
      <c r="E3">
        <v>2.5</v>
      </c>
      <c r="F3">
        <v>120</v>
      </c>
      <c r="G3">
        <v>0.6</v>
      </c>
      <c r="H3">
        <v>0</v>
      </c>
      <c r="I3">
        <v>15</v>
      </c>
      <c r="J3">
        <v>2</v>
      </c>
      <c r="K3">
        <v>0</v>
      </c>
      <c r="L3">
        <v>25</v>
      </c>
      <c r="M3">
        <v>30</v>
      </c>
      <c r="N3">
        <v>30</v>
      </c>
      <c r="O3">
        <v>40</v>
      </c>
      <c r="P3">
        <v>1</v>
      </c>
    </row>
    <row r="5" spans="2:22">
      <c r="L5" s="11"/>
    </row>
    <row r="15" spans="2:22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D4" sqref="D4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26</v>
      </c>
      <c r="C1" t="s">
        <v>28</v>
      </c>
      <c r="D1" t="s">
        <v>26</v>
      </c>
      <c r="E1" t="s">
        <v>54</v>
      </c>
      <c r="F1" t="s">
        <v>54</v>
      </c>
      <c r="G1" t="s">
        <v>54</v>
      </c>
      <c r="H1" t="s">
        <v>26</v>
      </c>
      <c r="I1" t="s">
        <v>26</v>
      </c>
      <c r="J1" t="s">
        <v>26</v>
      </c>
      <c r="K1" t="s">
        <v>26</v>
      </c>
      <c r="L1" t="s">
        <v>26</v>
      </c>
      <c r="M1" t="s">
        <v>26</v>
      </c>
      <c r="N1" t="s">
        <v>28</v>
      </c>
      <c r="O1" t="s">
        <v>28</v>
      </c>
      <c r="P1" t="s">
        <v>28</v>
      </c>
      <c r="Q1" t="s">
        <v>28</v>
      </c>
      <c r="R1" t="s">
        <v>28</v>
      </c>
      <c r="S1" t="s">
        <v>28</v>
      </c>
    </row>
    <row r="2" spans="2:19">
      <c r="B2" t="s">
        <v>41</v>
      </c>
      <c r="C2" s="5" t="s">
        <v>37</v>
      </c>
      <c r="D2" t="s">
        <v>134</v>
      </c>
      <c r="E2" s="23" t="s">
        <v>126</v>
      </c>
      <c r="F2" s="23" t="s">
        <v>174</v>
      </c>
      <c r="G2" t="s">
        <v>6</v>
      </c>
      <c r="H2" t="s">
        <v>190</v>
      </c>
      <c r="I2" t="s">
        <v>132</v>
      </c>
      <c r="J2" t="s">
        <v>131</v>
      </c>
      <c r="K2" t="s">
        <v>177</v>
      </c>
      <c r="L2" t="s">
        <v>128</v>
      </c>
      <c r="M2" t="s">
        <v>133</v>
      </c>
      <c r="N2" s="5" t="s">
        <v>74</v>
      </c>
      <c r="O2" s="5" t="s">
        <v>80</v>
      </c>
      <c r="P2" s="5" t="s">
        <v>81</v>
      </c>
      <c r="Q2" s="5" t="s">
        <v>82</v>
      </c>
      <c r="R2" s="5" t="s">
        <v>83</v>
      </c>
      <c r="S2" s="5" t="s">
        <v>77</v>
      </c>
    </row>
    <row r="3" spans="2:19">
      <c r="B3">
        <v>800</v>
      </c>
      <c r="C3" s="13" t="s">
        <v>401</v>
      </c>
      <c r="D3">
        <v>7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402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404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26</v>
      </c>
      <c r="C1" t="s">
        <v>28</v>
      </c>
      <c r="D1" t="s">
        <v>54</v>
      </c>
      <c r="E1" t="s">
        <v>54</v>
      </c>
      <c r="F1" t="s">
        <v>54</v>
      </c>
      <c r="G1" t="s">
        <v>54</v>
      </c>
      <c r="H1" t="s">
        <v>54</v>
      </c>
      <c r="I1" t="s">
        <v>54</v>
      </c>
    </row>
    <row r="2" spans="1:11">
      <c r="B2" t="s">
        <v>41</v>
      </c>
      <c r="C2" s="5" t="s">
        <v>22</v>
      </c>
      <c r="D2" t="s">
        <v>45</v>
      </c>
      <c r="E2" t="s">
        <v>46</v>
      </c>
      <c r="F2" t="s">
        <v>50</v>
      </c>
      <c r="G2" s="16" t="s">
        <v>364</v>
      </c>
      <c r="H2" t="s">
        <v>27</v>
      </c>
      <c r="I2" t="s">
        <v>52</v>
      </c>
    </row>
    <row r="3" spans="1:11">
      <c r="B3" s="23">
        <v>9001</v>
      </c>
      <c r="C3" s="25" t="s">
        <v>320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319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316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251</v>
      </c>
      <c r="B6">
        <v>9100</v>
      </c>
      <c r="C6" s="13" t="s">
        <v>317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28</v>
      </c>
      <c r="B7" s="26">
        <v>9101</v>
      </c>
      <c r="C7" s="27" t="s">
        <v>318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28</v>
      </c>
      <c r="B8" s="26">
        <v>9102</v>
      </c>
      <c r="C8" s="27" t="s">
        <v>182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28</v>
      </c>
      <c r="B9" s="26">
        <v>9103</v>
      </c>
      <c r="C9" s="27" t="s">
        <v>65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28</v>
      </c>
      <c r="B10" s="26">
        <v>9104</v>
      </c>
      <c r="C10" s="27" t="s">
        <v>64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28</v>
      </c>
      <c r="B11" s="26">
        <v>9105</v>
      </c>
      <c r="C11" s="27" t="s">
        <v>191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H1" zoomScaleNormal="75" zoomScaleSheetLayoutView="100" workbookViewId="0">
      <selection activeCell="A4" sqref="A4:XFD4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customWidth="1"/>
    <col min="6" max="6" width="14.5" customWidth="1"/>
    <col min="7" max="7" width="12.83203125" customWidth="1"/>
    <col min="8" max="8" width="14" customWidth="1"/>
    <col min="9" max="9" width="27.83203125" customWidth="1"/>
    <col min="10" max="10" width="17" customWidth="1"/>
    <col min="11" max="11" width="19.33203125" customWidth="1"/>
    <col min="12" max="12" width="17.5" customWidth="1"/>
    <col min="13" max="13" width="15.6640625" customWidth="1"/>
    <col min="14" max="14" width="17.1640625" customWidth="1"/>
    <col min="15" max="15" width="12.6640625" customWidth="1"/>
    <col min="16" max="16" width="17.6640625" customWidth="1"/>
    <col min="17" max="17" width="16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26</v>
      </c>
      <c r="C1" s="16" t="s">
        <v>339</v>
      </c>
      <c r="D1" s="11" t="s">
        <v>251</v>
      </c>
      <c r="E1" t="s">
        <v>26</v>
      </c>
      <c r="F1" t="s">
        <v>54</v>
      </c>
      <c r="G1" t="s">
        <v>68</v>
      </c>
      <c r="H1" t="s">
        <v>26</v>
      </c>
      <c r="I1" t="s">
        <v>54</v>
      </c>
      <c r="J1" t="s">
        <v>54</v>
      </c>
      <c r="K1" s="16" t="s">
        <v>323</v>
      </c>
      <c r="L1" t="s">
        <v>54</v>
      </c>
      <c r="M1" t="s">
        <v>68</v>
      </c>
      <c r="N1" t="s">
        <v>54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  <c r="T1" t="s">
        <v>53</v>
      </c>
      <c r="U1" t="s">
        <v>28</v>
      </c>
      <c r="V1" t="s">
        <v>28</v>
      </c>
    </row>
    <row r="2" spans="2:22">
      <c r="B2" t="s">
        <v>41</v>
      </c>
      <c r="C2" s="31" t="s">
        <v>338</v>
      </c>
      <c r="D2" s="12" t="s">
        <v>251</v>
      </c>
      <c r="E2" t="s">
        <v>72</v>
      </c>
      <c r="F2" s="16" t="s">
        <v>315</v>
      </c>
      <c r="G2" t="s">
        <v>184</v>
      </c>
      <c r="H2" t="s">
        <v>186</v>
      </c>
      <c r="I2" s="16" t="s">
        <v>343</v>
      </c>
      <c r="J2" t="s">
        <v>0</v>
      </c>
      <c r="K2" s="16" t="s">
        <v>324</v>
      </c>
      <c r="L2" t="s">
        <v>124</v>
      </c>
      <c r="M2" t="s">
        <v>120</v>
      </c>
      <c r="N2" t="s">
        <v>122</v>
      </c>
      <c r="O2" t="s">
        <v>183</v>
      </c>
      <c r="P2" t="s">
        <v>129</v>
      </c>
      <c r="Q2" t="s">
        <v>189</v>
      </c>
      <c r="R2" t="s">
        <v>187</v>
      </c>
      <c r="S2" t="s">
        <v>2</v>
      </c>
      <c r="T2" t="s">
        <v>192</v>
      </c>
      <c r="U2" s="5" t="s">
        <v>194</v>
      </c>
      <c r="V2" s="5" t="s">
        <v>210</v>
      </c>
    </row>
    <row r="3" spans="2:22">
      <c r="B3">
        <v>500</v>
      </c>
      <c r="C3" s="4" t="s">
        <v>21</v>
      </c>
      <c r="D3" s="13" t="s">
        <v>252</v>
      </c>
      <c r="E3">
        <f>표14[적 기준 체력]*EnemyGameData[[#This Row],['#기준 적 체력 비율]]</f>
        <v>20</v>
      </c>
      <c r="F3">
        <v>16</v>
      </c>
      <c r="G3" t="s">
        <v>66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40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336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440</v>
      </c>
      <c r="D4" s="13" t="s">
        <v>254</v>
      </c>
      <c r="E4">
        <f>표14[적 기준 체력]*EnemyGameData[[#This Row],['#기준 적 체력 비율]]</f>
        <v>80</v>
      </c>
      <c r="F4">
        <v>50</v>
      </c>
      <c r="G4" t="s">
        <v>66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353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430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441</v>
      </c>
      <c r="D5" s="13" t="s">
        <v>255</v>
      </c>
      <c r="E5">
        <f>표14[적 기준 체력]*EnemyGameData[[#This Row],['#기준 적 체력 비율]]</f>
        <v>100</v>
      </c>
      <c r="F5">
        <v>16</v>
      </c>
      <c r="G5" t="s">
        <v>66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67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431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442</v>
      </c>
      <c r="D6" s="13" t="s">
        <v>274</v>
      </c>
      <c r="E6">
        <f>표14[적 기준 체력]*EnemyGameData[[#This Row],['#기준 적 체력 비율]]</f>
        <v>80</v>
      </c>
      <c r="F6">
        <v>16</v>
      </c>
      <c r="G6" t="s">
        <v>193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67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432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433</v>
      </c>
      <c r="C7" s="21" t="s">
        <v>150</v>
      </c>
      <c r="D7" s="21" t="s">
        <v>278</v>
      </c>
      <c r="E7" s="20">
        <f>표14[적 기준 체력]*EnemyGameData[[#This Row],['#기준 적 체력 비율]]</f>
        <v>80</v>
      </c>
      <c r="F7">
        <v>16</v>
      </c>
      <c r="G7" s="20" t="s">
        <v>193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67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337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434</v>
      </c>
      <c r="C8" s="21" t="s">
        <v>151</v>
      </c>
      <c r="D8" s="21" t="s">
        <v>278</v>
      </c>
      <c r="E8" s="20">
        <f>표14[적 기준 체력]*EnemyGameData[[#This Row],['#기준 적 체력 비율]]</f>
        <v>100</v>
      </c>
      <c r="F8">
        <v>16</v>
      </c>
      <c r="G8" s="20" t="s">
        <v>193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67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337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443</v>
      </c>
      <c r="D9" s="13" t="s">
        <v>277</v>
      </c>
      <c r="E9">
        <f>표14[적 기준 체력]*EnemyGameData[[#This Row],['#기준 적 체력 비율]]</f>
        <v>100</v>
      </c>
      <c r="F9">
        <v>16</v>
      </c>
      <c r="G9" t="s">
        <v>193</v>
      </c>
      <c r="H9">
        <v>4</v>
      </c>
      <c r="I9">
        <v>1.4</v>
      </c>
      <c r="J9">
        <v>2</v>
      </c>
      <c r="K9">
        <v>0</v>
      </c>
      <c r="L9">
        <v>1</v>
      </c>
      <c r="M9" t="s">
        <v>67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435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228</v>
      </c>
      <c r="D10" s="4"/>
      <c r="E10">
        <v>3000</v>
      </c>
      <c r="F10">
        <v>16</v>
      </c>
      <c r="G10" t="s">
        <v>66</v>
      </c>
      <c r="H10">
        <v>0.5</v>
      </c>
      <c r="I10">
        <v>2</v>
      </c>
      <c r="J10">
        <v>1.5</v>
      </c>
      <c r="K10">
        <v>0</v>
      </c>
      <c r="L10">
        <v>3</v>
      </c>
      <c r="M10" t="s">
        <v>67</v>
      </c>
      <c r="N10">
        <f>IF(EnemyGameData[[#This Row],[SpacingRad]]&lt;3,5,EnemyGameData[[#This Row],[SpacingRad]]+1)</f>
        <v>5</v>
      </c>
      <c r="O10">
        <v>0</v>
      </c>
      <c r="P10">
        <v>0</v>
      </c>
      <c r="Q10">
        <v>25</v>
      </c>
      <c r="R10">
        <v>25</v>
      </c>
      <c r="S10">
        <v>0</v>
      </c>
      <c r="T10" s="16" t="s">
        <v>503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4" t="s">
        <v>444</v>
      </c>
      <c r="D11" s="13" t="s">
        <v>280</v>
      </c>
      <c r="E11">
        <f>표14[적 기준 체력]*EnemyGameData[[#This Row],['#기준 적 체력 비율]]</f>
        <v>80</v>
      </c>
      <c r="F11">
        <v>50</v>
      </c>
      <c r="G11" t="s">
        <v>193</v>
      </c>
      <c r="H11">
        <v>9</v>
      </c>
      <c r="I11">
        <v>2</v>
      </c>
      <c r="J11">
        <v>2</v>
      </c>
      <c r="K11">
        <v>0</v>
      </c>
      <c r="L11">
        <v>1.8</v>
      </c>
      <c r="M11" t="s">
        <v>135</v>
      </c>
      <c r="N11">
        <f>IF(EnemyGameData[[#This Row],[SpacingRad]]&lt;3,5,EnemyGameData[[#This Row],[SpacingRad]]+1)</f>
        <v>10</v>
      </c>
      <c r="O11">
        <v>607</v>
      </c>
      <c r="P11">
        <v>0</v>
      </c>
      <c r="Q11">
        <v>4</v>
      </c>
      <c r="R11">
        <v>6</v>
      </c>
      <c r="S11">
        <v>501</v>
      </c>
      <c r="T11" s="16" t="s">
        <v>438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3" t="s">
        <v>445</v>
      </c>
      <c r="D12" s="13" t="s">
        <v>253</v>
      </c>
      <c r="E12">
        <f>표14[적 기준 체력]*EnemyGameData[[#This Row],['#기준 적 체력 비율]]</f>
        <v>140</v>
      </c>
      <c r="F12">
        <v>50</v>
      </c>
      <c r="G12" s="16" t="s">
        <v>425</v>
      </c>
      <c r="H12">
        <v>12</v>
      </c>
      <c r="I12">
        <v>2</v>
      </c>
      <c r="J12">
        <v>3</v>
      </c>
      <c r="K12">
        <v>0</v>
      </c>
      <c r="L12">
        <v>1.3</v>
      </c>
      <c r="M12" t="s">
        <v>135</v>
      </c>
      <c r="N12">
        <f>IF(EnemyGameData[[#This Row],[SpacingRad]]&lt;3,5,EnemyGameData[[#This Row],[SpacingRad]]+1)</f>
        <v>13</v>
      </c>
      <c r="O12">
        <v>650</v>
      </c>
      <c r="P12">
        <v>0</v>
      </c>
      <c r="Q12">
        <v>7</v>
      </c>
      <c r="R12">
        <v>12</v>
      </c>
      <c r="S12">
        <v>501</v>
      </c>
      <c r="T12" s="16" t="s">
        <v>439</v>
      </c>
      <c r="U12">
        <v>1.4</v>
      </c>
      <c r="V12">
        <v>7</v>
      </c>
    </row>
    <row r="13" spans="2:22">
      <c r="B13" s="39">
        <v>551</v>
      </c>
      <c r="C13" s="40" t="s">
        <v>446</v>
      </c>
      <c r="D13" s="40" t="s">
        <v>256</v>
      </c>
      <c r="E13" s="39">
        <f>표14[적 기준 체력]*EnemyGameData[[#This Row],['#기준 적 체력 비율]]</f>
        <v>160</v>
      </c>
      <c r="F13">
        <v>16</v>
      </c>
      <c r="G13" s="39" t="s">
        <v>66</v>
      </c>
      <c r="H13" s="39">
        <v>5</v>
      </c>
      <c r="I13" s="39">
        <v>1.2</v>
      </c>
      <c r="J13" s="39">
        <v>3</v>
      </c>
      <c r="K13" s="39">
        <v>0</v>
      </c>
      <c r="L13" s="39">
        <v>1.5</v>
      </c>
      <c r="M13" s="39" t="s">
        <v>67</v>
      </c>
      <c r="N13">
        <f>IF(EnemyGameData[[#This Row],[SpacingRad]]&lt;3,5,EnemyGameData[[#This Row],[SpacingRad]]+1)</f>
        <v>6</v>
      </c>
      <c r="O13" s="39">
        <v>651</v>
      </c>
      <c r="P13" s="39">
        <v>0</v>
      </c>
      <c r="Q13" s="39">
        <v>3</v>
      </c>
      <c r="R13" s="39">
        <v>5</v>
      </c>
      <c r="S13" s="39">
        <v>501</v>
      </c>
      <c r="T13" s="39" t="s">
        <v>431</v>
      </c>
      <c r="U13" s="39">
        <v>1.6</v>
      </c>
      <c r="V13" s="39">
        <v>7</v>
      </c>
    </row>
    <row r="14" spans="2:22">
      <c r="B14">
        <v>552</v>
      </c>
      <c r="C14" s="13" t="s">
        <v>447</v>
      </c>
      <c r="D14" s="13" t="s">
        <v>275</v>
      </c>
      <c r="E14">
        <f>표14[적 기준 체력]*EnemyGameData[[#This Row],['#기준 적 체력 비율]]</f>
        <v>140</v>
      </c>
      <c r="F14">
        <v>16</v>
      </c>
      <c r="G14" t="s">
        <v>193</v>
      </c>
      <c r="H14">
        <v>8</v>
      </c>
      <c r="I14">
        <v>1.2</v>
      </c>
      <c r="J14">
        <v>3</v>
      </c>
      <c r="K14">
        <v>0</v>
      </c>
      <c r="L14">
        <v>1.2</v>
      </c>
      <c r="M14" t="s">
        <v>67</v>
      </c>
      <c r="N14">
        <f>IF(EnemyGameData[[#This Row],[SpacingRad]]&lt;3,5,EnemyGameData[[#This Row],[SpacingRad]]+1)</f>
        <v>9</v>
      </c>
      <c r="O14">
        <v>652</v>
      </c>
      <c r="P14">
        <v>0</v>
      </c>
      <c r="Q14">
        <v>7</v>
      </c>
      <c r="R14" s="11">
        <v>12</v>
      </c>
      <c r="S14">
        <v>501</v>
      </c>
      <c r="T14" s="16" t="s">
        <v>437</v>
      </c>
      <c r="U14">
        <v>1.4</v>
      </c>
      <c r="V14">
        <v>7</v>
      </c>
    </row>
    <row r="15" spans="2:22">
      <c r="B15">
        <v>553</v>
      </c>
      <c r="C15" s="14" t="s">
        <v>448</v>
      </c>
      <c r="D15" s="13" t="s">
        <v>276</v>
      </c>
      <c r="E15">
        <f>표14[적 기준 체력]*EnemyGameData[[#This Row],['#기준 적 체력 비율]]</f>
        <v>160</v>
      </c>
      <c r="F15">
        <v>16</v>
      </c>
      <c r="G15" t="s">
        <v>193</v>
      </c>
      <c r="H15">
        <v>4</v>
      </c>
      <c r="I15">
        <v>2.5</v>
      </c>
      <c r="J15">
        <v>3</v>
      </c>
      <c r="K15">
        <v>0</v>
      </c>
      <c r="L15">
        <v>1.6</v>
      </c>
      <c r="M15" t="s">
        <v>67</v>
      </c>
      <c r="N15">
        <f>IF(EnemyGameData[[#This Row],[SpacingRad]]&lt;3,5,EnemyGameData[[#This Row],[SpacingRad]]+1)</f>
        <v>5</v>
      </c>
      <c r="O15">
        <v>604</v>
      </c>
      <c r="P15">
        <v>0</v>
      </c>
      <c r="Q15">
        <v>7</v>
      </c>
      <c r="R15">
        <v>12</v>
      </c>
      <c r="S15">
        <v>501</v>
      </c>
      <c r="T15" s="16" t="s">
        <v>436</v>
      </c>
      <c r="U15">
        <v>1.6</v>
      </c>
      <c r="V15">
        <f>AVERAGE(EnemyGameData[[#This Row],[GoldDropMin]],EnemyGameData[[#This Row],[GoldDropMax]])</f>
        <v>9.5</v>
      </c>
    </row>
    <row r="16" spans="2:22" s="20" customFormat="1">
      <c r="B16" s="20" t="s">
        <v>429</v>
      </c>
      <c r="C16" s="22" t="s">
        <v>279</v>
      </c>
      <c r="D16" s="21" t="s">
        <v>278</v>
      </c>
      <c r="E16" s="20">
        <f>표14[적 기준 체력]*EnemyGameData[[#This Row],['#기준 적 체력 비율]]</f>
        <v>20</v>
      </c>
      <c r="F16">
        <v>16</v>
      </c>
      <c r="G16" s="20" t="s">
        <v>66</v>
      </c>
      <c r="H16" s="20">
        <v>1</v>
      </c>
      <c r="I16" s="20">
        <v>0.3</v>
      </c>
      <c r="J16" s="20">
        <v>1.8</v>
      </c>
      <c r="K16">
        <v>25</v>
      </c>
      <c r="L16" s="20">
        <v>0</v>
      </c>
      <c r="M16" s="20" t="s">
        <v>40</v>
      </c>
      <c r="N16">
        <f>IF(EnemyGameData[[#This Row],[SpacingRad]]&lt;3,5,EnemyGameData[[#This Row],[SpacingRad]]+1)</f>
        <v>5</v>
      </c>
      <c r="O16" s="20">
        <v>0</v>
      </c>
      <c r="P16" s="20">
        <v>0</v>
      </c>
      <c r="Q16" s="20">
        <v>0</v>
      </c>
      <c r="R16" s="20">
        <v>0</v>
      </c>
      <c r="S16" s="20">
        <v>501</v>
      </c>
      <c r="T16" s="20" t="s">
        <v>336</v>
      </c>
      <c r="U16" s="20">
        <v>0.2</v>
      </c>
      <c r="V16" s="20">
        <f>AVERAGE(EnemyGameData[[#This Row],[GoldDropMin]],EnemyGameData[[#This Row],[GoldDropMax]])</f>
        <v>0</v>
      </c>
    </row>
    <row r="20" spans="19:19">
      <c r="S20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8"/>
  <sheetViews>
    <sheetView zoomScaleNormal="75" zoomScaleSheetLayoutView="100" workbookViewId="0">
      <selection activeCell="E23" sqref="E23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26</v>
      </c>
      <c r="C1" t="s">
        <v>28</v>
      </c>
      <c r="D1" t="s">
        <v>26</v>
      </c>
      <c r="E1" t="s">
        <v>68</v>
      </c>
      <c r="F1" t="s">
        <v>54</v>
      </c>
      <c r="G1" t="s">
        <v>54</v>
      </c>
      <c r="H1" s="11" t="s">
        <v>251</v>
      </c>
      <c r="I1" s="11" t="s">
        <v>251</v>
      </c>
    </row>
    <row r="2" spans="2:9">
      <c r="B2" t="s">
        <v>41</v>
      </c>
      <c r="C2" s="5" t="s">
        <v>24</v>
      </c>
      <c r="D2" t="s">
        <v>198</v>
      </c>
      <c r="E2" t="s">
        <v>70</v>
      </c>
      <c r="F2" t="s">
        <v>197</v>
      </c>
      <c r="G2" t="s">
        <v>195</v>
      </c>
      <c r="H2" s="11" t="s">
        <v>251</v>
      </c>
      <c r="I2" s="11" t="s">
        <v>302</v>
      </c>
    </row>
    <row r="3" spans="2:9">
      <c r="B3">
        <v>600</v>
      </c>
      <c r="C3" s="15" t="s">
        <v>294</v>
      </c>
      <c r="D3">
        <v>700</v>
      </c>
      <c r="E3" t="s">
        <v>94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3" t="s">
        <v>257</v>
      </c>
      <c r="D4">
        <v>702</v>
      </c>
      <c r="E4" t="s">
        <v>90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3" t="s">
        <v>257</v>
      </c>
      <c r="D5">
        <v>706</v>
      </c>
      <c r="E5" t="s">
        <v>90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3" t="s">
        <v>257</v>
      </c>
      <c r="D6">
        <v>712</v>
      </c>
      <c r="E6" t="s">
        <v>90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3" t="s">
        <v>257</v>
      </c>
      <c r="D7">
        <v>709</v>
      </c>
      <c r="E7" t="s">
        <v>90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3" t="s">
        <v>257</v>
      </c>
      <c r="D8">
        <v>711</v>
      </c>
      <c r="E8" t="s">
        <v>90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3" t="s">
        <v>257</v>
      </c>
      <c r="D9">
        <v>708</v>
      </c>
      <c r="E9" t="s">
        <v>90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3" t="s">
        <v>257</v>
      </c>
      <c r="D10">
        <v>718</v>
      </c>
      <c r="E10" t="s">
        <v>90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3" t="s">
        <v>257</v>
      </c>
      <c r="D11">
        <v>710</v>
      </c>
      <c r="E11" t="s">
        <v>90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3" t="s">
        <v>257</v>
      </c>
      <c r="D12">
        <v>703</v>
      </c>
      <c r="E12" t="s">
        <v>90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5" t="s">
        <v>290</v>
      </c>
      <c r="D13">
        <v>719</v>
      </c>
      <c r="E13" t="s">
        <v>90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96</v>
      </c>
      <c r="D14">
        <v>720</v>
      </c>
      <c r="E14" t="s">
        <v>90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5" t="s">
        <v>298</v>
      </c>
      <c r="D15">
        <v>721</v>
      </c>
      <c r="E15" t="s">
        <v>90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5" t="s">
        <v>298</v>
      </c>
      <c r="D16">
        <v>722</v>
      </c>
      <c r="E16" t="s">
        <v>90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5" t="s">
        <v>298</v>
      </c>
      <c r="D17">
        <v>723</v>
      </c>
      <c r="E17" t="s">
        <v>90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5" t="s">
        <v>289</v>
      </c>
      <c r="D18">
        <v>724</v>
      </c>
      <c r="E18" t="s">
        <v>90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220</v>
      </c>
      <c r="D19">
        <v>724</v>
      </c>
      <c r="E19" t="s">
        <v>90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220</v>
      </c>
      <c r="D20">
        <v>724</v>
      </c>
      <c r="E20" t="s">
        <v>90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220</v>
      </c>
      <c r="D21">
        <v>724</v>
      </c>
      <c r="E21" t="s">
        <v>90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7" t="s">
        <v>288</v>
      </c>
      <c r="D22">
        <v>701</v>
      </c>
      <c r="E22" t="s">
        <v>94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5" t="s">
        <v>295</v>
      </c>
      <c r="D23">
        <v>727</v>
      </c>
      <c r="E23" t="s">
        <v>94</v>
      </c>
      <c r="F23">
        <v>1.5</v>
      </c>
      <c r="G23">
        <v>0.5</v>
      </c>
      <c r="H23" t="str">
        <f>INDEX(ShootTable['#설명],MATCH(EnemyAtkTable[[#This Row],[ShootDataId]],ShootTable[Index],0))</f>
        <v>16방향 발사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5" t="s">
        <v>296</v>
      </c>
      <c r="D24">
        <v>727</v>
      </c>
      <c r="E24" t="s">
        <v>94</v>
      </c>
      <c r="F24">
        <v>1.5</v>
      </c>
      <c r="G24">
        <v>0.5</v>
      </c>
      <c r="H24" t="str">
        <f>INDEX(ShootTable['#설명],MATCH(EnemyAtkTable[[#This Row],[ShootDataId]],ShootTable[Index],0))</f>
        <v>16방향 발사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5" t="s">
        <v>297</v>
      </c>
      <c r="D25">
        <v>727</v>
      </c>
      <c r="E25" t="s">
        <v>94</v>
      </c>
      <c r="F25">
        <v>1.5</v>
      </c>
      <c r="G25">
        <v>0.6</v>
      </c>
      <c r="H25" t="str">
        <f>INDEX(ShootTable['#설명],MATCH(EnemyAtkTable[[#This Row],[ShootDataId]],ShootTable[Index],0))</f>
        <v>16방향 발사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7" t="s">
        <v>313</v>
      </c>
      <c r="D26">
        <v>716</v>
      </c>
      <c r="E26" t="s">
        <v>90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313</v>
      </c>
      <c r="D27">
        <v>718</v>
      </c>
      <c r="E27" t="s">
        <v>90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7" t="s">
        <v>313</v>
      </c>
      <c r="D28">
        <v>708</v>
      </c>
      <c r="E28" t="s">
        <v>90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7" t="s">
        <v>313</v>
      </c>
      <c r="D29">
        <v>712</v>
      </c>
      <c r="E29" t="s">
        <v>90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7" t="s">
        <v>313</v>
      </c>
      <c r="D30">
        <v>708</v>
      </c>
      <c r="E30" t="s">
        <v>90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7" t="s">
        <v>313</v>
      </c>
      <c r="D31">
        <v>711</v>
      </c>
      <c r="E31" t="s">
        <v>90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7" t="s">
        <v>313</v>
      </c>
      <c r="D32">
        <v>713</v>
      </c>
      <c r="E32" t="s">
        <v>90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7" t="s">
        <v>313</v>
      </c>
      <c r="D33">
        <v>713</v>
      </c>
      <c r="E33" t="s">
        <v>90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7" t="s">
        <v>313</v>
      </c>
      <c r="D34">
        <v>705</v>
      </c>
      <c r="E34" t="s">
        <v>90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7" t="s">
        <v>313</v>
      </c>
      <c r="D35">
        <v>706</v>
      </c>
      <c r="E35" t="s">
        <v>90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7" t="s">
        <v>313</v>
      </c>
      <c r="D36">
        <v>711</v>
      </c>
      <c r="E36" t="s">
        <v>90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7" t="s">
        <v>313</v>
      </c>
      <c r="D37">
        <v>712</v>
      </c>
      <c r="E37" t="s">
        <v>90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7" t="s">
        <v>313</v>
      </c>
      <c r="D38">
        <v>708</v>
      </c>
      <c r="E38" t="s">
        <v>90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7" t="s">
        <v>313</v>
      </c>
      <c r="D39">
        <v>702</v>
      </c>
      <c r="E39" t="s">
        <v>90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7" t="s">
        <v>313</v>
      </c>
      <c r="D40">
        <v>708</v>
      </c>
      <c r="E40" t="s">
        <v>90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7" t="s">
        <v>313</v>
      </c>
      <c r="D41">
        <v>717</v>
      </c>
      <c r="E41" t="s">
        <v>90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7" t="s">
        <v>299</v>
      </c>
      <c r="D42">
        <v>726</v>
      </c>
      <c r="E42" t="s">
        <v>90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7" t="s">
        <v>300</v>
      </c>
      <c r="D43">
        <v>726</v>
      </c>
      <c r="E43" t="s">
        <v>90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7" t="s">
        <v>301</v>
      </c>
      <c r="D44">
        <v>726</v>
      </c>
      <c r="E44" t="s">
        <v>90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29" t="s">
        <v>283</v>
      </c>
      <c r="D45">
        <v>1000</v>
      </c>
      <c r="E45" s="16" t="s">
        <v>281</v>
      </c>
      <c r="F45">
        <v>0.7</v>
      </c>
      <c r="G45">
        <v>0</v>
      </c>
      <c r="H45" t="str">
        <f>INDEX(ShootTable['#설명],MATCH(EnemyAtkTable[[#This Row],[ShootDataId]],ShootTable[Index],0))</f>
        <v>8방향 발사0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7" t="s">
        <v>283</v>
      </c>
      <c r="D46">
        <v>1001</v>
      </c>
      <c r="E46" s="16" t="s">
        <v>281</v>
      </c>
      <c r="F46">
        <v>0.7</v>
      </c>
      <c r="G46">
        <v>0</v>
      </c>
      <c r="H46" t="str">
        <f>INDEX(ShootTable['#설명],MATCH(EnemyAtkTable[[#This Row],[ShootDataId]],ShootTable[Index],0))</f>
        <v>8방향 발사1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7" t="s">
        <v>283</v>
      </c>
      <c r="D47">
        <v>1002</v>
      </c>
      <c r="E47" s="16" t="s">
        <v>281</v>
      </c>
      <c r="F47">
        <v>0.5</v>
      </c>
      <c r="G47">
        <v>0</v>
      </c>
      <c r="H47" t="str">
        <f>INDEX(ShootTable['#설명],MATCH(EnemyAtkTable[[#This Row],[ShootDataId]],ShootTable[Index],0))</f>
        <v>8방향 발사2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7" t="s">
        <v>283</v>
      </c>
      <c r="D48">
        <v>1003</v>
      </c>
      <c r="E48" s="16" t="s">
        <v>281</v>
      </c>
      <c r="F48">
        <v>0.5</v>
      </c>
      <c r="G48">
        <v>0</v>
      </c>
      <c r="H48" t="str">
        <f>INDEX(ShootTable['#설명],MATCH(EnemyAtkTable[[#This Row],[ShootDataId]],ShootTable[Index],0))</f>
        <v>8방향 발사3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283</v>
      </c>
      <c r="D49">
        <v>1004</v>
      </c>
      <c r="E49" s="16" t="s">
        <v>281</v>
      </c>
      <c r="F49">
        <v>0.3</v>
      </c>
      <c r="G49">
        <v>0</v>
      </c>
      <c r="H49" t="str">
        <f>INDEX(ShootTable['#설명],MATCH(EnemyAtkTable[[#This Row],[ShootDataId]],ShootTable[Index],0))</f>
        <v>8방향 발사4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283</v>
      </c>
      <c r="D50">
        <v>1005</v>
      </c>
      <c r="E50" s="16" t="s">
        <v>281</v>
      </c>
      <c r="F50">
        <v>0.3</v>
      </c>
      <c r="G50">
        <v>0</v>
      </c>
      <c r="H50" t="str">
        <f>INDEX(ShootTable['#설명],MATCH(EnemyAtkTable[[#This Row],[ShootDataId]],ShootTable[Index],0))</f>
        <v>8방향 발사5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283</v>
      </c>
      <c r="D51">
        <v>1006</v>
      </c>
      <c r="E51" s="16" t="s">
        <v>281</v>
      </c>
      <c r="F51">
        <v>0.2</v>
      </c>
      <c r="G51">
        <v>0</v>
      </c>
      <c r="H51" t="str">
        <f>INDEX(ShootTable['#설명],MATCH(EnemyAtkTable[[#This Row],[ShootDataId]],ShootTable[Index],0))</f>
        <v>8방향 발사6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283</v>
      </c>
      <c r="D52">
        <v>1007</v>
      </c>
      <c r="E52" s="16" t="s">
        <v>281</v>
      </c>
      <c r="F52">
        <v>0.2</v>
      </c>
      <c r="G52">
        <v>0</v>
      </c>
      <c r="H52" t="str">
        <f>INDEX(ShootTable['#설명],MATCH(EnemyAtkTable[[#This Row],[ShootDataId]],ShootTable[Index],0))</f>
        <v>8방향 발사7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283</v>
      </c>
      <c r="D53">
        <v>1008</v>
      </c>
      <c r="E53" s="16" t="s">
        <v>281</v>
      </c>
      <c r="F53">
        <v>0.2</v>
      </c>
      <c r="G53">
        <v>0</v>
      </c>
      <c r="H53" t="str">
        <f>INDEX(ShootTable['#설명],MATCH(EnemyAtkTable[[#This Row],[ShootDataId]],ShootTable[Index],0))</f>
        <v>8방향 발사8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283</v>
      </c>
      <c r="D54">
        <v>1009</v>
      </c>
      <c r="E54" s="16" t="s">
        <v>281</v>
      </c>
      <c r="F54">
        <v>0.2</v>
      </c>
      <c r="G54">
        <v>0</v>
      </c>
      <c r="H54" t="str">
        <f>INDEX(ShootTable['#설명],MATCH(EnemyAtkTable[[#This Row],[ShootDataId]],ShootTable[Index],0))</f>
        <v>8방향 발사9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283</v>
      </c>
      <c r="D55">
        <v>1010</v>
      </c>
      <c r="E55" s="16" t="s">
        <v>281</v>
      </c>
      <c r="F55">
        <v>0.2</v>
      </c>
      <c r="G55">
        <v>0</v>
      </c>
      <c r="H55" t="str">
        <f>INDEX(ShootTable['#설명],MATCH(EnemyAtkTable[[#This Row],[ShootDataId]],ShootTable[Index],0))</f>
        <v>8방향 발사10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6">
        <v>9991</v>
      </c>
      <c r="C56" s="17" t="s">
        <v>283</v>
      </c>
      <c r="D56">
        <v>727</v>
      </c>
      <c r="E56" s="16" t="s">
        <v>281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7" t="s">
        <v>284</v>
      </c>
      <c r="D57">
        <v>727</v>
      </c>
      <c r="E57" s="16" t="s">
        <v>281</v>
      </c>
      <c r="F57">
        <v>0</v>
      </c>
      <c r="G57">
        <v>0.1</v>
      </c>
      <c r="H57" t="str">
        <f>INDEX(ShootTable['#설명],MATCH(EnemyAtkTable[[#This Row],[ShootDataId]],ShootTable[Index],0))</f>
        <v>16방향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9993</v>
      </c>
      <c r="C58" s="17" t="s">
        <v>285</v>
      </c>
      <c r="D58">
        <v>999</v>
      </c>
      <c r="E58" s="16" t="s">
        <v>282</v>
      </c>
      <c r="F58">
        <v>0.6</v>
      </c>
      <c r="G58">
        <v>0.4</v>
      </c>
      <c r="H58" t="str">
        <f>INDEX(ShootTable['#설명],MATCH(EnemyAtkTable[[#This Row],[ShootDataId]],ShootTable[Index],0))</f>
        <v>듀라한 공 던지기</v>
      </c>
      <c r="I58">
        <f>SUMIF(EnemyAtkTable[Index],EnemyAtkTable[[#This Row],[Index]],EnemyAtkTable[BeforeDelay])+SUMIF(EnemyAtkTable[Index],EnemyAtkTable[[#This Row],[Index]],EnemyAtkTable[AfterDelay])</f>
        <v>1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184"/>
  <sheetViews>
    <sheetView topLeftCell="A45" zoomScaleNormal="75" zoomScaleSheetLayoutView="100" workbookViewId="0">
      <selection activeCell="C65" sqref="C65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26</v>
      </c>
      <c r="C1" t="s">
        <v>28</v>
      </c>
      <c r="D1" t="s">
        <v>68</v>
      </c>
      <c r="E1" t="s">
        <v>26</v>
      </c>
      <c r="F1" t="s">
        <v>26</v>
      </c>
      <c r="G1" t="s">
        <v>26</v>
      </c>
    </row>
    <row r="2" spans="2:7">
      <c r="B2" t="s">
        <v>41</v>
      </c>
      <c r="C2" s="5" t="s">
        <v>24</v>
      </c>
      <c r="D2" t="s">
        <v>199</v>
      </c>
      <c r="E2" t="s">
        <v>2</v>
      </c>
      <c r="F2" t="s">
        <v>136</v>
      </c>
      <c r="G2" t="s">
        <v>202</v>
      </c>
    </row>
    <row r="3" spans="2:7">
      <c r="B3">
        <v>700</v>
      </c>
      <c r="C3" s="4" t="s">
        <v>214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214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214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214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143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143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143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143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91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3" t="s">
        <v>260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3" t="s">
        <v>261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3" t="s">
        <v>262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3" t="s">
        <v>263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3" t="s">
        <v>264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3" t="s">
        <v>265</v>
      </c>
      <c r="D17" s="11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3" t="s">
        <v>266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3" t="s">
        <v>267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3" t="s">
        <v>268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3" t="s">
        <v>269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3" t="s">
        <v>270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3" t="s">
        <v>258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3" t="s">
        <v>271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3" t="s">
        <v>259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3" t="s">
        <v>272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3" t="s">
        <v>273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3" t="s">
        <v>291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221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221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221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221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221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221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221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221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145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145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145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145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145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145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145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145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154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154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154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154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154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154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154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154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148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148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148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148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148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148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148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148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99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99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99</v>
      </c>
      <c r="D63">
        <v>30</v>
      </c>
      <c r="E63">
        <v>402</v>
      </c>
      <c r="F63">
        <v>0</v>
      </c>
      <c r="G63">
        <v>6.5</v>
      </c>
    </row>
    <row r="64" spans="2:7">
      <c r="B64">
        <v>726</v>
      </c>
      <c r="C64" s="19" t="s">
        <v>215</v>
      </c>
      <c r="D64">
        <v>0</v>
      </c>
      <c r="E64">
        <v>404</v>
      </c>
      <c r="F64">
        <v>1</v>
      </c>
      <c r="G64">
        <v>6.5</v>
      </c>
    </row>
    <row r="65" spans="2:7">
      <c r="B65">
        <v>727</v>
      </c>
      <c r="C65" s="14" t="s">
        <v>322</v>
      </c>
      <c r="D65">
        <v>22.5</v>
      </c>
      <c r="E65">
        <v>401</v>
      </c>
      <c r="F65">
        <v>0</v>
      </c>
      <c r="G65">
        <v>6.5</v>
      </c>
    </row>
    <row r="66" spans="2:7">
      <c r="B66">
        <v>727</v>
      </c>
      <c r="C66" s="14" t="s">
        <v>322</v>
      </c>
      <c r="D66">
        <v>45</v>
      </c>
      <c r="E66">
        <v>401</v>
      </c>
      <c r="F66">
        <v>0</v>
      </c>
      <c r="G66">
        <v>6.5</v>
      </c>
    </row>
    <row r="67" spans="2:7">
      <c r="B67">
        <v>727</v>
      </c>
      <c r="C67" s="14" t="s">
        <v>321</v>
      </c>
      <c r="D67">
        <v>67.5</v>
      </c>
      <c r="E67">
        <v>401</v>
      </c>
      <c r="F67">
        <v>0</v>
      </c>
      <c r="G67">
        <v>6.5</v>
      </c>
    </row>
    <row r="68" spans="2:7">
      <c r="B68">
        <v>727</v>
      </c>
      <c r="C68" s="14" t="s">
        <v>321</v>
      </c>
      <c r="D68">
        <v>90</v>
      </c>
      <c r="E68">
        <v>401</v>
      </c>
      <c r="F68">
        <v>0</v>
      </c>
      <c r="G68">
        <v>6.5</v>
      </c>
    </row>
    <row r="69" spans="2:7">
      <c r="B69">
        <v>727</v>
      </c>
      <c r="C69" s="14" t="s">
        <v>321</v>
      </c>
      <c r="D69">
        <v>112.5</v>
      </c>
      <c r="E69">
        <v>401</v>
      </c>
      <c r="F69">
        <v>0</v>
      </c>
      <c r="G69">
        <v>6.5</v>
      </c>
    </row>
    <row r="70" spans="2:7">
      <c r="B70">
        <v>727</v>
      </c>
      <c r="C70" s="14" t="s">
        <v>321</v>
      </c>
      <c r="D70">
        <v>135</v>
      </c>
      <c r="E70">
        <v>401</v>
      </c>
      <c r="F70">
        <v>0</v>
      </c>
      <c r="G70">
        <v>6.5</v>
      </c>
    </row>
    <row r="71" spans="2:7">
      <c r="B71">
        <v>727</v>
      </c>
      <c r="C71" s="14" t="s">
        <v>321</v>
      </c>
      <c r="D71">
        <v>157.5</v>
      </c>
      <c r="E71">
        <v>401</v>
      </c>
      <c r="F71">
        <v>0</v>
      </c>
      <c r="G71">
        <v>6.5</v>
      </c>
    </row>
    <row r="72" spans="2:7">
      <c r="B72">
        <v>727</v>
      </c>
      <c r="C72" s="14" t="s">
        <v>321</v>
      </c>
      <c r="D72">
        <v>180</v>
      </c>
      <c r="E72">
        <v>401</v>
      </c>
      <c r="F72">
        <v>0</v>
      </c>
      <c r="G72">
        <v>6.5</v>
      </c>
    </row>
    <row r="73" spans="2:7">
      <c r="B73">
        <v>727</v>
      </c>
      <c r="C73" s="14" t="s">
        <v>322</v>
      </c>
      <c r="D73">
        <v>202.5</v>
      </c>
      <c r="E73">
        <v>401</v>
      </c>
      <c r="F73">
        <v>0</v>
      </c>
      <c r="G73">
        <v>6.5</v>
      </c>
    </row>
    <row r="74" spans="2:7">
      <c r="B74">
        <v>727</v>
      </c>
      <c r="C74" s="14" t="s">
        <v>322</v>
      </c>
      <c r="D74">
        <v>225</v>
      </c>
      <c r="E74">
        <v>401</v>
      </c>
      <c r="F74">
        <v>0</v>
      </c>
      <c r="G74">
        <v>6.5</v>
      </c>
    </row>
    <row r="75" spans="2:7">
      <c r="B75">
        <v>727</v>
      </c>
      <c r="C75" s="14" t="s">
        <v>321</v>
      </c>
      <c r="D75">
        <v>247.5</v>
      </c>
      <c r="E75">
        <v>401</v>
      </c>
      <c r="F75">
        <v>0</v>
      </c>
      <c r="G75">
        <v>6.5</v>
      </c>
    </row>
    <row r="76" spans="2:7">
      <c r="B76">
        <v>727</v>
      </c>
      <c r="C76" s="14" t="s">
        <v>321</v>
      </c>
      <c r="D76">
        <v>270</v>
      </c>
      <c r="E76">
        <v>401</v>
      </c>
      <c r="F76">
        <v>0</v>
      </c>
      <c r="G76">
        <v>6.5</v>
      </c>
    </row>
    <row r="77" spans="2:7">
      <c r="B77">
        <v>727</v>
      </c>
      <c r="C77" s="14" t="s">
        <v>321</v>
      </c>
      <c r="D77">
        <v>292.5</v>
      </c>
      <c r="E77">
        <v>401</v>
      </c>
      <c r="F77">
        <v>0</v>
      </c>
      <c r="G77">
        <v>6.5</v>
      </c>
    </row>
    <row r="78" spans="2:7">
      <c r="B78">
        <v>727</v>
      </c>
      <c r="C78" s="14" t="s">
        <v>321</v>
      </c>
      <c r="D78">
        <v>315</v>
      </c>
      <c r="E78">
        <v>401</v>
      </c>
      <c r="F78">
        <v>0</v>
      </c>
      <c r="G78">
        <v>6.5</v>
      </c>
    </row>
    <row r="79" spans="2:7">
      <c r="B79">
        <v>727</v>
      </c>
      <c r="C79" s="14" t="s">
        <v>321</v>
      </c>
      <c r="D79">
        <v>337.5</v>
      </c>
      <c r="E79">
        <v>401</v>
      </c>
      <c r="F79">
        <v>0</v>
      </c>
      <c r="G79">
        <v>6.5</v>
      </c>
    </row>
    <row r="80" spans="2:7">
      <c r="B80">
        <v>727</v>
      </c>
      <c r="C80" s="14" t="s">
        <v>321</v>
      </c>
      <c r="D80">
        <v>360</v>
      </c>
      <c r="E80">
        <v>401</v>
      </c>
      <c r="F80">
        <v>0</v>
      </c>
      <c r="G80">
        <v>6.5</v>
      </c>
    </row>
    <row r="81" spans="2:7">
      <c r="B81">
        <v>800</v>
      </c>
      <c r="C81" s="11" t="s">
        <v>378</v>
      </c>
      <c r="D81">
        <v>30</v>
      </c>
      <c r="E81">
        <v>201</v>
      </c>
      <c r="F81">
        <v>0</v>
      </c>
      <c r="G81">
        <v>6.5</v>
      </c>
    </row>
    <row r="82" spans="2:7">
      <c r="B82">
        <v>800</v>
      </c>
      <c r="C82" s="11" t="s">
        <v>378</v>
      </c>
      <c r="D82">
        <v>0</v>
      </c>
      <c r="E82">
        <v>201</v>
      </c>
      <c r="F82">
        <v>0</v>
      </c>
      <c r="G82">
        <v>6.5</v>
      </c>
    </row>
    <row r="83" spans="2:7">
      <c r="B83">
        <v>800</v>
      </c>
      <c r="C83" s="11" t="s">
        <v>378</v>
      </c>
      <c r="D83">
        <v>-30</v>
      </c>
      <c r="E83">
        <v>201</v>
      </c>
      <c r="F83">
        <v>0</v>
      </c>
      <c r="G83">
        <v>6.5</v>
      </c>
    </row>
    <row r="84" spans="2:7">
      <c r="B84">
        <v>804</v>
      </c>
      <c r="C84" s="11" t="s">
        <v>409</v>
      </c>
      <c r="D84">
        <v>0</v>
      </c>
      <c r="E84">
        <v>204</v>
      </c>
      <c r="F84">
        <v>2</v>
      </c>
      <c r="G84">
        <v>8</v>
      </c>
    </row>
    <row r="85" spans="2:7">
      <c r="B85">
        <v>804</v>
      </c>
      <c r="C85" s="11" t="s">
        <v>409</v>
      </c>
      <c r="D85">
        <v>90</v>
      </c>
      <c r="E85">
        <v>204</v>
      </c>
      <c r="F85">
        <v>2</v>
      </c>
      <c r="G85">
        <v>8</v>
      </c>
    </row>
    <row r="86" spans="2:7">
      <c r="B86">
        <v>804</v>
      </c>
      <c r="C86" s="11" t="s">
        <v>409</v>
      </c>
      <c r="D86">
        <v>180</v>
      </c>
      <c r="E86">
        <v>204</v>
      </c>
      <c r="F86">
        <v>2</v>
      </c>
      <c r="G86">
        <v>8</v>
      </c>
    </row>
    <row r="87" spans="2:7">
      <c r="B87">
        <v>804</v>
      </c>
      <c r="C87" s="11" t="s">
        <v>409</v>
      </c>
      <c r="D87">
        <v>-90</v>
      </c>
      <c r="E87">
        <v>204</v>
      </c>
      <c r="F87">
        <v>2</v>
      </c>
      <c r="G87">
        <v>8</v>
      </c>
    </row>
    <row r="88" spans="2:7">
      <c r="B88">
        <v>804</v>
      </c>
      <c r="C88" s="11" t="s">
        <v>409</v>
      </c>
      <c r="D88">
        <v>45</v>
      </c>
      <c r="E88">
        <v>204</v>
      </c>
      <c r="F88">
        <v>2</v>
      </c>
      <c r="G88">
        <v>8</v>
      </c>
    </row>
    <row r="89" spans="2:7">
      <c r="B89">
        <v>804</v>
      </c>
      <c r="C89" s="11" t="s">
        <v>409</v>
      </c>
      <c r="D89">
        <v>-45</v>
      </c>
      <c r="E89">
        <v>204</v>
      </c>
      <c r="F89">
        <v>2</v>
      </c>
      <c r="G89">
        <v>8</v>
      </c>
    </row>
    <row r="90" spans="2:7">
      <c r="B90">
        <v>804</v>
      </c>
      <c r="C90" s="11" t="s">
        <v>409</v>
      </c>
      <c r="D90">
        <v>135</v>
      </c>
      <c r="E90">
        <v>204</v>
      </c>
      <c r="F90">
        <v>2</v>
      </c>
      <c r="G90">
        <v>8</v>
      </c>
    </row>
    <row r="91" spans="2:7">
      <c r="B91">
        <v>804</v>
      </c>
      <c r="C91" s="11" t="s">
        <v>409</v>
      </c>
      <c r="D91">
        <v>-135</v>
      </c>
      <c r="E91">
        <v>204</v>
      </c>
      <c r="F91">
        <v>2</v>
      </c>
      <c r="G91">
        <v>8</v>
      </c>
    </row>
    <row r="92" spans="2:7">
      <c r="B92">
        <v>805</v>
      </c>
      <c r="C92" s="11" t="s">
        <v>455</v>
      </c>
      <c r="D92">
        <v>45</v>
      </c>
      <c r="E92">
        <v>205</v>
      </c>
      <c r="F92">
        <v>1</v>
      </c>
      <c r="G92">
        <v>8</v>
      </c>
    </row>
    <row r="93" spans="2:7">
      <c r="B93">
        <v>805</v>
      </c>
      <c r="C93" s="11" t="s">
        <v>455</v>
      </c>
      <c r="D93">
        <v>-45</v>
      </c>
      <c r="E93">
        <v>205</v>
      </c>
      <c r="F93">
        <v>1</v>
      </c>
      <c r="G93">
        <v>8</v>
      </c>
    </row>
    <row r="94" spans="2:7">
      <c r="B94">
        <v>805</v>
      </c>
      <c r="C94" s="11" t="s">
        <v>455</v>
      </c>
      <c r="D94">
        <v>225</v>
      </c>
      <c r="E94">
        <v>205</v>
      </c>
      <c r="F94">
        <v>1</v>
      </c>
      <c r="G94">
        <v>8</v>
      </c>
    </row>
    <row r="95" spans="2:7">
      <c r="B95">
        <v>805</v>
      </c>
      <c r="C95" s="11" t="s">
        <v>455</v>
      </c>
      <c r="D95">
        <v>-225</v>
      </c>
      <c r="E95">
        <v>205</v>
      </c>
      <c r="F95">
        <v>1</v>
      </c>
      <c r="G95">
        <v>8</v>
      </c>
    </row>
    <row r="96" spans="2:7">
      <c r="B96">
        <v>999</v>
      </c>
      <c r="C96" s="16" t="s">
        <v>286</v>
      </c>
      <c r="D96">
        <v>0</v>
      </c>
      <c r="E96">
        <v>999</v>
      </c>
      <c r="F96">
        <v>8</v>
      </c>
      <c r="G96">
        <v>15</v>
      </c>
    </row>
    <row r="97" spans="2:7">
      <c r="B97">
        <v>1000</v>
      </c>
      <c r="C97" s="11" t="str">
        <f>_xlfn.CONCAT("8방향 발사",ShootTable[[#This Row],[Index]]-1000)</f>
        <v>8방향 발사0</v>
      </c>
      <c r="D97">
        <v>45</v>
      </c>
      <c r="E97">
        <v>401</v>
      </c>
      <c r="F97">
        <v>0</v>
      </c>
      <c r="G97">
        <v>6.5</v>
      </c>
    </row>
    <row r="98" spans="2:7">
      <c r="B98">
        <v>1000</v>
      </c>
      <c r="C98" s="11" t="str">
        <f>_xlfn.CONCAT("8방향 발사",ShootTable[[#This Row],[Index]]-1000)</f>
        <v>8방향 발사0</v>
      </c>
      <c r="D98">
        <v>90</v>
      </c>
      <c r="E98">
        <v>401</v>
      </c>
      <c r="F98">
        <v>0</v>
      </c>
      <c r="G98">
        <v>6.5</v>
      </c>
    </row>
    <row r="99" spans="2:7">
      <c r="B99">
        <v>1000</v>
      </c>
      <c r="C99" s="11" t="str">
        <f>_xlfn.CONCAT("8방향 발사",ShootTable[[#This Row],[Index]]-1000)</f>
        <v>8방향 발사0</v>
      </c>
      <c r="D99">
        <v>135</v>
      </c>
      <c r="E99">
        <v>401</v>
      </c>
      <c r="F99">
        <v>0</v>
      </c>
      <c r="G99">
        <v>6.5</v>
      </c>
    </row>
    <row r="100" spans="2:7">
      <c r="B100">
        <v>1000</v>
      </c>
      <c r="C100" s="11" t="str">
        <f>_xlfn.CONCAT("8방향 발사",ShootTable[[#This Row],[Index]]-1000)</f>
        <v>8방향 발사0</v>
      </c>
      <c r="D100">
        <v>180</v>
      </c>
      <c r="E100">
        <v>401</v>
      </c>
      <c r="F100">
        <v>0</v>
      </c>
      <c r="G100">
        <v>6.5</v>
      </c>
    </row>
    <row r="101" spans="2:7">
      <c r="B101">
        <v>1000</v>
      </c>
      <c r="C101" s="11" t="str">
        <f>_xlfn.CONCAT("8방향 발사",ShootTable[[#This Row],[Index]]-1000)</f>
        <v>8방향 발사0</v>
      </c>
      <c r="D101">
        <v>225</v>
      </c>
      <c r="E101">
        <v>401</v>
      </c>
      <c r="F101">
        <v>0</v>
      </c>
      <c r="G101">
        <v>6.5</v>
      </c>
    </row>
    <row r="102" spans="2:7">
      <c r="B102">
        <v>1000</v>
      </c>
      <c r="C102" s="11" t="str">
        <f>_xlfn.CONCAT("8방향 발사",ShootTable[[#This Row],[Index]]-1000)</f>
        <v>8방향 발사0</v>
      </c>
      <c r="D102">
        <v>270</v>
      </c>
      <c r="E102">
        <v>401</v>
      </c>
      <c r="F102">
        <v>0</v>
      </c>
      <c r="G102">
        <v>6.5</v>
      </c>
    </row>
    <row r="103" spans="2:7">
      <c r="B103">
        <v>1000</v>
      </c>
      <c r="C103" s="11" t="str">
        <f>_xlfn.CONCAT("8방향 발사",ShootTable[[#This Row],[Index]]-1000)</f>
        <v>8방향 발사0</v>
      </c>
      <c r="D103">
        <v>315</v>
      </c>
      <c r="E103">
        <v>401</v>
      </c>
      <c r="F103">
        <v>0</v>
      </c>
      <c r="G103">
        <v>6.5</v>
      </c>
    </row>
    <row r="104" spans="2:7">
      <c r="B104">
        <v>1000</v>
      </c>
      <c r="C104" s="11" t="str">
        <f>_xlfn.CONCAT("8방향 발사",ShootTable[[#This Row],[Index]]-1000)</f>
        <v>8방향 발사0</v>
      </c>
      <c r="D104">
        <v>360</v>
      </c>
      <c r="E104">
        <v>401</v>
      </c>
      <c r="F104">
        <v>0</v>
      </c>
      <c r="G104">
        <v>6.5</v>
      </c>
    </row>
    <row r="105" spans="2:7">
      <c r="B105">
        <f>B97+1</f>
        <v>1001</v>
      </c>
      <c r="C105" s="11" t="str">
        <f>_xlfn.CONCAT("8방향 발사",ShootTable[[#This Row],[Index]]-1000)</f>
        <v>8방향 발사1</v>
      </c>
      <c r="D105">
        <f>D97-25*0.7</f>
        <v>27.5</v>
      </c>
      <c r="E105">
        <v>401</v>
      </c>
      <c r="F105">
        <v>0</v>
      </c>
      <c r="G105">
        <v>6.5</v>
      </c>
    </row>
    <row r="106" spans="2:7">
      <c r="B106">
        <f t="shared" ref="B106:B169" si="0">B98+1</f>
        <v>1001</v>
      </c>
      <c r="C106" s="11" t="str">
        <f>_xlfn.CONCAT("8방향 발사",ShootTable[[#This Row],[Index]]-1000)</f>
        <v>8방향 발사1</v>
      </c>
      <c r="D106">
        <f t="shared" ref="D106:D112" si="1">D98-25*0.7</f>
        <v>72.5</v>
      </c>
      <c r="E106">
        <v>401</v>
      </c>
      <c r="F106">
        <v>0</v>
      </c>
      <c r="G106">
        <v>6.5</v>
      </c>
    </row>
    <row r="107" spans="2:7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117.5</v>
      </c>
      <c r="E107">
        <v>401</v>
      </c>
      <c r="F107">
        <v>0</v>
      </c>
      <c r="G107">
        <v>6.5</v>
      </c>
    </row>
    <row r="108" spans="2:7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162.5</v>
      </c>
      <c r="E108">
        <v>401</v>
      </c>
      <c r="F108">
        <v>0</v>
      </c>
      <c r="G108">
        <v>6.5</v>
      </c>
    </row>
    <row r="109" spans="2:7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207.5</v>
      </c>
      <c r="E109">
        <v>401</v>
      </c>
      <c r="F109">
        <v>0</v>
      </c>
      <c r="G109">
        <v>6.5</v>
      </c>
    </row>
    <row r="110" spans="2:7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252.5</v>
      </c>
      <c r="E110">
        <v>401</v>
      </c>
      <c r="F110">
        <v>0</v>
      </c>
      <c r="G110">
        <v>6.5</v>
      </c>
    </row>
    <row r="111" spans="2:7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297.5</v>
      </c>
      <c r="E111">
        <v>401</v>
      </c>
      <c r="F111">
        <v>0</v>
      </c>
      <c r="G111">
        <v>6.5</v>
      </c>
    </row>
    <row r="112" spans="2:7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342.5</v>
      </c>
      <c r="E112">
        <v>401</v>
      </c>
      <c r="F112">
        <v>0</v>
      </c>
      <c r="G112">
        <v>6.5</v>
      </c>
    </row>
    <row r="113" spans="2:7">
      <c r="B113">
        <f t="shared" si="0"/>
        <v>1002</v>
      </c>
      <c r="C113" s="11" t="str">
        <f>_xlfn.CONCAT("8방향 발사",ShootTable[[#This Row],[Index]]-1000)</f>
        <v>8방향 발사2</v>
      </c>
      <c r="D113">
        <f>D105-25*0.7</f>
        <v>10</v>
      </c>
      <c r="E113">
        <v>401</v>
      </c>
      <c r="F113">
        <v>0</v>
      </c>
      <c r="G113">
        <v>6.5</v>
      </c>
    </row>
    <row r="114" spans="2:7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ref="D114:D120" si="2">D106-25*0.7</f>
        <v>55</v>
      </c>
      <c r="E114">
        <v>401</v>
      </c>
      <c r="F114">
        <v>0</v>
      </c>
      <c r="G114">
        <v>6.5</v>
      </c>
    </row>
    <row r="115" spans="2:7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2"/>
        <v>100</v>
      </c>
      <c r="E115">
        <v>401</v>
      </c>
      <c r="F115">
        <v>0</v>
      </c>
      <c r="G115">
        <v>6.5</v>
      </c>
    </row>
    <row r="116" spans="2:7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2"/>
        <v>145</v>
      </c>
      <c r="E116">
        <v>401</v>
      </c>
      <c r="F116">
        <v>0</v>
      </c>
      <c r="G116">
        <v>6.5</v>
      </c>
    </row>
    <row r="117" spans="2:7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2"/>
        <v>190</v>
      </c>
      <c r="E117">
        <v>401</v>
      </c>
      <c r="F117">
        <v>0</v>
      </c>
      <c r="G117">
        <v>6.5</v>
      </c>
    </row>
    <row r="118" spans="2:7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2"/>
        <v>235</v>
      </c>
      <c r="E118">
        <v>401</v>
      </c>
      <c r="F118">
        <v>0</v>
      </c>
      <c r="G118">
        <v>6.5</v>
      </c>
    </row>
    <row r="119" spans="2:7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2"/>
        <v>280</v>
      </c>
      <c r="E119">
        <v>401</v>
      </c>
      <c r="F119">
        <v>0</v>
      </c>
      <c r="G119">
        <v>6.5</v>
      </c>
    </row>
    <row r="120" spans="2:7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2"/>
        <v>325</v>
      </c>
      <c r="E120">
        <v>401</v>
      </c>
      <c r="F120">
        <v>0</v>
      </c>
      <c r="G120">
        <v>6.5</v>
      </c>
    </row>
    <row r="121" spans="2:7">
      <c r="B121">
        <f t="shared" si="0"/>
        <v>1003</v>
      </c>
      <c r="C121" s="11" t="str">
        <f>_xlfn.CONCAT("8방향 발사",ShootTable[[#This Row],[Index]]-1000)</f>
        <v>8방향 발사3</v>
      </c>
      <c r="D121">
        <f>D113-25*0.5</f>
        <v>-2.5</v>
      </c>
      <c r="E121">
        <v>401</v>
      </c>
      <c r="F121">
        <v>0</v>
      </c>
      <c r="G121">
        <v>6.5</v>
      </c>
    </row>
    <row r="122" spans="2:7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ref="D122:D128" si="3">D114-25*0.5</f>
        <v>42.5</v>
      </c>
      <c r="E122">
        <v>401</v>
      </c>
      <c r="F122">
        <v>0</v>
      </c>
      <c r="G122">
        <v>6.5</v>
      </c>
    </row>
    <row r="123" spans="2:7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3"/>
        <v>87.5</v>
      </c>
      <c r="E123">
        <v>401</v>
      </c>
      <c r="F123">
        <v>0</v>
      </c>
      <c r="G123">
        <v>6.5</v>
      </c>
    </row>
    <row r="124" spans="2:7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3"/>
        <v>132.5</v>
      </c>
      <c r="E124">
        <v>401</v>
      </c>
      <c r="F124">
        <v>0</v>
      </c>
      <c r="G124">
        <v>6.5</v>
      </c>
    </row>
    <row r="125" spans="2:7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3"/>
        <v>177.5</v>
      </c>
      <c r="E125">
        <v>401</v>
      </c>
      <c r="F125">
        <v>0</v>
      </c>
      <c r="G125">
        <v>6.5</v>
      </c>
    </row>
    <row r="126" spans="2:7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3"/>
        <v>222.5</v>
      </c>
      <c r="E126">
        <v>401</v>
      </c>
      <c r="F126">
        <v>0</v>
      </c>
      <c r="G126">
        <v>6.5</v>
      </c>
    </row>
    <row r="127" spans="2:7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3"/>
        <v>267.5</v>
      </c>
      <c r="E127">
        <v>401</v>
      </c>
      <c r="F127">
        <v>0</v>
      </c>
      <c r="G127">
        <v>6.5</v>
      </c>
    </row>
    <row r="128" spans="2:7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3"/>
        <v>312.5</v>
      </c>
      <c r="E128">
        <v>401</v>
      </c>
      <c r="F128">
        <v>0</v>
      </c>
      <c r="G128">
        <v>6.5</v>
      </c>
    </row>
    <row r="129" spans="2:7">
      <c r="B129">
        <f t="shared" si="0"/>
        <v>1004</v>
      </c>
      <c r="C129" s="11" t="str">
        <f>_xlfn.CONCAT("8방향 발사",ShootTable[[#This Row],[Index]]-1000)</f>
        <v>8방향 발사4</v>
      </c>
      <c r="D129">
        <f>D121-25*0.5</f>
        <v>-15</v>
      </c>
      <c r="E129">
        <v>401</v>
      </c>
      <c r="F129">
        <v>0</v>
      </c>
      <c r="G129">
        <v>6.5</v>
      </c>
    </row>
    <row r="130" spans="2:7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ref="D130:D136" si="4">D122-25*0.5</f>
        <v>30</v>
      </c>
      <c r="E130">
        <v>401</v>
      </c>
      <c r="F130">
        <v>0</v>
      </c>
      <c r="G130">
        <v>6.5</v>
      </c>
    </row>
    <row r="131" spans="2:7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4"/>
        <v>75</v>
      </c>
      <c r="E131">
        <v>401</v>
      </c>
      <c r="F131">
        <v>0</v>
      </c>
      <c r="G131">
        <v>6.5</v>
      </c>
    </row>
    <row r="132" spans="2:7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4"/>
        <v>120</v>
      </c>
      <c r="E132">
        <v>401</v>
      </c>
      <c r="F132">
        <v>0</v>
      </c>
      <c r="G132">
        <v>6.5</v>
      </c>
    </row>
    <row r="133" spans="2:7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4"/>
        <v>165</v>
      </c>
      <c r="E133">
        <v>401</v>
      </c>
      <c r="F133">
        <v>0</v>
      </c>
      <c r="G133">
        <v>6.5</v>
      </c>
    </row>
    <row r="134" spans="2:7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4"/>
        <v>210</v>
      </c>
      <c r="E134">
        <v>401</v>
      </c>
      <c r="F134">
        <v>0</v>
      </c>
      <c r="G134">
        <v>6.5</v>
      </c>
    </row>
    <row r="135" spans="2:7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4"/>
        <v>255</v>
      </c>
      <c r="E135">
        <v>401</v>
      </c>
      <c r="F135">
        <v>0</v>
      </c>
      <c r="G135">
        <v>6.5</v>
      </c>
    </row>
    <row r="136" spans="2:7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4"/>
        <v>300</v>
      </c>
      <c r="E136">
        <v>401</v>
      </c>
      <c r="F136">
        <v>0</v>
      </c>
      <c r="G136">
        <v>6.5</v>
      </c>
    </row>
    <row r="137" spans="2:7">
      <c r="B137">
        <f t="shared" si="0"/>
        <v>1005</v>
      </c>
      <c r="C137" s="11" t="str">
        <f>_xlfn.CONCAT("8방향 발사",ShootTable[[#This Row],[Index]]-1000)</f>
        <v>8방향 발사5</v>
      </c>
      <c r="D137">
        <f>D129-25*0.3</f>
        <v>-22.5</v>
      </c>
      <c r="E137">
        <v>401</v>
      </c>
      <c r="F137">
        <v>0</v>
      </c>
      <c r="G137">
        <v>6.5</v>
      </c>
    </row>
    <row r="138" spans="2:7">
      <c r="B138">
        <f t="shared" si="0"/>
        <v>1005</v>
      </c>
      <c r="C138" s="11" t="str">
        <f>_xlfn.CONCAT("8방향 발사",ShootTable[[#This Row],[Index]]-1000)</f>
        <v>8방향 발사5</v>
      </c>
      <c r="D138">
        <f t="shared" ref="D138:D144" si="5">D130-25*0.3</f>
        <v>22.5</v>
      </c>
      <c r="E138">
        <v>401</v>
      </c>
      <c r="F138">
        <v>0</v>
      </c>
      <c r="G138">
        <v>6.5</v>
      </c>
    </row>
    <row r="139" spans="2:7">
      <c r="B139">
        <f t="shared" si="0"/>
        <v>1005</v>
      </c>
      <c r="C139" s="11" t="str">
        <f>_xlfn.CONCAT("8방향 발사",ShootTable[[#This Row],[Index]]-1000)</f>
        <v>8방향 발사5</v>
      </c>
      <c r="D139">
        <f t="shared" si="5"/>
        <v>67.5</v>
      </c>
      <c r="E139">
        <v>401</v>
      </c>
      <c r="F139">
        <v>0</v>
      </c>
      <c r="G139">
        <v>6.5</v>
      </c>
    </row>
    <row r="140" spans="2:7">
      <c r="B140">
        <f t="shared" si="0"/>
        <v>1005</v>
      </c>
      <c r="C140" s="11" t="str">
        <f>_xlfn.CONCAT("8방향 발사",ShootTable[[#This Row],[Index]]-1000)</f>
        <v>8방향 발사5</v>
      </c>
      <c r="D140">
        <f t="shared" si="5"/>
        <v>112.5</v>
      </c>
      <c r="E140">
        <v>401</v>
      </c>
      <c r="F140">
        <v>0</v>
      </c>
      <c r="G140">
        <v>6.5</v>
      </c>
    </row>
    <row r="141" spans="2:7">
      <c r="B141">
        <f t="shared" si="0"/>
        <v>1005</v>
      </c>
      <c r="C141" s="11" t="str">
        <f>_xlfn.CONCAT("8방향 발사",ShootTable[[#This Row],[Index]]-1000)</f>
        <v>8방향 발사5</v>
      </c>
      <c r="D141">
        <f t="shared" si="5"/>
        <v>157.5</v>
      </c>
      <c r="E141">
        <v>401</v>
      </c>
      <c r="F141">
        <v>0</v>
      </c>
      <c r="G141">
        <v>6.5</v>
      </c>
    </row>
    <row r="142" spans="2:7">
      <c r="B142">
        <f t="shared" si="0"/>
        <v>1005</v>
      </c>
      <c r="C142" s="11" t="str">
        <f>_xlfn.CONCAT("8방향 발사",ShootTable[[#This Row],[Index]]-1000)</f>
        <v>8방향 발사5</v>
      </c>
      <c r="D142">
        <f t="shared" si="5"/>
        <v>202.5</v>
      </c>
      <c r="E142">
        <v>401</v>
      </c>
      <c r="F142">
        <v>0</v>
      </c>
      <c r="G142">
        <v>6.5</v>
      </c>
    </row>
    <row r="143" spans="2:7">
      <c r="B143">
        <f t="shared" si="0"/>
        <v>1005</v>
      </c>
      <c r="C143" s="11" t="str">
        <f>_xlfn.CONCAT("8방향 발사",ShootTable[[#This Row],[Index]]-1000)</f>
        <v>8방향 발사5</v>
      </c>
      <c r="D143">
        <f t="shared" si="5"/>
        <v>247.5</v>
      </c>
      <c r="E143">
        <v>401</v>
      </c>
      <c r="F143">
        <v>0</v>
      </c>
      <c r="G143">
        <v>6.5</v>
      </c>
    </row>
    <row r="144" spans="2:7">
      <c r="B144">
        <f t="shared" si="0"/>
        <v>1005</v>
      </c>
      <c r="C144" s="11" t="str">
        <f>_xlfn.CONCAT("8방향 발사",ShootTable[[#This Row],[Index]]-1000)</f>
        <v>8방향 발사5</v>
      </c>
      <c r="D144">
        <f t="shared" si="5"/>
        <v>292.5</v>
      </c>
      <c r="E144">
        <v>401</v>
      </c>
      <c r="F144">
        <v>0</v>
      </c>
      <c r="G144">
        <v>6.5</v>
      </c>
    </row>
    <row r="145" spans="2:7">
      <c r="B145">
        <f t="shared" si="0"/>
        <v>1006</v>
      </c>
      <c r="C145" s="11" t="str">
        <f>_xlfn.CONCAT("8방향 발사",ShootTable[[#This Row],[Index]]-1000)</f>
        <v>8방향 발사6</v>
      </c>
      <c r="D145">
        <f>D137-25*0.3</f>
        <v>-30</v>
      </c>
      <c r="E145">
        <v>401</v>
      </c>
      <c r="F145">
        <v>0</v>
      </c>
      <c r="G145">
        <v>6.5</v>
      </c>
    </row>
    <row r="146" spans="2:7">
      <c r="B146">
        <f t="shared" si="0"/>
        <v>1006</v>
      </c>
      <c r="C146" s="11" t="str">
        <f>_xlfn.CONCAT("8방향 발사",ShootTable[[#This Row],[Index]]-1000)</f>
        <v>8방향 발사6</v>
      </c>
      <c r="D146">
        <f t="shared" ref="D146:D152" si="6">D138-25*0.3</f>
        <v>15</v>
      </c>
      <c r="E146">
        <v>401</v>
      </c>
      <c r="F146">
        <v>0</v>
      </c>
      <c r="G146">
        <v>6.5</v>
      </c>
    </row>
    <row r="147" spans="2:7">
      <c r="B147">
        <f t="shared" si="0"/>
        <v>1006</v>
      </c>
      <c r="C147" s="11" t="str">
        <f>_xlfn.CONCAT("8방향 발사",ShootTable[[#This Row],[Index]]-1000)</f>
        <v>8방향 발사6</v>
      </c>
      <c r="D147">
        <f t="shared" si="6"/>
        <v>60</v>
      </c>
      <c r="E147">
        <v>401</v>
      </c>
      <c r="F147">
        <v>0</v>
      </c>
      <c r="G147">
        <v>6.5</v>
      </c>
    </row>
    <row r="148" spans="2:7">
      <c r="B148">
        <f t="shared" si="0"/>
        <v>1006</v>
      </c>
      <c r="C148" s="11" t="str">
        <f>_xlfn.CONCAT("8방향 발사",ShootTable[[#This Row],[Index]]-1000)</f>
        <v>8방향 발사6</v>
      </c>
      <c r="D148">
        <f t="shared" si="6"/>
        <v>105</v>
      </c>
      <c r="E148">
        <v>401</v>
      </c>
      <c r="F148">
        <v>0</v>
      </c>
      <c r="G148">
        <v>6.5</v>
      </c>
    </row>
    <row r="149" spans="2:7">
      <c r="B149">
        <f t="shared" si="0"/>
        <v>1006</v>
      </c>
      <c r="C149" s="11" t="str">
        <f>_xlfn.CONCAT("8방향 발사",ShootTable[[#This Row],[Index]]-1000)</f>
        <v>8방향 발사6</v>
      </c>
      <c r="D149">
        <f t="shared" si="6"/>
        <v>150</v>
      </c>
      <c r="E149">
        <v>401</v>
      </c>
      <c r="F149">
        <v>0</v>
      </c>
      <c r="G149">
        <v>6.5</v>
      </c>
    </row>
    <row r="150" spans="2:7">
      <c r="B150">
        <f t="shared" si="0"/>
        <v>1006</v>
      </c>
      <c r="C150" s="11" t="str">
        <f>_xlfn.CONCAT("8방향 발사",ShootTable[[#This Row],[Index]]-1000)</f>
        <v>8방향 발사6</v>
      </c>
      <c r="D150">
        <f t="shared" si="6"/>
        <v>195</v>
      </c>
      <c r="E150">
        <v>401</v>
      </c>
      <c r="F150">
        <v>0</v>
      </c>
      <c r="G150">
        <v>6.5</v>
      </c>
    </row>
    <row r="151" spans="2:7">
      <c r="B151">
        <f t="shared" si="0"/>
        <v>1006</v>
      </c>
      <c r="C151" s="11" t="str">
        <f>_xlfn.CONCAT("8방향 발사",ShootTable[[#This Row],[Index]]-1000)</f>
        <v>8방향 발사6</v>
      </c>
      <c r="D151">
        <f t="shared" si="6"/>
        <v>240</v>
      </c>
      <c r="E151">
        <v>401</v>
      </c>
      <c r="F151">
        <v>0</v>
      </c>
      <c r="G151">
        <v>6.5</v>
      </c>
    </row>
    <row r="152" spans="2:7">
      <c r="B152">
        <f t="shared" si="0"/>
        <v>1006</v>
      </c>
      <c r="C152" s="11" t="str">
        <f>_xlfn.CONCAT("8방향 발사",ShootTable[[#This Row],[Index]]-1000)</f>
        <v>8방향 발사6</v>
      </c>
      <c r="D152">
        <f t="shared" si="6"/>
        <v>285</v>
      </c>
      <c r="E152">
        <v>401</v>
      </c>
      <c r="F152">
        <v>0</v>
      </c>
      <c r="G152">
        <v>6.5</v>
      </c>
    </row>
    <row r="153" spans="2:7">
      <c r="B153">
        <f t="shared" si="0"/>
        <v>1007</v>
      </c>
      <c r="C153" s="11" t="str">
        <f>_xlfn.CONCAT("8방향 발사",ShootTable[[#This Row],[Index]]-1000)</f>
        <v>8방향 발사7</v>
      </c>
      <c r="D153">
        <f>D145-25*0.2</f>
        <v>-35</v>
      </c>
      <c r="E153">
        <v>401</v>
      </c>
      <c r="F153">
        <v>0</v>
      </c>
      <c r="G153">
        <v>6.5</v>
      </c>
    </row>
    <row r="154" spans="2:7">
      <c r="B154">
        <f t="shared" si="0"/>
        <v>1007</v>
      </c>
      <c r="C154" s="11" t="str">
        <f>_xlfn.CONCAT("8방향 발사",ShootTable[[#This Row],[Index]]-1000)</f>
        <v>8방향 발사7</v>
      </c>
      <c r="D154">
        <f t="shared" ref="D154:D160" si="7">D146-25*0.2</f>
        <v>10</v>
      </c>
      <c r="E154">
        <v>401</v>
      </c>
      <c r="F154">
        <v>0</v>
      </c>
      <c r="G154">
        <v>6.5</v>
      </c>
    </row>
    <row r="155" spans="2:7">
      <c r="B155">
        <f t="shared" si="0"/>
        <v>1007</v>
      </c>
      <c r="C155" s="11" t="str">
        <f>_xlfn.CONCAT("8방향 발사",ShootTable[[#This Row],[Index]]-1000)</f>
        <v>8방향 발사7</v>
      </c>
      <c r="D155">
        <f t="shared" si="7"/>
        <v>55</v>
      </c>
      <c r="E155">
        <v>401</v>
      </c>
      <c r="F155">
        <v>0</v>
      </c>
      <c r="G155">
        <v>6.5</v>
      </c>
    </row>
    <row r="156" spans="2:7">
      <c r="B156">
        <f t="shared" si="0"/>
        <v>1007</v>
      </c>
      <c r="C156" s="11" t="str">
        <f>_xlfn.CONCAT("8방향 발사",ShootTable[[#This Row],[Index]]-1000)</f>
        <v>8방향 발사7</v>
      </c>
      <c r="D156">
        <f t="shared" si="7"/>
        <v>100</v>
      </c>
      <c r="E156">
        <v>401</v>
      </c>
      <c r="F156">
        <v>0</v>
      </c>
      <c r="G156">
        <v>6.5</v>
      </c>
    </row>
    <row r="157" spans="2:7">
      <c r="B157">
        <f t="shared" si="0"/>
        <v>1007</v>
      </c>
      <c r="C157" s="11" t="str">
        <f>_xlfn.CONCAT("8방향 발사",ShootTable[[#This Row],[Index]]-1000)</f>
        <v>8방향 발사7</v>
      </c>
      <c r="D157">
        <f t="shared" si="7"/>
        <v>145</v>
      </c>
      <c r="E157">
        <v>401</v>
      </c>
      <c r="F157">
        <v>0</v>
      </c>
      <c r="G157">
        <v>6.5</v>
      </c>
    </row>
    <row r="158" spans="2:7">
      <c r="B158">
        <f t="shared" si="0"/>
        <v>1007</v>
      </c>
      <c r="C158" s="11" t="str">
        <f>_xlfn.CONCAT("8방향 발사",ShootTable[[#This Row],[Index]]-1000)</f>
        <v>8방향 발사7</v>
      </c>
      <c r="D158">
        <f t="shared" si="7"/>
        <v>190</v>
      </c>
      <c r="E158">
        <v>401</v>
      </c>
      <c r="F158">
        <v>0</v>
      </c>
      <c r="G158">
        <v>6.5</v>
      </c>
    </row>
    <row r="159" spans="2:7">
      <c r="B159">
        <f t="shared" si="0"/>
        <v>1007</v>
      </c>
      <c r="C159" s="11" t="str">
        <f>_xlfn.CONCAT("8방향 발사",ShootTable[[#This Row],[Index]]-1000)</f>
        <v>8방향 발사7</v>
      </c>
      <c r="D159">
        <f t="shared" si="7"/>
        <v>235</v>
      </c>
      <c r="E159">
        <v>401</v>
      </c>
      <c r="F159">
        <v>0</v>
      </c>
      <c r="G159">
        <v>6.5</v>
      </c>
    </row>
    <row r="160" spans="2:7">
      <c r="B160">
        <f t="shared" si="0"/>
        <v>1007</v>
      </c>
      <c r="C160" s="11" t="str">
        <f>_xlfn.CONCAT("8방향 발사",ShootTable[[#This Row],[Index]]-1000)</f>
        <v>8방향 발사7</v>
      </c>
      <c r="D160">
        <f t="shared" si="7"/>
        <v>280</v>
      </c>
      <c r="E160">
        <v>401</v>
      </c>
      <c r="F160">
        <v>0</v>
      </c>
      <c r="G160">
        <v>6.5</v>
      </c>
    </row>
    <row r="161" spans="2:7">
      <c r="B161">
        <f t="shared" si="0"/>
        <v>1008</v>
      </c>
      <c r="C161" s="11" t="str">
        <f>_xlfn.CONCAT("8방향 발사",ShootTable[[#This Row],[Index]]-1000)</f>
        <v>8방향 발사8</v>
      </c>
      <c r="D161">
        <f>D153-25*0.2</f>
        <v>-40</v>
      </c>
      <c r="E161">
        <v>401</v>
      </c>
      <c r="F161">
        <v>0</v>
      </c>
      <c r="G161">
        <v>6.5</v>
      </c>
    </row>
    <row r="162" spans="2:7">
      <c r="B162">
        <f t="shared" si="0"/>
        <v>1008</v>
      </c>
      <c r="C162" s="11" t="str">
        <f>_xlfn.CONCAT("8방향 발사",ShootTable[[#This Row],[Index]]-1000)</f>
        <v>8방향 발사8</v>
      </c>
      <c r="D162">
        <f t="shared" ref="D162:D184" si="8">D154-25*0.2</f>
        <v>5</v>
      </c>
      <c r="E162">
        <v>401</v>
      </c>
      <c r="F162">
        <v>0</v>
      </c>
      <c r="G162">
        <v>6.5</v>
      </c>
    </row>
    <row r="163" spans="2:7">
      <c r="B163">
        <f t="shared" si="0"/>
        <v>1008</v>
      </c>
      <c r="C163" s="11" t="str">
        <f>_xlfn.CONCAT("8방향 발사",ShootTable[[#This Row],[Index]]-1000)</f>
        <v>8방향 발사8</v>
      </c>
      <c r="D163">
        <f t="shared" si="8"/>
        <v>50</v>
      </c>
      <c r="E163">
        <v>401</v>
      </c>
      <c r="F163">
        <v>0</v>
      </c>
      <c r="G163">
        <v>6.5</v>
      </c>
    </row>
    <row r="164" spans="2:7">
      <c r="B164">
        <f t="shared" si="0"/>
        <v>1008</v>
      </c>
      <c r="C164" s="11" t="str">
        <f>_xlfn.CONCAT("8방향 발사",ShootTable[[#This Row],[Index]]-1000)</f>
        <v>8방향 발사8</v>
      </c>
      <c r="D164">
        <f t="shared" si="8"/>
        <v>95</v>
      </c>
      <c r="E164">
        <v>401</v>
      </c>
      <c r="F164">
        <v>0</v>
      </c>
      <c r="G164">
        <v>6.5</v>
      </c>
    </row>
    <row r="165" spans="2:7">
      <c r="B165">
        <f t="shared" si="0"/>
        <v>1008</v>
      </c>
      <c r="C165" s="11" t="str">
        <f>_xlfn.CONCAT("8방향 발사",ShootTable[[#This Row],[Index]]-1000)</f>
        <v>8방향 발사8</v>
      </c>
      <c r="D165">
        <f t="shared" si="8"/>
        <v>140</v>
      </c>
      <c r="E165">
        <v>401</v>
      </c>
      <c r="F165">
        <v>0</v>
      </c>
      <c r="G165">
        <v>6.5</v>
      </c>
    </row>
    <row r="166" spans="2:7">
      <c r="B166">
        <f t="shared" si="0"/>
        <v>1008</v>
      </c>
      <c r="C166" s="11" t="str">
        <f>_xlfn.CONCAT("8방향 발사",ShootTable[[#This Row],[Index]]-1000)</f>
        <v>8방향 발사8</v>
      </c>
      <c r="D166">
        <f t="shared" si="8"/>
        <v>185</v>
      </c>
      <c r="E166">
        <v>401</v>
      </c>
      <c r="F166">
        <v>0</v>
      </c>
      <c r="G166">
        <v>6.5</v>
      </c>
    </row>
    <row r="167" spans="2:7">
      <c r="B167">
        <f t="shared" si="0"/>
        <v>1008</v>
      </c>
      <c r="C167" s="11" t="str">
        <f>_xlfn.CONCAT("8방향 발사",ShootTable[[#This Row],[Index]]-1000)</f>
        <v>8방향 발사8</v>
      </c>
      <c r="D167">
        <f t="shared" si="8"/>
        <v>230</v>
      </c>
      <c r="E167">
        <v>401</v>
      </c>
      <c r="F167">
        <v>0</v>
      </c>
      <c r="G167">
        <v>6.5</v>
      </c>
    </row>
    <row r="168" spans="2:7">
      <c r="B168">
        <f t="shared" si="0"/>
        <v>1008</v>
      </c>
      <c r="C168" s="11" t="str">
        <f>_xlfn.CONCAT("8방향 발사",ShootTable[[#This Row],[Index]]-1000)</f>
        <v>8방향 발사8</v>
      </c>
      <c r="D168">
        <f t="shared" si="8"/>
        <v>275</v>
      </c>
      <c r="E168">
        <v>401</v>
      </c>
      <c r="F168">
        <v>0</v>
      </c>
      <c r="G168">
        <v>6.5</v>
      </c>
    </row>
    <row r="169" spans="2:7">
      <c r="B169">
        <f t="shared" si="0"/>
        <v>1009</v>
      </c>
      <c r="C169" s="11" t="str">
        <f>_xlfn.CONCAT("8방향 발사",ShootTable[[#This Row],[Index]]-1000)</f>
        <v>8방향 발사9</v>
      </c>
      <c r="D169">
        <f t="shared" si="8"/>
        <v>-45</v>
      </c>
      <c r="E169">
        <v>401</v>
      </c>
      <c r="F169">
        <v>0</v>
      </c>
      <c r="G169">
        <v>6.5</v>
      </c>
    </row>
    <row r="170" spans="2:7">
      <c r="B170">
        <f t="shared" ref="B170:B184" si="9">B162+1</f>
        <v>1009</v>
      </c>
      <c r="C170" s="11" t="str">
        <f>_xlfn.CONCAT("8방향 발사",ShootTable[[#This Row],[Index]]-1000)</f>
        <v>8방향 발사9</v>
      </c>
      <c r="D170">
        <f t="shared" si="8"/>
        <v>0</v>
      </c>
      <c r="E170">
        <v>401</v>
      </c>
      <c r="F170">
        <v>0</v>
      </c>
      <c r="G170">
        <v>6.5</v>
      </c>
    </row>
    <row r="171" spans="2:7">
      <c r="B171">
        <f t="shared" si="9"/>
        <v>1009</v>
      </c>
      <c r="C171" s="11" t="str">
        <f>_xlfn.CONCAT("8방향 발사",ShootTable[[#This Row],[Index]]-1000)</f>
        <v>8방향 발사9</v>
      </c>
      <c r="D171">
        <f t="shared" si="8"/>
        <v>45</v>
      </c>
      <c r="E171">
        <v>401</v>
      </c>
      <c r="F171">
        <v>0</v>
      </c>
      <c r="G171">
        <v>6.5</v>
      </c>
    </row>
    <row r="172" spans="2:7">
      <c r="B172">
        <f t="shared" si="9"/>
        <v>1009</v>
      </c>
      <c r="C172" s="11" t="str">
        <f>_xlfn.CONCAT("8방향 발사",ShootTable[[#This Row],[Index]]-1000)</f>
        <v>8방향 발사9</v>
      </c>
      <c r="D172">
        <f t="shared" si="8"/>
        <v>90</v>
      </c>
      <c r="E172">
        <v>401</v>
      </c>
      <c r="F172">
        <v>0</v>
      </c>
      <c r="G172">
        <v>6.5</v>
      </c>
    </row>
    <row r="173" spans="2:7">
      <c r="B173">
        <f t="shared" si="9"/>
        <v>1009</v>
      </c>
      <c r="C173" s="11" t="str">
        <f>_xlfn.CONCAT("8방향 발사",ShootTable[[#This Row],[Index]]-1000)</f>
        <v>8방향 발사9</v>
      </c>
      <c r="D173">
        <f t="shared" si="8"/>
        <v>135</v>
      </c>
      <c r="E173">
        <v>401</v>
      </c>
      <c r="F173">
        <v>0</v>
      </c>
      <c r="G173">
        <v>6.5</v>
      </c>
    </row>
    <row r="174" spans="2:7">
      <c r="B174">
        <f t="shared" si="9"/>
        <v>1009</v>
      </c>
      <c r="C174" s="11" t="str">
        <f>_xlfn.CONCAT("8방향 발사",ShootTable[[#This Row],[Index]]-1000)</f>
        <v>8방향 발사9</v>
      </c>
      <c r="D174">
        <f t="shared" si="8"/>
        <v>180</v>
      </c>
      <c r="E174">
        <v>401</v>
      </c>
      <c r="F174">
        <v>0</v>
      </c>
      <c r="G174">
        <v>6.5</v>
      </c>
    </row>
    <row r="175" spans="2:7">
      <c r="B175">
        <f t="shared" si="9"/>
        <v>1009</v>
      </c>
      <c r="C175" s="11" t="str">
        <f>_xlfn.CONCAT("8방향 발사",ShootTable[[#This Row],[Index]]-1000)</f>
        <v>8방향 발사9</v>
      </c>
      <c r="D175">
        <f t="shared" si="8"/>
        <v>225</v>
      </c>
      <c r="E175">
        <v>401</v>
      </c>
      <c r="F175">
        <v>0</v>
      </c>
      <c r="G175">
        <v>6.5</v>
      </c>
    </row>
    <row r="176" spans="2:7">
      <c r="B176">
        <f t="shared" si="9"/>
        <v>1009</v>
      </c>
      <c r="C176" s="11" t="str">
        <f>_xlfn.CONCAT("8방향 발사",ShootTable[[#This Row],[Index]]-1000)</f>
        <v>8방향 발사9</v>
      </c>
      <c r="D176">
        <f t="shared" si="8"/>
        <v>270</v>
      </c>
      <c r="E176">
        <v>401</v>
      </c>
      <c r="F176">
        <v>0</v>
      </c>
      <c r="G176">
        <v>6.5</v>
      </c>
    </row>
    <row r="177" spans="2:7">
      <c r="B177">
        <f t="shared" si="9"/>
        <v>1010</v>
      </c>
      <c r="C177" s="11" t="str">
        <f>_xlfn.CONCAT("8방향 발사",ShootTable[[#This Row],[Index]]-1000)</f>
        <v>8방향 발사10</v>
      </c>
      <c r="D177">
        <f t="shared" si="8"/>
        <v>-50</v>
      </c>
      <c r="E177">
        <v>401</v>
      </c>
      <c r="F177">
        <v>0</v>
      </c>
      <c r="G177">
        <v>6.5</v>
      </c>
    </row>
    <row r="178" spans="2:7">
      <c r="B178">
        <f t="shared" si="9"/>
        <v>1010</v>
      </c>
      <c r="C178" s="11" t="str">
        <f>_xlfn.CONCAT("8방향 발사",ShootTable[[#This Row],[Index]]-1000)</f>
        <v>8방향 발사10</v>
      </c>
      <c r="D178">
        <f t="shared" si="8"/>
        <v>-5</v>
      </c>
      <c r="E178">
        <v>401</v>
      </c>
      <c r="F178">
        <v>0</v>
      </c>
      <c r="G178">
        <v>6.5</v>
      </c>
    </row>
    <row r="179" spans="2:7">
      <c r="B179">
        <f t="shared" si="9"/>
        <v>1010</v>
      </c>
      <c r="C179" s="11" t="str">
        <f>_xlfn.CONCAT("8방향 발사",ShootTable[[#This Row],[Index]]-1000)</f>
        <v>8방향 발사10</v>
      </c>
      <c r="D179">
        <f t="shared" si="8"/>
        <v>40</v>
      </c>
      <c r="E179">
        <v>401</v>
      </c>
      <c r="F179">
        <v>0</v>
      </c>
      <c r="G179">
        <v>6.5</v>
      </c>
    </row>
    <row r="180" spans="2:7">
      <c r="B180">
        <f t="shared" si="9"/>
        <v>1010</v>
      </c>
      <c r="C180" s="11" t="str">
        <f>_xlfn.CONCAT("8방향 발사",ShootTable[[#This Row],[Index]]-1000)</f>
        <v>8방향 발사10</v>
      </c>
      <c r="D180">
        <f t="shared" si="8"/>
        <v>85</v>
      </c>
      <c r="E180">
        <v>401</v>
      </c>
      <c r="F180">
        <v>0</v>
      </c>
      <c r="G180">
        <v>6.5</v>
      </c>
    </row>
    <row r="181" spans="2:7">
      <c r="B181">
        <f t="shared" si="9"/>
        <v>1010</v>
      </c>
      <c r="C181" s="11" t="str">
        <f>_xlfn.CONCAT("8방향 발사",ShootTable[[#This Row],[Index]]-1000)</f>
        <v>8방향 발사10</v>
      </c>
      <c r="D181">
        <f t="shared" si="8"/>
        <v>130</v>
      </c>
      <c r="E181">
        <v>401</v>
      </c>
      <c r="F181">
        <v>0</v>
      </c>
      <c r="G181">
        <v>6.5</v>
      </c>
    </row>
    <row r="182" spans="2:7">
      <c r="B182">
        <f t="shared" si="9"/>
        <v>1010</v>
      </c>
      <c r="C182" s="11" t="str">
        <f>_xlfn.CONCAT("8방향 발사",ShootTable[[#This Row],[Index]]-1000)</f>
        <v>8방향 발사10</v>
      </c>
      <c r="D182">
        <f t="shared" si="8"/>
        <v>175</v>
      </c>
      <c r="E182">
        <v>401</v>
      </c>
      <c r="F182">
        <v>0</v>
      </c>
      <c r="G182">
        <v>6.5</v>
      </c>
    </row>
    <row r="183" spans="2:7">
      <c r="B183">
        <f t="shared" si="9"/>
        <v>1010</v>
      </c>
      <c r="C183" s="11" t="str">
        <f>_xlfn.CONCAT("8방향 발사",ShootTable[[#This Row],[Index]]-1000)</f>
        <v>8방향 발사10</v>
      </c>
      <c r="D183">
        <f t="shared" si="8"/>
        <v>220</v>
      </c>
      <c r="E183">
        <v>401</v>
      </c>
      <c r="F183">
        <v>0</v>
      </c>
      <c r="G183">
        <v>6.5</v>
      </c>
    </row>
    <row r="184" spans="2:7">
      <c r="B184">
        <f t="shared" si="9"/>
        <v>1010</v>
      </c>
      <c r="C184" s="11" t="str">
        <f>_xlfn.CONCAT("8방향 발사",ShootTable[[#This Row],[Index]]-1000)</f>
        <v>8방향 발사10</v>
      </c>
      <c r="D184">
        <f t="shared" si="8"/>
        <v>265</v>
      </c>
      <c r="E184">
        <v>401</v>
      </c>
      <c r="F184">
        <v>0</v>
      </c>
      <c r="G184">
        <v>6.5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4"/>
  <sheetViews>
    <sheetView zoomScaleNormal="75" zoomScaleSheetLayoutView="100" workbookViewId="0">
      <selection activeCell="P11" sqref="P11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26</v>
      </c>
      <c r="C1" t="s">
        <v>28</v>
      </c>
      <c r="D1" t="s">
        <v>75</v>
      </c>
      <c r="E1" t="s">
        <v>54</v>
      </c>
      <c r="F1" t="s">
        <v>26</v>
      </c>
      <c r="G1" t="s">
        <v>53</v>
      </c>
    </row>
    <row r="2" spans="2:7">
      <c r="B2" t="s">
        <v>41</v>
      </c>
      <c r="C2" s="5" t="s">
        <v>24</v>
      </c>
      <c r="D2" t="s">
        <v>212</v>
      </c>
      <c r="E2" t="s">
        <v>108</v>
      </c>
      <c r="F2" t="s">
        <v>185</v>
      </c>
      <c r="G2" t="s">
        <v>192</v>
      </c>
    </row>
    <row r="3" spans="2:7">
      <c r="B3">
        <v>200</v>
      </c>
      <c r="C3" s="19" t="s">
        <v>20</v>
      </c>
      <c r="D3" t="b">
        <v>1</v>
      </c>
      <c r="E3">
        <v>0.8</v>
      </c>
      <c r="F3">
        <v>25</v>
      </c>
      <c r="G3" t="s">
        <v>230</v>
      </c>
    </row>
    <row r="4" spans="2:7">
      <c r="B4">
        <v>201</v>
      </c>
      <c r="C4" s="14" t="s">
        <v>379</v>
      </c>
      <c r="D4" t="b">
        <v>1</v>
      </c>
      <c r="E4">
        <v>0.8</v>
      </c>
      <c r="F4">
        <v>15</v>
      </c>
      <c r="G4" s="11" t="s">
        <v>411</v>
      </c>
    </row>
    <row r="5" spans="2:7">
      <c r="B5">
        <v>204</v>
      </c>
      <c r="C5" s="14" t="s">
        <v>410</v>
      </c>
      <c r="D5" t="b">
        <v>1</v>
      </c>
      <c r="E5">
        <v>1.5</v>
      </c>
      <c r="F5">
        <v>15</v>
      </c>
      <c r="G5" s="11" t="s">
        <v>898</v>
      </c>
    </row>
    <row r="6" spans="2:7">
      <c r="B6">
        <v>205</v>
      </c>
      <c r="C6" s="14" t="s">
        <v>456</v>
      </c>
      <c r="D6" t="b">
        <v>1</v>
      </c>
      <c r="E6">
        <v>1.2</v>
      </c>
      <c r="F6">
        <v>15</v>
      </c>
      <c r="G6" s="11" t="s">
        <v>422</v>
      </c>
    </row>
    <row r="7" spans="2:7">
      <c r="B7">
        <v>500</v>
      </c>
      <c r="C7" s="19" t="s">
        <v>21</v>
      </c>
      <c r="D7" s="3" t="b">
        <v>0</v>
      </c>
      <c r="E7">
        <v>1</v>
      </c>
      <c r="F7">
        <v>60</v>
      </c>
      <c r="G7" t="s">
        <v>229</v>
      </c>
    </row>
    <row r="8" spans="2:7">
      <c r="B8">
        <v>501</v>
      </c>
      <c r="C8" s="19" t="s">
        <v>93</v>
      </c>
      <c r="D8" s="3" t="b">
        <v>0</v>
      </c>
      <c r="E8">
        <v>1</v>
      </c>
      <c r="F8">
        <v>60</v>
      </c>
      <c r="G8" t="s">
        <v>229</v>
      </c>
    </row>
    <row r="9" spans="2:7">
      <c r="B9">
        <v>400</v>
      </c>
      <c r="C9" s="19" t="s">
        <v>76</v>
      </c>
      <c r="D9" s="3" t="b">
        <v>0</v>
      </c>
      <c r="E9">
        <v>0.25</v>
      </c>
      <c r="F9">
        <v>25</v>
      </c>
      <c r="G9" t="s">
        <v>229</v>
      </c>
    </row>
    <row r="10" spans="2:7">
      <c r="B10">
        <v>401</v>
      </c>
      <c r="C10" s="19" t="s">
        <v>222</v>
      </c>
      <c r="D10" s="3" t="b">
        <v>1</v>
      </c>
      <c r="E10">
        <v>0.25</v>
      </c>
      <c r="F10">
        <v>25</v>
      </c>
      <c r="G10" t="s">
        <v>229</v>
      </c>
    </row>
    <row r="11" spans="2:7">
      <c r="B11">
        <v>402</v>
      </c>
      <c r="C11" s="19" t="s">
        <v>73</v>
      </c>
      <c r="D11" s="3" t="b">
        <v>0</v>
      </c>
      <c r="E11">
        <v>0.4</v>
      </c>
      <c r="F11">
        <v>25</v>
      </c>
      <c r="G11" t="s">
        <v>229</v>
      </c>
    </row>
    <row r="12" spans="2:7">
      <c r="B12">
        <v>403</v>
      </c>
      <c r="C12" s="13" t="s">
        <v>292</v>
      </c>
      <c r="D12" s="3" t="b">
        <v>0</v>
      </c>
      <c r="E12">
        <v>0.8</v>
      </c>
      <c r="F12">
        <v>25</v>
      </c>
      <c r="G12" t="s">
        <v>229</v>
      </c>
    </row>
    <row r="13" spans="2:7">
      <c r="B13">
        <v>404</v>
      </c>
      <c r="C13" s="13" t="s">
        <v>293</v>
      </c>
      <c r="D13" s="3" t="b">
        <v>1</v>
      </c>
      <c r="E13">
        <v>0.8</v>
      </c>
      <c r="F13">
        <v>25</v>
      </c>
      <c r="G13" t="s">
        <v>229</v>
      </c>
    </row>
    <row r="14" spans="2:7">
      <c r="B14">
        <v>999</v>
      </c>
      <c r="C14" s="18" t="s">
        <v>287</v>
      </c>
      <c r="D14" t="b">
        <v>1</v>
      </c>
      <c r="E14">
        <v>1</v>
      </c>
      <c r="F14">
        <v>25</v>
      </c>
      <c r="G14" s="16" t="s">
        <v>314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R33"/>
  <sheetViews>
    <sheetView topLeftCell="A2" zoomScaleNormal="100" zoomScaleSheetLayoutView="100" workbookViewId="0">
      <selection activeCell="F25" sqref="F25"/>
    </sheetView>
  </sheetViews>
  <sheetFormatPr baseColWidth="10" defaultColWidth="8.83203125" defaultRowHeight="17"/>
  <cols>
    <col min="1" max="1" width="8.83203125" style="42"/>
    <col min="2" max="2" width="18.1640625" style="42" customWidth="1"/>
    <col min="3" max="3" width="33" style="42" customWidth="1"/>
    <col min="4" max="4" width="40.83203125" style="42" customWidth="1"/>
    <col min="5" max="5" width="17.6640625" style="42" customWidth="1"/>
    <col min="6" max="6" width="11.5" style="42" customWidth="1"/>
    <col min="7" max="7" width="14.6640625" style="42" customWidth="1"/>
    <col min="8" max="8" width="21.83203125" style="42" customWidth="1"/>
    <col min="9" max="9" width="22.1640625" style="42" customWidth="1"/>
    <col min="10" max="11" width="14.6640625" style="42" customWidth="1"/>
    <col min="12" max="15" width="16.1640625" style="42" customWidth="1"/>
    <col min="16" max="16" width="32.6640625" style="42" customWidth="1"/>
    <col min="17" max="18" width="24.6640625" style="42" customWidth="1"/>
    <col min="19" max="16384" width="8.83203125" style="42"/>
  </cols>
  <sheetData>
    <row r="1" spans="2:18">
      <c r="B1" s="42" t="s">
        <v>463</v>
      </c>
      <c r="G1" s="42" t="s">
        <v>42</v>
      </c>
      <c r="H1" s="42" t="s">
        <v>26</v>
      </c>
      <c r="I1" s="42" t="s">
        <v>26</v>
      </c>
      <c r="J1" s="42" t="s">
        <v>26</v>
      </c>
      <c r="K1" s="42" t="s">
        <v>26</v>
      </c>
      <c r="L1" s="42" t="s">
        <v>53</v>
      </c>
      <c r="M1" s="42" t="s">
        <v>28</v>
      </c>
    </row>
    <row r="2" spans="2:18">
      <c r="B2" s="60" t="s">
        <v>599</v>
      </c>
      <c r="C2" s="64" t="s">
        <v>600</v>
      </c>
      <c r="D2" s="64" t="s">
        <v>601</v>
      </c>
      <c r="E2" s="64" t="s">
        <v>602</v>
      </c>
      <c r="F2" s="58" t="s">
        <v>41</v>
      </c>
      <c r="G2" s="58" t="s">
        <v>44</v>
      </c>
      <c r="H2" s="58" t="s">
        <v>105</v>
      </c>
      <c r="I2" s="58" t="s">
        <v>365</v>
      </c>
      <c r="J2" s="58" t="s">
        <v>366</v>
      </c>
      <c r="K2" s="58" t="s">
        <v>169</v>
      </c>
      <c r="L2" s="58" t="s">
        <v>48</v>
      </c>
      <c r="M2" s="58" t="s">
        <v>51</v>
      </c>
      <c r="N2" s="58" t="s">
        <v>170</v>
      </c>
      <c r="O2" s="58" t="s">
        <v>7</v>
      </c>
      <c r="P2" s="58" t="s">
        <v>118</v>
      </c>
      <c r="Q2" s="59" t="s">
        <v>525</v>
      </c>
      <c r="R2" s="59" t="s">
        <v>526</v>
      </c>
    </row>
    <row r="3" spans="2:18">
      <c r="B3" s="57" t="e">
        <f>INDEX(LocaleTable[LocaleKR],MATCH(ItemTable[[#This Row],[Name]],LocaleTable[StringKey],0))</f>
        <v>#N/A</v>
      </c>
      <c r="C3" s="57" t="e">
        <f>INDEX(LocaleTable[LocaleKR],MATCH(ItemTable[[#This Row],[Desc]],LocaleTable[StringKey],0))</f>
        <v>#N/A</v>
      </c>
      <c r="D3" s="57" t="e">
        <f>INDEX(LocaleTable[LocaleKR],MATCH(ItemTable[[#This Row],[PlusDesc]],LocaleTable[StringKey],0))</f>
        <v>#N/A</v>
      </c>
      <c r="E3" s="57" t="e">
        <f>INDEX(LocaleTable[LocaleKR],MATCH(ItemTable[[#This Row],[MinusDesc]],LocaleTable[StringKey],0))</f>
        <v>#N/A</v>
      </c>
      <c r="F3" s="42">
        <f t="array" ref="F3">_xlfn.IFS(ItemTable[[#This Row],[GradeType]]="Hp",IF(K2=ItemTable[[#This Row],[GradeType]],F2+1,10),ItemTable[[#This Row],[GradeType]]="Gold",IF(K2=ItemTable[[#This Row],[GradeType]],F2+1,20),ItemTable[[#This Row],[GradeType]]="Weapon",IF(K2=ItemTable[[#This Row],[GradeType]],F2+1,1000),ItemTable[[#This Row],[GradeType]]="Normal",IF(K2=ItemTable[[#This Row],[GradeType]],F2+1,2000),ItemTable[[#This Row],[GradeType]]="Rare",IF(K2=ItemTable[[#This Row],[GradeType]],F2+1,3000),ItemTable[[#This Row],[GradeType]]="Cursed",IF(K2=ItemTable[[#This Row],[GradeType]],F2+1,4000))</f>
        <v>10</v>
      </c>
      <c r="G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3" s="42" t="str">
        <f>IF(ItemTable[[#This Row],[GradeType]]="Cursed",
_xlfn.CONCAT("Item_MinusDesc_",ItemTable[[#This Row],[Index]]),""
)</f>
        <v/>
      </c>
      <c r="K3" s="42" t="s">
        <v>27</v>
      </c>
      <c r="L3" s="42">
        <v>25</v>
      </c>
      <c r="M3" s="42">
        <f>INDEX(아이템가격[],MATCH(MID(ItemTable[[#Headers],[CostHp]],5,10),아이템가격[재화],0),MATCH(ItemTable[[#This Row],[GradeType]],아이템가격[#Headers],0))*ItemTable[[#This Row],[Value]]</f>
        <v>0</v>
      </c>
      <c r="N3" s="42">
        <v>10</v>
      </c>
      <c r="O3" s="42">
        <f t="array" ref="O3">_xlfn.IFS(OR(ItemTable[[#This Row],[GradeType]]="Hp",ItemTable[[#This Row],[GradeType]]="Gold"),0,TRUE,5000+ItemTable[[#This Row],[Index]])</f>
        <v>0</v>
      </c>
      <c r="Q3" s="57"/>
      <c r="R3" s="57" t="str">
        <f>SUBSTITUTE(PROPER(ItemTable[[#This Row],['#번역본]])," "," ")</f>
        <v/>
      </c>
    </row>
    <row r="4" spans="2:18">
      <c r="B4" s="57" t="e">
        <f>INDEX(LocaleTable[LocaleKR],MATCH(ItemTable[[#This Row],[Name]],LocaleTable[StringKey],0))</f>
        <v>#N/A</v>
      </c>
      <c r="C4" s="57" t="e">
        <f>INDEX(LocaleTable[LocaleKR],MATCH(ItemTable[[#This Row],[Desc]],LocaleTable[StringKey],0))</f>
        <v>#N/A</v>
      </c>
      <c r="D4" s="57" t="e">
        <f>INDEX(LocaleTable[LocaleKR],MATCH(ItemTable[[#This Row],[PlusDesc]],LocaleTable[StringKey],0))</f>
        <v>#N/A</v>
      </c>
      <c r="E4" s="57" t="e">
        <f>INDEX(LocaleTable[LocaleKR],MATCH(ItemTable[[#This Row],[MinusDesc]],LocaleTable[StringKey],0))</f>
        <v>#N/A</v>
      </c>
      <c r="F4" s="42">
        <f t="array" ref="F4">_xlfn.IFS(ItemTable[[#This Row],[GradeType]]="Hp",IF(K3=ItemTable[[#This Row],[GradeType]],F3+1,10),ItemTable[[#This Row],[GradeType]]="Gold",IF(K3=ItemTable[[#This Row],[GradeType]],F3+1,20),ItemTable[[#This Row],[GradeType]]="Weapon",IF(K3=ItemTable[[#This Row],[GradeType]],F3+1,1000),ItemTable[[#This Row],[GradeType]]="Normal",IF(K3=ItemTable[[#This Row],[GradeType]],F3+1,2000),ItemTable[[#This Row],[GradeType]]="Rare",IF(K3=ItemTable[[#This Row],[GradeType]],F3+1,3000),ItemTable[[#This Row],[GradeType]]="Cursed",IF(K3=ItemTable[[#This Row],[GradeType]],F3+1,4000))</f>
        <v>11</v>
      </c>
      <c r="G4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4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4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4" s="42" t="str">
        <f>IF(ItemTable[[#This Row],[GradeType]]="Cursed",
_xlfn.CONCAT("Item_MinusDesc_",ItemTable[[#This Row],[Index]]),""
)</f>
        <v/>
      </c>
      <c r="K4" s="42" t="s">
        <v>27</v>
      </c>
      <c r="L4" s="42">
        <v>50</v>
      </c>
      <c r="M4" s="42">
        <f>INDEX(아이템가격[],MATCH(MID(ItemTable[[#Headers],[CostHp]],5,10),아이템가격[재화],0),MATCH(ItemTable[[#This Row],[GradeType]],아이템가격[#Headers],0))*ItemTable[[#This Row],[Value]]</f>
        <v>0</v>
      </c>
      <c r="N4" s="42">
        <v>20</v>
      </c>
      <c r="O4" s="42">
        <f t="array" ref="O4">_xlfn.IFS(OR(ItemTable[[#This Row],[GradeType]]="Hp",ItemTable[[#This Row],[GradeType]]="Gold"),0,TRUE,5000+ItemTable[[#This Row],[Index]])</f>
        <v>0</v>
      </c>
      <c r="Q4" s="57"/>
      <c r="R4" s="57" t="str">
        <f>SUBSTITUTE(PROPER(ItemTable[[#This Row],['#번역본]])," "," ")</f>
        <v/>
      </c>
    </row>
    <row r="5" spans="2:18">
      <c r="B5" s="57" t="e">
        <f>INDEX(LocaleTable[LocaleKR],MATCH(ItemTable[[#This Row],[Name]],LocaleTable[StringKey],0))</f>
        <v>#N/A</v>
      </c>
      <c r="C5" s="57" t="e">
        <f>INDEX(LocaleTable[LocaleKR],MATCH(ItemTable[[#This Row],[Desc]],LocaleTable[StringKey],0))</f>
        <v>#N/A</v>
      </c>
      <c r="D5" s="57" t="e">
        <f>INDEX(LocaleTable[LocaleKR],MATCH(ItemTable[[#This Row],[PlusDesc]],LocaleTable[StringKey],0))</f>
        <v>#N/A</v>
      </c>
      <c r="E5" s="57" t="e">
        <f>INDEX(LocaleTable[LocaleKR],MATCH(ItemTable[[#This Row],[MinusDesc]],LocaleTable[StringKey],0))</f>
        <v>#N/A</v>
      </c>
      <c r="F5" s="42">
        <f t="array" ref="F5">_xlfn.IFS(ItemTable[[#This Row],[GradeType]]="Hp",IF(K4=ItemTable[[#This Row],[GradeType]],F4+1,10),ItemTable[[#This Row],[GradeType]]="Gold",IF(K4=ItemTable[[#This Row],[GradeType]],F4+1,20),ItemTable[[#This Row],[GradeType]]="Weapon",IF(K4=ItemTable[[#This Row],[GradeType]],F4+1,1000),ItemTable[[#This Row],[GradeType]]="Normal",IF(K4=ItemTable[[#This Row],[GradeType]],F4+1,2000),ItemTable[[#This Row],[GradeType]]="Rare",IF(K4=ItemTable[[#This Row],[GradeType]],F4+1,3000),ItemTable[[#This Row],[GradeType]]="Cursed",IF(K4=ItemTable[[#This Row],[GradeType]],F4+1,4000))</f>
        <v>20</v>
      </c>
      <c r="G5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5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5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5" s="42" t="str">
        <f>IF(ItemTable[[#This Row],[GradeType]]="Cursed",
_xlfn.CONCAT("Item_MinusDesc_",ItemTable[[#This Row],[Index]]),""
)</f>
        <v/>
      </c>
      <c r="K5" s="42" t="s">
        <v>52</v>
      </c>
      <c r="L5" s="42">
        <v>15</v>
      </c>
      <c r="M5" s="42">
        <v>25</v>
      </c>
      <c r="N5" s="42">
        <f>INDEX(아이템가격[],MATCH(MID(ItemTable[[#Headers],[CostGold]],5,10),아이템가격[재화],0),MATCH(ItemTable[[#This Row],[GradeType]],아이템가격[#Headers],0))*ItemTable[[#This Row],[Value]]</f>
        <v>0</v>
      </c>
      <c r="O5" s="42">
        <f t="array" ref="O5">_xlfn.IFS(OR(ItemTable[[#This Row],[GradeType]]="Hp",ItemTable[[#This Row],[GradeType]]="Gold"),0,TRUE,5000+ItemTable[[#This Row],[Index]])</f>
        <v>0</v>
      </c>
      <c r="P5" s="42" t="s">
        <v>18</v>
      </c>
      <c r="Q5" s="57"/>
      <c r="R5" s="57" t="str">
        <f>SUBSTITUTE(PROPER(ItemTable[[#This Row],['#번역본]])," "," ")</f>
        <v/>
      </c>
    </row>
    <row r="6" spans="2:18">
      <c r="B6" s="57" t="e">
        <f>INDEX(LocaleTable[LocaleKR],MATCH(ItemTable[[#This Row],[Name]],LocaleTable[StringKey],0))</f>
        <v>#N/A</v>
      </c>
      <c r="C6" s="57" t="e">
        <f>INDEX(LocaleTable[LocaleKR],MATCH(ItemTable[[#This Row],[Desc]],LocaleTable[StringKey],0))</f>
        <v>#N/A</v>
      </c>
      <c r="D6" s="57" t="e">
        <f>INDEX(LocaleTable[LocaleKR],MATCH(ItemTable[[#This Row],[PlusDesc]],LocaleTable[StringKey],0))</f>
        <v>#N/A</v>
      </c>
      <c r="E6" s="57" t="e">
        <f>INDEX(LocaleTable[LocaleKR],MATCH(ItemTable[[#This Row],[MinusDesc]],LocaleTable[StringKey],0))</f>
        <v>#N/A</v>
      </c>
      <c r="F6" s="42">
        <f t="array" ref="F6">_xlfn.IFS(ItemTable[[#This Row],[GradeType]]="Hp",IF(K5=ItemTable[[#This Row],[GradeType]],F5+1,10),ItemTable[[#This Row],[GradeType]]="Gold",IF(K5=ItemTable[[#This Row],[GradeType]],F5+1,20),ItemTable[[#This Row],[GradeType]]="Weapon",IF(K5=ItemTable[[#This Row],[GradeType]],F5+1,1000),ItemTable[[#This Row],[GradeType]]="Normal",IF(K5=ItemTable[[#This Row],[GradeType]],F5+1,2000),ItemTable[[#This Row],[GradeType]]="Rare",IF(K5=ItemTable[[#This Row],[GradeType]],F5+1,3000),ItemTable[[#This Row],[GradeType]]="Cursed",IF(K5=ItemTable[[#This Row],[GradeType]],F5+1,4000))</f>
        <v>21</v>
      </c>
      <c r="G6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6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6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6" s="42" t="str">
        <f>IF(ItemTable[[#This Row],[GradeType]]="Cursed",
_xlfn.CONCAT("Item_MinusDesc_",ItemTable[[#This Row],[Index]]),""
)</f>
        <v/>
      </c>
      <c r="K6" s="42" t="s">
        <v>52</v>
      </c>
      <c r="L6" s="42">
        <v>30</v>
      </c>
      <c r="M6" s="42">
        <v>50</v>
      </c>
      <c r="N6" s="42">
        <f>INDEX(아이템가격[],MATCH(MID(ItemTable[[#Headers],[CostGold]],5,10),아이템가격[재화],0),MATCH(ItemTable[[#This Row],[GradeType]],아이템가격[#Headers],0))*ItemTable[[#This Row],[Value]]</f>
        <v>0</v>
      </c>
      <c r="O6" s="42">
        <f t="array" ref="O6">_xlfn.IFS(OR(ItemTable[[#This Row],[GradeType]]="Hp",ItemTable[[#This Row],[GradeType]]="Gold"),0,TRUE,5000+ItemTable[[#This Row],[Index]])</f>
        <v>0</v>
      </c>
      <c r="P6" s="42" t="s">
        <v>18</v>
      </c>
      <c r="Q6" s="57"/>
      <c r="R6" s="57" t="str">
        <f>SUBSTITUTE(PROPER(ItemTable[[#This Row],['#번역본]])," "," ")</f>
        <v/>
      </c>
    </row>
    <row r="7" spans="2:18">
      <c r="B7" s="57" t="e">
        <f>INDEX(LocaleTable[LocaleKR],MATCH(ItemTable[[#This Row],[Name]],LocaleTable[StringKey],0))</f>
        <v>#N/A</v>
      </c>
      <c r="C7" s="57" t="e">
        <f>INDEX(LocaleTable[LocaleKR],MATCH(ItemTable[[#This Row],[Desc]],LocaleTable[StringKey],0))</f>
        <v>#N/A</v>
      </c>
      <c r="D7" s="57" t="e">
        <f>INDEX(LocaleTable[LocaleKR],MATCH(ItemTable[[#This Row],[PlusDesc]],LocaleTable[StringKey],0))</f>
        <v>#N/A</v>
      </c>
      <c r="E7" s="57" t="e">
        <f>INDEX(LocaleTable[LocaleKR],MATCH(ItemTable[[#This Row],[MinusDesc]],LocaleTable[StringKey],0))</f>
        <v>#N/A</v>
      </c>
      <c r="F7" s="42">
        <f t="array" ref="F7">_xlfn.IFS(ItemTable[[#This Row],[GradeType]]="Hp",IF(K6=ItemTable[[#This Row],[GradeType]],F6+1,10),ItemTable[[#This Row],[GradeType]]="Gold",IF(K6=ItemTable[[#This Row],[GradeType]],F6+1,20),ItemTable[[#This Row],[GradeType]]="Weapon",IF(K6=ItemTable[[#This Row],[GradeType]],F6+1,1000),ItemTable[[#This Row],[GradeType]]="Normal",IF(K6=ItemTable[[#This Row],[GradeType]],F6+1,2000),ItemTable[[#This Row],[GradeType]]="Rare",IF(K6=ItemTable[[#This Row],[GradeType]],F6+1,3000),ItemTable[[#This Row],[GradeType]]="Cursed",IF(K6=ItemTable[[#This Row],[GradeType]],F6+1,4000))</f>
        <v>22</v>
      </c>
      <c r="G7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7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7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7" s="42" t="str">
        <f>IF(ItemTable[[#This Row],[GradeType]]="Cursed",
_xlfn.CONCAT("Item_MinusDesc_",ItemTable[[#This Row],[Index]]),""
)</f>
        <v/>
      </c>
      <c r="K7" s="42" t="s">
        <v>52</v>
      </c>
      <c r="L7" s="42">
        <v>45</v>
      </c>
      <c r="M7" s="42">
        <v>75</v>
      </c>
      <c r="N7" s="42">
        <f>INDEX(아이템가격[],MATCH(MID(ItemTable[[#Headers],[CostGold]],5,10),아이템가격[재화],0),MATCH(ItemTable[[#This Row],[GradeType]],아이템가격[#Headers],0))*ItemTable[[#This Row],[Value]]</f>
        <v>0</v>
      </c>
      <c r="O7" s="42">
        <f t="array" ref="O7">_xlfn.IFS(OR(ItemTable[[#This Row],[GradeType]]="Hp",ItemTable[[#This Row],[GradeType]]="Gold"),0,TRUE,5000+ItemTable[[#This Row],[Index]])</f>
        <v>0</v>
      </c>
      <c r="P7" s="42" t="s">
        <v>18</v>
      </c>
      <c r="Q7" s="57"/>
      <c r="R7" s="57" t="str">
        <f>SUBSTITUTE(PROPER(ItemTable[[#This Row],['#번역본]])," "," ")</f>
        <v/>
      </c>
    </row>
    <row r="8" spans="2:18">
      <c r="B8" s="57" t="str">
        <f>INDEX(LocaleTable[LocaleKR],MATCH(ItemTable[[#This Row],[Name]],LocaleTable[StringKey],0))</f>
        <v>메탈유니콘 키링</v>
      </c>
      <c r="C8" s="57" t="str">
        <f>INDEX(LocaleTable[LocaleKR],MATCH(ItemTable[[#This Row],[Desc]],LocaleTable[StringKey],0))</f>
        <v>배트에 달아놓으면 휘두를 때\n짤랑짤랑 소리가 납니다.</v>
      </c>
      <c r="D8" s="57" t="str">
        <f>INDEX(LocaleTable[LocaleKR],MATCH(ItemTable[[#This Row],[PlusDesc]],LocaleTable[StringKey],0))</f>
        <v>플레이어의 공이\n적을 관통합니다.</v>
      </c>
      <c r="E8" s="57" t="e">
        <f>INDEX(LocaleTable[LocaleKR],MATCH(ItemTable[[#This Row],[MinusDesc]],LocaleTable[StringKey],0))</f>
        <v>#N/A</v>
      </c>
      <c r="F8" s="42">
        <f t="array" ref="F8">_xlfn.IFS(ItemTable[[#This Row],[GradeType]]="Hp",IF(K7=ItemTable[[#This Row],[GradeType]],F7+1,10),ItemTable[[#This Row],[GradeType]]="Gold",IF(K7=ItemTable[[#This Row],[GradeType]],F7+1,20),ItemTable[[#This Row],[GradeType]]="Weapon",IF(K7=ItemTable[[#This Row],[GradeType]],F7+1,1000),ItemTable[[#This Row],[GradeType]]="Normal",IF(K7=ItemTable[[#This Row],[GradeType]],F7+1,2000),ItemTable[[#This Row],[GradeType]]="Rare",IF(K7=ItemTable[[#This Row],[GradeType]],F7+1,3000),ItemTable[[#This Row],[GradeType]]="Cursed",IF(K7=ItemTable[[#This Row],[GradeType]],F7+1,4000))</f>
        <v>2000</v>
      </c>
      <c r="G8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Item_Name_2000</v>
      </c>
      <c r="H8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Item_Desc_2000</v>
      </c>
      <c r="I8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Item_PlusDesc_2000</v>
      </c>
      <c r="J8" s="42" t="str">
        <f>IF(ItemTable[[#This Row],[GradeType]]="Cursed",
_xlfn.CONCAT("Item_MinusDesc_",ItemTable[[#This Row],[Index]]),""
)</f>
        <v/>
      </c>
      <c r="K8" s="42" t="s">
        <v>45</v>
      </c>
      <c r="L8" s="42">
        <v>1</v>
      </c>
      <c r="M8" s="42">
        <f t="array" ref="M8">_xlfn.IFS(ItemTable[[#This Row],[GradeType]]="Normal",25,ItemTable[[#This Row],[GradeType]]="Cursed",50,ItemTable[[#This Row],[GradeType]]="Rare",50)</f>
        <v>25</v>
      </c>
      <c r="N8" s="42">
        <v>30</v>
      </c>
      <c r="O8" s="42">
        <f t="array" ref="O8">_xlfn.IFS(OR(ItemTable[[#This Row],[GradeType]]="Hp",ItemTable[[#This Row],[GradeType]]="Gold"),0,TRUE,5000+ItemTable[[#This Row],[Index]])</f>
        <v>7000</v>
      </c>
      <c r="P8" s="42" t="s">
        <v>618</v>
      </c>
      <c r="Q8" s="57" t="s">
        <v>512</v>
      </c>
      <c r="R8" s="57" t="str">
        <f>SUBSTITUTE(PROPER(ItemTable[[#This Row],['#번역본]])," "," ")</f>
        <v>Metal Unicorn Keyring</v>
      </c>
    </row>
    <row r="9" spans="2:18">
      <c r="B9" s="57" t="str">
        <f>INDEX(LocaleTable[LocaleKR],MATCH(ItemTable[[#This Row],[Name]],LocaleTable[StringKey],0))</f>
        <v>챔피언 모자</v>
      </c>
      <c r="C9" s="57" t="str">
        <f>INDEX(LocaleTable[LocaleKR],MATCH(ItemTable[[#This Row],[Desc]],LocaleTable[StringKey],0))</f>
        <v>태초부터 시작되더라도 절망하지 않습니다.\n'자 이제 시작이야'</v>
      </c>
      <c r="D9" s="57" t="str">
        <f>INDEX(LocaleTable[LocaleKR],MATCH(ItemTable[[#This Row],[PlusDesc]],LocaleTable[StringKey],0))</f>
        <v>공격범위 +30%</v>
      </c>
      <c r="E9" s="57" t="e">
        <f>INDEX(LocaleTable[LocaleKR],MATCH(ItemTable[[#This Row],[MinusDesc]],LocaleTable[StringKey],0))</f>
        <v>#N/A</v>
      </c>
      <c r="F9" s="42">
        <f t="array" ref="F9">_xlfn.IFS(ItemTable[[#This Row],[GradeType]]="Hp",IF(K8=ItemTable[[#This Row],[GradeType]],F8+1,10),ItemTable[[#This Row],[GradeType]]="Gold",IF(K8=ItemTable[[#This Row],[GradeType]],F8+1,20),ItemTable[[#This Row],[GradeType]]="Weapon",IF(K8=ItemTable[[#This Row],[GradeType]],F8+1,1000),ItemTable[[#This Row],[GradeType]]="Normal",IF(K8=ItemTable[[#This Row],[GradeType]],F8+1,2000),ItemTable[[#This Row],[GradeType]]="Rare",IF(K8=ItemTable[[#This Row],[GradeType]],F8+1,3000),ItemTable[[#This Row],[GradeType]]="Cursed",IF(K8=ItemTable[[#This Row],[GradeType]],F8+1,4000))</f>
        <v>2001</v>
      </c>
      <c r="G9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Item_Name_2001</v>
      </c>
      <c r="H9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Item_Desc_2001</v>
      </c>
      <c r="I9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Item_PlusDesc_2001</v>
      </c>
      <c r="J9" s="42" t="str">
        <f>IF(ItemTable[[#This Row],[GradeType]]="Cursed",
_xlfn.CONCAT("Item_MinusDesc_",ItemTable[[#This Row],[Index]]),""
)</f>
        <v/>
      </c>
      <c r="K9" s="42" t="s">
        <v>45</v>
      </c>
      <c r="L9" s="42">
        <v>1</v>
      </c>
      <c r="M9" s="42">
        <f t="array" ref="M9">_xlfn.IFS(ItemTable[[#This Row],[GradeType]]="Normal",25,ItemTable[[#This Row],[GradeType]]="Cursed",50,ItemTable[[#This Row],[GradeType]]="Rare",50)</f>
        <v>25</v>
      </c>
      <c r="N9" s="42">
        <v>30</v>
      </c>
      <c r="O9" s="42">
        <f t="array" ref="O9">_xlfn.IFS(OR(ItemTable[[#This Row],[GradeType]]="Hp",ItemTable[[#This Row],[GradeType]]="Gold"),0,TRUE,5000+ItemTable[[#This Row],[Index]])</f>
        <v>7001</v>
      </c>
      <c r="P9" s="42" t="s">
        <v>479</v>
      </c>
      <c r="Q9" s="57" t="s">
        <v>513</v>
      </c>
      <c r="R9" s="57" t="str">
        <f>SUBSTITUTE(PROPER(ItemTable[[#This Row],['#번역본]])," "," ")</f>
        <v>A Champion Hat</v>
      </c>
    </row>
    <row r="10" spans="2:18">
      <c r="B10" s="57" t="str">
        <f>INDEX(LocaleTable[LocaleKR],MATCH(ItemTable[[#This Row],[Name]],LocaleTable[StringKey],0))</f>
        <v>쿨 - 도그</v>
      </c>
      <c r="C10" s="57" t="str">
        <f>INDEX(LocaleTable[LocaleKR],MATCH(ItemTable[[#This Row],[Desc]],LocaleTable[StringKey],0))</f>
        <v>얼.죽.아 클럽의 새로운 유행입니다.</v>
      </c>
      <c r="D10" s="57" t="str">
        <f>INDEX(LocaleTable[LocaleKR],MATCH(ItemTable[[#This Row],[PlusDesc]],LocaleTable[StringKey],0))</f>
        <v>차징속도 +15%</v>
      </c>
      <c r="E10" s="57" t="e">
        <f>INDEX(LocaleTable[LocaleKR],MATCH(ItemTable[[#This Row],[MinusDesc]],LocaleTable[StringKey],0))</f>
        <v>#N/A</v>
      </c>
      <c r="F10" s="42">
        <f t="array" ref="F10">_xlfn.IFS(ItemTable[[#This Row],[GradeType]]="Hp",IF(K9=ItemTable[[#This Row],[GradeType]],F9+1,10),ItemTable[[#This Row],[GradeType]]="Gold",IF(K9=ItemTable[[#This Row],[GradeType]],F9+1,20),ItemTable[[#This Row],[GradeType]]="Weapon",IF(K9=ItemTable[[#This Row],[GradeType]],F9+1,1000),ItemTable[[#This Row],[GradeType]]="Normal",IF(K9=ItemTable[[#This Row],[GradeType]],F9+1,2000),ItemTable[[#This Row],[GradeType]]="Rare",IF(K9=ItemTable[[#This Row],[GradeType]],F9+1,3000),ItemTable[[#This Row],[GradeType]]="Cursed",IF(K9=ItemTable[[#This Row],[GradeType]],F9+1,4000))</f>
        <v>2002</v>
      </c>
      <c r="G10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Item_Name_2002</v>
      </c>
      <c r="H10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Item_Desc_2002</v>
      </c>
      <c r="I10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Item_PlusDesc_2002</v>
      </c>
      <c r="J10" s="42" t="str">
        <f>IF(ItemTable[[#This Row],[GradeType]]="Cursed",
_xlfn.CONCAT("Item_MinusDesc_",ItemTable[[#This Row],[Index]]),""
)</f>
        <v/>
      </c>
      <c r="K10" s="42" t="s">
        <v>45</v>
      </c>
      <c r="L10" s="42">
        <v>1</v>
      </c>
      <c r="M10" s="42">
        <f t="array" ref="M10">_xlfn.IFS(ItemTable[[#This Row],[GradeType]]="Normal",25,ItemTable[[#This Row],[GradeType]]="Cursed",50,ItemTable[[#This Row],[GradeType]]="Rare",50)</f>
        <v>25</v>
      </c>
      <c r="N10" s="42">
        <v>30</v>
      </c>
      <c r="O10" s="42">
        <f t="array" ref="O10">_xlfn.IFS(OR(ItemTable[[#This Row],[GradeType]]="Hp",ItemTable[[#This Row],[GradeType]]="Gold"),0,TRUE,5000+ItemTable[[#This Row],[Index]])</f>
        <v>7002</v>
      </c>
      <c r="P10" s="42" t="s">
        <v>480</v>
      </c>
      <c r="Q10" s="57" t="s">
        <v>514</v>
      </c>
      <c r="R10" s="57" t="str">
        <f>SUBSTITUTE(PROPER(ItemTable[[#This Row],['#번역본]])," "," ")</f>
        <v>Cool - Dog</v>
      </c>
    </row>
    <row r="11" spans="2:18">
      <c r="B11" s="57" t="str">
        <f>INDEX(LocaleTable[LocaleKR],MATCH(ItemTable[[#This Row],[Name]],LocaleTable[StringKey],0))</f>
        <v>QT 파우더</v>
      </c>
      <c r="C11" s="57" t="str">
        <f>INDEX(LocaleTable[LocaleKR],MATCH(ItemTable[[#This Row],[Desc]],LocaleTable[StringKey],0))</f>
        <v>배트 이외의 물건에 사용하지 마시오\nQT추출물 0.0006% 함유\nQT향 0.1%함유</v>
      </c>
      <c r="D11" s="57" t="str">
        <f>INDEX(LocaleTable[LocaleKR],MATCH(ItemTable[[#This Row],[PlusDesc]],LocaleTable[StringKey],0))</f>
        <v>차징 타격 시 5초간\n공격력 +20%</v>
      </c>
      <c r="E11" s="57" t="e">
        <f>INDEX(LocaleTable[LocaleKR],MATCH(ItemTable[[#This Row],[MinusDesc]],LocaleTable[StringKey],0))</f>
        <v>#N/A</v>
      </c>
      <c r="F11" s="42">
        <f t="array" ref="F11">_xlfn.IFS(ItemTable[[#This Row],[GradeType]]="Hp",IF(K10=ItemTable[[#This Row],[GradeType]],F10+1,10),ItemTable[[#This Row],[GradeType]]="Gold",IF(K10=ItemTable[[#This Row],[GradeType]],F10+1,20),ItemTable[[#This Row],[GradeType]]="Weapon",IF(K10=ItemTable[[#This Row],[GradeType]],F10+1,1000),ItemTable[[#This Row],[GradeType]]="Normal",IF(K10=ItemTable[[#This Row],[GradeType]],F10+1,2000),ItemTable[[#This Row],[GradeType]]="Rare",IF(K10=ItemTable[[#This Row],[GradeType]],F10+1,3000),ItemTable[[#This Row],[GradeType]]="Cursed",IF(K10=ItemTable[[#This Row],[GradeType]],F10+1,4000))</f>
        <v>2003</v>
      </c>
      <c r="G11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Item_Name_2003</v>
      </c>
      <c r="H11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Item_Desc_2003</v>
      </c>
      <c r="I11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Item_PlusDesc_2003</v>
      </c>
      <c r="J11" s="42" t="str">
        <f>IF(ItemTable[[#This Row],[GradeType]]="Cursed",
_xlfn.CONCAT("Item_MinusDesc_",ItemTable[[#This Row],[Index]]),""
)</f>
        <v/>
      </c>
      <c r="K11" s="42" t="s">
        <v>45</v>
      </c>
      <c r="L11" s="42">
        <v>1</v>
      </c>
      <c r="M11" s="42">
        <f t="array" ref="M11">_xlfn.IFS(ItemTable[[#This Row],[GradeType]]="Normal",25,ItemTable[[#This Row],[GradeType]]="Cursed",50,ItemTable[[#This Row],[GradeType]]="Rare",50)</f>
        <v>25</v>
      </c>
      <c r="N11" s="42">
        <v>30</v>
      </c>
      <c r="O11" s="42">
        <f t="array" ref="O11">_xlfn.IFS(OR(ItemTable[[#This Row],[GradeType]]="Hp",ItemTable[[#This Row],[GradeType]]="Gold"),0,TRUE,5000+ItemTable[[#This Row],[Index]])</f>
        <v>7003</v>
      </c>
      <c r="P11" s="42" t="s">
        <v>481</v>
      </c>
      <c r="Q11" s="57" t="s">
        <v>515</v>
      </c>
      <c r="R11" s="57" t="str">
        <f>SUBSTITUTE(PROPER(ItemTable[[#This Row],['#번역본]])," "," ")</f>
        <v>Qt Powder</v>
      </c>
    </row>
    <row r="12" spans="2:18">
      <c r="B12" s="57" t="str">
        <f>INDEX(LocaleTable[LocaleKR],MATCH(ItemTable[[#This Row],[Name]],LocaleTable[StringKey],0))</f>
        <v>적토목마</v>
      </c>
      <c r="C12" s="57" t="str">
        <f>INDEX(LocaleTable[LocaleKR],MATCH(ItemTable[[#This Row],[Desc]],LocaleTable[StringKey],0))</f>
        <v>시크한 표정을 믿고 산책에 나갔다가는\n마라톤을 하게 될 수 있습니다.</v>
      </c>
      <c r="D12" s="57" t="str">
        <f>INDEX(LocaleTable[LocaleKR],MATCH(ItemTable[[#This Row],[PlusDesc]],LocaleTable[StringKey],0))</f>
        <v>공격속도 +20%</v>
      </c>
      <c r="E12" s="57" t="e">
        <f>INDEX(LocaleTable[LocaleKR],MATCH(ItemTable[[#This Row],[MinusDesc]],LocaleTable[StringKey],0))</f>
        <v>#N/A</v>
      </c>
      <c r="F12" s="42">
        <f t="array" ref="F12">_xlfn.IFS(ItemTable[[#This Row],[GradeType]]="Hp",IF(K11=ItemTable[[#This Row],[GradeType]],F11+1,10),ItemTable[[#This Row],[GradeType]]="Gold",IF(K11=ItemTable[[#This Row],[GradeType]],F11+1,20),ItemTable[[#This Row],[GradeType]]="Weapon",IF(K11=ItemTable[[#This Row],[GradeType]],F11+1,1000),ItemTable[[#This Row],[GradeType]]="Normal",IF(K11=ItemTable[[#This Row],[GradeType]],F11+1,2000),ItemTable[[#This Row],[GradeType]]="Rare",IF(K11=ItemTable[[#This Row],[GradeType]],F11+1,3000),ItemTable[[#This Row],[GradeType]]="Cursed",IF(K11=ItemTable[[#This Row],[GradeType]],F11+1,4000))</f>
        <v>2004</v>
      </c>
      <c r="G12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Item_Name_2004</v>
      </c>
      <c r="H12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Item_Desc_2004</v>
      </c>
      <c r="I12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Item_PlusDesc_2004</v>
      </c>
      <c r="J12" s="42" t="str">
        <f>IF(ItemTable[[#This Row],[GradeType]]="Cursed",
_xlfn.CONCAT("Item_MinusDesc_",ItemTable[[#This Row],[Index]]),""
)</f>
        <v/>
      </c>
      <c r="K12" s="42" t="s">
        <v>45</v>
      </c>
      <c r="L12" s="42">
        <v>1</v>
      </c>
      <c r="M12" s="42">
        <f t="array" ref="M12">_xlfn.IFS(ItemTable[[#This Row],[GradeType]]="Normal",25,ItemTable[[#This Row],[GradeType]]="Cursed",50,ItemTable[[#This Row],[GradeType]]="Rare",50)</f>
        <v>25</v>
      </c>
      <c r="N12" s="42">
        <v>30</v>
      </c>
      <c r="O12" s="42">
        <f t="array" ref="O12">_xlfn.IFS(OR(ItemTable[[#This Row],[GradeType]]="Hp",ItemTable[[#This Row],[GradeType]]="Gold"),0,TRUE,5000+ItemTable[[#This Row],[Index]])</f>
        <v>7004</v>
      </c>
      <c r="P12" s="42" t="s">
        <v>482</v>
      </c>
      <c r="Q12" s="57" t="s">
        <v>528</v>
      </c>
      <c r="R12" s="57" t="str">
        <f>SUBSTITUTE(PROPER(ItemTable[[#This Row],['#번역본]])," "," ")</f>
        <v>Red Hobbyhorse</v>
      </c>
    </row>
    <row r="13" spans="2:18">
      <c r="B13" s="57" t="str">
        <f>INDEX(LocaleTable[LocaleKR],MATCH(ItemTable[[#This Row],[Name]],LocaleTable[StringKey],0))</f>
        <v>삼각김곰</v>
      </c>
      <c r="C13" s="57" t="str">
        <f>INDEX(LocaleTable[LocaleKR],MATCH(ItemTable[[#This Row],[Desc]],LocaleTable[StringKey],0))</f>
        <v>대나무 향을 머금은 흰 밥이\n까만 김을 만나 완성된 환상적인 조합.</v>
      </c>
      <c r="D13" s="57" t="str">
        <f>INDEX(LocaleTable[LocaleKR],MATCH(ItemTable[[#This Row],[PlusDesc]],LocaleTable[StringKey],0))</f>
        <v>최대체력 + 1칸</v>
      </c>
      <c r="E13" s="57" t="e">
        <f>INDEX(LocaleTable[LocaleKR],MATCH(ItemTable[[#This Row],[MinusDesc]],LocaleTable[StringKey],0))</f>
        <v>#N/A</v>
      </c>
      <c r="F13" s="42">
        <f t="array" ref="F13">_xlfn.IFS(ItemTable[[#This Row],[GradeType]]="Hp",IF(K12=ItemTable[[#This Row],[GradeType]],F12+1,10),ItemTable[[#This Row],[GradeType]]="Gold",IF(K12=ItemTable[[#This Row],[GradeType]],F12+1,20),ItemTable[[#This Row],[GradeType]]="Weapon",IF(K12=ItemTable[[#This Row],[GradeType]],F12+1,1000),ItemTable[[#This Row],[GradeType]]="Normal",IF(K12=ItemTable[[#This Row],[GradeType]],F12+1,2000),ItemTable[[#This Row],[GradeType]]="Rare",IF(K12=ItemTable[[#This Row],[GradeType]],F12+1,3000),ItemTable[[#This Row],[GradeType]]="Cursed",IF(K12=ItemTable[[#This Row],[GradeType]],F12+1,4000))</f>
        <v>2005</v>
      </c>
      <c r="G1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Item_Name_2005</v>
      </c>
      <c r="H1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Item_Desc_2005</v>
      </c>
      <c r="I1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Item_PlusDesc_2005</v>
      </c>
      <c r="J13" s="42" t="str">
        <f>IF(ItemTable[[#This Row],[GradeType]]="Cursed",
_xlfn.CONCAT("Item_MinusDesc_",ItemTable[[#This Row],[Index]]),""
)</f>
        <v/>
      </c>
      <c r="K13" s="42" t="s">
        <v>45</v>
      </c>
      <c r="L13" s="42">
        <v>1</v>
      </c>
      <c r="M13" s="42">
        <f t="array" ref="M13">_xlfn.IFS(ItemTable[[#This Row],[GradeType]]="Normal",25,ItemTable[[#This Row],[GradeType]]="Cursed",50,ItemTable[[#This Row],[GradeType]]="Rare",50)</f>
        <v>25</v>
      </c>
      <c r="N13" s="42">
        <v>30</v>
      </c>
      <c r="O13" s="42">
        <f t="array" ref="O13">_xlfn.IFS(OR(ItemTable[[#This Row],[GradeType]]="Hp",ItemTable[[#This Row],[GradeType]]="Gold"),0,TRUE,5000+ItemTable[[#This Row],[Index]])</f>
        <v>7005</v>
      </c>
      <c r="P13" s="42" t="s">
        <v>483</v>
      </c>
      <c r="Q13" s="57" t="s">
        <v>529</v>
      </c>
      <c r="R13" s="57" t="str">
        <f>SUBSTITUTE(PROPER(ItemTable[[#This Row],['#번역본]])," "," ")</f>
        <v>Rice_Ball</v>
      </c>
    </row>
    <row r="14" spans="2:18">
      <c r="B14" s="57" t="str">
        <f>INDEX(LocaleTable[LocaleKR],MATCH(ItemTable[[#This Row],[Name]],LocaleTable[StringKey],0))</f>
        <v>데빌불</v>
      </c>
      <c r="C14" s="57" t="str">
        <f>INDEX(LocaleTable[LocaleKR],MATCH(ItemTable[[#This Row],[Desc]],LocaleTable[StringKey],0))</f>
        <v>데빌불, 숨겨진 악성을 펼쳐줘요.\n불티나게 팔리고 있는 음료입니다.</v>
      </c>
      <c r="D14" s="57" t="str">
        <f>INDEX(LocaleTable[LocaleKR],MATCH(ItemTable[[#This Row],[PlusDesc]],LocaleTable[StringKey],0))</f>
        <v>기절한 적을 공격할 때\n4초간 공격력 +30%</v>
      </c>
      <c r="E14" s="57" t="e">
        <f>INDEX(LocaleTable[LocaleKR],MATCH(ItemTable[[#This Row],[MinusDesc]],LocaleTable[StringKey],0))</f>
        <v>#N/A</v>
      </c>
      <c r="F14" s="42">
        <f t="array" ref="F14">_xlfn.IFS(ItemTable[[#This Row],[GradeType]]="Hp",IF(K13=ItemTable[[#This Row],[GradeType]],F13+1,10),ItemTable[[#This Row],[GradeType]]="Gold",IF(K13=ItemTable[[#This Row],[GradeType]],F13+1,20),ItemTable[[#This Row],[GradeType]]="Weapon",IF(K13=ItemTable[[#This Row],[GradeType]],F13+1,1000),ItemTable[[#This Row],[GradeType]]="Normal",IF(K13=ItemTable[[#This Row],[GradeType]],F13+1,2000),ItemTable[[#This Row],[GradeType]]="Rare",IF(K13=ItemTable[[#This Row],[GradeType]],F13+1,3000),ItemTable[[#This Row],[GradeType]]="Cursed",IF(K13=ItemTable[[#This Row],[GradeType]],F13+1,4000))</f>
        <v>3000</v>
      </c>
      <c r="G14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Item_Name_3000</v>
      </c>
      <c r="H14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Item_Desc_3000</v>
      </c>
      <c r="I14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Item_PlusDesc_3000</v>
      </c>
      <c r="J14" s="42" t="str">
        <f>IF(ItemTable[[#This Row],[GradeType]]="Cursed",
_xlfn.CONCAT("Item_MinusDesc_",ItemTable[[#This Row],[Index]]),""
)</f>
        <v/>
      </c>
      <c r="K14" s="42" t="s">
        <v>450</v>
      </c>
      <c r="L14" s="42">
        <v>1</v>
      </c>
      <c r="M14" s="42">
        <f t="array" ref="M14">_xlfn.IFS(ItemTable[[#This Row],[GradeType]]="Normal",25,ItemTable[[#This Row],[GradeType]]="Cursed",50,ItemTable[[#This Row],[GradeType]]="Rare",50)</f>
        <v>50</v>
      </c>
      <c r="N14" s="42">
        <v>50</v>
      </c>
      <c r="O14" s="42">
        <f t="array" ref="O14">_xlfn.IFS(OR(ItemTable[[#This Row],[GradeType]]="Hp",ItemTable[[#This Row],[GradeType]]="Gold"),0,TRUE,5000+ItemTable[[#This Row],[Index]])</f>
        <v>8000</v>
      </c>
      <c r="P14" s="42" t="s">
        <v>484</v>
      </c>
      <c r="Q14" s="57" t="s">
        <v>516</v>
      </c>
      <c r="R14" s="57" t="str">
        <f>SUBSTITUTE(PROPER(ItemTable[[#This Row],['#번역본]])," "," ")</f>
        <v>Devil Bull</v>
      </c>
    </row>
    <row r="15" spans="2:18">
      <c r="B15" s="57" t="str">
        <f>INDEX(LocaleTable[LocaleKR],MATCH(ItemTable[[#This Row],[Name]],LocaleTable[StringKey],0))</f>
        <v>대인 지뢰</v>
      </c>
      <c r="C15" s="57" t="str">
        <f>INDEX(LocaleTable[LocaleKR],MATCH(ItemTable[[#This Row],[Desc]],LocaleTable[StringKey],0))</f>
        <v>고대에 멸종된 것으로 보이는 유물 입니다. 많은 시간이 지났지만 튼튼하고 고통스럽습니다.</v>
      </c>
      <c r="D15" s="57" t="str">
        <f>INDEX(LocaleTable[LocaleKR],MATCH(ItemTable[[#This Row],[PlusDesc]],LocaleTable[StringKey],0))</f>
        <v>잃은 체력 반칸당 공격력 +5%</v>
      </c>
      <c r="E15" s="57" t="e">
        <f>INDEX(LocaleTable[LocaleKR],MATCH(ItemTable[[#This Row],[MinusDesc]],LocaleTable[StringKey],0))</f>
        <v>#N/A</v>
      </c>
      <c r="F15" s="42">
        <f t="array" ref="F15">_xlfn.IFS(ItemTable[[#This Row],[GradeType]]="Hp",IF(K14=ItemTable[[#This Row],[GradeType]],F14+1,10),ItemTable[[#This Row],[GradeType]]="Gold",IF(K14=ItemTable[[#This Row],[GradeType]],F14+1,20),ItemTable[[#This Row],[GradeType]]="Weapon",IF(K14=ItemTable[[#This Row],[GradeType]],F14+1,1000),ItemTable[[#This Row],[GradeType]]="Normal",IF(K14=ItemTable[[#This Row],[GradeType]],F14+1,2000),ItemTable[[#This Row],[GradeType]]="Rare",IF(K14=ItemTable[[#This Row],[GradeType]],F14+1,3000),ItemTable[[#This Row],[GradeType]]="Cursed",IF(K14=ItemTable[[#This Row],[GradeType]],F14+1,4000))</f>
        <v>3001</v>
      </c>
      <c r="G15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Item_Name_3001</v>
      </c>
      <c r="H15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Item_Desc_3001</v>
      </c>
      <c r="I15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Item_PlusDesc_3001</v>
      </c>
      <c r="J15" s="42" t="str">
        <f>IF(ItemTable[[#This Row],[GradeType]]="Cursed",
_xlfn.CONCAT("Item_MinusDesc_",ItemTable[[#This Row],[Index]]),""
)</f>
        <v/>
      </c>
      <c r="K15" s="42" t="s">
        <v>46</v>
      </c>
      <c r="L15" s="42">
        <v>1</v>
      </c>
      <c r="M15" s="42">
        <f t="array" ref="M15">_xlfn.IFS(ItemTable[[#This Row],[GradeType]]="Normal",25,ItemTable[[#This Row],[GradeType]]="Cursed",50,ItemTable[[#This Row],[GradeType]]="Rare",50)</f>
        <v>50</v>
      </c>
      <c r="N15" s="42">
        <v>50</v>
      </c>
      <c r="O15" s="42">
        <f t="array" ref="O15">_xlfn.IFS(OR(ItemTable[[#This Row],[GradeType]]="Hp",ItemTable[[#This Row],[GradeType]]="Gold"),0,TRUE,5000+ItemTable[[#This Row],[Index]])</f>
        <v>8001</v>
      </c>
      <c r="P15" s="42" t="s">
        <v>485</v>
      </c>
      <c r="Q15" s="57" t="s">
        <v>531</v>
      </c>
      <c r="R15" s="57" t="str">
        <f>SUBSTITUTE(PROPER(ItemTable[[#This Row],['#번역본]])," "," ")</f>
        <v>The Boobytrap</v>
      </c>
    </row>
    <row r="16" spans="2:18">
      <c r="B16" s="57" t="str">
        <f>INDEX(LocaleTable[LocaleKR],MATCH(ItemTable[[#This Row],[Name]],LocaleTable[StringKey],0))</f>
        <v>돌가면</v>
      </c>
      <c r="C16" s="57" t="str">
        <f>INDEX(LocaleTable[LocaleKR],MATCH(ItemTable[[#This Row],[Desc]],LocaleTable[StringKey],0))</f>
        <v>꽤 무게가 나가는 돌가면.\n안쪽에 숨겨진 침들이 보이는데...\n위험하진 않겠죠?</v>
      </c>
      <c r="D16" s="57" t="str">
        <f>INDEX(LocaleTable[LocaleKR],MATCH(ItemTable[[#This Row],[PlusDesc]],LocaleTable[StringKey],0))</f>
        <v>기절한 적을 공격할 때\n10%확률로 반칸 회복</v>
      </c>
      <c r="E16" s="57" t="e">
        <f>INDEX(LocaleTable[LocaleKR],MATCH(ItemTable[[#This Row],[MinusDesc]],LocaleTable[StringKey],0))</f>
        <v>#N/A</v>
      </c>
      <c r="F16" s="42">
        <f t="array" ref="F16">_xlfn.IFS(ItemTable[[#This Row],[GradeType]]="Hp",IF(K15=ItemTable[[#This Row],[GradeType]],F15+1,10),ItemTable[[#This Row],[GradeType]]="Gold",IF(K15=ItemTable[[#This Row],[GradeType]],F15+1,20),ItemTable[[#This Row],[GradeType]]="Weapon",IF(K15=ItemTable[[#This Row],[GradeType]],F15+1,1000),ItemTable[[#This Row],[GradeType]]="Normal",IF(K15=ItemTable[[#This Row],[GradeType]],F15+1,2000),ItemTable[[#This Row],[GradeType]]="Rare",IF(K15=ItemTable[[#This Row],[GradeType]],F15+1,3000),ItemTable[[#This Row],[GradeType]]="Cursed",IF(K15=ItemTable[[#This Row],[GradeType]],F15+1,4000))</f>
        <v>3002</v>
      </c>
      <c r="G16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Item_Name_3002</v>
      </c>
      <c r="H16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Item_Desc_3002</v>
      </c>
      <c r="I16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Item_PlusDesc_3002</v>
      </c>
      <c r="J16" s="42" t="str">
        <f>IF(ItemTable[[#This Row],[GradeType]]="Cursed",
_xlfn.CONCAT("Item_MinusDesc_",ItemTable[[#This Row],[Index]]),""
)</f>
        <v/>
      </c>
      <c r="K16" s="42" t="s">
        <v>46</v>
      </c>
      <c r="L16" s="42">
        <v>1</v>
      </c>
      <c r="M16" s="42">
        <f t="array" ref="M16">_xlfn.IFS(ItemTable[[#This Row],[GradeType]]="Normal",25,ItemTable[[#This Row],[GradeType]]="Cursed",50,ItemTable[[#This Row],[GradeType]]="Rare",50)</f>
        <v>50</v>
      </c>
      <c r="N16" s="42">
        <v>50</v>
      </c>
      <c r="O16" s="42">
        <f t="array" ref="O16">_xlfn.IFS(OR(ItemTable[[#This Row],[GradeType]]="Hp",ItemTable[[#This Row],[GradeType]]="Gold"),0,TRUE,5000+ItemTable[[#This Row],[Index]])</f>
        <v>8002</v>
      </c>
      <c r="P16" s="42" t="s">
        <v>486</v>
      </c>
      <c r="Q16" s="57" t="s">
        <v>533</v>
      </c>
      <c r="R16" s="57" t="str">
        <f>SUBSTITUTE(PROPER(ItemTable[[#This Row],['#번역본]])," "," ")</f>
        <v>Stone Mask</v>
      </c>
    </row>
    <row r="17" spans="2:18">
      <c r="B17" s="57" t="str">
        <f>INDEX(LocaleTable[LocaleKR],MATCH(ItemTable[[#This Row],[Name]],LocaleTable[StringKey],0))</f>
        <v>사나운 돼지저금통</v>
      </c>
      <c r="C17" s="57" t="str">
        <f>INDEX(LocaleTable[LocaleKR],MATCH(ItemTable[[#This Row],[Desc]],LocaleTable[StringKey],0))</f>
        <v>자아를 가진 저금통입니다.\n숨겨진 돈을 잘 찾아내는 듯 합니다.\n잠깐, 제 지갑의 돈이 사라진 것 같습니다.</v>
      </c>
      <c r="D17" s="57" t="str">
        <f>INDEX(LocaleTable[LocaleKR],MATCH(ItemTable[[#This Row],[PlusDesc]],LocaleTable[StringKey],0))</f>
        <v>골드획득량 +50%</v>
      </c>
      <c r="E17" s="57" t="e">
        <f>INDEX(LocaleTable[LocaleKR],MATCH(ItemTable[[#This Row],[MinusDesc]],LocaleTable[StringKey],0))</f>
        <v>#N/A</v>
      </c>
      <c r="F17" s="42">
        <f t="array" ref="F17">_xlfn.IFS(ItemTable[[#This Row],[GradeType]]="Hp",IF(K16=ItemTable[[#This Row],[GradeType]],F16+1,10),ItemTable[[#This Row],[GradeType]]="Gold",IF(K16=ItemTable[[#This Row],[GradeType]],F16+1,20),ItemTable[[#This Row],[GradeType]]="Weapon",IF(K16=ItemTable[[#This Row],[GradeType]],F16+1,1000),ItemTable[[#This Row],[GradeType]]="Normal",IF(K16=ItemTable[[#This Row],[GradeType]],F16+1,2000),ItemTable[[#This Row],[GradeType]]="Rare",IF(K16=ItemTable[[#This Row],[GradeType]],F16+1,3000),ItemTable[[#This Row],[GradeType]]="Cursed",IF(K16=ItemTable[[#This Row],[GradeType]],F16+1,4000))</f>
        <v>3003</v>
      </c>
      <c r="G17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Item_Name_3003</v>
      </c>
      <c r="H17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Item_Desc_3003</v>
      </c>
      <c r="I17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Item_PlusDesc_3003</v>
      </c>
      <c r="J17" s="42" t="str">
        <f>IF(ItemTable[[#This Row],[GradeType]]="Cursed",
_xlfn.CONCAT("Item_MinusDesc_",ItemTable[[#This Row],[Index]]),""
)</f>
        <v/>
      </c>
      <c r="K17" s="42" t="s">
        <v>46</v>
      </c>
      <c r="L17" s="42">
        <v>1</v>
      </c>
      <c r="M17" s="42">
        <f t="array" ref="M17">_xlfn.IFS(ItemTable[[#This Row],[GradeType]]="Normal",25,ItemTable[[#This Row],[GradeType]]="Cursed",50,ItemTable[[#This Row],[GradeType]]="Rare",50)</f>
        <v>50</v>
      </c>
      <c r="N17" s="42">
        <v>50</v>
      </c>
      <c r="O17" s="42">
        <f t="array" ref="O17">_xlfn.IFS(OR(ItemTable[[#This Row],[GradeType]]="Hp",ItemTable[[#This Row],[GradeType]]="Gold"),0,TRUE,5000+ItemTable[[#This Row],[Index]])</f>
        <v>8003</v>
      </c>
      <c r="P17" s="42" t="s">
        <v>487</v>
      </c>
      <c r="Q17" s="57" t="s">
        <v>534</v>
      </c>
      <c r="R17" s="57" t="str">
        <f>SUBSTITUTE(PROPER(ItemTable[[#This Row],['#번역본]])," "," ")</f>
        <v>A Fierce Piggy Bank</v>
      </c>
    </row>
    <row r="18" spans="2:18">
      <c r="B18" s="57" t="str">
        <f>INDEX(LocaleTable[LocaleKR],MATCH(ItemTable[[#This Row],[Name]],LocaleTable[StringKey],0))</f>
        <v>성배 속 무언가</v>
      </c>
      <c r="C18" s="57" t="str">
        <f>INDEX(LocaleTable[LocaleKR],MATCH(ItemTable[[#This Row],[Desc]],LocaleTable[StringKey],0))</f>
        <v>종교적인 용도로 보이는 컵입니다.\n잠깐, 방금 조금 움직인 것 같은데요?</v>
      </c>
      <c r="D18" s="57" t="str">
        <f>INDEX(LocaleTable[LocaleKR],MATCH(ItemTable[[#This Row],[PlusDesc]],LocaleTable[StringKey],0))</f>
        <v>공 충돌횟수 +3</v>
      </c>
      <c r="E18" s="57" t="e">
        <f>INDEX(LocaleTable[LocaleKR],MATCH(ItemTable[[#This Row],[MinusDesc]],LocaleTable[StringKey],0))</f>
        <v>#N/A</v>
      </c>
      <c r="F18" s="42">
        <f t="array" ref="F18">_xlfn.IFS(ItemTable[[#This Row],[GradeType]]="Hp",IF(K17=ItemTable[[#This Row],[GradeType]],F17+1,10),ItemTable[[#This Row],[GradeType]]="Gold",IF(K17=ItemTable[[#This Row],[GradeType]],F17+1,20),ItemTable[[#This Row],[GradeType]]="Weapon",IF(K17=ItemTable[[#This Row],[GradeType]],F17+1,1000),ItemTable[[#This Row],[GradeType]]="Normal",IF(K17=ItemTable[[#This Row],[GradeType]],F17+1,2000),ItemTable[[#This Row],[GradeType]]="Rare",IF(K17=ItemTable[[#This Row],[GradeType]],F17+1,3000),ItemTable[[#This Row],[GradeType]]="Cursed",IF(K17=ItemTable[[#This Row],[GradeType]],F17+1,4000))</f>
        <v>3004</v>
      </c>
      <c r="G18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Item_Name_3004</v>
      </c>
      <c r="H18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Item_Desc_3004</v>
      </c>
      <c r="I18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Item_PlusDesc_3004</v>
      </c>
      <c r="J18" s="42" t="str">
        <f>IF(ItemTable[[#This Row],[GradeType]]="Cursed",
_xlfn.CONCAT("Item_MinusDesc_",ItemTable[[#This Row],[Index]]),""
)</f>
        <v/>
      </c>
      <c r="K18" s="42" t="s">
        <v>46</v>
      </c>
      <c r="L18" s="42">
        <v>1</v>
      </c>
      <c r="M18" s="42">
        <f t="array" ref="M18">_xlfn.IFS(ItemTable[[#This Row],[GradeType]]="Normal",25,ItemTable[[#This Row],[GradeType]]="Cursed",50,ItemTable[[#This Row],[GradeType]]="Rare",50)</f>
        <v>50</v>
      </c>
      <c r="N18" s="42">
        <v>50</v>
      </c>
      <c r="O18" s="42">
        <f t="array" ref="O18">_xlfn.IFS(OR(ItemTable[[#This Row],[GradeType]]="Hp",ItemTable[[#This Row],[GradeType]]="Gold"),0,TRUE,5000+ItemTable[[#This Row],[Index]])</f>
        <v>8004</v>
      </c>
      <c r="P18" s="42" t="s">
        <v>488</v>
      </c>
      <c r="Q18" s="57" t="s">
        <v>535</v>
      </c>
      <c r="R18" s="57" t="str">
        <f>SUBSTITUTE(PROPER(ItemTable[[#This Row],['#번역본]])," "," ")</f>
        <v>Something In The Holy Grail</v>
      </c>
    </row>
    <row r="19" spans="2:18">
      <c r="B19" s="57" t="str">
        <f>INDEX(LocaleTable[LocaleKR],MATCH(ItemTable[[#This Row],[Name]],LocaleTable[StringKey],0))</f>
        <v>이상한 사탕</v>
      </c>
      <c r="C19" s="57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D19" s="57" t="str">
        <f>INDEX(LocaleTable[LocaleKR],MATCH(ItemTable[[#This Row],[PlusDesc]],LocaleTable[StringKey],0))</f>
        <v>체력을 전부 회복합니다.\n최대체력 + 1칸</v>
      </c>
      <c r="E19" s="57" t="e">
        <f>INDEX(LocaleTable[LocaleKR],MATCH(ItemTable[[#This Row],[MinusDesc]],LocaleTable[StringKey],0))</f>
        <v>#N/A</v>
      </c>
      <c r="F19" s="42">
        <f t="array" ref="F19">_xlfn.IFS(ItemTable[[#This Row],[GradeType]]="Hp",IF(K18=ItemTable[[#This Row],[GradeType]],F18+1,10),ItemTable[[#This Row],[GradeType]]="Gold",IF(K18=ItemTable[[#This Row],[GradeType]],F18+1,20),ItemTable[[#This Row],[GradeType]]="Weapon",IF(K18=ItemTable[[#This Row],[GradeType]],F18+1,1000),ItemTable[[#This Row],[GradeType]]="Normal",IF(K18=ItemTable[[#This Row],[GradeType]],F18+1,2000),ItemTable[[#This Row],[GradeType]]="Rare",IF(K18=ItemTable[[#This Row],[GradeType]],F18+1,3000),ItemTable[[#This Row],[GradeType]]="Cursed",IF(K18=ItemTable[[#This Row],[GradeType]],F18+1,4000))</f>
        <v>3005</v>
      </c>
      <c r="G19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Item_Name_3005</v>
      </c>
      <c r="H19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Item_Desc_3005</v>
      </c>
      <c r="I19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Item_PlusDesc_3005</v>
      </c>
      <c r="J19" s="42" t="str">
        <f>IF(ItemTable[[#This Row],[GradeType]]="Cursed",
_xlfn.CONCAT("Item_MinusDesc_",ItemTable[[#This Row],[Index]]),""
)</f>
        <v/>
      </c>
      <c r="K19" s="42" t="s">
        <v>46</v>
      </c>
      <c r="L19" s="42">
        <v>1</v>
      </c>
      <c r="M19" s="42">
        <f t="array" ref="M19">_xlfn.IFS(ItemTable[[#This Row],[GradeType]]="Normal",25,ItemTable[[#This Row],[GradeType]]="Cursed",50,ItemTable[[#This Row],[GradeType]]="Rare",50)</f>
        <v>50</v>
      </c>
      <c r="N19" s="42">
        <v>50</v>
      </c>
      <c r="O19" s="42">
        <f t="array" ref="O19">_xlfn.IFS(OR(ItemTable[[#This Row],[GradeType]]="Hp",ItemTable[[#This Row],[GradeType]]="Gold"),0,TRUE,5000+ItemTable[[#This Row],[Index]])</f>
        <v>8005</v>
      </c>
      <c r="P19" s="42" t="s">
        <v>489</v>
      </c>
      <c r="Q19" s="57" t="s">
        <v>517</v>
      </c>
      <c r="R19" s="57" t="str">
        <f>SUBSTITUTE(PROPER(ItemTable[[#This Row],['#번역본]])," "," ")</f>
        <v>Strange Candy</v>
      </c>
    </row>
    <row r="20" spans="2:18">
      <c r="B20" s="57" t="str">
        <f>INDEX(LocaleTable[LocaleKR],MATCH(ItemTable[[#This Row],[Name]],LocaleTable[StringKey],0))</f>
        <v>투수 케르베로스</v>
      </c>
      <c r="C20" s="57" t="str">
        <f>INDEX(LocaleTable[LocaleKR],MATCH(ItemTable[[#This Row],[Desc]],LocaleTable[StringKey],0))</f>
        <v>공을 좋아하는 개들입니다.\n자세히보니 한마리였네요…</v>
      </c>
      <c r="D20" s="57" t="str">
        <f>INDEX(LocaleTable[LocaleKR],MATCH(ItemTable[[#This Row],[PlusDesc]],LocaleTable[StringKey],0))</f>
        <v>공격 시 33%확률로 공 3개 발사</v>
      </c>
      <c r="E20" s="57" t="e">
        <f>INDEX(LocaleTable[LocaleKR],MATCH(ItemTable[[#This Row],[MinusDesc]],LocaleTable[StringKey],0))</f>
        <v>#N/A</v>
      </c>
      <c r="F20" s="42">
        <f t="array" ref="F20">_xlfn.IFS(ItemTable[[#This Row],[GradeType]]="Hp",IF(K19=ItemTable[[#This Row],[GradeType]],F19+1,10),ItemTable[[#This Row],[GradeType]]="Gold",IF(K19=ItemTable[[#This Row],[GradeType]],F19+1,20),ItemTable[[#This Row],[GradeType]]="Weapon",IF(K19=ItemTable[[#This Row],[GradeType]],F19+1,1000),ItemTable[[#This Row],[GradeType]]="Normal",IF(K19=ItemTable[[#This Row],[GradeType]],F19+1,2000),ItemTable[[#This Row],[GradeType]]="Rare",IF(K19=ItemTable[[#This Row],[GradeType]],F19+1,3000),ItemTable[[#This Row],[GradeType]]="Cursed",IF(K19=ItemTable[[#This Row],[GradeType]],F19+1,4000))</f>
        <v>3006</v>
      </c>
      <c r="G20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Item_Name_3006</v>
      </c>
      <c r="H20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Item_Desc_3006</v>
      </c>
      <c r="I20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Item_PlusDesc_3006</v>
      </c>
      <c r="J20" s="42" t="str">
        <f>IF(ItemTable[[#This Row],[GradeType]]="Cursed",
_xlfn.CONCAT("Item_MinusDesc_",ItemTable[[#This Row],[Index]]),""
)</f>
        <v/>
      </c>
      <c r="K20" s="42" t="s">
        <v>46</v>
      </c>
      <c r="L20" s="42">
        <v>1</v>
      </c>
      <c r="M20" s="42">
        <f t="array" ref="M20">_xlfn.IFS(ItemTable[[#This Row],[GradeType]]="Normal",25,ItemTable[[#This Row],[GradeType]]="Cursed",50,ItemTable[[#This Row],[GradeType]]="Rare",50)</f>
        <v>50</v>
      </c>
      <c r="N20" s="42">
        <v>50</v>
      </c>
      <c r="O20" s="42">
        <f t="array" ref="O20">_xlfn.IFS(OR(ItemTable[[#This Row],[GradeType]]="Hp",ItemTable[[#This Row],[GradeType]]="Gold"),0,TRUE,5000+ItemTable[[#This Row],[Index]])</f>
        <v>8006</v>
      </c>
      <c r="P20" s="42" t="s">
        <v>490</v>
      </c>
      <c r="Q20" s="57" t="s">
        <v>536</v>
      </c>
      <c r="R20" s="57" t="str">
        <f>SUBSTITUTE(PROPER(ItemTable[[#This Row],['#번역본]])," "," ")</f>
        <v>Kerberos Pitcher</v>
      </c>
    </row>
    <row r="21" spans="2:18">
      <c r="B21" s="57" t="str">
        <f>INDEX(LocaleTable[LocaleKR],MATCH(ItemTable[[#This Row],[Name]],LocaleTable[StringKey],0))</f>
        <v>코코아 한통</v>
      </c>
      <c r="C21" s="57" t="str">
        <f>INDEX(LocaleTable[LocaleKR],MATCH(ItemTable[[#This Row],[Desc]],LocaleTable[StringKey],0))</f>
        <v>온 몸이 녹는 듯 한 강력한 단맛입니다.\n끈적해지지 않게 조심하세요!</v>
      </c>
      <c r="D21" s="57" t="str">
        <f>INDEX(LocaleTable[LocaleKR],MATCH(ItemTable[[#This Row],[PlusDesc]],LocaleTable[StringKey],0))</f>
        <v>일반 공격이\n차징 공격이 됩니다.</v>
      </c>
      <c r="E21" s="57" t="str">
        <f>INDEX(LocaleTable[LocaleKR],MATCH(ItemTable[[#This Row],[MinusDesc]],LocaleTable[StringKey],0))</f>
        <v>공격속도 -50%</v>
      </c>
      <c r="F21" s="42">
        <f t="array" ref="F21">_xlfn.IFS(ItemTable[[#This Row],[GradeType]]="Hp",IF(K20=ItemTable[[#This Row],[GradeType]],F20+1,10),ItemTable[[#This Row],[GradeType]]="Gold",IF(K20=ItemTable[[#This Row],[GradeType]],F20+1,20),ItemTable[[#This Row],[GradeType]]="Weapon",IF(K20=ItemTable[[#This Row],[GradeType]],F20+1,1000),ItemTable[[#This Row],[GradeType]]="Normal",IF(K20=ItemTable[[#This Row],[GradeType]],F20+1,2000),ItemTable[[#This Row],[GradeType]]="Rare",IF(K20=ItemTable[[#This Row],[GradeType]],F20+1,3000),ItemTable[[#This Row],[GradeType]]="Cursed",IF(K20=ItemTable[[#This Row],[GradeType]],F20+1,4000))</f>
        <v>4000</v>
      </c>
      <c r="G21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Item_Name_4000</v>
      </c>
      <c r="H21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Item_Desc_4000</v>
      </c>
      <c r="I21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Item_PlusDesc_4000</v>
      </c>
      <c r="J21" s="42" t="str">
        <f>IF(ItemTable[[#This Row],[GradeType]]="Cursed",
_xlfn.CONCAT("Item_MinusDesc_",ItemTable[[#This Row],[Index]]),""
)</f>
        <v>Item_MinusDesc_4000</v>
      </c>
      <c r="K21" s="42" t="s">
        <v>50</v>
      </c>
      <c r="L21" s="42">
        <v>1</v>
      </c>
      <c r="M21" s="42">
        <f t="array" ref="M21">_xlfn.IFS(ItemTable[[#This Row],[GradeType]]="Normal",25,ItemTable[[#This Row],[GradeType]]="Cursed",50,ItemTable[[#This Row],[GradeType]]="Rare",50)</f>
        <v>50</v>
      </c>
      <c r="N21" s="42">
        <v>60</v>
      </c>
      <c r="O21" s="42">
        <f t="array" ref="O21">_xlfn.IFS(OR(ItemTable[[#This Row],[GradeType]]="Hp",ItemTable[[#This Row],[GradeType]]="Gold"),0,TRUE,5000+ItemTable[[#This Row],[Index]])</f>
        <v>9000</v>
      </c>
      <c r="P21" s="42" t="s">
        <v>491</v>
      </c>
      <c r="Q21" s="57" t="s">
        <v>518</v>
      </c>
      <c r="R21" s="57" t="str">
        <f>SUBSTITUTE(PROPER(ItemTable[[#This Row],['#번역본]])," "," ")</f>
        <v>A Bucket Of Cocoa</v>
      </c>
    </row>
    <row r="22" spans="2:18">
      <c r="B22" s="57" t="str">
        <f>INDEX(LocaleTable[LocaleKR],MATCH(ItemTable[[#This Row],[Name]],LocaleTable[StringKey],0))</f>
        <v>슬픈 캔리오</v>
      </c>
      <c r="C22" s="57" t="str">
        <f>INDEX(LocaleTable[LocaleKR],MATCH(ItemTable[[#This Row],[Desc]],LocaleTable[StringKey],0))</f>
        <v>어째선지 계속해서 울고 있는 양초입니다.\n건드리고 싶지 않네요.</v>
      </c>
      <c r="D22" s="57" t="str">
        <f>INDEX(LocaleTable[LocaleKR],MATCH(ItemTable[[#This Row],[PlusDesc]],LocaleTable[StringKey],0))</f>
        <v>타격 시마다 4초간\n공격속도 +10%\n(효과는 중첩될 수 있습니다.)</v>
      </c>
      <c r="E22" s="57" t="str">
        <f>INDEX(LocaleTable[LocaleKR],MATCH(ItemTable[[#This Row],[MinusDesc]],LocaleTable[StringKey],0))</f>
        <v>공격속도 -30%</v>
      </c>
      <c r="F22" s="42">
        <f t="array" ref="F22">_xlfn.IFS(ItemTable[[#This Row],[GradeType]]="Hp",IF(K21=ItemTable[[#This Row],[GradeType]],F21+1,10),ItemTable[[#This Row],[GradeType]]="Gold",IF(K21=ItemTable[[#This Row],[GradeType]],F21+1,20),ItemTable[[#This Row],[GradeType]]="Weapon",IF(K21=ItemTable[[#This Row],[GradeType]],F21+1,1000),ItemTable[[#This Row],[GradeType]]="Normal",IF(K21=ItemTable[[#This Row],[GradeType]],F21+1,2000),ItemTable[[#This Row],[GradeType]]="Rare",IF(K21=ItemTable[[#This Row],[GradeType]],F21+1,3000),ItemTable[[#This Row],[GradeType]]="Cursed",IF(K21=ItemTable[[#This Row],[GradeType]],F21+1,4000))</f>
        <v>4001</v>
      </c>
      <c r="G22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Item_Name_4001</v>
      </c>
      <c r="H22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Item_Desc_4001</v>
      </c>
      <c r="I22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Item_PlusDesc_4001</v>
      </c>
      <c r="J22" s="42" t="str">
        <f>IF(ItemTable[[#This Row],[GradeType]]="Cursed",
_xlfn.CONCAT("Item_MinusDesc_",ItemTable[[#This Row],[Index]]),""
)</f>
        <v>Item_MinusDesc_4001</v>
      </c>
      <c r="K22" s="42" t="s">
        <v>50</v>
      </c>
      <c r="L22" s="42">
        <v>1</v>
      </c>
      <c r="M22" s="42">
        <f t="array" ref="M22">_xlfn.IFS(ItemTable[[#This Row],[GradeType]]="Normal",25,ItemTable[[#This Row],[GradeType]]="Cursed",50,ItemTable[[#This Row],[GradeType]]="Rare",50)</f>
        <v>50</v>
      </c>
      <c r="N22" s="42">
        <v>60</v>
      </c>
      <c r="O22" s="42">
        <f t="array" ref="O22">_xlfn.IFS(OR(ItemTable[[#This Row],[GradeType]]="Hp",ItemTable[[#This Row],[GradeType]]="Gold"),0,TRUE,5000+ItemTable[[#This Row],[Index]])</f>
        <v>9001</v>
      </c>
      <c r="P22" s="42" t="s">
        <v>492</v>
      </c>
      <c r="Q22" s="57" t="s">
        <v>519</v>
      </c>
      <c r="R22" s="57" t="str">
        <f>SUBSTITUTE(PROPER(ItemTable[[#This Row],['#번역본]])," "," ")</f>
        <v>Sad Canrio</v>
      </c>
    </row>
    <row r="23" spans="2:18">
      <c r="B23" s="57" t="str">
        <f>INDEX(LocaleTable[LocaleKR],MATCH(ItemTable[[#This Row],[Name]],LocaleTable[StringKey],0))</f>
        <v>청개굴 버섯구이</v>
      </c>
      <c r="C23" s="57" t="str">
        <f>INDEX(LocaleTable[LocaleKR],MATCH(ItemTable[[#This Row],[Desc]],LocaleTable[StringKey],0))</f>
        <v>바싹 구워도 여전히 미끌거립니다.\n시각적 거부감을 이겨내고 한입\n베어물면 무엇이든 반대로 하고 싶어집니다.</v>
      </c>
      <c r="D23" s="57" t="str">
        <f>INDEX(LocaleTable[LocaleKR],MATCH(ItemTable[[#This Row],[PlusDesc]],LocaleTable[StringKey],0))</f>
        <v>공격력 +100%</v>
      </c>
      <c r="E23" s="57" t="str">
        <f>INDEX(LocaleTable[LocaleKR],MATCH(ItemTable[[#This Row],[MinusDesc]],LocaleTable[StringKey],0))</f>
        <v>공격 방향이 반대가 됩니다.</v>
      </c>
      <c r="F23" s="42">
        <f t="array" ref="F23">_xlfn.IFS(ItemTable[[#This Row],[GradeType]]="Hp",IF(K22=ItemTable[[#This Row],[GradeType]],F22+1,10),ItemTable[[#This Row],[GradeType]]="Gold",IF(K22=ItemTable[[#This Row],[GradeType]],F22+1,20),ItemTable[[#This Row],[GradeType]]="Weapon",IF(K22=ItemTable[[#This Row],[GradeType]],F22+1,1000),ItemTable[[#This Row],[GradeType]]="Normal",IF(K22=ItemTable[[#This Row],[GradeType]],F22+1,2000),ItemTable[[#This Row],[GradeType]]="Rare",IF(K22=ItemTable[[#This Row],[GradeType]],F22+1,3000),ItemTable[[#This Row],[GradeType]]="Cursed",IF(K22=ItemTable[[#This Row],[GradeType]],F22+1,4000))</f>
        <v>4002</v>
      </c>
      <c r="G2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Item_Name_4002</v>
      </c>
      <c r="H2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Item_Desc_4002</v>
      </c>
      <c r="I2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Item_PlusDesc_4002</v>
      </c>
      <c r="J23" s="42" t="str">
        <f>IF(ItemTable[[#This Row],[GradeType]]="Cursed",
_xlfn.CONCAT("Item_MinusDesc_",ItemTable[[#This Row],[Index]]),""
)</f>
        <v>Item_MinusDesc_4002</v>
      </c>
      <c r="K23" s="42" t="s">
        <v>50</v>
      </c>
      <c r="L23" s="42">
        <v>1</v>
      </c>
      <c r="M23" s="42">
        <f t="array" ref="M23">_xlfn.IFS(ItemTable[[#This Row],[GradeType]]="Normal",25,ItemTable[[#This Row],[GradeType]]="Cursed",50,ItemTable[[#This Row],[GradeType]]="Rare",50)</f>
        <v>50</v>
      </c>
      <c r="N23" s="42">
        <v>60</v>
      </c>
      <c r="O23" s="42">
        <f t="array" ref="O23">_xlfn.IFS(OR(ItemTable[[#This Row],[GradeType]]="Hp",ItemTable[[#This Row],[GradeType]]="Gold"),0,TRUE,5000+ItemTable[[#This Row],[Index]])</f>
        <v>9002</v>
      </c>
      <c r="P23" s="42" t="s">
        <v>493</v>
      </c>
      <c r="Q23" s="57" t="s">
        <v>610</v>
      </c>
      <c r="R23" s="57" t="str">
        <f>SUBSTITUTE(PROPER(ItemTable[[#This Row],['#번역본]])," "," ")</f>
        <v>Grilled Tree Frog</v>
      </c>
    </row>
    <row r="24" spans="2:18">
      <c r="B24" s="57" t="str">
        <f>INDEX(LocaleTable[LocaleKR],MATCH(ItemTable[[#This Row],[Name]],LocaleTable[StringKey],0))</f>
        <v>누군가의 일기장</v>
      </c>
      <c r="C24" s="57" t="str">
        <f>INDEX(LocaleTable[LocaleKR],MATCH(ItemTable[[#This Row],[Desc]],LocaleTable[StringKey],0))</f>
        <v>낡은 추억들이 느껴집니다.\n3년 전 이 사람은...\n잠깐, 우리가 이걸봐도 괜찮은걸까요?</v>
      </c>
      <c r="D24" s="57" t="str">
        <f>INDEX(LocaleTable[LocaleKR],MATCH(ItemTable[[#This Row],[PlusDesc]],LocaleTable[StringKey],0))</f>
        <v>공격력 +60%</v>
      </c>
      <c r="E24" s="57" t="str">
        <f>INDEX(LocaleTable[LocaleKR],MATCH(ItemTable[[#This Row],[MinusDesc]],LocaleTable[StringKey],0))</f>
        <v>최대체력 - 2칸</v>
      </c>
      <c r="F24" s="42">
        <f t="array" ref="F24">_xlfn.IFS(ItemTable[[#This Row],[GradeType]]="Hp",IF(K23=ItemTable[[#This Row],[GradeType]],F23+1,10),ItemTable[[#This Row],[GradeType]]="Gold",IF(K23=ItemTable[[#This Row],[GradeType]],F23+1,20),ItemTable[[#This Row],[GradeType]]="Weapon",IF(K23=ItemTable[[#This Row],[GradeType]],F23+1,1000),ItemTable[[#This Row],[GradeType]]="Normal",IF(K23=ItemTable[[#This Row],[GradeType]],F23+1,2000),ItemTable[[#This Row],[GradeType]]="Rare",IF(K23=ItemTable[[#This Row],[GradeType]],F23+1,3000),ItemTable[[#This Row],[GradeType]]="Cursed",IF(K23=ItemTable[[#This Row],[GradeType]],F23+1,4000))</f>
        <v>4003</v>
      </c>
      <c r="G24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Item_Name_4003</v>
      </c>
      <c r="H24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Item_Desc_4003</v>
      </c>
      <c r="I24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Item_PlusDesc_4003</v>
      </c>
      <c r="J24" s="42" t="str">
        <f>IF(ItemTable[[#This Row],[GradeType]]="Cursed",
_xlfn.CONCAT("Item_MinusDesc_",ItemTable[[#This Row],[Index]]),""
)</f>
        <v>Item_MinusDesc_4003</v>
      </c>
      <c r="K24" s="42" t="s">
        <v>50</v>
      </c>
      <c r="L24" s="42">
        <v>1</v>
      </c>
      <c r="M24" s="42">
        <v>50</v>
      </c>
      <c r="N24" s="42">
        <v>60</v>
      </c>
      <c r="O24" s="42">
        <f t="array" ref="O24">_xlfn.IFS(OR(ItemTable[[#This Row],[GradeType]]="Hp",ItemTable[[#This Row],[GradeType]]="Gold"),0,TRUE,5000+ItemTable[[#This Row],[Index]])</f>
        <v>9003</v>
      </c>
      <c r="P24" s="42" t="s">
        <v>494</v>
      </c>
      <c r="Q24" s="57" t="s">
        <v>520</v>
      </c>
      <c r="R24" s="57" t="str">
        <f>SUBSTITUTE(PROPER(ItemTable[[#This Row],['#번역본]])," "," ")</f>
        <v>Someone'S Diary</v>
      </c>
    </row>
    <row r="25" spans="2:18">
      <c r="B25" s="57" t="str">
        <f>INDEX(LocaleTable[LocaleKR],MATCH(ItemTable[[#This Row],[Name]],LocaleTable[StringKey],0))</f>
        <v>행성 만세</v>
      </c>
      <c r="C25" s="57" t="str">
        <f>INDEX(LocaleTable[LocaleKR],MATCH(ItemTable[[#This Row],[Desc]],LocaleTable[StringKey],0))</f>
        <v>1. 태양의 방향으로 기립.\n2. 팔을 벌려 Y자로 선다.\n3. 태양을 바라보며 외친다.</v>
      </c>
      <c r="D25" s="57" t="str">
        <f>INDEX(LocaleTable[LocaleKR],MATCH(ItemTable[[#This Row],[PlusDesc]],LocaleTable[StringKey],0))</f>
        <v>피격 시 공 8개 발사</v>
      </c>
      <c r="E25" s="57" t="str">
        <f>INDEX(LocaleTable[LocaleKR],MATCH(ItemTable[[#This Row],[MinusDesc]],LocaleTable[StringKey],0))</f>
        <v>이동속도 -5%</v>
      </c>
      <c r="F25" s="42">
        <f t="array" ref="F25">_xlfn.IFS(ItemTable[[#This Row],[GradeType]]="Hp",IF(K24=ItemTable[[#This Row],[GradeType]],F24+1,10),ItemTable[[#This Row],[GradeType]]="Gold",IF(K24=ItemTable[[#This Row],[GradeType]],F24+1,20),ItemTable[[#This Row],[GradeType]]="Weapon",IF(K24=ItemTable[[#This Row],[GradeType]],F24+1,1000),ItemTable[[#This Row],[GradeType]]="Normal",IF(K24=ItemTable[[#This Row],[GradeType]],F24+1,2000),ItemTable[[#This Row],[GradeType]]="Rare",IF(K24=ItemTable[[#This Row],[GradeType]],F24+1,3000),ItemTable[[#This Row],[GradeType]]="Cursed",IF(K24=ItemTable[[#This Row],[GradeType]],F24+1,4000))</f>
        <v>4004</v>
      </c>
      <c r="G25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Item_Name_4004</v>
      </c>
      <c r="H25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Item_Desc_4004</v>
      </c>
      <c r="I25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Item_PlusDesc_4004</v>
      </c>
      <c r="J25" s="42" t="str">
        <f>IF(ItemTable[[#This Row],[GradeType]]="Cursed",
_xlfn.CONCAT("Item_MinusDesc_",ItemTable[[#This Row],[Index]]),""
)</f>
        <v>Item_MinusDesc_4004</v>
      </c>
      <c r="K25" s="42" t="s">
        <v>50</v>
      </c>
      <c r="L25" s="42">
        <v>1</v>
      </c>
      <c r="M25" s="42">
        <f t="array" ref="M25">_xlfn.IFS(ItemTable[[#This Row],[GradeType]]="Normal",25,ItemTable[[#This Row],[GradeType]]="Cursed",50,ItemTable[[#This Row],[GradeType]]="Rare",50)</f>
        <v>50</v>
      </c>
      <c r="N25" s="42">
        <v>60</v>
      </c>
      <c r="O25" s="42">
        <f t="array" ref="O25">_xlfn.IFS(OR(ItemTable[[#This Row],[GradeType]]="Hp",ItemTable[[#This Row],[GradeType]]="Gold"),0,TRUE,5000+ItemTable[[#This Row],[Index]])</f>
        <v>9004</v>
      </c>
      <c r="P25" s="42" t="s">
        <v>495</v>
      </c>
      <c r="Q25" s="57" t="s">
        <v>537</v>
      </c>
      <c r="R25" s="57" t="str">
        <f>SUBSTITUTE(PROPER(ItemTable[[#This Row],['#번역본]])," "," ")</f>
        <v>Praise The Sun</v>
      </c>
    </row>
    <row r="26" spans="2:18">
      <c r="B26" s="57" t="str">
        <f>INDEX(LocaleTable[LocaleKR],MATCH(ItemTable[[#This Row],[Name]],LocaleTable[StringKey],0))</f>
        <v>회피 캣</v>
      </c>
      <c r="C26" s="57" t="str">
        <f>INDEX(LocaleTable[LocaleKR],MATCH(ItemTable[[#This Row],[Desc]],LocaleTable[StringKey],0))</f>
        <v>하지만 이렇게 간단하게 회피했습니다.</v>
      </c>
      <c r="D26" s="57" t="str">
        <f>INDEX(LocaleTable[LocaleKR],MATCH(ItemTable[[#This Row],[PlusDesc]],LocaleTable[StringKey],0))</f>
        <v>회피 시 공 4개 발사</v>
      </c>
      <c r="E26" s="57" t="str">
        <f>INDEX(LocaleTable[LocaleKR],MATCH(ItemTable[[#This Row],[MinusDesc]],LocaleTable[StringKey],0))</f>
        <v>회피쿨타임 +50%</v>
      </c>
      <c r="F26" s="42">
        <v>4005</v>
      </c>
      <c r="G26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Item_Name_4005</v>
      </c>
      <c r="H26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Item_Desc_4005</v>
      </c>
      <c r="I26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Item_PlusDesc_4005</v>
      </c>
      <c r="J26" s="42" t="str">
        <f>IF(ItemTable[[#This Row],[GradeType]]="Cursed",
_xlfn.CONCAT("Item_MinusDesc_",ItemTable[[#This Row],[Index]]),""
)</f>
        <v>Item_MinusDesc_4005</v>
      </c>
      <c r="K26" s="42" t="s">
        <v>50</v>
      </c>
      <c r="L26" s="42">
        <v>1</v>
      </c>
      <c r="M26" s="42">
        <f t="array" ref="M26">_xlfn.IFS(ItemTable[[#This Row],[GradeType]]="Normal",25,ItemTable[[#This Row],[GradeType]]="Cursed",50,ItemTable[[#This Row],[GradeType]]="Rare",50)</f>
        <v>50</v>
      </c>
      <c r="N26" s="42">
        <v>60</v>
      </c>
      <c r="O26" s="42">
        <f t="array" ref="O26">_xlfn.IFS(OR(ItemTable[[#This Row],[GradeType]]="Hp",ItemTable[[#This Row],[GradeType]]="Gold"),0,TRUE,5000+ItemTable[[#This Row],[Index]])</f>
        <v>9005</v>
      </c>
      <c r="P26" s="42" t="s">
        <v>500</v>
      </c>
      <c r="Q26" s="57" t="s">
        <v>538</v>
      </c>
      <c r="R26" s="57" t="str">
        <f>SUBSTITUTE(PROPER(ItemTable[[#This Row],['#번역본]])," "," ")</f>
        <v>Dodge Cat</v>
      </c>
    </row>
    <row r="27" spans="2:18">
      <c r="B27" s="57" t="str">
        <f>INDEX(LocaleTable[LocaleKR],MATCH(ItemTable[[#This Row],[Name]],LocaleTable[StringKey],0))</f>
        <v>어른의 카드</v>
      </c>
      <c r="C27" s="57" t="str">
        <f>INDEX(LocaleTable[LocaleKR],MATCH(ItemTable[[#This Row],[Desc]],LocaleTable[StringKey],0))</f>
        <v>그 리스크는 어렴풋하게는 이해하고 있습니다.\n사용할수록, 깎여나갑니다. 당신의 삶이, 시간이.</v>
      </c>
      <c r="D27" s="57" t="str">
        <f>INDEX(LocaleTable[LocaleKR],MATCH(ItemTable[[#This Row],[PlusDesc]],LocaleTable[StringKey],0))</f>
        <v>공격범위 +60%</v>
      </c>
      <c r="E27" s="57" t="str">
        <f>INDEX(LocaleTable[LocaleKR],MATCH(ItemTable[[#This Row],[MinusDesc]],LocaleTable[StringKey],0))</f>
        <v>공격속도 -20%,\n공격 시 골드 -1</v>
      </c>
      <c r="F27" s="42">
        <v>4006</v>
      </c>
      <c r="G27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Item_Name_4006</v>
      </c>
      <c r="H27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Item_Desc_4006</v>
      </c>
      <c r="I27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Item_PlusDesc_4006</v>
      </c>
      <c r="J27" s="42" t="str">
        <f>IF(ItemTable[[#This Row],[GradeType]]="Cursed",
_xlfn.CONCAT("Item_MinusDesc_",ItemTable[[#This Row],[Index]]),""
)</f>
        <v>Item_MinusDesc_4006</v>
      </c>
      <c r="K27" s="42" t="s">
        <v>50</v>
      </c>
      <c r="L27" s="42">
        <v>1</v>
      </c>
      <c r="M27" s="42">
        <f t="array" ref="M27">_xlfn.IFS(ItemTable[[#This Row],[GradeType]]="Normal",25,ItemTable[[#This Row],[GradeType]]="Cursed",50,ItemTable[[#This Row],[GradeType]]="Rare",50)</f>
        <v>50</v>
      </c>
      <c r="N27" s="42">
        <v>60</v>
      </c>
      <c r="O27" s="42">
        <f t="array" ref="O27">_xlfn.IFS(OR(ItemTable[[#This Row],[GradeType]]="Hp",ItemTable[[#This Row],[GradeType]]="Gold"),0,TRUE,5000+ItemTable[[#This Row],[Index]])</f>
        <v>9006</v>
      </c>
      <c r="P27" s="42" t="s">
        <v>501</v>
      </c>
      <c r="Q27" s="57" t="s">
        <v>615</v>
      </c>
      <c r="R27" s="57" t="str">
        <f>SUBSTITUTE(PROPER(ItemTable[[#This Row],['#번역본]])," "," ")</f>
        <v>The Adult Card</v>
      </c>
    </row>
    <row r="28" spans="2:18">
      <c r="B28" s="57" t="str">
        <f>INDEX(LocaleTable[LocaleKR],MATCH(ItemTable[[#This Row],[Name]],LocaleTable[StringKey],0))</f>
        <v>인피니티 도넛</v>
      </c>
      <c r="C28" s="57" t="str">
        <f>INDEX(LocaleTable[LocaleKR],MATCH(ItemTable[[#This Row],[Desc]],LocaleTable[StringKey],0))</f>
        <v>도넛에 구멍은 몇 개일까요? 적어도\n이 도넛은 무한한 구멍을 가졌습니다.</v>
      </c>
      <c r="D28" s="57" t="str">
        <f>INDEX(LocaleTable[LocaleKR],MATCH(ItemTable[[#This Row],[PlusDesc]],LocaleTable[StringKey],0))</f>
        <v>기절한 적에게 순간이동하며 공격합니다.</v>
      </c>
      <c r="E28" s="57" t="e">
        <f>INDEX(LocaleTable[LocaleKR],MATCH(ItemTable[[#This Row],[MinusDesc]],LocaleTable[StringKey],0))</f>
        <v>#N/A</v>
      </c>
      <c r="F28" s="42">
        <v>10000</v>
      </c>
      <c r="G28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Item_Name_10000</v>
      </c>
      <c r="H28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Item_Desc_10000</v>
      </c>
      <c r="I28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Item_PlusDesc_10000</v>
      </c>
      <c r="J28" s="42" t="str">
        <f>IF(ItemTable[[#This Row],[GradeType]]="Cursed",
_xlfn.CONCAT("Item_MinusDesc_",ItemTable[[#This Row],[Index]]),""
)</f>
        <v/>
      </c>
      <c r="K28" s="42" t="s">
        <v>364</v>
      </c>
      <c r="L28" s="42">
        <v>1</v>
      </c>
      <c r="M28" s="42">
        <v>50</v>
      </c>
      <c r="N28" s="42">
        <v>100</v>
      </c>
      <c r="O28" s="42">
        <v>10000</v>
      </c>
      <c r="P28" s="42" t="s">
        <v>496</v>
      </c>
      <c r="Q28" s="57" t="s">
        <v>521</v>
      </c>
      <c r="R28" s="57" t="str">
        <f>SUBSTITUTE(PROPER(ItemTable[[#This Row],['#번역본]])," "," ")</f>
        <v>Infinity Doughnut</v>
      </c>
    </row>
    <row r="29" spans="2:18">
      <c r="B29" s="57" t="str">
        <f>INDEX(LocaleTable[LocaleKR],MATCH(ItemTable[[#This Row],[Name]],LocaleTable[StringKey],0))</f>
        <v>초소형 블랙홀</v>
      </c>
      <c r="C29" s="57" t="str">
        <f>INDEX(LocaleTable[LocaleKR],MATCH(ItemTable[[#This Row],[Desc]],LocaleTable[StringKey],0))</f>
        <v>공공장소에서 사용으로 인한\n피해는 책임지지 않습니다.</v>
      </c>
      <c r="D29" s="57" t="str">
        <f>INDEX(LocaleTable[LocaleKR],MATCH(ItemTable[[#This Row],[PlusDesc]],LocaleTable[StringKey],0))</f>
        <v>주변 투사체를 흡수하여 발사합니다.\n(쿨타임 10초)</v>
      </c>
      <c r="E29" s="57" t="e">
        <f>INDEX(LocaleTable[LocaleKR],MATCH(ItemTable[[#This Row],[MinusDesc]],LocaleTable[StringKey],0))</f>
        <v>#N/A</v>
      </c>
      <c r="F29" s="42">
        <v>10001</v>
      </c>
      <c r="G29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Item_Name_10001</v>
      </c>
      <c r="H29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Item_Desc_10001</v>
      </c>
      <c r="I29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Item_PlusDesc_10001</v>
      </c>
      <c r="J29" s="42" t="str">
        <f>IF(ItemTable[[#This Row],[GradeType]]="Cursed",
_xlfn.CONCAT("Item_MinusDesc_",ItemTable[[#This Row],[Index]]),""
)</f>
        <v/>
      </c>
      <c r="K29" s="42" t="s">
        <v>364</v>
      </c>
      <c r="L29" s="42">
        <v>1</v>
      </c>
      <c r="M29" s="42">
        <v>50</v>
      </c>
      <c r="N29" s="42">
        <v>100</v>
      </c>
      <c r="O29" s="42">
        <v>10001</v>
      </c>
      <c r="P29" s="42" t="s">
        <v>497</v>
      </c>
      <c r="Q29" s="57" t="s">
        <v>539</v>
      </c>
      <c r="R29" s="57" t="str">
        <f>SUBSTITUTE(PROPER(ItemTable[[#This Row],['#번역본]])," "," ")</f>
        <v>Ultra-Small Black Hole</v>
      </c>
    </row>
    <row r="30" spans="2:18">
      <c r="B30" s="57" t="str">
        <f>INDEX(LocaleTable[LocaleKR],MATCH(ItemTable[[#This Row],[Name]],LocaleTable[StringKey],0))</f>
        <v>사이버웨어</v>
      </c>
      <c r="C30" s="57" t="str">
        <f>INDEX(LocaleTable[LocaleKR],MATCH(ItemTable[[#This Row],[Desc]],LocaleTable[StringKey],0))</f>
        <v>기초적인 임플란트입니다.\/마구 사용하다간 사이버 미치광이가 될 수 있습니다.</v>
      </c>
      <c r="D30" s="57" t="str">
        <f>INDEX(LocaleTable[LocaleKR],MATCH(ItemTable[[#This Row],[PlusDesc]],LocaleTable[StringKey],0))</f>
        <v>6초간 주변 시간이 느려집니다.\n(쿨타임 12초)</v>
      </c>
      <c r="E30" s="57" t="e">
        <f>INDEX(LocaleTable[LocaleKR],MATCH(ItemTable[[#This Row],[MinusDesc]],LocaleTable[StringKey],0))</f>
        <v>#N/A</v>
      </c>
      <c r="F30" s="42">
        <v>10002</v>
      </c>
      <c r="G30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Item_Name_10002</v>
      </c>
      <c r="H30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Item_Desc_10002</v>
      </c>
      <c r="I30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Item_PlusDesc_10002</v>
      </c>
      <c r="J30" s="42" t="str">
        <f>IF(ItemTable[[#This Row],[GradeType]]="Cursed",
_xlfn.CONCAT("Item_MinusDesc_",ItemTable[[#This Row],[Index]]),""
)</f>
        <v/>
      </c>
      <c r="K30" s="42" t="s">
        <v>364</v>
      </c>
      <c r="L30" s="42">
        <v>1</v>
      </c>
      <c r="M30" s="42">
        <v>50</v>
      </c>
      <c r="N30" s="42">
        <v>100</v>
      </c>
      <c r="O30" s="42">
        <v>10002</v>
      </c>
      <c r="P30" s="42" t="s">
        <v>498</v>
      </c>
      <c r="Q30" s="57" t="s">
        <v>522</v>
      </c>
      <c r="R30" s="57" t="str">
        <f>SUBSTITUTE(PROPER(ItemTable[[#This Row],['#번역본]])," "," ")</f>
        <v>Cyberware</v>
      </c>
    </row>
    <row r="31" spans="2:18">
      <c r="B31" s="57" t="str">
        <f>INDEX(LocaleTable[LocaleKR],MATCH(ItemTable[[#This Row],[Name]],LocaleTable[StringKey],0))</f>
        <v>미사일 백팩</v>
      </c>
      <c r="C31" s="57" t="str">
        <f>INDEX(LocaleTable[LocaleKR],MATCH(ItemTable[[#This Row],[Desc]],LocaleTable[StringKey],0))</f>
        <v>앞만 보고 살아가는 당신에게 추천합니다.\n데일리룩으로 안성맞춤.</v>
      </c>
      <c r="D31" s="57" t="str">
        <f>INDEX(LocaleTable[LocaleKR],MATCH(ItemTable[[#This Row],[PlusDesc]],LocaleTable[StringKey],0))</f>
        <v>커서 방향으로 돌진합니다.\n(쿨타임 8초)</v>
      </c>
      <c r="E31" s="57" t="e">
        <f>INDEX(LocaleTable[LocaleKR],MATCH(ItemTable[[#This Row],[MinusDesc]],LocaleTable[StringKey],0))</f>
        <v>#N/A</v>
      </c>
      <c r="F31" s="42">
        <v>10003</v>
      </c>
      <c r="G31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Item_Name_10003</v>
      </c>
      <c r="H31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Item_Desc_10003</v>
      </c>
      <c r="I31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Item_PlusDesc_10003</v>
      </c>
      <c r="J31" s="42" t="str">
        <f>IF(ItemTable[[#This Row],[GradeType]]="Cursed",
_xlfn.CONCAT("Item_MinusDesc_",ItemTable[[#This Row],[Index]]),""
)</f>
        <v/>
      </c>
      <c r="K31" s="42" t="s">
        <v>364</v>
      </c>
      <c r="L31" s="42">
        <v>1</v>
      </c>
      <c r="M31" s="42">
        <v>50</v>
      </c>
      <c r="N31" s="42">
        <v>100</v>
      </c>
      <c r="O31" s="42">
        <v>10003</v>
      </c>
      <c r="P31" s="42" t="s">
        <v>499</v>
      </c>
      <c r="Q31" s="57" t="s">
        <v>523</v>
      </c>
      <c r="R31" s="57" t="str">
        <f>SUBSTITUTE(PROPER(ItemTable[[#This Row],['#번역본]])," "," ")</f>
        <v>A Missile Backpack</v>
      </c>
    </row>
    <row r="32" spans="2:18">
      <c r="B32" s="57" t="e">
        <f>INDEX(LocaleTable[LocaleKR],MATCH(ItemTable[[#This Row],[Name]],LocaleTable[StringKey],0))</f>
        <v>#N/A</v>
      </c>
      <c r="C32" s="57" t="e">
        <f>INDEX(LocaleTable[LocaleKR],MATCH(ItemTable[[#This Row],[Desc]],LocaleTable[StringKey],0))</f>
        <v>#N/A</v>
      </c>
      <c r="D32" s="57" t="e">
        <f>INDEX(LocaleTable[LocaleKR],MATCH(ItemTable[[#This Row],[PlusDesc]],LocaleTable[StringKey],0))</f>
        <v>#N/A</v>
      </c>
      <c r="E32" s="57" t="e">
        <f>INDEX(LocaleTable[LocaleKR],MATCH(ItemTable[[#This Row],[MinusDesc]],LocaleTable[StringKey],0))</f>
        <v>#N/A</v>
      </c>
      <c r="F32" s="42" t="s">
        <v>471</v>
      </c>
      <c r="G32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Item_Name_#10004</v>
      </c>
      <c r="H32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Item_Desc_#10004</v>
      </c>
      <c r="I32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Item_PlusDesc_#10004</v>
      </c>
      <c r="J32" s="42" t="str">
        <f>IF(ItemTable[[#This Row],[GradeType]]="Cursed",
_xlfn.CONCAT("Item_MinusDesc_",ItemTable[[#This Row],[Index]]),""
)</f>
        <v/>
      </c>
      <c r="K32" s="42" t="s">
        <v>364</v>
      </c>
      <c r="L32" s="42">
        <v>1</v>
      </c>
      <c r="M32" s="42">
        <v>50</v>
      </c>
      <c r="N32" s="42">
        <v>100</v>
      </c>
      <c r="O32" s="42">
        <v>10004</v>
      </c>
      <c r="P32" s="42" t="s">
        <v>499</v>
      </c>
      <c r="Q32" s="57" t="s">
        <v>524</v>
      </c>
      <c r="R32" s="57" t="str">
        <f>SUBSTITUTE(PROPER(ItemTable[[#This Row],['#번역본]])," "," ")</f>
        <v>Excalibat</v>
      </c>
    </row>
    <row r="33" spans="2:18">
      <c r="B33" s="57" t="str">
        <f>INDEX(LocaleTable[LocaleKR],MATCH(ItemTable[[#This Row],[Name]],LocaleTable[StringKey],0))</f>
        <v>여의배트</v>
      </c>
      <c r="C33" s="57" t="str">
        <f>INDEX(LocaleTable[LocaleKR],MATCH(ItemTable[[#This Row],[Desc]],LocaleTable[StringKey],0))</f>
        <v>배트를 마음대로 늘릴 수 있습니다!</v>
      </c>
      <c r="D33" s="57" t="str">
        <f>INDEX(LocaleTable[LocaleKR],MATCH(ItemTable[[#This Row],[PlusDesc]],LocaleTable[StringKey],0))</f>
        <v>10초간 공격범위 +100%\n(쿨타임 18초)</v>
      </c>
      <c r="E33" s="57" t="e">
        <f>INDEX(LocaleTable[LocaleKR],MATCH(ItemTable[[#This Row],[MinusDesc]],LocaleTable[StringKey],0))</f>
        <v>#N/A</v>
      </c>
      <c r="F33" s="42">
        <v>10005</v>
      </c>
      <c r="G3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Item_Name_10005</v>
      </c>
      <c r="H3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Item_Desc_10005</v>
      </c>
      <c r="I3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Item_PlusDesc_10005</v>
      </c>
      <c r="J33" s="42" t="str">
        <f>IF(ItemTable[[#This Row],[GradeType]]="Cursed",
_xlfn.CONCAT("Item_MinusDesc_",ItemTable[[#This Row],[Index]]),""
)</f>
        <v/>
      </c>
      <c r="K33" s="42" t="s">
        <v>364</v>
      </c>
      <c r="L33" s="42">
        <v>1</v>
      </c>
      <c r="M33" s="42">
        <v>50</v>
      </c>
      <c r="N33" s="42">
        <v>100</v>
      </c>
      <c r="O33" s="42">
        <v>10005</v>
      </c>
      <c r="P33" s="42" t="s">
        <v>502</v>
      </c>
      <c r="Q33" s="57" t="s">
        <v>540</v>
      </c>
      <c r="R33" s="57" t="str">
        <f>SUBSTITUTE(PROPER(ItemTable[[#This Row],['#번역본]])," "," ")</f>
        <v>Ruyi Jingu Bat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34"/>
  <sheetViews>
    <sheetView topLeftCell="P1" zoomScaleNormal="100" zoomScaleSheetLayoutView="100" workbookViewId="0">
      <selection activeCell="G36" sqref="G36"/>
    </sheetView>
  </sheetViews>
  <sheetFormatPr baseColWidth="10" defaultColWidth="8.83203125" defaultRowHeight="17"/>
  <cols>
    <col min="1" max="1" width="8.83203125" style="44"/>
    <col min="2" max="2" width="20" bestFit="1" customWidth="1"/>
    <col min="3" max="3" width="10.1640625" bestFit="1" customWidth="1"/>
    <col min="4" max="4" width="8.6640625" bestFit="1" customWidth="1"/>
    <col min="5" max="8" width="17.6640625" customWidth="1"/>
    <col min="9" max="11" width="18" customWidth="1"/>
    <col min="12" max="17" width="18.1640625" customWidth="1"/>
    <col min="18" max="19" width="16.5" customWidth="1"/>
  </cols>
  <sheetData>
    <row r="1" spans="2:19">
      <c r="D1" t="s">
        <v>26</v>
      </c>
      <c r="E1" s="16" t="s">
        <v>323</v>
      </c>
      <c r="F1" s="16" t="s">
        <v>323</v>
      </c>
      <c r="G1" s="16" t="s">
        <v>325</v>
      </c>
      <c r="H1" t="s">
        <v>68</v>
      </c>
      <c r="I1" s="16" t="s">
        <v>339</v>
      </c>
      <c r="J1" t="s">
        <v>68</v>
      </c>
      <c r="K1" s="16" t="s">
        <v>325</v>
      </c>
    </row>
    <row r="2" spans="2:19">
      <c r="B2" s="72" t="s">
        <v>69</v>
      </c>
      <c r="C2" s="72" t="s">
        <v>71</v>
      </c>
      <c r="D2" t="s">
        <v>41</v>
      </c>
      <c r="E2" s="16" t="s">
        <v>348</v>
      </c>
      <c r="F2" s="16" t="s">
        <v>349</v>
      </c>
      <c r="G2" s="16" t="s">
        <v>326</v>
      </c>
      <c r="H2" s="16" t="s">
        <v>327</v>
      </c>
      <c r="I2" s="30" t="s">
        <v>329</v>
      </c>
      <c r="J2" s="16" t="s">
        <v>328</v>
      </c>
      <c r="K2" s="30" t="s">
        <v>344</v>
      </c>
      <c r="L2" s="71" t="s">
        <v>715</v>
      </c>
      <c r="M2" s="71" t="s">
        <v>717</v>
      </c>
      <c r="N2" s="71" t="s">
        <v>716</v>
      </c>
      <c r="O2" s="71" t="s">
        <v>791</v>
      </c>
      <c r="P2" s="71" t="s">
        <v>792</v>
      </c>
      <c r="Q2" s="71" t="s">
        <v>793</v>
      </c>
      <c r="R2" s="71" t="s">
        <v>794</v>
      </c>
      <c r="S2" s="71" t="s">
        <v>795</v>
      </c>
    </row>
    <row r="3" spans="2:19">
      <c r="B3" s="19" t="str">
        <f>INDEX(ItemTable['#NameString],MATCH(ItemEffectTable[[#This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346</v>
      </c>
      <c r="I3" s="16"/>
      <c r="J3" s="16" t="s">
        <v>345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INDEX(ItemTable['#NameString],MATCH(ItemEffectTable[[#This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346</v>
      </c>
      <c r="J4" s="16" t="s">
        <v>345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INDEX(ItemTable['#NameString],MATCH(ItemEffectTable[[#This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346</v>
      </c>
      <c r="I5" s="16"/>
      <c r="J5" s="16" t="s">
        <v>345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INDEX(ItemTable['#NameString],MATCH(ItemEffectTable[[#This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393</v>
      </c>
      <c r="J6" s="16" t="s">
        <v>345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INDEX(ItemTable['#NameString],MATCH(ItemEffectTable[[#This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346</v>
      </c>
      <c r="J7" s="16" t="s">
        <v>345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INDEX(ItemTable['#NameString],MATCH(ItemEffectTable[[#This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346</v>
      </c>
      <c r="J8" s="16" t="s">
        <v>345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INDEX(ItemTable['#NameString],MATCH(ItemEffectTable[[#This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6">
        <v>8000</v>
      </c>
      <c r="E9" s="16">
        <v>8000</v>
      </c>
      <c r="F9" s="16"/>
      <c r="G9">
        <v>4</v>
      </c>
      <c r="H9" s="16" t="s">
        <v>374</v>
      </c>
      <c r="J9" s="16" t="s">
        <v>345</v>
      </c>
      <c r="L9" s="18" t="str">
        <f>IFERROR(LEFT(ItemEffectTable[[#This Row],[TriggerType]],FIND(",",ItemEffectTable[[#This Row],[TriggerType]],1)-1),ItemEffectTable[[#This Row],[TriggerType]])</f>
        <v>OnAttackStunEnemy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2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0" spans="2:19">
      <c r="B10" s="19" t="str">
        <f>INDEX(ItemTable['#NameString],MATCH(ItemEffectTable[[#This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6">
        <v>8001</v>
      </c>
      <c r="E10" s="16">
        <v>8001</v>
      </c>
      <c r="F10" s="16"/>
      <c r="G10">
        <v>0</v>
      </c>
      <c r="H10" s="16" t="s">
        <v>451</v>
      </c>
      <c r="J10" s="16" t="s">
        <v>345</v>
      </c>
      <c r="L10" s="18" t="str">
        <f>IFERROR(LEFT(ItemEffectTable[[#This Row],[TriggerType]],FIND(",",ItemEffectTable[[#This Row],[TriggerType]],1)-1),ItemEffectTable[[#This Row],[TriggerType]])</f>
        <v>Equip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0" s="18">
        <f>IFERROR(INDEX(스텟별가치29[발동율],MATCH(ItemEffectTable[[#This Row],['#트리거1]],스텟별가치29[트리거],0)),0)</f>
        <v>-1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8.25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1" spans="2:19">
      <c r="B11" s="19" t="str">
        <f>INDEX(ItemTable['#NameString],MATCH(ItemEffectTable[[#This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6">
        <v>8002</v>
      </c>
      <c r="E11" s="16"/>
      <c r="F11" s="16">
        <v>8002</v>
      </c>
      <c r="G11">
        <v>0</v>
      </c>
      <c r="H11" s="16" t="s">
        <v>374</v>
      </c>
      <c r="J11" s="16" t="s">
        <v>452</v>
      </c>
      <c r="K11">
        <v>1000</v>
      </c>
      <c r="L11" s="18" t="str">
        <f>IFERROR(LEFT(ItemEffectTable[[#This Row],[TriggerType]],FIND(",",ItemEffectTable[[#This Row],[TriggerType]],1)-1),ItemEffectTable[[#This Row],[TriggerType]])</f>
        <v>OnAttackStunEnemy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1" s="18">
        <f>IFERROR(INDEX(스텟별가치29[발동율],MATCH(ItemEffectTable[[#This Row],['#트리거1]],스텟별가치29[트리거],0)),0)</f>
        <v>2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-1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INDEX(ItemTable['#NameString],MATCH(ItemEffectTable[[#This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6">
        <v>8003</v>
      </c>
      <c r="E12" s="16">
        <v>8003</v>
      </c>
      <c r="F12" s="16"/>
      <c r="G12">
        <v>0</v>
      </c>
      <c r="H12" s="16" t="s">
        <v>346</v>
      </c>
      <c r="J12" s="16" t="s">
        <v>345</v>
      </c>
      <c r="L12" s="18" t="str">
        <f>IFERROR(LEFT(ItemEffectTable[[#This Row],[TriggerType]],FIND(",",ItemEffectTable[[#This Row],[TriggerType]],1)-1),ItemEffectTable[[#This Row],[TriggerType]])</f>
        <v>Equip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-1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INDEX(ItemTable['#NameString],MATCH(ItemEffectTable[[#This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6">
        <v>8004</v>
      </c>
      <c r="E13" s="16">
        <v>8004</v>
      </c>
      <c r="F13" s="16"/>
      <c r="G13">
        <v>0</v>
      </c>
      <c r="H13" s="16" t="s">
        <v>346</v>
      </c>
      <c r="J13" s="16" t="s">
        <v>345</v>
      </c>
      <c r="L13" s="18" t="str">
        <f>IFERROR(LEFT(ItemEffectTable[[#This Row],[TriggerType]],FIND(",",ItemEffectTable[[#This Row],[TriggerType]],1)-1),ItemEffectTable[[#This Row],[TriggerType]])</f>
        <v>Equip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-1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INDEX(ItemTable['#NameString],MATCH(ItemEffectTable[[#This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6">
        <v>8005</v>
      </c>
      <c r="E14" s="16">
        <v>8005</v>
      </c>
      <c r="F14" s="16">
        <v>8005</v>
      </c>
      <c r="G14">
        <v>0</v>
      </c>
      <c r="H14" s="16" t="s">
        <v>346</v>
      </c>
      <c r="J14" s="16" t="s">
        <v>345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INDEX(ItemTable['#NameString],MATCH(ItemEffectTable[[#This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6">
        <v>8006</v>
      </c>
      <c r="E15" s="16"/>
      <c r="F15" s="16">
        <v>8006</v>
      </c>
      <c r="G15">
        <v>0</v>
      </c>
      <c r="H15" s="16" t="s">
        <v>362</v>
      </c>
      <c r="J15" s="16" t="s">
        <v>452</v>
      </c>
      <c r="K15">
        <v>3333</v>
      </c>
      <c r="L15" s="18" t="str">
        <f>IFERROR(LEFT(ItemEffectTable[[#This Row],[TriggerType]],FIND(",",ItemEffectTable[[#This Row],[TriggerType]],1)-1),ItemEffectTable[[#This Row],[TriggerType]])</f>
        <v>OnSwing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0.5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0.16664999999999999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INDEX(ItemTable['#NameString],MATCH(ItemEffectTable[[#This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6">
        <v>9000</v>
      </c>
      <c r="E16" s="16">
        <v>9000</v>
      </c>
      <c r="F16" s="16"/>
      <c r="G16">
        <v>0</v>
      </c>
      <c r="H16" s="16" t="s">
        <v>346</v>
      </c>
      <c r="J16" s="16" t="s">
        <v>345</v>
      </c>
      <c r="L16" s="18" t="str">
        <f>IFERROR(LEFT(ItemEffectTable[[#This Row],[TriggerType]],FIND(",",ItemEffectTable[[#This Row],[TriggerType]],1)-1),ItemEffectTable[[#This Row],[TriggerType]])</f>
        <v>Equip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-1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INDEX(ItemTable['#NameString],MATCH(ItemEffectTable[[#This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6">
        <v>9001</v>
      </c>
      <c r="E17" s="16">
        <v>9001</v>
      </c>
      <c r="F17" s="16"/>
      <c r="G17">
        <v>0</v>
      </c>
      <c r="H17" s="16" t="s">
        <v>395</v>
      </c>
      <c r="J17" s="16" t="s">
        <v>345</v>
      </c>
      <c r="L17" s="18" t="str">
        <f>IFERROR(LEFT(ItemEffectTable[[#This Row],[TriggerType]],FIND(",",ItemEffectTable[[#This Row],[TriggerType]],1)-1),ItemEffectTable[[#This Row],[TriggerType]])</f>
        <v>OnSwingHit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0.875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8" spans="2:19">
      <c r="B18" s="19" t="str">
        <f>INDEX(ItemTable['#NameString],MATCH(ItemEffectTable[[#This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6">
        <v>9001</v>
      </c>
      <c r="E18" s="16">
        <v>9101</v>
      </c>
      <c r="F18" s="16"/>
      <c r="G18">
        <v>0</v>
      </c>
      <c r="H18" s="16" t="s">
        <v>346</v>
      </c>
      <c r="J18" s="16" t="s">
        <v>345</v>
      </c>
      <c r="L18" s="18" t="str">
        <f>IFERROR(LEFT(ItemEffectTable[[#This Row],[TriggerType]],FIND(",",ItemEffectTable[[#This Row],[TriggerType]],1)-1),ItemEffectTable[[#This Row],[TriggerType]])</f>
        <v>Equip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-1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INDEX(ItemTable['#NameString],MATCH(ItemEffectTable[[#This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6">
        <v>9002</v>
      </c>
      <c r="E19" s="16">
        <v>9002</v>
      </c>
      <c r="F19" s="16">
        <v>9002</v>
      </c>
      <c r="G19">
        <v>0</v>
      </c>
      <c r="H19" s="16" t="s">
        <v>346</v>
      </c>
      <c r="J19" s="16" t="s">
        <v>345</v>
      </c>
      <c r="L19" s="18" t="str">
        <f>IFERROR(LEFT(ItemEffectTable[[#This Row],[TriggerType]],FIND(",",ItemEffectTable[[#This Row],[TriggerType]],1)-1),ItemEffectTable[[#This Row],[TriggerType]])</f>
        <v>Equip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-1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INDEX(ItemTable['#NameString],MATCH(ItemEffectTable[[#This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6">
        <v>9003</v>
      </c>
      <c r="E20" s="16">
        <v>9003</v>
      </c>
      <c r="F20" s="16">
        <v>9003</v>
      </c>
      <c r="G20">
        <v>0</v>
      </c>
      <c r="H20" s="16" t="s">
        <v>346</v>
      </c>
      <c r="J20" s="16" t="s">
        <v>345</v>
      </c>
      <c r="L20" s="18" t="str">
        <f>IFERROR(LEFT(ItemEffectTable[[#This Row],[TriggerType]],FIND(",",ItemEffectTable[[#This Row],[TriggerType]],1)-1),ItemEffectTable[[#This Row],[TriggerType]])</f>
        <v>Equip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-1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INDEX(ItemTable['#NameString],MATCH(ItemEffectTable[[#This Row],[Index]],ItemTable[ItemEffectDataId],0))</f>
        <v>행성 만세</v>
      </c>
      <c r="C21" s="32" t="str">
        <f>INDEX(ItemTable[GradeType],MATCH(ItemEffectTable[[#This Row],[Index]],ItemTable[ItemEffectDataId],0))</f>
        <v>Cursed</v>
      </c>
      <c r="D21" s="16">
        <v>9004</v>
      </c>
      <c r="E21" s="16"/>
      <c r="F21" s="16">
        <v>9004</v>
      </c>
      <c r="G21">
        <v>0</v>
      </c>
      <c r="H21" s="16" t="s">
        <v>472</v>
      </c>
      <c r="J21" s="16" t="s">
        <v>345</v>
      </c>
      <c r="L21" s="18" t="str">
        <f>IFERROR(LEFT(ItemEffectTable[[#This Row],[TriggerType]],FIND(",",ItemEffectTable[[#This Row],[TriggerType]],1)-1),ItemEffectTable[[#This Row],[TriggerType]])</f>
        <v>OnDamage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8.25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2" spans="2:19">
      <c r="B22" s="19" t="str">
        <f>INDEX(ItemTable['#NameString],MATCH(ItemEffectTable[[#This Row],[Index]],ItemTable[ItemEffectDataId],0))</f>
        <v>행성 만세</v>
      </c>
      <c r="C22" s="32" t="str">
        <f>INDEX(ItemTable[GradeType],MATCH(ItemEffectTable[[#This Row],[Index]],ItemTable[ItemEffectDataId],0))</f>
        <v>Cursed</v>
      </c>
      <c r="D22" s="16">
        <v>9004</v>
      </c>
      <c r="E22" s="16">
        <v>9104</v>
      </c>
      <c r="F22" s="16"/>
      <c r="G22">
        <v>0</v>
      </c>
      <c r="H22" s="16" t="s">
        <v>346</v>
      </c>
      <c r="J22" s="16" t="s">
        <v>345</v>
      </c>
      <c r="L22" s="18" t="str">
        <f>IFERROR(LEFT(ItemEffectTable[[#This Row],[TriggerType]],FIND(",",ItemEffectTable[[#This Row],[TriggerType]],1)-1),ItemEffectTable[[#This Row],[TriggerType]])</f>
        <v>Equip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-1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3" spans="2:19">
      <c r="B23" s="19" t="str">
        <f>INDEX(ItemTable['#NameString],MATCH(ItemEffectTable[[#This Row],[Index]],ItemTable[ItemEffectDataId],0))</f>
        <v>회피 캣</v>
      </c>
      <c r="C23" s="4" t="str">
        <f>INDEX(ItemTable[GradeType],MATCH(ItemEffectTable[[#This Row],[Index]],ItemTable[ItemEffectDataId],0))</f>
        <v>Cursed</v>
      </c>
      <c r="D23" s="16">
        <v>9005</v>
      </c>
      <c r="E23" s="16"/>
      <c r="F23" s="16">
        <v>9005</v>
      </c>
      <c r="G23">
        <v>0</v>
      </c>
      <c r="H23" s="16" t="s">
        <v>416</v>
      </c>
      <c r="J23" s="16" t="s">
        <v>345</v>
      </c>
      <c r="L23" s="18" t="str">
        <f>IFERROR(LEFT(ItemEffectTable[[#This Row],[TriggerType]],FIND(",",ItemEffectTable[[#This Row],[TriggerType]],1)-1),ItemEffectTable[[#This Row],[TriggerType]])</f>
        <v>OnDodge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2.5499999999999998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4" spans="2:19">
      <c r="B24" s="19" t="str">
        <f>INDEX(ItemTable['#NameString],MATCH(ItemEffectTable[[#This Row],[Index]],ItemTable[ItemEffectDataId],0))</f>
        <v>회피 캣</v>
      </c>
      <c r="C24" s="32" t="str">
        <f>INDEX(ItemTable[GradeType],MATCH(ItemEffectTable[[#This Row],[Index]],ItemTable[ItemEffectDataId],0))</f>
        <v>Cursed</v>
      </c>
      <c r="D24" s="16">
        <v>9005</v>
      </c>
      <c r="E24" s="16">
        <v>9105</v>
      </c>
      <c r="F24" s="16"/>
      <c r="G24">
        <v>0</v>
      </c>
      <c r="H24" s="16" t="s">
        <v>346</v>
      </c>
      <c r="J24" s="16" t="s">
        <v>345</v>
      </c>
      <c r="L24" s="18" t="str">
        <f>IFERROR(LEFT(ItemEffectTable[[#This Row],[TriggerType]],FIND(",",ItemEffectTable[[#This Row],[TriggerType]],1)-1),ItemEffectTable[[#This Row],[TriggerType]])</f>
        <v>Equip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-1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5" spans="2:19">
      <c r="B25" s="19" t="str">
        <f>INDEX(ItemTable['#NameString],MATCH(ItemEffectTable[[#This Row],[Index]],ItemTable[ItemEffectDataId],0))</f>
        <v>어른의 카드</v>
      </c>
      <c r="C25" s="32" t="str">
        <f>INDEX(ItemTable[GradeType],MATCH(ItemEffectTable[[#This Row],[Index]],ItemTable[ItemEffectDataId],0))</f>
        <v>Cursed</v>
      </c>
      <c r="D25" s="39">
        <v>9006</v>
      </c>
      <c r="E25" s="39">
        <v>9106</v>
      </c>
      <c r="F25" s="16"/>
      <c r="G25">
        <v>0</v>
      </c>
      <c r="H25" s="39" t="s">
        <v>346</v>
      </c>
      <c r="I25" s="39"/>
      <c r="J25" s="16" t="s">
        <v>345</v>
      </c>
      <c r="K25" s="39"/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45" t="str">
        <f>INDEX(ItemTable['#NameString],MATCH(ItemEffectTable[[#This Row],[Index]],ItemTable[ItemEffectDataId],0))</f>
        <v>어른의 카드</v>
      </c>
      <c r="C26" s="46" t="str">
        <f>INDEX(ItemTable[GradeType],MATCH(ItemEffectTable[[#This Row],[Index]],ItemTable[ItemEffectDataId],0))</f>
        <v>Cursed</v>
      </c>
      <c r="D26" s="39">
        <v>9006</v>
      </c>
      <c r="E26" s="39"/>
      <c r="F26" s="39">
        <v>9006</v>
      </c>
      <c r="G26" s="39">
        <v>0</v>
      </c>
      <c r="H26" s="39" t="s">
        <v>362</v>
      </c>
      <c r="I26" s="39"/>
      <c r="J26" s="16" t="s">
        <v>345</v>
      </c>
      <c r="K26" s="39"/>
      <c r="L26" s="18" t="str">
        <f>IFERROR(LEFT(ItemEffectTable[[#This Row],[TriggerType]],FIND(",",ItemEffectTable[[#This Row],[TriggerType]],1)-1),ItemEffectTable[[#This Row],[TriggerType]])</f>
        <v>OnSwing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0.5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0.5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INDEX(ItemTable['#NameString],MATCH(ItemEffectTable[[#This Row],[Index]],ItemTable[ItemEffectDataId],0))</f>
        <v>인피니티 도넛</v>
      </c>
      <c r="C27" s="32" t="str">
        <f>INDEX(ItemTable[GradeType],MATCH(ItemEffectTable[[#This Row],[Index]],ItemTable[ItemEffectDataId],0))</f>
        <v>Active</v>
      </c>
      <c r="D27">
        <v>10000</v>
      </c>
      <c r="F27">
        <v>10000</v>
      </c>
      <c r="G27">
        <v>0</v>
      </c>
      <c r="H27" s="16" t="s">
        <v>352</v>
      </c>
      <c r="I27" s="16"/>
      <c r="J27" s="16" t="s">
        <v>345</v>
      </c>
      <c r="L27" s="18" t="str">
        <f>IFERROR(LEFT(ItemEffectTable[[#This Row],[TriggerType]],FIND(",",ItemEffectTable[[#This Row],[TriggerType]],1)-1),ItemEffectTable[[#This Row],[TriggerType]])</f>
        <v>OnActiveKey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INDEX(ItemTable['#NameString],MATCH(ItemEffectTable[[#This Row],[Index]],ItemTable[ItemEffectDataId],0))</f>
        <v>초소형 블랙홀</v>
      </c>
      <c r="C28" s="32" t="str">
        <f>INDEX(ItemTable[GradeType],MATCH(ItemEffectTable[[#This Row],[Index]],ItemTable[ItemEffectDataId],0))</f>
        <v>Active</v>
      </c>
      <c r="D28">
        <v>10001</v>
      </c>
      <c r="F28">
        <v>10001</v>
      </c>
      <c r="G28">
        <v>10</v>
      </c>
      <c r="H28" s="16" t="s">
        <v>352</v>
      </c>
      <c r="I28" s="16" t="s">
        <v>358</v>
      </c>
      <c r="J28" s="16" t="s">
        <v>357</v>
      </c>
      <c r="K28" s="11">
        <v>6</v>
      </c>
      <c r="L28" s="18" t="str">
        <f>IFERROR(LEFT(ItemEffectTable[[#This Row],[TriggerType]],FIND(",",ItemEffectTable[[#This Row],[TriggerType]],1)-1),ItemEffectTable[[#This Row],[TriggerType]])</f>
        <v>OnActiveKey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-1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INDEX(ItemTable['#NameString],MATCH(ItemEffectTable[[#This Row],[Index]],ItemTable[ItemEffectDataId],0))</f>
        <v>사이버웨어</v>
      </c>
      <c r="C29" s="32" t="str">
        <f>INDEX(ItemTable[GradeType],MATCH(ItemEffectTable[[#This Row],[Index]],ItemTable[ItemEffectDataId],0))</f>
        <v>Active</v>
      </c>
      <c r="D29">
        <v>10002</v>
      </c>
      <c r="E29">
        <v>10002</v>
      </c>
      <c r="F29">
        <v>10002</v>
      </c>
      <c r="G29">
        <v>15</v>
      </c>
      <c r="H29" s="16" t="s">
        <v>352</v>
      </c>
      <c r="J29" s="16" t="s">
        <v>345</v>
      </c>
      <c r="L29" s="18" t="str">
        <f>IFERROR(LEFT(ItemEffectTable[[#This Row],[TriggerType]],FIND(",",ItemEffectTable[[#This Row],[TriggerType]],1)-1),ItemEffectTable[[#This Row],[TriggerType]])</f>
        <v>OnActiveKey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0" spans="2:19">
      <c r="B30" s="19" t="str">
        <f>INDEX(ItemTable['#NameString],MATCH(ItemEffectTable[[#This Row],[Index]],ItemTable[ItemEffectDataId],0))</f>
        <v>미사일 백팩</v>
      </c>
      <c r="C30" s="32" t="str">
        <f>INDEX(ItemTable[GradeType],MATCH(ItemEffectTable[[#This Row],[Index]],ItemTable[ItemEffectDataId],0))</f>
        <v>Active</v>
      </c>
      <c r="D30">
        <v>10003</v>
      </c>
      <c r="F30">
        <v>10003</v>
      </c>
      <c r="G30">
        <v>8</v>
      </c>
      <c r="H30" s="16" t="s">
        <v>352</v>
      </c>
      <c r="J30" s="16" t="s">
        <v>345</v>
      </c>
      <c r="L30" s="18" t="str">
        <f>IFERROR(LEFT(ItemEffectTable[[#This Row],[TriggerType]],FIND(",",ItemEffectTable[[#This Row],[TriggerType]],1)-1),ItemEffectTable[[#This Row],[TriggerType]])</f>
        <v>OnActiveKey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-1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e">
        <f>INDEX(ItemTable['#NameString],MATCH(ItemEffectTable[[#This Row],[Index]],ItemTable[ItemEffectDataId],0))</f>
        <v>#N/A</v>
      </c>
      <c r="C31" s="32" t="str">
        <f>INDEX(ItemTable[GradeType],MATCH(ItemEffectTable[[#This Row],[Index]],ItemTable[ItemEffectDataId],0))</f>
        <v>Active</v>
      </c>
      <c r="D31">
        <v>10004</v>
      </c>
      <c r="E31">
        <v>10004</v>
      </c>
      <c r="F31">
        <v>10004</v>
      </c>
      <c r="G31">
        <v>16</v>
      </c>
      <c r="H31" s="16" t="s">
        <v>352</v>
      </c>
      <c r="J31" s="16" t="s">
        <v>345</v>
      </c>
      <c r="L31" s="18" t="str">
        <f>IFERROR(LEFT(ItemEffectTable[[#This Row],[TriggerType]],FIND(",",ItemEffectTable[[#This Row],[TriggerType]],1)-1),ItemEffectTable[[#This Row],[TriggerType]])</f>
        <v>OnActiveKey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1.5</v>
      </c>
    </row>
    <row r="32" spans="2:19">
      <c r="B32" s="19" t="str">
        <f>INDEX(ItemTable['#NameString],MATCH(ItemEffectTable[[#This Row],[Index]],ItemTable[ItemEffectDataId],0))</f>
        <v>여의배트</v>
      </c>
      <c r="C32" s="32" t="str">
        <f>INDEX(ItemTable[GradeType],MATCH(ItemEffectTable[[#This Row],[Index]],ItemTable[ItemEffectDataId],0))</f>
        <v>Active</v>
      </c>
      <c r="D32">
        <v>10005</v>
      </c>
      <c r="E32">
        <v>10005</v>
      </c>
      <c r="G32">
        <v>18</v>
      </c>
      <c r="H32" s="16" t="s">
        <v>352</v>
      </c>
      <c r="J32" s="16" t="s">
        <v>345</v>
      </c>
      <c r="L32" s="18" t="str">
        <f>IFERROR(LEFT(ItemEffectTable[[#This Row],[TriggerType]],FIND(",",ItemEffectTable[[#This Row],[TriggerType]],1)-1),ItemEffectTable[[#This Row],[TriggerType]])</f>
        <v>OnActiveKey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33" spans="7:12">
      <c r="G33" s="11"/>
      <c r="L33" s="11"/>
    </row>
    <row r="34" spans="7:12">
      <c r="G34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0"/>
  <sheetViews>
    <sheetView zoomScaleNormal="100" zoomScaleSheetLayoutView="100" workbookViewId="0">
      <selection activeCell="G21" sqref="G21"/>
    </sheetView>
  </sheetViews>
  <sheetFormatPr baseColWidth="10" defaultColWidth="8.83203125" defaultRowHeight="17"/>
  <cols>
    <col min="2" max="2" width="17.83203125" bestFit="1" customWidth="1"/>
    <col min="3" max="3" width="29" bestFit="1" customWidth="1"/>
    <col min="4" max="4" width="8.6640625" bestFit="1" customWidth="1"/>
    <col min="5" max="5" width="21.1640625" bestFit="1" customWidth="1"/>
    <col min="6" max="6" width="20.5" bestFit="1" customWidth="1"/>
    <col min="7" max="7" width="21.6640625" bestFit="1" customWidth="1"/>
    <col min="8" max="8" width="11.5" bestFit="1" customWidth="1"/>
    <col min="9" max="9" width="18.6640625" bestFit="1" customWidth="1"/>
    <col min="10" max="10" width="12.5" bestFit="1" customWidth="1"/>
    <col min="11" max="11" width="12.1640625" style="8" customWidth="1"/>
    <col min="12" max="12" width="12.6640625" bestFit="1" customWidth="1"/>
    <col min="13" max="14" width="13.83203125" bestFit="1" customWidth="1"/>
    <col min="15" max="15" width="13.83203125" customWidth="1"/>
    <col min="16" max="16" width="13.83203125" bestFit="1" customWidth="1"/>
    <col min="17" max="19" width="13.83203125" customWidth="1"/>
    <col min="20" max="20" width="10" customWidth="1"/>
  </cols>
  <sheetData>
    <row r="1" spans="2:21">
      <c r="D1" s="11" t="s">
        <v>705</v>
      </c>
      <c r="E1" s="16" t="s">
        <v>706</v>
      </c>
      <c r="F1" s="16" t="s">
        <v>334</v>
      </c>
      <c r="G1" s="16" t="s">
        <v>341</v>
      </c>
      <c r="H1" s="16" t="s">
        <v>334</v>
      </c>
    </row>
    <row r="2" spans="2:21" s="42" customFormat="1">
      <c r="B2" s="69" t="s">
        <v>801</v>
      </c>
      <c r="C2" s="69" t="s">
        <v>684</v>
      </c>
      <c r="D2" s="58" t="s">
        <v>41</v>
      </c>
      <c r="E2" s="58" t="s">
        <v>330</v>
      </c>
      <c r="F2" s="58" t="s">
        <v>340</v>
      </c>
      <c r="G2" s="60" t="s">
        <v>4</v>
      </c>
      <c r="H2" s="60" t="s">
        <v>342</v>
      </c>
      <c r="I2" s="69" t="s">
        <v>686</v>
      </c>
      <c r="J2" s="69" t="s">
        <v>685</v>
      </c>
      <c r="K2" s="70" t="s">
        <v>707</v>
      </c>
      <c r="L2" s="69" t="s">
        <v>704</v>
      </c>
      <c r="M2" s="69" t="s">
        <v>714</v>
      </c>
      <c r="N2" s="69" t="s">
        <v>796</v>
      </c>
      <c r="O2" s="69" t="s">
        <v>797</v>
      </c>
      <c r="P2" s="69" t="s">
        <v>687</v>
      </c>
      <c r="Q2" s="69" t="s">
        <v>800</v>
      </c>
      <c r="R2" s="69" t="s">
        <v>803</v>
      </c>
      <c r="S2" s="75" t="s">
        <v>808</v>
      </c>
      <c r="T2" s="69" t="s">
        <v>799</v>
      </c>
      <c r="U2" s="69" t="s">
        <v>798</v>
      </c>
    </row>
    <row r="3" spans="2:21">
      <c r="B3" s="19" t="str">
        <f>IFERROR(INDEX(ItemEffectTable['#이름값],MATCH(ItemEffectTable23[[#This Row],[Index]],ItemEffectTable[Index],0)),INDEX(ItemEffectTable['#이름값],MATCH(ItemEffectTable23[[#This Row],[Index]],ItemEffectTable[ApplyBuffId],0)))</f>
        <v>메탈유니콘 키링</v>
      </c>
      <c r="C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115</v>
      </c>
      <c r="F3" s="16">
        <v>1</v>
      </c>
      <c r="G3" s="11" t="s">
        <v>418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73">
        <f>ItemEffectTable23[[#This Row],['#종합 효력]]/ItemEffectTable23[[#This Row],['#기준 효력]]</f>
        <v>1</v>
      </c>
    </row>
    <row r="4" spans="2:21" ht="18">
      <c r="B4" s="57" t="str">
        <f>IFERROR(INDEX(ItemEffectTable['#이름값],MATCH(ItemEffectTable23[[#This Row],[Index]],ItemEffectTable[Index],0)),INDEX(ItemEffectTable['#이름값],MATCH(ItemEffectTable23[[#This Row],[Index]],ItemEffectTable[ApplyBuffId],0)))</f>
        <v>챔피언 모자</v>
      </c>
      <c r="C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3" t="s">
        <v>200</v>
      </c>
      <c r="F4" s="53">
        <v>0.3</v>
      </c>
      <c r="G4" s="42" t="s">
        <v>505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73">
        <f>ItemEffectTable23[[#This Row],['#종합 효력]]/ItemEffectTable23[[#This Row],['#기준 효력]]</f>
        <v>0.99999999999999944</v>
      </c>
    </row>
    <row r="5" spans="2:21">
      <c r="B5" s="57" t="str">
        <f>IFERROR(INDEX(ItemEffectTable['#이름값],MATCH(ItemEffectTable23[[#This Row],[Index]],ItemEffectTable[Index],0)),INDEX(ItemEffectTable['#이름값],MATCH(ItemEffectTable23[[#This Row],[Index]],ItemEffectTable[ApplyBuffId],0)))</f>
        <v>쿨 - 도그</v>
      </c>
      <c r="C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354</v>
      </c>
      <c r="F5" s="53">
        <v>0.85</v>
      </c>
      <c r="G5" s="42" t="s">
        <v>226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73">
        <f>ItemEffectTable23[[#This Row],['#종합 효력]]/ItemEffectTable23[[#This Row],['#기준 효력]]</f>
        <v>0.99999999999999978</v>
      </c>
    </row>
    <row r="6" spans="2:21" ht="18">
      <c r="B6" s="57" t="str">
        <f>IFERROR(INDEX(ItemEffectTable['#이름값],MATCH(ItemEffectTable23[[#This Row],[Index]],ItemEffectTable[Index],0)),INDEX(ItemEffectTable['#이름값],MATCH(ItemEffectTable23[[#This Row],[Index]],ItemEffectTable[ApplyBuffId],0)))</f>
        <v>QT 파우더</v>
      </c>
      <c r="C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+0.2 (5초)</v>
      </c>
      <c r="D6" s="42">
        <v>7003</v>
      </c>
      <c r="E6" s="53" t="s">
        <v>392</v>
      </c>
      <c r="F6" s="42">
        <v>0.2</v>
      </c>
      <c r="G6" s="42" t="s">
        <v>347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1.2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30.120481927710831</v>
      </c>
      <c r="Q6" s="19">
        <f>SUMIF(ItemEffectTable23['#아이템 명칭],ItemEffectTable23[[#This Row],['#아이템 명칭]],ItemEffectTable23['#총 가치판단])</f>
        <v>30.120481927710831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30.120481927710831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73">
        <f>ItemEffectTable23[[#This Row],['#종합 효력]]/ItemEffectTable23[[#This Row],['#기준 효력]]</f>
        <v>1.0040160642570277</v>
      </c>
    </row>
    <row r="7" spans="2:21" ht="18">
      <c r="B7" s="57" t="str">
        <f>IFERROR(INDEX(ItemEffectTable['#이름값],MATCH(ItemEffectTable23[[#This Row],[Index]],ItemEffectTable[Index],0)),INDEX(ItemEffectTable['#이름값],MATCH(ItemEffectTable23[[#This Row],[Index]],ItemEffectTable[ApplyBuffId],0)))</f>
        <v>적토목마</v>
      </c>
      <c r="C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+0.08</v>
      </c>
      <c r="D7" s="42">
        <v>7004</v>
      </c>
      <c r="E7" s="53" t="s">
        <v>137</v>
      </c>
      <c r="F7" s="42">
        <v>0.92</v>
      </c>
      <c r="G7" s="42" t="s">
        <v>226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0.46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29.999999999999986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29.999999999999986</v>
      </c>
      <c r="Q7" s="19">
        <f>SUMIF(ItemEffectTable23['#아이템 명칭],ItemEffectTable23[[#This Row],['#아이템 명칭]],ItemEffectTable23['#총 가치판단])</f>
        <v>29.999999999999986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29.999999999999986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73">
        <f>ItemEffectTable23[[#This Row],['#종합 효력]]/ItemEffectTable23[[#This Row],['#기준 효력]]</f>
        <v>0.99999999999999956</v>
      </c>
    </row>
    <row r="8" spans="2:21" ht="18">
      <c r="B8" s="57" t="str">
        <f>IFERROR(INDEX(ItemEffectTable['#이름값],MATCH(ItemEffectTable23[[#This Row],[Index]],ItemEffectTable[Index],0)),INDEX(ItemEffectTable['#이름값],MATCH(ItemEffectTable23[[#This Row],[Index]],ItemEffectTable[ApplyBuffId],0)))</f>
        <v>삼각김곰</v>
      </c>
      <c r="C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3" t="s">
        <v>423</v>
      </c>
      <c r="F8" s="42">
        <v>50</v>
      </c>
      <c r="G8" s="42" t="s">
        <v>347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73">
        <f>ItemEffectTable23[[#This Row],['#종합 효력]]/ItemEffectTable23[[#This Row],['#기준 효력]]</f>
        <v>2</v>
      </c>
    </row>
    <row r="9" spans="2:21" ht="18">
      <c r="B9" s="57" t="str">
        <f>IFERROR(INDEX(ItemEffectTable['#이름값],MATCH(ItemEffectTable23[[#This Row],[Index]],ItemEffectTable[Index],0)),INDEX(ItemEffectTable['#이름값],MATCH(ItemEffectTable23[[#This Row],[Index]],ItemEffectTable[ApplyBuffId],0)))</f>
        <v>데빌불</v>
      </c>
      <c r="C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9" s="42">
        <v>8000</v>
      </c>
      <c r="E9" s="53" t="s">
        <v>201</v>
      </c>
      <c r="F9" s="42">
        <v>0.3</v>
      </c>
      <c r="G9" s="42" t="s">
        <v>347</v>
      </c>
      <c r="H9" s="42">
        <v>4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2</v>
      </c>
      <c r="N9" s="19">
        <f>INDEX(ItemEffectTable[CoolTime],MATCH(ItemEffectTable23[[#This Row],[Index]],ItemEffectTable[ApplyBuffId],0))</f>
        <v>4</v>
      </c>
      <c r="O9" s="19">
        <f>IF(ItemEffectTable23[[#This Row],['#발동율]]=-1,-1,(ItemEffectTable23[[#This Row],['#발동율]]+ItemEffectTable23[[#This Row],['#쿨타임]])/ItemEffectTable23[[#This Row],[Duration]])</f>
        <v>1.5</v>
      </c>
      <c r="P9" s="19">
        <f>ItemEffectTable23[[#This Row],['#효력 가치 판단]]/IF(ItemEffectTable23[[#This Row],['#발동량]]=-1,1,ItemEffectTable23[[#This Row],['#발동량]])</f>
        <v>50.000000000000007</v>
      </c>
      <c r="Q9" s="19">
        <f>SUMIF(ItemEffectTable23['#아이템 명칭],ItemEffectTable23[[#This Row],['#아이템 명칭]],ItemEffectTable23['#총 가치판단])</f>
        <v>50.000000000000007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50.000000000000007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50</v>
      </c>
      <c r="U9" s="73">
        <f>ItemEffectTable23[[#This Row],['#종합 효력]]/ItemEffectTable23[[#This Row],['#기준 효력]]</f>
        <v>1.0000000000000002</v>
      </c>
    </row>
    <row r="10" spans="2:21" ht="18">
      <c r="B10" s="57" t="str">
        <f>IFERROR(INDEX(ItemEffectTable['#이름값],MATCH(ItemEffectTable23[[#This Row],[Index]],ItemEffectTable[Index],0)),INDEX(ItemEffectTable['#이름값],MATCH(ItemEffectTable23[[#This Row],[Index]],ItemEffectTable[ApplyBuffId],0)))</f>
        <v>대인 지뢰</v>
      </c>
      <c r="C1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0" s="42">
        <v>8001</v>
      </c>
      <c r="E10" s="53" t="s">
        <v>201</v>
      </c>
      <c r="F10" s="42" t="s">
        <v>708</v>
      </c>
      <c r="G10" s="42" t="s">
        <v>347</v>
      </c>
      <c r="H10" s="42">
        <v>-1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t="e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0" s="8" cm="1">
        <f t="array" ref="K10">ItemEffectTable23[[#This Row],['#스텟의 default값]]+(CharacterTable[MaxHP] - 50)*0.002</f>
        <v>1.2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0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0" s="19">
        <f>INDEX(ItemEffectTable[CoolTime],MATCH(ItemEffectTable23[[#This Row],[Index]],ItemEffectTable[ApplyBuffId],0))</f>
        <v>0</v>
      </c>
      <c r="O10" s="19">
        <f>IF(ItemEffectTable23[[#This Row],['#발동율]]=-1,-1,(ItemEffectTable23[[#This Row],['#발동율]]+ItemEffectTable23[[#This Row],['#쿨타임]])/ItemEffectTable23[[#This Row],[Duration]])</f>
        <v>-1</v>
      </c>
      <c r="P10" s="19">
        <f>ItemEffectTable23[[#This Row],['#효력 가치 판단]]/IF(ItemEffectTable23[[#This Row],['#발동량]]=-1,1,ItemEffectTable23[[#This Row],['#발동량]])</f>
        <v>49.999999999999986</v>
      </c>
      <c r="Q10" s="19">
        <f>SUMIF(ItemEffectTable23['#아이템 명칭],ItemEffectTable23[[#This Row],['#아이템 명칭]],ItemEffectTable23['#총 가치판단])</f>
        <v>49.999999999999986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73">
        <f>ItemEffectTable23[[#This Row],['#종합 효력]]/ItemEffectTable23[[#This Row],['#기준 효력]]</f>
        <v>0.99999999999999967</v>
      </c>
    </row>
    <row r="11" spans="2:21">
      <c r="B11" s="57" t="str">
        <f>IFERROR(INDEX(ItemEffectTable['#이름값],MATCH(ItemEffectTable23[[#This Row],[Index]],ItemEffectTable[Index],0)),INDEX(ItemEffectTable['#이름값],MATCH(ItemEffectTable23[[#This Row],[Index]],ItemEffectTable[ApplyBuffId],0)))</f>
        <v>사나운 돼지저금통</v>
      </c>
      <c r="C1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골드 획득 비율 +0.5</v>
      </c>
      <c r="D11" s="42">
        <v>8003</v>
      </c>
      <c r="E11" s="42" t="s">
        <v>167</v>
      </c>
      <c r="F11" s="42">
        <v>0.5</v>
      </c>
      <c r="G11" s="42" t="s">
        <v>347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1.5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50</v>
      </c>
      <c r="M1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50</v>
      </c>
      <c r="Q11" s="19">
        <f>SUMIF(ItemEffectTable23['#아이템 명칭],ItemEffectTable23[[#This Row],['#아이템 명칭]],ItemEffectTable23['#총 가치판단])</f>
        <v>50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50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73">
        <f>ItemEffectTable23[[#This Row],['#종합 효력]]/ItemEffectTable23[[#This Row],['#기준 효력]]</f>
        <v>1</v>
      </c>
    </row>
    <row r="12" spans="2:21" ht="18">
      <c r="B12" s="57" t="str">
        <f>IFERROR(INDEX(ItemEffectTable['#이름값],MATCH(ItemEffectTable23[[#This Row],[Index]],ItemEffectTable[Index],0)),INDEX(ItemEffectTable['#이름값],MATCH(ItemEffectTable23[[#This Row],[Index]],ItemEffectTable[ApplyBuffId],0)))</f>
        <v>성배 속 무언가</v>
      </c>
      <c r="C12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3" t="s">
        <v>413</v>
      </c>
      <c r="F12" s="42">
        <v>3</v>
      </c>
      <c r="G12" s="42" t="s">
        <v>347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73">
        <f>ItemEffectTable23[[#This Row],['#종합 효력]]/ItemEffectTable23[[#This Row],['#기준 효력]]</f>
        <v>0.9</v>
      </c>
    </row>
    <row r="13" spans="2:21" ht="18">
      <c r="B13" s="57" t="str">
        <f>IFERROR(INDEX(ItemEffectTable['#이름값],MATCH(ItemEffectTable23[[#This Row],[Index]],ItemEffectTable[Index],0)),INDEX(ItemEffectTable['#이름값],MATCH(ItemEffectTable23[[#This Row],[Index]],ItemEffectTable[ApplyBuffId],0)))</f>
        <v>이상한 사탕</v>
      </c>
      <c r="C1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3" t="s">
        <v>423</v>
      </c>
      <c r="F13" s="42">
        <v>50</v>
      </c>
      <c r="G13" s="42" t="s">
        <v>347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73">
        <f>ItemEffectTable23[[#This Row],['#종합 효력]]/ItemEffectTable23[[#This Row],['#기준 효력]]</f>
        <v>24</v>
      </c>
    </row>
    <row r="14" spans="2:21" ht="18">
      <c r="B14" s="57" t="str">
        <f>IFERROR(INDEX(ItemEffectTable['#이름값],MATCH(ItemEffectTable23[[#This Row],[Index]],ItemEffectTable[Index],0)),INDEX(ItemEffectTable['#이름값],MATCH(ItemEffectTable23[[#This Row],[Index]],ItemEffectTable[ApplyBuffId],0)))</f>
        <v>코코아 한통</v>
      </c>
      <c r="C1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-0.5</v>
      </c>
      <c r="D14" s="42">
        <v>9000</v>
      </c>
      <c r="E14" s="53" t="s">
        <v>137</v>
      </c>
      <c r="F14" s="42">
        <v>1.5</v>
      </c>
      <c r="G14" s="42" t="s">
        <v>226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4" s="18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0.75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-187.5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-1</v>
      </c>
      <c r="P14" s="19">
        <f>ItemEffectTable23[[#This Row],['#효력 가치 판단]]/IF(ItemEffectTable23[[#This Row],['#발동량]]=-1,1,ItemEffectTable23[[#This Row],['#발동량]])</f>
        <v>-187.5</v>
      </c>
      <c r="Q14" s="19">
        <f>SUMIF(ItemEffectTable23['#아이템 명칭],ItemEffectTable23[[#This Row],['#아이템 명칭]],ItemEffectTable23['#총 가치판단])</f>
        <v>12.500000000000028</v>
      </c>
      <c r="R14" s="19">
        <f>IFERROR(INDEX(ItemEffectTable2324['#가치판단],MATCH(ItemEffectTable23[[#This Row],['#아이템 명칭]],ItemEffectTable2324['#명칭],0)),0)</f>
        <v>0</v>
      </c>
      <c r="S14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73">
        <f>ItemEffectTable23[[#This Row],['#종합 효력]]/ItemEffectTable23[[#This Row],['#기준 효력]]</f>
        <v>0.25000000000000056</v>
      </c>
    </row>
    <row r="15" spans="2:21" ht="18">
      <c r="B15" s="57" t="str">
        <f>IFERROR(INDEX(ItemEffectTable['#이름값],MATCH(ItemEffectTable23[[#This Row],[Index]],ItemEffectTable[Index],0)),INDEX(ItemEffectTable['#이름값],MATCH(ItemEffectTable23[[#This Row],[Index]],ItemEffectTable[ApplyBuffId],0)))</f>
        <v>코코아 한통</v>
      </c>
      <c r="C1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+1</v>
      </c>
      <c r="D15" s="42">
        <v>9000</v>
      </c>
      <c r="E15" s="53" t="s">
        <v>218</v>
      </c>
      <c r="F15" s="42">
        <v>0</v>
      </c>
      <c r="G15" s="42" t="s">
        <v>226</v>
      </c>
      <c r="H15" s="42">
        <v>-1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-1</v>
      </c>
      <c r="P15" s="19">
        <f>ItemEffectTable23[[#This Row],['#효력 가치 판단]]/IF(ItemEffectTable23[[#This Row],['#발동량]]=-1,1,ItemEffectTable23[[#This Row],['#발동량]])</f>
        <v>200.00000000000003</v>
      </c>
      <c r="Q15" s="19">
        <f>SUMIF(ItemEffectTable23['#아이템 명칭],ItemEffectTable23[[#This Row],['#아이템 명칭]],ItemEffectTable23['#총 가치판단])</f>
        <v>12.500000000000028</v>
      </c>
      <c r="R15" s="19">
        <f>IFERROR(INDEX(ItemEffectTable2324['#가치판단],MATCH(ItemEffectTable23[[#This Row],['#아이템 명칭]],ItemEffectTable2324['#명칭],0)),0)</f>
        <v>0</v>
      </c>
      <c r="S15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73">
        <f>ItemEffectTable23[[#This Row],['#종합 효력]]/ItemEffectTable23[[#This Row],['#기준 효력]]</f>
        <v>0.25000000000000056</v>
      </c>
    </row>
    <row r="16" spans="2:21" ht="18">
      <c r="B16" s="57" t="str">
        <f>IFERROR(INDEX(ItemEffectTable['#이름값],MATCH(ItemEffectTable23[[#This Row],[Index]],ItemEffectTable[Index],0)),INDEX(ItemEffectTable['#이름값],MATCH(ItemEffectTable23[[#This Row],[Index]],ItemEffectTable[ApplyBuffId],0)))</f>
        <v>슬픈 캔리오</v>
      </c>
      <c r="C1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6" s="42">
        <v>9001</v>
      </c>
      <c r="E16" s="53" t="s">
        <v>396</v>
      </c>
      <c r="F16" s="42">
        <v>0.9</v>
      </c>
      <c r="G16" s="42" t="s">
        <v>226</v>
      </c>
      <c r="H16" s="42">
        <v>4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37.499999999999993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6" s="19">
        <f>INDEX(ItemEffectTable[CoolTime],MATCH(ItemEffectTable23[[#This Row],[Index]],ItemEffectTable[ApplyBuffId],0))</f>
        <v>0</v>
      </c>
      <c r="O16" s="19">
        <f>IF(ItemEffectTable23[[#This Row],['#발동율]]=-1,-1,(ItemEffectTable23[[#This Row],['#발동율]]+ItemEffectTable23[[#This Row],['#쿨타임]])/ItemEffectTable23[[#This Row],[Duration]])</f>
        <v>0.21875</v>
      </c>
      <c r="P16" s="19">
        <f>ItemEffectTable23[[#This Row],['#효력 가치 판단]]/IF(ItemEffectTable23[[#This Row],['#발동량]]=-1,1,ItemEffectTable23[[#This Row],['#발동량]])</f>
        <v>171.42857142857139</v>
      </c>
      <c r="Q16" s="19">
        <f>SUMIF(ItemEffectTable23['#아이템 명칭],ItemEffectTable23[[#This Row],['#아이템 명칭]],ItemEffectTable23['#총 가치판단])</f>
        <v>58.928571428571374</v>
      </c>
      <c r="R16" s="19">
        <f>IFERROR(INDEX(ItemEffectTable2324['#가치판단],MATCH(ItemEffectTable23[[#This Row],['#아이템 명칭]],ItemEffectTable2324['#명칭],0)),0)</f>
        <v>0</v>
      </c>
      <c r="S16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73">
        <f>ItemEffectTable23[[#This Row],['#종합 효력]]/ItemEffectTable23[[#This Row],['#기준 효력]]</f>
        <v>1.1785714285714275</v>
      </c>
    </row>
    <row r="17" spans="2:21" ht="18">
      <c r="B17" s="57" t="str">
        <f>IFERROR(INDEX(ItemEffectTable['#이름값],MATCH(ItemEffectTable23[[#This Row],[Index]],ItemEffectTable[Index],0)),INDEX(ItemEffectTable['#이름값],MATCH(ItemEffectTable23[[#This Row],[Index]],ItemEffectTable[ApplyBuffId],0)))</f>
        <v>슬픈 캔리오</v>
      </c>
      <c r="C1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17" s="42">
        <v>9101</v>
      </c>
      <c r="E17" s="53" t="s">
        <v>396</v>
      </c>
      <c r="F17" s="42">
        <v>1.3</v>
      </c>
      <c r="G17" s="42" t="s">
        <v>226</v>
      </c>
      <c r="H17" s="42">
        <v>-1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1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-112.50000000000001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7" s="19">
        <f>INDEX(ItemEffectTable[CoolTime],MATCH(ItemEffectTable23[[#This Row],[Index]],ItemEffectTable[ApplyBuffId],0))</f>
        <v>0</v>
      </c>
      <c r="O17" s="19">
        <f>IF(ItemEffectTable23[[#This Row],['#발동율]]=-1,-1,(ItemEffectTable23[[#This Row],['#발동율]]+ItemEffectTable23[[#This Row],['#쿨타임]])/ItemEffectTable23[[#This Row],[Duration]])</f>
        <v>-1</v>
      </c>
      <c r="P17" s="19">
        <f>ItemEffectTable23[[#This Row],['#효력 가치 판단]]/IF(ItemEffectTable23[[#This Row],['#발동량]]=-1,1,ItemEffectTable23[[#This Row],['#발동량]])</f>
        <v>-112.50000000000001</v>
      </c>
      <c r="Q17" s="19">
        <f>SUMIF(ItemEffectTable23['#아이템 명칭],ItemEffectTable23[[#This Row],['#아이템 명칭]],ItemEffectTable23['#총 가치판단])</f>
        <v>58.928571428571374</v>
      </c>
      <c r="R17" s="19">
        <f>IFERROR(INDEX(ItemEffectTable2324['#가치판단],MATCH(ItemEffectTable23[[#This Row],['#아이템 명칭]],ItemEffectTable2324['#명칭],0)),0)</f>
        <v>0</v>
      </c>
      <c r="S17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73">
        <f>ItemEffectTable23[[#This Row],['#종합 효력]]/ItemEffectTable23[[#This Row],['#기준 효력]]</f>
        <v>1.1785714285714275</v>
      </c>
    </row>
    <row r="18" spans="2:21">
      <c r="B18" s="57" t="str">
        <f>IFERROR(INDEX(ItemEffectTable['#이름값],MATCH(ItemEffectTable23[[#This Row],[Index]],ItemEffectTable[Index],0)),INDEX(ItemEffectTable['#이름값],MATCH(ItemEffectTable23[[#This Row],[Index]],ItemEffectTable[ApplyBuffId],0)))</f>
        <v>청개굴 버섯구이</v>
      </c>
      <c r="C1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18" s="42">
        <v>9002</v>
      </c>
      <c r="E18" s="42" t="s">
        <v>201</v>
      </c>
      <c r="F18" s="42">
        <v>1</v>
      </c>
      <c r="G18" s="42" t="s">
        <v>347</v>
      </c>
      <c r="H18" s="42">
        <v>-1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1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8" s="19">
        <f>INDEX(ItemEffectTable[CoolTime],MATCH(ItemEffectTable23[[#This Row],[Index]],ItemEffectTable[ApplyBuffId],0))</f>
        <v>0</v>
      </c>
      <c r="O18" s="19">
        <f>IF(ItemEffectTable23[[#This Row],['#발동율]]=-1,-1,(ItemEffectTable23[[#This Row],['#발동율]]+ItemEffectTable23[[#This Row],['#쿨타임]])/ItemEffectTable23[[#This Row],[Duration]])</f>
        <v>-1</v>
      </c>
      <c r="P18" s="19">
        <f>ItemEffectTable23[[#This Row],['#효력 가치 판단]]/IF(ItemEffectTable23[[#This Row],['#발동량]]=-1,1,ItemEffectTable23[[#This Row],['#발동량]])</f>
        <v>250</v>
      </c>
      <c r="Q18" s="19">
        <f>SUMIF(ItemEffectTable23['#아이템 명칭],ItemEffectTable23[[#This Row],['#아이템 명칭]],ItemEffectTable23['#총 가치판단])</f>
        <v>250</v>
      </c>
      <c r="R18" s="19">
        <f>IFERROR(INDEX(ItemEffectTable2324['#가치판단],MATCH(ItemEffectTable23[[#This Row],['#아이템 명칭]],ItemEffectTable2324['#명칭],0)),0)</f>
        <v>-200</v>
      </c>
      <c r="S18" s="19">
        <f>ItemEffectTable23[[#This Row],['#아이템 효력 합산]]+ItemEffectTable23[[#This Row],['#특수 효력]]/COUNTIF(ItemEffectTable23['#특수 효력],ItemEffectTable23[[#This Row],['#특수 효력]])</f>
        <v>50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73">
        <f>ItemEffectTable23[[#This Row],['#종합 효력]]/ItemEffectTable23[[#This Row],['#기준 효력]]</f>
        <v>1</v>
      </c>
    </row>
    <row r="19" spans="2:21">
      <c r="B19" s="80" t="str">
        <f>IFERROR(INDEX(ItemEffectTable['#이름값],MATCH(ItemEffectTable23[[#This Row],[Index]],ItemEffectTable[Index],0)),INDEX(ItemEffectTable['#이름값],MATCH(ItemEffectTable23[[#This Row],[Index]],ItemEffectTable[ApplyBuffId],0)))</f>
        <v>누군가의 일기장</v>
      </c>
      <c r="C19" s="78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19" s="42">
        <v>9003</v>
      </c>
      <c r="E19" s="42" t="s">
        <v>423</v>
      </c>
      <c r="F19" s="42">
        <v>-100</v>
      </c>
      <c r="G19" s="42" t="s">
        <v>347</v>
      </c>
      <c r="H19" s="42">
        <v>-1</v>
      </c>
      <c r="I19" s="79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9" s="79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K19" s="81"/>
      <c r="L19" s="78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9" s="78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9" s="78">
        <f>INDEX(ItemEffectTable[CoolTime],MATCH(ItemEffectTable23[[#This Row],[Index]],ItemEffectTable[ApplyBuffId],0))</f>
        <v>0</v>
      </c>
      <c r="O19" s="78">
        <f>IF(ItemEffectTable23[[#This Row],['#발동율]]=-1,-1,(ItemEffectTable23[[#This Row],['#발동율]]+ItemEffectTable23[[#This Row],['#쿨타임]])/ItemEffectTable23[[#This Row],[Duration]])</f>
        <v>-1</v>
      </c>
      <c r="P19" s="78">
        <f>ItemEffectTable23[[#This Row],['#효력 가치 판단]]/IF(ItemEffectTable23[[#This Row],['#발동량]]=-1,1,ItemEffectTable23[[#This Row],['#발동량]])</f>
        <v>0</v>
      </c>
      <c r="Q19" s="78">
        <f>SUMIF(ItemEffectTable23['#아이템 명칭],ItemEffectTable23[[#This Row],['#아이템 명칭]],ItemEffectTable23['#총 가치판단])</f>
        <v>112.49999999999999</v>
      </c>
      <c r="R19" s="78">
        <f>IFERROR(INDEX(ItemEffectTable2324['#가치판단],MATCH(ItemEffectTable23[[#This Row],['#아이템 명칭]],ItemEffectTable2324['#명칭],0)),0)</f>
        <v>-60</v>
      </c>
      <c r="S19" s="78">
        <f>ItemEffectTable23[[#This Row],['#아이템 효력 합산]]+ItemEffectTable23[[#This Row],['#특수 효력]]/COUNTIF(ItemEffectTable23['#특수 효력],ItemEffectTable23[[#This Row],['#특수 효력]])</f>
        <v>82.499999999999986</v>
      </c>
      <c r="T19" s="78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82">
        <f>ItemEffectTable23[[#This Row],['#종합 효력]]/ItemEffectTable23[[#This Row],['#기준 효력]]</f>
        <v>1.6499999999999997</v>
      </c>
    </row>
    <row r="20" spans="2:21" ht="18">
      <c r="B20" s="57" t="str">
        <f>IFERROR(INDEX(ItemEffectTable['#이름값],MATCH(ItemEffectTable23[[#This Row],[Index]],ItemEffectTable[Index],0)),INDEX(ItemEffectTable['#이름값],MATCH(ItemEffectTable23[[#This Row],[Index]],ItemEffectTable[ApplyBuffId],0)))</f>
        <v>누군가의 일기장</v>
      </c>
      <c r="C2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0" s="42">
        <v>9003</v>
      </c>
      <c r="E20" s="53" t="s">
        <v>392</v>
      </c>
      <c r="F20" s="42">
        <v>0.45</v>
      </c>
      <c r="G20" s="42" t="s">
        <v>347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112.49999999999999</v>
      </c>
      <c r="Q20" s="19">
        <f>SUMIF(ItemEffectTable23['#아이템 명칭],ItemEffectTable23[[#This Row],['#아이템 명칭]],ItemEffectTable23['#총 가치판단])</f>
        <v>112.49999999999999</v>
      </c>
      <c r="R20" s="19">
        <f>IFERROR(INDEX(ItemEffectTable2324['#가치판단],MATCH(ItemEffectTable23[[#This Row],['#아이템 명칭]],ItemEffectTable2324['#명칭],0)),0)</f>
        <v>-60</v>
      </c>
      <c r="S20" s="19">
        <f>ItemEffectTable23[[#This Row],['#아이템 효력 합산]]+ItemEffectTable23[[#This Row],['#특수 효력]]/COUNTIF(ItemEffectTable23['#특수 효력],ItemEffectTable23[[#This Row],['#특수 효력]])</f>
        <v>82.499999999999986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73">
        <f>ItemEffectTable23[[#This Row],['#종합 효력]]/ItemEffectTable23[[#This Row],['#기준 효력]]</f>
        <v>1.6499999999999997</v>
      </c>
    </row>
    <row r="21" spans="2:21">
      <c r="B21" s="18" t="str">
        <f>IFERROR(INDEX(ItemEffectTable['#이름값],MATCH(ItemEffectTable23[[#This Row],[Index]],ItemEffectTable[Index],0)),INDEX(ItemEffectTable['#이름값],MATCH(ItemEffectTable23[[#This Row],[Index]],ItemEffectTable[ApplyBuffId],0)))</f>
        <v>행성 만세</v>
      </c>
      <c r="C2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+0.05</v>
      </c>
      <c r="D21" s="16">
        <v>9104</v>
      </c>
      <c r="E21" s="11" t="s">
        <v>458</v>
      </c>
      <c r="F21">
        <v>0.95</v>
      </c>
      <c r="G21" s="11" t="s">
        <v>412</v>
      </c>
      <c r="H21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6.1749999999999998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-16.250000000000007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-16.250000000000007</v>
      </c>
      <c r="Q21" s="19">
        <f>SUMIF(ItemEffectTable23['#아이템 명칭],ItemEffectTable23[[#This Row],['#아이템 명칭]],ItemEffectTable23['#총 가치판단])</f>
        <v>-16.250000000000007</v>
      </c>
      <c r="R21" s="19">
        <f>IFERROR(INDEX(ItemEffectTable2324['#가치판단],MATCH(ItemEffectTable23[[#This Row],['#아이템 명칭]],ItemEffectTable2324['#명칭],0)),0)</f>
        <v>70</v>
      </c>
      <c r="S21" s="19">
        <f>ItemEffectTable23[[#This Row],['#아이템 효력 합산]]+ItemEffectTable23[[#This Row],['#특수 효력]]/COUNTIF(ItemEffectTable23['#특수 효력],ItemEffectTable23[[#This Row],['#특수 효력]])</f>
        <v>53.749999999999993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73">
        <f>ItemEffectTable23[[#This Row],['#종합 효력]]/ItemEffectTable23[[#This Row],['#기준 효력]]</f>
        <v>1.075</v>
      </c>
    </row>
    <row r="22" spans="2:21">
      <c r="B22" s="41" t="str">
        <f>IFERROR(INDEX(ItemEffectTable['#이름값],MATCH(ItemEffectTable23[[#This Row],[Index]],ItemEffectTable[Index],0)),INDEX(ItemEffectTable['#이름값],MATCH(ItemEffectTable23[[#This Row],[Index]],ItemEffectTable[ApplyBuffId],0)))</f>
        <v>회피 캣</v>
      </c>
      <c r="C22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-0.5</v>
      </c>
      <c r="D22" s="16">
        <v>9105</v>
      </c>
      <c r="E22" s="11" t="s">
        <v>421</v>
      </c>
      <c r="F22">
        <v>1.5</v>
      </c>
      <c r="G22" s="11" t="s">
        <v>412</v>
      </c>
      <c r="H2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2.5499999999999998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53.124999999999993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53.124999999999993</v>
      </c>
      <c r="Q22" s="19">
        <f>SUMIF(ItemEffectTable23['#아이템 명칭],ItemEffectTable23[[#This Row],['#아이템 명칭]],ItemEffectTable23['#총 가치판단])</f>
        <v>53.124999999999993</v>
      </c>
      <c r="R22" s="19">
        <f>IFERROR(INDEX(ItemEffectTable2324['#가치판단],MATCH(ItemEffectTable23[[#This Row],['#아이템 명칭]],ItemEffectTable2324['#명칭],0)),0)</f>
        <v>0</v>
      </c>
      <c r="S22" s="19">
        <f>ItemEffectTable23[[#This Row],['#아이템 효력 합산]]+ItemEffectTable23[[#This Row],['#특수 효력]]/COUNTIF(ItemEffectTable23['#특수 효력],ItemEffectTable23[[#This Row],['#특수 효력]])</f>
        <v>53.124999999999993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73">
        <f>ItemEffectTable23[[#This Row],['#종합 효력]]/ItemEffectTable23[[#This Row],['#기준 효력]]</f>
        <v>1.0624999999999998</v>
      </c>
    </row>
    <row r="23" spans="2:21" ht="18">
      <c r="B23" s="41" t="str">
        <f>IFERROR(INDEX(ItemEffectTable['#이름값],MATCH(ItemEffectTable23[[#This Row],[Index]],ItemEffectTable[Index],0)),INDEX(ItemEffectTable['#이름값],MATCH(ItemEffectTable23[[#This Row],[Index]],ItemEffectTable[ApplyBuffId],0)))</f>
        <v>어른의 카드</v>
      </c>
      <c r="C2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+1.6</v>
      </c>
      <c r="D23" s="16">
        <v>9106</v>
      </c>
      <c r="E23" s="9" t="s">
        <v>200</v>
      </c>
      <c r="F23">
        <v>1.6</v>
      </c>
      <c r="G23" s="11" t="s">
        <v>505</v>
      </c>
      <c r="H23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4.0999999999999996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159.99999999999997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159.99999999999997</v>
      </c>
      <c r="Q23" s="19">
        <f>SUMIF(ItemEffectTable23['#아이템 명칭],ItemEffectTable23[[#This Row],['#아이템 명칭]],ItemEffectTable23['#총 가치판단])</f>
        <v>84.999999999999986</v>
      </c>
      <c r="R23" s="19">
        <f>IFERROR(INDEX(ItemEffectTable2324['#가치판단],MATCH(ItemEffectTable23[[#This Row],['#아이템 명칭]],ItemEffectTable2324['#명칭],0)),0)</f>
        <v>-61</v>
      </c>
      <c r="S23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73">
        <f>ItemEffectTable23[[#This Row],['#종합 효력]]/ItemEffectTable23[[#This Row],['#기준 효력]]</f>
        <v>1.0899999999999996</v>
      </c>
    </row>
    <row r="24" spans="2:21" ht="18">
      <c r="B24" s="41" t="str">
        <f>IFERROR(INDEX(ItemEffectTable['#이름값],MATCH(ItemEffectTable23[[#This Row],[Index]],ItemEffectTable[Index],0)),INDEX(ItemEffectTable['#이름값],MATCH(ItemEffectTable23[[#This Row],[Index]],ItemEffectTable[ApplyBuffId],0)))</f>
        <v>어른의 카드</v>
      </c>
      <c r="C2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-0.2</v>
      </c>
      <c r="D24" s="16">
        <v>9106</v>
      </c>
      <c r="E24" s="9" t="s">
        <v>137</v>
      </c>
      <c r="F24">
        <v>1.2</v>
      </c>
      <c r="G24" t="s">
        <v>226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-74.999999999999986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-74.999999999999986</v>
      </c>
      <c r="Q24" s="19">
        <f>SUMIF(ItemEffectTable23['#아이템 명칭],ItemEffectTable23[[#This Row],['#아이템 명칭]],ItemEffectTable23['#총 가치판단])</f>
        <v>84.999999999999986</v>
      </c>
      <c r="R24" s="19">
        <f>IFERROR(INDEX(ItemEffectTable2324['#가치판단],MATCH(ItemEffectTable23[[#This Row],['#아이템 명칭]],ItemEffectTable2324['#명칭],0)),0)</f>
        <v>-61</v>
      </c>
      <c r="S24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73">
        <f>ItemEffectTable23[[#This Row],['#종합 효력]]/ItemEffectTable23[[#This Row],['#기준 효력]]</f>
        <v>1.0899999999999996</v>
      </c>
    </row>
    <row r="25" spans="2:21">
      <c r="B25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5">
        <v>10002</v>
      </c>
      <c r="E25" t="s">
        <v>0</v>
      </c>
      <c r="F25">
        <v>2</v>
      </c>
      <c r="G25" t="s">
        <v>226</v>
      </c>
      <c r="H25">
        <v>3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5" s="19">
        <f>INDEX(ItemEffectTable[CoolTime],MATCH(ItemEffectTable23[[#This Row],[Index]],ItemEffectTable[ApplyBuffId],0))</f>
        <v>15</v>
      </c>
      <c r="O25" s="19">
        <f>IF(ItemEffectTable23[[#This Row],['#발동율]]=-1,-1,(ItemEffectTable23[[#This Row],['#발동율]]+ItemEffectTable23[[#This Row],['#쿨타임]])/ItemEffectTable23[[#This Row],[Duration]])</f>
        <v>5</v>
      </c>
      <c r="P25" s="19">
        <f>ItemEffectTable23[[#This Row],['#효력 가치 판단]]/IF(ItemEffectTable23[[#This Row],['#발동량]]=-1,1,ItemEffectTable23[[#This Row],['#발동량]])</f>
        <v>65</v>
      </c>
      <c r="Q25" s="19">
        <f>SUMIF(ItemEffectTable23['#아이템 명칭],ItemEffectTable23[[#This Row],['#아이템 명칭]],ItemEffectTable23['#총 가치판단])</f>
        <v>41.300000000000011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73">
        <f>ItemEffectTable23[[#This Row],['#종합 효력]]/ItemEffectTable23[[#This Row],['#기준 효력]]</f>
        <v>0.82600000000000018</v>
      </c>
    </row>
    <row r="26" spans="2:21">
      <c r="B26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6">
        <v>10002</v>
      </c>
      <c r="E26" s="11" t="s">
        <v>678</v>
      </c>
      <c r="F26">
        <v>0.8</v>
      </c>
      <c r="G26" t="s">
        <v>226</v>
      </c>
      <c r="H26">
        <v>3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15</v>
      </c>
      <c r="O26" s="19">
        <f>IF(ItemEffectTable23[[#This Row],['#발동율]]=-1,-1,(ItemEffectTable23[[#This Row],['#발동율]]+ItemEffectTable23[[#This Row],['#쿨타임]])/ItemEffectTable23[[#This Row],[Duration]])</f>
        <v>5</v>
      </c>
      <c r="P26" s="19">
        <f>ItemEffectTable23[[#This Row],['#효력 가치 판단]]/IF(ItemEffectTable23[[#This Row],['#발동량]]=-1,1,ItemEffectTable23[[#This Row],['#발동량]])</f>
        <v>-1.2</v>
      </c>
      <c r="Q26" s="19">
        <f>SUMIF(ItemEffectTable23['#아이템 명칭],ItemEffectTable23[[#This Row],['#아이템 명칭]],ItemEffectTable23['#총 가치판단])</f>
        <v>41.300000000000011</v>
      </c>
      <c r="R26" s="19">
        <f>IFERROR(INDEX(ItemEffectTable2324['#가치판단],MATCH(ItemEffectTable23[[#This Row],['#아이템 명칭]],ItemEffectTable2324['#명칭],0)),0)</f>
        <v>0</v>
      </c>
      <c r="S26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73">
        <f>ItemEffectTable23[[#This Row],['#종합 효력]]/ItemEffectTable23[[#This Row],['#기준 효력]]</f>
        <v>0.82600000000000018</v>
      </c>
    </row>
    <row r="27" spans="2:21">
      <c r="B27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7">
        <v>10002</v>
      </c>
      <c r="E27" t="s">
        <v>144</v>
      </c>
      <c r="F27">
        <v>2</v>
      </c>
      <c r="G27" t="s">
        <v>226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240</v>
      </c>
      <c r="Q27" s="19">
        <f>SUMIF(ItemEffectTable23['#아이템 명칭],ItemEffectTable23[[#This Row],['#아이템 명칭]],ItemEffectTable23['#총 가치판단])</f>
        <v>41.300000000000011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73">
        <f>ItemEffectTable23[[#This Row],['#종합 효력]]/ItemEffectTable23[[#This Row],['#기준 효력]]</f>
        <v>0.82600000000000018</v>
      </c>
    </row>
    <row r="28" spans="2:21">
      <c r="B28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28">
        <v>10002</v>
      </c>
      <c r="E28" t="s">
        <v>137</v>
      </c>
      <c r="F28">
        <v>0.5</v>
      </c>
      <c r="G28" t="s">
        <v>226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187.5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37.5</v>
      </c>
      <c r="Q28" s="19">
        <f>SUMIF(ItemEffectTable23['#아이템 명칭],ItemEffectTable23[[#This Row],['#아이템 명칭]],ItemEffectTable23['#총 가치판단])</f>
        <v>41.300000000000011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73">
        <f>ItemEffectTable23[[#This Row],['#종합 효력]]/ItemEffectTable23[[#This Row],['#기준 효력]]</f>
        <v>0.82600000000000018</v>
      </c>
    </row>
    <row r="29" spans="2:21">
      <c r="B29" s="32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29">
        <v>10002</v>
      </c>
      <c r="E29" t="s">
        <v>15</v>
      </c>
      <c r="F29">
        <v>2</v>
      </c>
      <c r="G29" t="s">
        <v>226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-300</v>
      </c>
      <c r="Q29" s="19">
        <f>SUMIF(ItemEffectTable23['#아이템 명칭],ItemEffectTable23[[#This Row],['#아이템 명칭]],ItemEffectTable23['#총 가치판단])</f>
        <v>41.300000000000011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73">
        <f>ItemEffectTable23[[#This Row],['#종합 효력]]/ItemEffectTable23[[#This Row],['#기준 효력]]</f>
        <v>0.82600000000000018</v>
      </c>
    </row>
    <row r="30" spans="2:21">
      <c r="B30" s="4" t="e">
        <f>IFERROR(INDEX(ItemEffectTable['#이름값],MATCH(ItemEffectTable23[[#This Row],[Index]],ItemEffectTable[Index],0)),INDEX(ItemEffectTable['#이름값],MATCH(ItemEffectTable23[[#This Row],[Index]],ItemEffectTable[ApplyBuffId],0)))</f>
        <v>#N/A</v>
      </c>
      <c r="C3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(1.5초)</v>
      </c>
      <c r="D30">
        <v>10004</v>
      </c>
      <c r="E30" t="s">
        <v>0</v>
      </c>
      <c r="F30">
        <v>0.5</v>
      </c>
      <c r="G30" t="s">
        <v>226</v>
      </c>
      <c r="H30">
        <v>1.5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16</v>
      </c>
      <c r="O30" s="19">
        <f>IF(ItemEffectTable23[[#This Row],['#발동율]]=-1,-1,(ItemEffectTable23[[#This Row],['#발동율]]+ItemEffectTable23[[#This Row],['#쿨타임]])/ItemEffectTable23[[#This Row],[Duration]])</f>
        <v>10.666666666666666</v>
      </c>
      <c r="P30" s="19">
        <f>ItemEffectTable23[[#This Row],['#효력 가치 판단]]/IF(ItemEffectTable23[[#This Row],['#발동량]]=-1,1,ItemEffectTable23[[#This Row],['#발동량]])</f>
        <v>-15.234375</v>
      </c>
      <c r="Q30" s="19">
        <f>SUMIF(ItemEffectTable23['#아이템 명칭],ItemEffectTable23[[#This Row],['#아이템 명칭]],ItemEffectTable23['#총 가치판단])</f>
        <v>-15.234375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-15.234375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73">
        <f>ItemEffectTable23[[#This Row],['#종합 효력]]/ItemEffectTable23[[#This Row],['#기준 효력]]</f>
        <v>-0.3046875</v>
      </c>
    </row>
    <row r="31" spans="2:21">
      <c r="B31" s="4" t="str">
        <f>IFERROR(INDEX(ItemEffectTable['#이름값],MATCH(ItemEffectTable23[[#This Row],[Index]],ItemEffectTable[Index],0)),INDEX(ItemEffectTable['#이름값],MATCH(ItemEffectTable23[[#This Row],[Index]],ItemEffectTable[ApplyBuffId],0)))</f>
        <v>여의배트</v>
      </c>
      <c r="C3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1">
        <v>10005</v>
      </c>
      <c r="E31" s="11" t="s">
        <v>476</v>
      </c>
      <c r="F31">
        <v>2.5</v>
      </c>
      <c r="G31" s="11" t="s">
        <v>505</v>
      </c>
      <c r="H31">
        <v>10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18</v>
      </c>
      <c r="O31" s="19">
        <f>IF(ItemEffectTable23[[#This Row],['#발동율]]=-1,-1,(ItemEffectTable23[[#This Row],['#발동율]]+ItemEffectTable23[[#This Row],['#쿨타임]])/ItemEffectTable23[[#This Row],[Duration]])</f>
        <v>1.8</v>
      </c>
      <c r="P31" s="19">
        <f>ItemEffectTable23[[#This Row],['#효력 가치 판단]]/IF(ItemEffectTable23[[#This Row],['#발동량]]=-1,1,ItemEffectTable23[[#This Row],['#발동량]])</f>
        <v>138.88888888888889</v>
      </c>
      <c r="Q31" s="19">
        <f>SUMIF(ItemEffectTable23['#아이템 명칭],ItemEffectTable23[[#This Row],['#아이템 명칭]],ItemEffectTable23['#총 가치판단])</f>
        <v>138.88888888888889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73">
        <f>ItemEffectTable23[[#This Row],['#종합 효력]]/ItemEffectTable23[[#This Row],['#기준 효력]]</f>
        <v>2.7777777777777777</v>
      </c>
    </row>
    <row r="33" spans="3:9">
      <c r="F33" s="11"/>
      <c r="G33" s="11"/>
      <c r="H33" s="68"/>
    </row>
    <row r="34" spans="3:9">
      <c r="E34" s="11"/>
    </row>
    <row r="35" spans="3:9">
      <c r="C35" s="11"/>
    </row>
    <row r="36" spans="3:9">
      <c r="C36" s="11"/>
    </row>
    <row r="38" spans="3:9">
      <c r="C38" s="11"/>
    </row>
    <row r="39" spans="3:9">
      <c r="C39" s="11"/>
    </row>
    <row r="45" spans="3:9">
      <c r="C45" s="11"/>
    </row>
    <row r="47" spans="3:9">
      <c r="D47" s="11"/>
    </row>
    <row r="48" spans="3:9">
      <c r="I48" s="11"/>
    </row>
    <row r="50" spans="3:4">
      <c r="C50" s="11"/>
      <c r="D50" s="11"/>
    </row>
  </sheetData>
  <phoneticPr fontId="12" type="noConversion"/>
  <conditionalFormatting sqref="U3:U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16"/>
  <sheetViews>
    <sheetView zoomScaleNormal="100" zoomScaleSheetLayoutView="100" workbookViewId="0">
      <selection activeCell="E7" sqref="E7"/>
    </sheetView>
  </sheetViews>
  <sheetFormatPr baseColWidth="10" defaultColWidth="8.83203125" defaultRowHeight="17"/>
  <cols>
    <col min="1" max="1" width="8.83203125" style="43"/>
    <col min="2" max="2" width="8.6640625" bestFit="1" customWidth="1"/>
    <col min="3" max="3" width="14.6640625" customWidth="1"/>
    <col min="4" max="4" width="14.5" customWidth="1"/>
    <col min="5" max="5" width="11.1640625" customWidth="1"/>
    <col min="6" max="6" width="18.33203125" customWidth="1"/>
    <col min="7" max="7" width="11.83203125" customWidth="1"/>
    <col min="8" max="8" width="20.6640625" customWidth="1"/>
    <col min="9" max="9" width="17.5" customWidth="1"/>
    <col min="10" max="10" width="25.83203125" customWidth="1"/>
    <col min="11" max="11" width="11.83203125" bestFit="1" customWidth="1"/>
    <col min="12" max="12" width="22.33203125" customWidth="1"/>
    <col min="13" max="14" width="14.1640625" customWidth="1"/>
  </cols>
  <sheetData>
    <row r="1" spans="1:14">
      <c r="B1" t="s">
        <v>26</v>
      </c>
      <c r="D1" t="s">
        <v>68</v>
      </c>
      <c r="E1" s="16" t="s">
        <v>325</v>
      </c>
      <c r="F1" s="16"/>
      <c r="G1" s="16" t="s">
        <v>334</v>
      </c>
      <c r="H1" s="16"/>
      <c r="I1" s="16" t="s">
        <v>334</v>
      </c>
      <c r="J1" s="16"/>
      <c r="K1" s="16" t="s">
        <v>334</v>
      </c>
    </row>
    <row r="2" spans="1:14">
      <c r="B2" t="s">
        <v>41</v>
      </c>
      <c r="C2" s="36" t="s">
        <v>377</v>
      </c>
      <c r="D2" s="16" t="s">
        <v>355</v>
      </c>
      <c r="E2" s="16" t="s">
        <v>331</v>
      </c>
      <c r="F2" s="34" t="s">
        <v>367</v>
      </c>
      <c r="G2" s="30" t="s">
        <v>332</v>
      </c>
      <c r="H2" s="34" t="s">
        <v>368</v>
      </c>
      <c r="I2" s="30" t="s">
        <v>333</v>
      </c>
      <c r="J2" s="34" t="s">
        <v>369</v>
      </c>
      <c r="K2" s="30" t="s">
        <v>383</v>
      </c>
      <c r="L2" s="34" t="s">
        <v>382</v>
      </c>
      <c r="M2" s="69" t="s">
        <v>802</v>
      </c>
      <c r="N2" s="74" t="s">
        <v>809</v>
      </c>
    </row>
    <row r="3" spans="1:14">
      <c r="B3" s="16">
        <v>7005</v>
      </c>
      <c r="C3" s="18" t="str">
        <f>IFERROR(INDEX(ItemEffectTable['#이름값],MATCH(ItemEffectTable2324[[#This Row],[Index]],ItemEffectTable[Index],0)),INDEX(ItemEffectTable['#이름값],MATCH(ItemEffectTable2324[[#This Row],[Index]],ItemEffectTable[ApplyBuffId],0)))</f>
        <v>삼각김곰</v>
      </c>
      <c r="D3" s="16" t="s">
        <v>449</v>
      </c>
      <c r="E3">
        <v>50</v>
      </c>
      <c r="F3" s="14" t="str" cm="1">
        <f t="array" ref="F3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Row],[EffectType]]="Teleport","텔포 사거리",
ItemEffectTable2324[[#This Row],[EffectType]]="Absorb","엄"
),"")</f>
        <v>힐량 (25반칸)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1:14">
      <c r="B4" s="16">
        <v>8002</v>
      </c>
      <c r="C4" s="18" t="str">
        <f>IFERROR(INDEX(ItemEffectTable['#이름값],MATCH(ItemEffectTable2324[[#This Row],[Index]],ItemEffectTable[Index],0)),INDEX(ItemEffectTable['#이름값],MATCH(ItemEffectTable2324[[#This Row],[Index]],ItemEffectTable[ApplyBuffId],0)))</f>
        <v>돌가면</v>
      </c>
      <c r="D4" s="16" t="s">
        <v>449</v>
      </c>
      <c r="E4">
        <v>25</v>
      </c>
      <c r="F4" s="14" t="str" cm="1">
        <f t="array" ref="F4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1:14">
      <c r="B5" s="16">
        <v>8005</v>
      </c>
      <c r="C5" s="18" t="str">
        <f>IFERROR(INDEX(ItemEffectTable['#이름값],MATCH(ItemEffectTable2324[[#This Row],[Index]],ItemEffectTable[Index],0)),INDEX(ItemEffectTable['#이름값],MATCH(ItemEffectTable2324[[#This Row],[Index]],ItemEffectTable[ApplyBuffId],0)))</f>
        <v>이상한 사탕</v>
      </c>
      <c r="D5" s="16" t="s">
        <v>449</v>
      </c>
      <c r="E5">
        <v>1000</v>
      </c>
      <c r="F5" s="14" t="str" cm="1">
        <f t="array" ref="F5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6" spans="1:14">
      <c r="B6" s="16">
        <v>8006</v>
      </c>
      <c r="C6" s="18" t="str">
        <f>IFERROR(INDEX(ItemEffectTable['#이름값],MATCH(ItemEffectTable2324[[#This Row],[Index]],ItemEffectTable[Index],0)),INDEX(ItemEffectTable['#이름값],MATCH(ItemEffectTable2324[[#This Row],[Index]],ItemEffectTable[ApplyBuffId],0)))</f>
        <v>투수 케르베로스</v>
      </c>
      <c r="D6" s="16" t="s">
        <v>363</v>
      </c>
      <c r="E6">
        <v>800</v>
      </c>
      <c r="F6" s="14" t="str" cm="1">
        <f t="array" ref="F6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6">
        <v>1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7" spans="1:14">
      <c r="B7" s="16">
        <v>9004</v>
      </c>
      <c r="C7" s="18" t="str">
        <f>IFERROR(INDEX(ItemEffectTable['#이름값],MATCH(ItemEffectTable2324[[#This Row],[Index]],ItemEffectTable[Index],0)),INDEX(ItemEffectTable['#이름값],MATCH(ItemEffectTable2324[[#This Row],[Index]],ItemEffectTable[ApplyBuffId],0)))</f>
        <v>행성 만세</v>
      </c>
      <c r="D7" s="16" t="s">
        <v>363</v>
      </c>
      <c r="E7">
        <v>804</v>
      </c>
      <c r="F7" s="14" t="str" cm="1">
        <f t="array" ref="F7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7">
        <v>1</v>
      </c>
      <c r="H7" s="19"/>
      <c r="J7" s="19"/>
      <c r="L7" s="19"/>
      <c r="M7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7">
        <v>70</v>
      </c>
    </row>
    <row r="8" spans="1:14">
      <c r="B8" s="16">
        <v>9005</v>
      </c>
      <c r="C8" s="18" t="str">
        <f>IFERROR(INDEX(ItemEffectTable['#이름값],MATCH(ItemEffectTable2324[[#This Row],[Index]],ItemEffectTable[Index],0)),INDEX(ItemEffectTable['#이름값],MATCH(ItemEffectTable2324[[#This Row],[Index]],ItemEffectTable[ApplyBuffId],0)))</f>
        <v>회피 캣</v>
      </c>
      <c r="D8" s="16" t="s">
        <v>363</v>
      </c>
      <c r="E8">
        <v>805</v>
      </c>
      <c r="F8" s="14" t="str" cm="1">
        <f t="array" ref="F8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1:14">
      <c r="B9" s="16">
        <v>9002</v>
      </c>
      <c r="C9" s="18" t="str">
        <f>IFERROR(INDEX(ItemEffectTable['#이름값],MATCH(ItemEffectTable2324[[#This Row],[Index]],ItemEffectTable[Index],0)),INDEX(ItemEffectTable['#이름값],MATCH(ItemEffectTable2324[[#This Row],[Index]],ItemEffectTable[ApplyBuffId],0)))</f>
        <v>청개굴 버섯구이</v>
      </c>
      <c r="D9" s="16" t="s">
        <v>350</v>
      </c>
      <c r="E9" s="9"/>
      <c r="F9" s="14" t="str" cm="1">
        <f t="array" ref="F9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9" s="35"/>
      <c r="J9" s="19"/>
      <c r="L9" s="19"/>
      <c r="M9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9">
        <v>-200</v>
      </c>
    </row>
    <row r="10" spans="1:14">
      <c r="B10" s="16">
        <v>9003</v>
      </c>
      <c r="C10" s="18" t="str">
        <f>IFERROR(INDEX(ItemEffectTable['#이름값],MATCH(ItemEffectTable2324[[#This Row],[Index]],ItemEffectTable[Index],0)),INDEX(ItemEffectTable['#이름값],MATCH(ItemEffectTable2324[[#This Row],[Index]],ItemEffectTable[ApplyBuffId],0)))</f>
        <v>누군가의 일기장</v>
      </c>
      <c r="D10" s="16" t="s">
        <v>449</v>
      </c>
      <c r="E10" s="9">
        <v>-50</v>
      </c>
      <c r="F10" s="14" t="str" cm="1">
        <f t="array" ref="F10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10" s="35"/>
      <c r="J10" s="19"/>
      <c r="L10" s="19"/>
      <c r="M1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-60</v>
      </c>
    </row>
    <row r="11" spans="1:14" s="48" customFormat="1">
      <c r="A11" s="47"/>
      <c r="B11" s="48">
        <v>9006</v>
      </c>
      <c r="C11" s="49" t="str">
        <f>IFERROR(INDEX(ItemEffectTable['#이름값],MATCH(ItemEffectTable2324[[#This Row],[Index]],ItemEffectTable[Index],0)),INDEX(ItemEffectTable['#이름값],MATCH(ItemEffectTable2324[[#This Row],[Index]],ItemEffectTable[ApplyBuffId],0)))</f>
        <v>어른의 카드</v>
      </c>
      <c r="D11" s="50" t="s">
        <v>478</v>
      </c>
      <c r="E11" s="51">
        <v>-1</v>
      </c>
      <c r="F11" s="14" t="str" cm="1">
        <f t="array" ref="F11">IFERROR(
_xlfn.IFS(ItemEffectTable2324[[#This Row],[EffectType]]="Heal","힐량 (25반칸)",
ItemEffectTable2324[[#This Row],[EffectType]]="Shoot","ShootDataPK",
ItemEffectTable2324[[#This Row],[EffectType]]="AddGold","골드 변동량"
),
"")</f>
        <v>골드 변동량</v>
      </c>
      <c r="H11" s="52"/>
      <c r="J11" s="49"/>
      <c r="L11" s="49"/>
      <c r="M11" s="4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1" s="48">
        <v>-60</v>
      </c>
    </row>
    <row r="12" spans="1:14">
      <c r="B12" s="16">
        <v>10000</v>
      </c>
      <c r="C12" s="18" t="str">
        <f>IFERROR(INDEX(ItemEffectTable['#이름값],MATCH(ItemEffectTable2324[[#This Row],[Index]],ItemEffectTable[Index],0)),INDEX(ItemEffectTable['#이름값],MATCH(ItemEffectTable2324[[#This Row],[Index]],ItemEffectTable[ApplyBuffId],0)))</f>
        <v>인피니티 도넛</v>
      </c>
      <c r="D12" s="16" t="s">
        <v>335</v>
      </c>
      <c r="E12" s="9">
        <v>8</v>
      </c>
      <c r="F12" s="14" t="str" cm="1">
        <f t="array" ref="F12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12" s="35"/>
      <c r="J12" s="19"/>
      <c r="L12" s="19"/>
      <c r="M1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3" spans="1:14">
      <c r="B13">
        <v>10001</v>
      </c>
      <c r="C13" s="18" t="str">
        <f>IFERROR(INDEX(ItemEffectTable['#이름값],MATCH(ItemEffectTable2324[[#This Row],[Index]],ItemEffectTable[Index],0)),INDEX(ItemEffectTable['#이름값],MATCH(ItemEffectTable2324[[#This Row],[Index]],ItemEffectTable[ApplyBuffId],0)))</f>
        <v>초소형 블랙홀</v>
      </c>
      <c r="D13" s="16" t="s">
        <v>356</v>
      </c>
      <c r="E13">
        <v>6</v>
      </c>
      <c r="F13" s="14" t="str" cm="1">
        <f t="array" ref="F13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G13">
        <v>30</v>
      </c>
      <c r="H13" s="19"/>
      <c r="I13">
        <v>3</v>
      </c>
      <c r="J13" s="19"/>
      <c r="K13">
        <v>4</v>
      </c>
      <c r="L13" s="19"/>
      <c r="M1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4" spans="1:14">
      <c r="B14">
        <v>10002</v>
      </c>
      <c r="C14" s="18" t="str">
        <f>IFERROR(INDEX(ItemEffectTable['#이름값],MATCH(ItemEffectTable2324[[#This Row],[Index]],ItemEffectTable[Index],0)),INDEX(ItemEffectTable['#이름값],MATCH(ItemEffectTable2324[[#This Row],[Index]],ItemEffectTable[ApplyBuffId],0)))</f>
        <v>사이버웨어</v>
      </c>
      <c r="D14" s="16" t="s">
        <v>351</v>
      </c>
      <c r="E14">
        <v>0.5</v>
      </c>
      <c r="F14" s="14" t="s">
        <v>370</v>
      </c>
      <c r="G14">
        <v>3</v>
      </c>
      <c r="H14" s="14" t="s">
        <v>462</v>
      </c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5" spans="1:14">
      <c r="B15">
        <v>10003</v>
      </c>
      <c r="C15" s="18" t="str">
        <f>IFERROR(INDEX(ItemEffectTable['#이름값],MATCH(ItemEffectTable2324[[#This Row],[Index]],ItemEffectTable[Index],0)),INDEX(ItemEffectTable['#이름값],MATCH(ItemEffectTable2324[[#This Row],[Index]],ItemEffectTable[ApplyBuffId],0)))</f>
        <v>미사일 백팩</v>
      </c>
      <c r="D15" s="16" t="s">
        <v>361</v>
      </c>
      <c r="E15">
        <v>10</v>
      </c>
      <c r="F15" s="19"/>
      <c r="G15">
        <v>90</v>
      </c>
      <c r="H15" s="19"/>
      <c r="I15">
        <v>1.2</v>
      </c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1:14">
      <c r="A16" s="44"/>
      <c r="B16" s="20" t="s">
        <v>473</v>
      </c>
      <c r="C16" s="22" t="e">
        <f>IFERROR(INDEX(ItemEffectTable['#이름값],MATCH(ItemEffectTable2324[[#This Row],[Index]],ItemEffectTable[Index],0)),INDEX(ItemEffectTable['#이름값],MATCH(ItemEffectTable2324[[#This Row],[Index]],ItemEffectTable[ApplyBuffId],0)))</f>
        <v>#N/A</v>
      </c>
      <c r="D16" s="20" t="s">
        <v>467</v>
      </c>
      <c r="E16" s="20">
        <v>70</v>
      </c>
      <c r="F16" s="22" t="s">
        <v>468</v>
      </c>
      <c r="G16" s="20">
        <v>5</v>
      </c>
      <c r="H16" s="22" t="s">
        <v>469</v>
      </c>
      <c r="I16" s="20">
        <v>18</v>
      </c>
      <c r="J16" s="22" t="s">
        <v>470</v>
      </c>
      <c r="K16" s="20"/>
      <c r="L16" s="22"/>
      <c r="M16" s="22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E33" sqref="E33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30</v>
      </c>
      <c r="C1" t="s">
        <v>28</v>
      </c>
      <c r="D1" t="s">
        <v>28</v>
      </c>
      <c r="E1" t="s">
        <v>43</v>
      </c>
      <c r="F1" t="s">
        <v>42</v>
      </c>
    </row>
    <row r="2" spans="2:6">
      <c r="B2" t="s">
        <v>41</v>
      </c>
      <c r="C2" s="5" t="s">
        <v>61</v>
      </c>
      <c r="D2" s="5" t="s">
        <v>62</v>
      </c>
      <c r="E2" t="s">
        <v>138</v>
      </c>
      <c r="F2" t="s">
        <v>139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204</v>
      </c>
      <c r="E3" t="s">
        <v>33</v>
      </c>
      <c r="F3" t="s">
        <v>158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63</v>
      </c>
      <c r="E4" t="s">
        <v>181</v>
      </c>
      <c r="F4" t="s">
        <v>236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204</v>
      </c>
      <c r="E5" t="s">
        <v>33</v>
      </c>
      <c r="F5" t="s">
        <v>235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180</v>
      </c>
      <c r="E6" t="s">
        <v>123</v>
      </c>
      <c r="F6" t="s">
        <v>113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205</v>
      </c>
      <c r="E7" t="s">
        <v>188</v>
      </c>
      <c r="F7" t="s">
        <v>238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204</v>
      </c>
      <c r="E8" t="s">
        <v>33</v>
      </c>
      <c r="F8" t="s">
        <v>237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205</v>
      </c>
      <c r="E9" t="s">
        <v>188</v>
      </c>
      <c r="F9" t="s">
        <v>162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I162"/>
  <sheetViews>
    <sheetView tabSelected="1" topLeftCell="A43" zoomScaleNormal="100" zoomScaleSheetLayoutView="100" workbookViewId="0">
      <selection activeCell="D54" sqref="D54"/>
    </sheetView>
  </sheetViews>
  <sheetFormatPr baseColWidth="10" defaultColWidth="8.83203125" defaultRowHeight="17"/>
  <cols>
    <col min="2" max="2" width="32.6640625" customWidth="1"/>
    <col min="3" max="3" width="68" style="9" customWidth="1"/>
    <col min="4" max="4" width="62.1640625" customWidth="1"/>
    <col min="5" max="5" width="13.6640625" customWidth="1"/>
    <col min="6" max="6" width="12.33203125" bestFit="1" customWidth="1"/>
    <col min="7" max="7" width="16.6640625" customWidth="1"/>
    <col min="8" max="8" width="12.33203125" bestFit="1" customWidth="1"/>
    <col min="9" max="9" width="34.1640625" customWidth="1"/>
  </cols>
  <sheetData>
    <row r="1" spans="2:9" ht="18">
      <c r="B1" t="s">
        <v>30</v>
      </c>
      <c r="C1" s="9" t="s">
        <v>42</v>
      </c>
      <c r="D1" t="s">
        <v>42</v>
      </c>
      <c r="E1" t="s">
        <v>251</v>
      </c>
      <c r="F1" t="s">
        <v>251</v>
      </c>
      <c r="G1" t="s">
        <v>251</v>
      </c>
      <c r="H1" t="s">
        <v>251</v>
      </c>
      <c r="I1" t="s">
        <v>251</v>
      </c>
    </row>
    <row r="2" spans="2:9" ht="18">
      <c r="B2" s="11" t="s">
        <v>612</v>
      </c>
      <c r="C2" s="9" t="s">
        <v>172</v>
      </c>
      <c r="D2" t="s">
        <v>171</v>
      </c>
      <c r="E2" s="36" t="s">
        <v>542</v>
      </c>
      <c r="F2" s="36" t="s">
        <v>543</v>
      </c>
      <c r="G2" s="36" t="s">
        <v>544</v>
      </c>
      <c r="H2" s="36" t="s">
        <v>545</v>
      </c>
      <c r="I2" s="36" t="s">
        <v>583</v>
      </c>
    </row>
    <row r="3" spans="2:9" ht="18">
      <c r="B3" t="str">
        <f>LocaleTable[[#This Row],['#인덱스제너레이터]]</f>
        <v>UI_Title_Button_Start</v>
      </c>
      <c r="C3" s="53" t="s">
        <v>576</v>
      </c>
      <c r="D3" s="53" t="s">
        <v>569</v>
      </c>
      <c r="E3" s="14" t="s">
        <v>547</v>
      </c>
      <c r="F3" s="14" t="s">
        <v>581</v>
      </c>
      <c r="G3" s="14" t="s">
        <v>573</v>
      </c>
      <c r="H3" s="14" t="s">
        <v>570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9" ht="18">
      <c r="B4" t="str">
        <f>LocaleTable[[#This Row],['#인덱스제너레이터]]</f>
        <v>UI_Title_Button_Tutorial</v>
      </c>
      <c r="C4" s="53" t="s">
        <v>577</v>
      </c>
      <c r="D4" s="53" t="s">
        <v>571</v>
      </c>
      <c r="E4" s="14" t="s">
        <v>547</v>
      </c>
      <c r="F4" s="14" t="s">
        <v>581</v>
      </c>
      <c r="G4" s="14" t="s">
        <v>573</v>
      </c>
      <c r="H4" s="14" t="s">
        <v>572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9" ht="18">
      <c r="B5" t="str">
        <f>LocaleTable[[#This Row],['#인덱스제너레이터]]</f>
        <v>UI_Title_Button_Exit</v>
      </c>
      <c r="C5" s="53" t="s">
        <v>578</v>
      </c>
      <c r="D5" s="53" t="s">
        <v>574</v>
      </c>
      <c r="E5" s="14" t="s">
        <v>547</v>
      </c>
      <c r="F5" s="14" t="s">
        <v>581</v>
      </c>
      <c r="G5" s="56" t="s">
        <v>573</v>
      </c>
      <c r="H5" s="14" t="s">
        <v>575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9" ht="18">
      <c r="B6" t="str">
        <f>LocaleTable[[#This Row],['#인덱스제너레이터]]</f>
        <v>UI_Title_Button_Setting</v>
      </c>
      <c r="C6" s="53" t="s">
        <v>654</v>
      </c>
      <c r="D6" s="53" t="s">
        <v>649</v>
      </c>
      <c r="E6" s="14" t="s">
        <v>547</v>
      </c>
      <c r="F6" s="14" t="s">
        <v>581</v>
      </c>
      <c r="G6" s="56" t="s">
        <v>573</v>
      </c>
      <c r="H6" s="14" t="s">
        <v>649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9" ht="18">
      <c r="B7" t="str">
        <f>LocaleTable[[#This Row],['#인덱스제너레이터]]</f>
        <v>UI_Tutorial_Title_Exit</v>
      </c>
      <c r="C7" s="53" t="s">
        <v>745</v>
      </c>
      <c r="D7" s="53" t="s">
        <v>574</v>
      </c>
      <c r="E7" s="14" t="s">
        <v>547</v>
      </c>
      <c r="F7" s="56" t="s">
        <v>572</v>
      </c>
      <c r="G7" s="56" t="s">
        <v>581</v>
      </c>
      <c r="H7" s="14" t="s">
        <v>575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9" ht="18">
      <c r="B8" t="str">
        <f>LocaleTable[[#This Row],['#인덱스제너레이터]]</f>
        <v>UI_Tutorial_Title_1</v>
      </c>
      <c r="C8" s="53" t="s">
        <v>829</v>
      </c>
      <c r="D8" s="53" t="s">
        <v>828</v>
      </c>
      <c r="E8" s="14" t="s">
        <v>547</v>
      </c>
      <c r="F8" s="56" t="s">
        <v>572</v>
      </c>
      <c r="G8" s="56" t="s">
        <v>581</v>
      </c>
      <c r="H8" s="14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9" ht="18">
      <c r="B9" t="str">
        <f>LocaleTable[[#This Row],['#인덱스제너레이터]]</f>
        <v>UI_Tutorial_Title_2</v>
      </c>
      <c r="C9" s="53" t="s">
        <v>728</v>
      </c>
      <c r="D9" s="53" t="s">
        <v>746</v>
      </c>
      <c r="E9" s="14" t="s">
        <v>547</v>
      </c>
      <c r="F9" s="56" t="s">
        <v>572</v>
      </c>
      <c r="G9" s="56" t="s">
        <v>581</v>
      </c>
      <c r="H9" s="14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9" ht="18">
      <c r="B10" t="str">
        <f>LocaleTable[[#This Row],['#인덱스제너레이터]]</f>
        <v>UI_Tutorial_Title_3</v>
      </c>
      <c r="C10" s="53" t="s">
        <v>729</v>
      </c>
      <c r="D10" s="53" t="s">
        <v>825</v>
      </c>
      <c r="E10" s="14" t="s">
        <v>547</v>
      </c>
      <c r="F10" s="56" t="s">
        <v>572</v>
      </c>
      <c r="G10" s="56" t="s">
        <v>581</v>
      </c>
      <c r="H10" s="14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9" ht="18">
      <c r="B11" t="str">
        <f>LocaleTable[[#This Row],['#인덱스제너레이터]]</f>
        <v>UI_Tutorial_Title_4</v>
      </c>
      <c r="C11" s="53" t="s">
        <v>730</v>
      </c>
      <c r="D11" s="53" t="s">
        <v>747</v>
      </c>
      <c r="E11" s="14" t="s">
        <v>547</v>
      </c>
      <c r="F11" s="56" t="s">
        <v>572</v>
      </c>
      <c r="G11" s="56" t="s">
        <v>581</v>
      </c>
      <c r="H11" s="14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9" ht="18">
      <c r="B12" t="str">
        <f>LocaleTable[[#This Row],['#인덱스제너레이터]]</f>
        <v>UI_Tutorial_Title_5</v>
      </c>
      <c r="C12" s="53" t="s">
        <v>731</v>
      </c>
      <c r="D12" s="53" t="s">
        <v>748</v>
      </c>
      <c r="E12" s="14" t="s">
        <v>547</v>
      </c>
      <c r="F12" s="56" t="s">
        <v>572</v>
      </c>
      <c r="G12" s="56" t="s">
        <v>581</v>
      </c>
      <c r="H12" s="14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9" ht="18">
      <c r="B13" t="str">
        <f>LocaleTable[[#This Row],['#인덱스제너레이터]]</f>
        <v>UI_Tutorial_Title_6</v>
      </c>
      <c r="C13" s="53" t="s">
        <v>732</v>
      </c>
      <c r="D13" s="53" t="s">
        <v>749</v>
      </c>
      <c r="E13" s="14" t="s">
        <v>547</v>
      </c>
      <c r="F13" s="56" t="s">
        <v>572</v>
      </c>
      <c r="G13" s="56" t="s">
        <v>581</v>
      </c>
      <c r="H13" s="14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9" ht="18">
      <c r="B14" t="str">
        <f>LocaleTable[[#This Row],['#인덱스제너레이터]]</f>
        <v>UI_Tutorial_Title_7</v>
      </c>
      <c r="C14" s="53" t="s">
        <v>733</v>
      </c>
      <c r="D14" s="53" t="s">
        <v>826</v>
      </c>
      <c r="E14" s="14" t="s">
        <v>547</v>
      </c>
      <c r="F14" s="56" t="s">
        <v>572</v>
      </c>
      <c r="G14" s="56" t="s">
        <v>581</v>
      </c>
      <c r="H14" s="14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9" ht="18">
      <c r="B15" t="str">
        <f>LocaleTable[[#This Row],['#인덱스제너레이터]]</f>
        <v>UI_Tutorial_Title_8</v>
      </c>
      <c r="C15" s="53" t="s">
        <v>582</v>
      </c>
      <c r="D15" s="53" t="s">
        <v>541</v>
      </c>
      <c r="E15" s="14" t="s">
        <v>547</v>
      </c>
      <c r="F15" s="56" t="s">
        <v>572</v>
      </c>
      <c r="G15" s="56" t="s">
        <v>581</v>
      </c>
      <c r="H15" s="14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9" ht="18">
      <c r="B16" t="str">
        <f>LocaleTable[[#This Row],['#인덱스제너레이터]]</f>
        <v>UI_Tutorial_Controls_Move</v>
      </c>
      <c r="C16" s="83" t="s">
        <v>861</v>
      </c>
      <c r="D16" s="83" t="s">
        <v>867</v>
      </c>
      <c r="E16" s="14" t="s">
        <v>874</v>
      </c>
      <c r="F16" s="56" t="s">
        <v>572</v>
      </c>
      <c r="G16" s="56" t="s">
        <v>827</v>
      </c>
      <c r="H16" s="14" t="s">
        <v>867</v>
      </c>
      <c r="I16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 ht="18">
      <c r="B17" t="str">
        <f>LocaleTable[[#This Row],['#인덱스제너레이터]]</f>
        <v>UI_Tutorial_Controls_Dodge</v>
      </c>
      <c r="C17" s="83" t="s">
        <v>862</v>
      </c>
      <c r="D17" s="83" t="s">
        <v>868</v>
      </c>
      <c r="E17" s="14" t="s">
        <v>874</v>
      </c>
      <c r="F17" s="56" t="s">
        <v>572</v>
      </c>
      <c r="G17" s="56" t="s">
        <v>827</v>
      </c>
      <c r="H17" s="14" t="s">
        <v>868</v>
      </c>
      <c r="I17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 ht="18">
      <c r="B18" t="str">
        <f>LocaleTable[[#This Row],['#인덱스제너레이터]]</f>
        <v>UI_Tutorial_Controls_Interaction</v>
      </c>
      <c r="C18" s="83" t="s">
        <v>863</v>
      </c>
      <c r="D18" s="83" t="s">
        <v>869</v>
      </c>
      <c r="E18" s="14" t="s">
        <v>874</v>
      </c>
      <c r="F18" s="56" t="s">
        <v>572</v>
      </c>
      <c r="G18" s="56" t="s">
        <v>827</v>
      </c>
      <c r="H18" s="14" t="s">
        <v>869</v>
      </c>
      <c r="I18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 ht="18">
      <c r="B19" t="str">
        <f>LocaleTable[[#This Row],['#인덱스제너레이터]]</f>
        <v>UI_Tutorial_Controls_Tab</v>
      </c>
      <c r="C19" s="83" t="s">
        <v>864</v>
      </c>
      <c r="D19" s="83" t="s">
        <v>749</v>
      </c>
      <c r="E19" s="14" t="s">
        <v>874</v>
      </c>
      <c r="F19" s="56" t="s">
        <v>572</v>
      </c>
      <c r="G19" s="56" t="s">
        <v>827</v>
      </c>
      <c r="H19" s="14" t="s">
        <v>875</v>
      </c>
      <c r="I19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 ht="18">
      <c r="B20" t="str">
        <f>LocaleTable[[#This Row],['#인덱스제너레이터]]</f>
        <v>UI_Tutorial_Controls_Setting</v>
      </c>
      <c r="C20" s="83" t="s">
        <v>654</v>
      </c>
      <c r="D20" s="83" t="s">
        <v>649</v>
      </c>
      <c r="E20" s="14" t="s">
        <v>874</v>
      </c>
      <c r="F20" s="56" t="s">
        <v>572</v>
      </c>
      <c r="G20" s="56" t="s">
        <v>827</v>
      </c>
      <c r="H20" s="14" t="s">
        <v>649</v>
      </c>
      <c r="I20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 ht="18">
      <c r="B21" t="str">
        <f>LocaleTable[[#This Row],['#인덱스제너레이터]]</f>
        <v>UI_Tutorial_Controls_Attack</v>
      </c>
      <c r="C21" s="83" t="s">
        <v>865</v>
      </c>
      <c r="D21" s="83" t="s">
        <v>870</v>
      </c>
      <c r="E21" s="14" t="s">
        <v>874</v>
      </c>
      <c r="F21" s="56" t="s">
        <v>572</v>
      </c>
      <c r="G21" s="56" t="s">
        <v>827</v>
      </c>
      <c r="H21" s="14" t="s">
        <v>876</v>
      </c>
      <c r="I21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 ht="18">
      <c r="B22" t="str">
        <f>LocaleTable[[#This Row],['#인덱스제너레이터]]</f>
        <v>UI_Tutorial_Controls_Active</v>
      </c>
      <c r="C22" s="83" t="s">
        <v>866</v>
      </c>
      <c r="D22" s="83" t="s">
        <v>871</v>
      </c>
      <c r="E22" s="14" t="s">
        <v>874</v>
      </c>
      <c r="F22" s="56" t="s">
        <v>572</v>
      </c>
      <c r="G22" s="56" t="s">
        <v>827</v>
      </c>
      <c r="H22" s="14" t="s">
        <v>364</v>
      </c>
      <c r="I22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3"/>
      <c r="D23" s="53"/>
      <c r="E23" s="14" t="s">
        <v>547</v>
      </c>
      <c r="F23" s="56" t="s">
        <v>572</v>
      </c>
      <c r="G23" s="56" t="s">
        <v>734</v>
      </c>
      <c r="H23" s="14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 ht="18">
      <c r="B24" t="str">
        <f>LocaleTable[[#This Row],['#인덱스제너레이터]]</f>
        <v>UI_Tutorial_MainText_2</v>
      </c>
      <c r="C24" s="53" t="s">
        <v>735</v>
      </c>
      <c r="D24" s="53" t="s">
        <v>823</v>
      </c>
      <c r="E24" s="14" t="s">
        <v>547</v>
      </c>
      <c r="F24" s="56" t="s">
        <v>572</v>
      </c>
      <c r="G24" s="56" t="s">
        <v>734</v>
      </c>
      <c r="H24" s="14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 ht="18">
      <c r="B25" t="str">
        <f>LocaleTable[[#This Row],['#인덱스제너레이터]]</f>
        <v>UI_Tutorial_MainText_3</v>
      </c>
      <c r="C25" s="53" t="s">
        <v>736</v>
      </c>
      <c r="D25" s="53" t="s">
        <v>824</v>
      </c>
      <c r="E25" s="14" t="s">
        <v>547</v>
      </c>
      <c r="F25" s="56" t="s">
        <v>572</v>
      </c>
      <c r="G25" s="56" t="s">
        <v>734</v>
      </c>
      <c r="H25" s="14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 ht="18">
      <c r="B26" t="str">
        <f>LocaleTable[[#This Row],['#인덱스제너레이터]]</f>
        <v>UI_Tutorial_MainText_4</v>
      </c>
      <c r="C26" s="53" t="s">
        <v>872</v>
      </c>
      <c r="D26" s="53" t="s">
        <v>873</v>
      </c>
      <c r="E26" s="14" t="s">
        <v>547</v>
      </c>
      <c r="F26" s="56" t="s">
        <v>572</v>
      </c>
      <c r="G26" s="56" t="s">
        <v>734</v>
      </c>
      <c r="H26" s="14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 ht="18">
      <c r="B27" t="str">
        <f>LocaleTable[[#This Row],['#인덱스제너레이터]]</f>
        <v>UI_Tutorial_MainText_5</v>
      </c>
      <c r="C27" s="53" t="s">
        <v>737</v>
      </c>
      <c r="D27" s="53" t="s">
        <v>750</v>
      </c>
      <c r="E27" s="14" t="s">
        <v>547</v>
      </c>
      <c r="F27" s="56" t="s">
        <v>572</v>
      </c>
      <c r="G27" s="56" t="s">
        <v>734</v>
      </c>
      <c r="H27" s="14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 ht="18">
      <c r="B28" t="str">
        <f>LocaleTable[[#This Row],['#인덱스제너레이터]]</f>
        <v>UI_Tutorial_MainText_6</v>
      </c>
      <c r="C28" s="53" t="s">
        <v>738</v>
      </c>
      <c r="D28" s="53" t="s">
        <v>751</v>
      </c>
      <c r="E28" s="14" t="s">
        <v>547</v>
      </c>
      <c r="F28" s="56" t="s">
        <v>572</v>
      </c>
      <c r="G28" s="56" t="s">
        <v>734</v>
      </c>
      <c r="H28" s="14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 ht="18">
      <c r="B29" t="str">
        <f>LocaleTable[[#This Row],['#인덱스제너레이터]]</f>
        <v>UI_Tutorial_MainText_7</v>
      </c>
      <c r="C29" s="53" t="s">
        <v>739</v>
      </c>
      <c r="D29" s="53" t="s">
        <v>752</v>
      </c>
      <c r="E29" s="14" t="s">
        <v>547</v>
      </c>
      <c r="F29" s="56" t="s">
        <v>572</v>
      </c>
      <c r="G29" s="56" t="s">
        <v>734</v>
      </c>
      <c r="H29" s="14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 ht="18">
      <c r="B30" t="str">
        <f>LocaleTable[[#This Row],['#인덱스제너레이터]]</f>
        <v>UI_Tutorial_MainText_8</v>
      </c>
      <c r="C30" s="53" t="s">
        <v>740</v>
      </c>
      <c r="D30" s="53" t="s">
        <v>753</v>
      </c>
      <c r="E30" s="14" t="s">
        <v>547</v>
      </c>
      <c r="F30" s="56" t="s">
        <v>572</v>
      </c>
      <c r="G30" s="56" t="s">
        <v>734</v>
      </c>
      <c r="H30" s="14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3"/>
      <c r="D31" s="53"/>
      <c r="E31" s="14" t="s">
        <v>547</v>
      </c>
      <c r="F31" s="56" t="s">
        <v>572</v>
      </c>
      <c r="G31" s="56" t="s">
        <v>741</v>
      </c>
      <c r="H31" s="14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36">
      <c r="B32" t="str">
        <f>LocaleTable[[#This Row],['#인덱스제너레이터]]</f>
        <v>UI_Tutorial_SubText_2</v>
      </c>
      <c r="C32" s="53" t="s">
        <v>759</v>
      </c>
      <c r="D32" s="53" t="s">
        <v>760</v>
      </c>
      <c r="E32" s="14" t="s">
        <v>547</v>
      </c>
      <c r="F32" s="56" t="s">
        <v>572</v>
      </c>
      <c r="G32" s="56" t="s">
        <v>741</v>
      </c>
      <c r="H32" s="14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 ht="18">
      <c r="B33" t="str">
        <f>LocaleTable[[#This Row],['#인덱스제너레이터]]</f>
        <v>UI_Tutorial_SubText_3</v>
      </c>
      <c r="C33" s="53" t="s">
        <v>742</v>
      </c>
      <c r="D33" s="53" t="s">
        <v>754</v>
      </c>
      <c r="E33" s="14" t="s">
        <v>547</v>
      </c>
      <c r="F33" s="56" t="s">
        <v>572</v>
      </c>
      <c r="G33" s="56" t="s">
        <v>741</v>
      </c>
      <c r="H33" s="14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6">
      <c r="B34" t="str">
        <f>LocaleTable[[#This Row],['#인덱스제너레이터]]</f>
        <v>UI_Tutorial_SubText_4</v>
      </c>
      <c r="C34" s="53" t="s">
        <v>763</v>
      </c>
      <c r="D34" s="53" t="s">
        <v>762</v>
      </c>
      <c r="E34" s="14" t="s">
        <v>547</v>
      </c>
      <c r="F34" s="56" t="s">
        <v>572</v>
      </c>
      <c r="G34" s="56" t="s">
        <v>741</v>
      </c>
      <c r="H34" s="14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6">
      <c r="B35" t="str">
        <f>LocaleTable[[#This Row],['#인덱스제너레이터]]</f>
        <v>UI_Tutorial_SubText_5</v>
      </c>
      <c r="C35" s="53" t="s">
        <v>764</v>
      </c>
      <c r="D35" s="53" t="s">
        <v>761</v>
      </c>
      <c r="E35" s="14" t="s">
        <v>547</v>
      </c>
      <c r="F35" s="56" t="s">
        <v>572</v>
      </c>
      <c r="G35" s="56" t="s">
        <v>741</v>
      </c>
      <c r="H35" s="14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 ht="18">
      <c r="B36" t="str">
        <f>LocaleTable[[#This Row],['#인덱스제너레이터]]</f>
        <v>UI_Tutorial_SubText_6</v>
      </c>
      <c r="C36" s="53" t="s">
        <v>743</v>
      </c>
      <c r="D36" s="53" t="s">
        <v>755</v>
      </c>
      <c r="E36" s="14" t="s">
        <v>547</v>
      </c>
      <c r="F36" s="56" t="s">
        <v>572</v>
      </c>
      <c r="G36" s="56" t="s">
        <v>741</v>
      </c>
      <c r="H36" s="14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 ht="18">
      <c r="B37" t="str">
        <f>LocaleTable[[#This Row],['#인덱스제너레이터]]</f>
        <v>UI_Tutorial_SubText_7</v>
      </c>
      <c r="C37" s="53" t="s">
        <v>757</v>
      </c>
      <c r="D37" s="53" t="s">
        <v>758</v>
      </c>
      <c r="E37" s="14" t="s">
        <v>547</v>
      </c>
      <c r="F37" s="56" t="s">
        <v>572</v>
      </c>
      <c r="G37" s="56" t="s">
        <v>741</v>
      </c>
      <c r="H37" s="14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 ht="18">
      <c r="B38" t="str">
        <f>LocaleTable[[#This Row],['#인덱스제너레이터]]</f>
        <v>UI_Tutorial_SubText_8</v>
      </c>
      <c r="C38" s="53" t="s">
        <v>744</v>
      </c>
      <c r="D38" s="53" t="s">
        <v>756</v>
      </c>
      <c r="E38" s="14" t="s">
        <v>547</v>
      </c>
      <c r="F38" s="56" t="s">
        <v>572</v>
      </c>
      <c r="G38" s="56" t="s">
        <v>741</v>
      </c>
      <c r="H38" s="14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 ht="18">
      <c r="B39" t="str">
        <f>LocaleTable[[#This Row],['#인덱스제너레이터]]</f>
        <v>UI_Setting_Title</v>
      </c>
      <c r="C39" s="53" t="s">
        <v>654</v>
      </c>
      <c r="D39" s="53" t="s">
        <v>649</v>
      </c>
      <c r="E39" s="14" t="s">
        <v>547</v>
      </c>
      <c r="F39" s="14" t="s">
        <v>649</v>
      </c>
      <c r="G39" s="56" t="s">
        <v>581</v>
      </c>
      <c r="H39" s="14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 ht="18">
      <c r="B40" t="str">
        <f>LocaleTable[[#This Row],['#인덱스제너레이터]]</f>
        <v>UI_Setting_MasterVolume</v>
      </c>
      <c r="C40" s="53" t="s">
        <v>656</v>
      </c>
      <c r="D40" s="53" t="s">
        <v>655</v>
      </c>
      <c r="E40" s="14" t="s">
        <v>547</v>
      </c>
      <c r="F40" s="14" t="s">
        <v>649</v>
      </c>
      <c r="G40" s="56" t="s">
        <v>650</v>
      </c>
      <c r="H40" s="14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 ht="18">
      <c r="B41" t="str">
        <f>LocaleTable[[#This Row],['#인덱스제너레이터]]</f>
        <v>UI_Setting_BGMVolume</v>
      </c>
      <c r="C41" s="53" t="s">
        <v>657</v>
      </c>
      <c r="D41" s="53" t="s">
        <v>660</v>
      </c>
      <c r="E41" s="14" t="s">
        <v>547</v>
      </c>
      <c r="F41" s="14" t="s">
        <v>649</v>
      </c>
      <c r="G41" s="56" t="s">
        <v>651</v>
      </c>
      <c r="H41" s="14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 ht="18">
      <c r="B42" t="str">
        <f>LocaleTable[[#This Row],['#인덱스제너레이터]]</f>
        <v>UI_Setting_SFXVolume</v>
      </c>
      <c r="C42" s="53" t="s">
        <v>658</v>
      </c>
      <c r="D42" s="53" t="s">
        <v>659</v>
      </c>
      <c r="E42" s="14" t="s">
        <v>547</v>
      </c>
      <c r="F42" s="14" t="s">
        <v>649</v>
      </c>
      <c r="G42" s="56" t="s">
        <v>652</v>
      </c>
      <c r="H42" s="14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 ht="18">
      <c r="B43" t="str">
        <f>LocaleTable[[#This Row],['#인덱스제너레이터]]</f>
        <v>UI_Setting_Language</v>
      </c>
      <c r="C43" s="53" t="s">
        <v>661</v>
      </c>
      <c r="D43" s="53" t="s">
        <v>653</v>
      </c>
      <c r="E43" s="14" t="s">
        <v>547</v>
      </c>
      <c r="F43" s="14" t="s">
        <v>649</v>
      </c>
      <c r="G43" s="56" t="s">
        <v>653</v>
      </c>
      <c r="H43" s="14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 ht="18">
      <c r="B44" t="str">
        <f>LocaleTable[[#This Row],['#인덱스제너레이터]]</f>
        <v>UI_Setting_GoToTitle</v>
      </c>
      <c r="C44" s="53" t="s">
        <v>663</v>
      </c>
      <c r="D44" s="53" t="s">
        <v>664</v>
      </c>
      <c r="E44" s="14" t="s">
        <v>547</v>
      </c>
      <c r="F44" s="14" t="s">
        <v>649</v>
      </c>
      <c r="G44" s="56" t="s">
        <v>662</v>
      </c>
      <c r="H44" s="14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 ht="18">
      <c r="B45" t="str">
        <f>LocaleTable[[#This Row],['#인덱스제너레이터]]</f>
        <v>UI_Setting_Tutorial</v>
      </c>
      <c r="C45" s="53" t="s">
        <v>665</v>
      </c>
      <c r="D45" s="53" t="s">
        <v>572</v>
      </c>
      <c r="E45" s="14" t="s">
        <v>547</v>
      </c>
      <c r="F45" s="14" t="s">
        <v>649</v>
      </c>
      <c r="G45" s="56" t="s">
        <v>572</v>
      </c>
      <c r="H45" s="14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 ht="18">
      <c r="B46" t="str">
        <f>LocaleTable[[#This Row],['#인덱스제너레이터]]</f>
        <v>UI_Tap_Subtitle_Items</v>
      </c>
      <c r="C46" s="53" t="s">
        <v>582</v>
      </c>
      <c r="D46" s="53" t="s">
        <v>676</v>
      </c>
      <c r="E46" s="14" t="s">
        <v>547</v>
      </c>
      <c r="F46" s="14" t="s">
        <v>579</v>
      </c>
      <c r="G46" s="14" t="s">
        <v>580</v>
      </c>
      <c r="H46" s="14" t="s">
        <v>676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7" spans="2:9" ht="18">
      <c r="B47" t="str">
        <f>LocaleTable[[#This Row],['#인덱스제너레이터]]</f>
        <v>UI_Tap_Subtitle_Map</v>
      </c>
      <c r="C47" s="53" t="s">
        <v>562</v>
      </c>
      <c r="D47" s="53" t="s">
        <v>548</v>
      </c>
      <c r="E47" s="14" t="s">
        <v>547</v>
      </c>
      <c r="F47" s="14" t="s">
        <v>579</v>
      </c>
      <c r="G47" s="14" t="s">
        <v>580</v>
      </c>
      <c r="H47" s="14" t="s">
        <v>549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8" spans="2:9" ht="18">
      <c r="B48" t="str">
        <f>LocaleTable[[#This Row],['#인덱스제너레이터]]</f>
        <v>UI_Tap_MapInfo</v>
      </c>
      <c r="C48" s="83" t="s">
        <v>879</v>
      </c>
      <c r="D48" s="83" t="s">
        <v>891</v>
      </c>
      <c r="E48" s="14" t="s">
        <v>547</v>
      </c>
      <c r="F48" s="14" t="s">
        <v>579</v>
      </c>
      <c r="G48" s="14" t="s">
        <v>880</v>
      </c>
      <c r="H48" s="14"/>
      <c r="I48" s="78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49" spans="2:9" ht="18">
      <c r="B49" t="str">
        <f>LocaleTable[[#This Row],['#인덱스제너레이터]]</f>
        <v>UI_Tap_MapInfo_Player</v>
      </c>
      <c r="C49" s="83" t="s">
        <v>884</v>
      </c>
      <c r="D49" s="83" t="s">
        <v>890</v>
      </c>
      <c r="E49" s="14" t="s">
        <v>547</v>
      </c>
      <c r="F49" s="14" t="s">
        <v>579</v>
      </c>
      <c r="G49" s="14" t="s">
        <v>880</v>
      </c>
      <c r="H49" s="14" t="s">
        <v>358</v>
      </c>
      <c r="I49" s="78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0" spans="2:9" ht="18">
      <c r="B50" t="str">
        <f>LocaleTable[[#This Row],['#인덱스제너레이터]]</f>
        <v>UI_Tap_MapInfo_Shop</v>
      </c>
      <c r="C50" s="83" t="s">
        <v>885</v>
      </c>
      <c r="D50" s="83" t="s">
        <v>881</v>
      </c>
      <c r="E50" s="14" t="s">
        <v>547</v>
      </c>
      <c r="F50" s="14" t="s">
        <v>579</v>
      </c>
      <c r="G50" s="14" t="s">
        <v>880</v>
      </c>
      <c r="H50" s="14" t="s">
        <v>881</v>
      </c>
      <c r="I50" s="78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1" spans="2:9" ht="18">
      <c r="B51" t="str">
        <f>LocaleTable[[#This Row],['#인덱스제너레이터]]</f>
        <v>UI_Tap_MapInfo_Reward</v>
      </c>
      <c r="C51" s="83" t="s">
        <v>886</v>
      </c>
      <c r="D51" s="83" t="s">
        <v>882</v>
      </c>
      <c r="E51" s="14" t="s">
        <v>547</v>
      </c>
      <c r="F51" s="14" t="s">
        <v>579</v>
      </c>
      <c r="G51" s="14" t="s">
        <v>880</v>
      </c>
      <c r="H51" s="14" t="s">
        <v>882</v>
      </c>
      <c r="I51" s="78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2" spans="2:9" ht="18">
      <c r="B52" t="str">
        <f>LocaleTable[[#This Row],['#인덱스제너레이터]]</f>
        <v>UI_Tap_MapInfo_Next</v>
      </c>
      <c r="C52" s="83" t="s">
        <v>887</v>
      </c>
      <c r="D52" s="83" t="s">
        <v>889</v>
      </c>
      <c r="E52" s="14" t="s">
        <v>547</v>
      </c>
      <c r="F52" s="14" t="s">
        <v>579</v>
      </c>
      <c r="G52" s="14" t="s">
        <v>880</v>
      </c>
      <c r="H52" s="14" t="s">
        <v>883</v>
      </c>
      <c r="I52" s="78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3" spans="2:9" ht="18">
      <c r="B53" t="str">
        <f>LocaleTable[[#This Row],['#인덱스제너레이터]]</f>
        <v>UI_Tap_MapInfo_Boss</v>
      </c>
      <c r="C53" s="83" t="s">
        <v>888</v>
      </c>
      <c r="D53" s="83" t="s">
        <v>666</v>
      </c>
      <c r="E53" s="14" t="s">
        <v>547</v>
      </c>
      <c r="F53" s="14" t="s">
        <v>579</v>
      </c>
      <c r="G53" s="14" t="s">
        <v>880</v>
      </c>
      <c r="H53" s="14" t="s">
        <v>666</v>
      </c>
      <c r="I53" s="78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4" spans="2:9" ht="18">
      <c r="B54" t="str">
        <f>LocaleTable[[#This Row],['#인덱스제너레이터]]</f>
        <v>UI_Tap_Stat_AtkDmg</v>
      </c>
      <c r="C54" s="53" t="s">
        <v>563</v>
      </c>
      <c r="D54" s="53" t="s">
        <v>551</v>
      </c>
      <c r="E54" s="19" t="s">
        <v>547</v>
      </c>
      <c r="F54" s="14" t="s">
        <v>579</v>
      </c>
      <c r="G54" s="19" t="s">
        <v>550</v>
      </c>
      <c r="H54" s="14" t="s">
        <v>552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5" spans="2:9" ht="18">
      <c r="B55" t="str">
        <f>LocaleTable[[#This Row],['#인덱스제너레이터]]</f>
        <v>UI_Tap_Stat_AtkSpd</v>
      </c>
      <c r="C55" s="53" t="s">
        <v>564</v>
      </c>
      <c r="D55" s="53" t="s">
        <v>558</v>
      </c>
      <c r="E55" s="19" t="s">
        <v>547</v>
      </c>
      <c r="F55" s="14" t="s">
        <v>579</v>
      </c>
      <c r="G55" s="19" t="s">
        <v>550</v>
      </c>
      <c r="H55" s="14" t="s">
        <v>559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6" spans="2:9" ht="18">
      <c r="B56" t="str">
        <f>LocaleTable[[#This Row],['#인덱스제너레이터]]</f>
        <v>UI_Tap_Stat_AtkLength</v>
      </c>
      <c r="C56" s="53" t="s">
        <v>565</v>
      </c>
      <c r="D56" s="53" t="s">
        <v>555</v>
      </c>
      <c r="E56" s="14" t="s">
        <v>547</v>
      </c>
      <c r="F56" s="14" t="s">
        <v>579</v>
      </c>
      <c r="G56" s="14" t="s">
        <v>550</v>
      </c>
      <c r="H56" s="14" t="s">
        <v>556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7" spans="2:9" ht="18">
      <c r="B57" t="str">
        <f>LocaleTable[[#This Row],['#인덱스제너레이터]]</f>
        <v>UI_Tap_Stat_ChargeSpd</v>
      </c>
      <c r="C57" s="53" t="s">
        <v>567</v>
      </c>
      <c r="D57" s="53" t="s">
        <v>553</v>
      </c>
      <c r="E57" s="14" t="s">
        <v>547</v>
      </c>
      <c r="F57" s="14" t="s">
        <v>579</v>
      </c>
      <c r="G57" s="14" t="s">
        <v>550</v>
      </c>
      <c r="H57" s="14" t="s">
        <v>554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8" spans="2:9" ht="18">
      <c r="B58" t="str">
        <f>LocaleTable[[#This Row],['#인덱스제너레이터]]</f>
        <v>UI_Tap_Stat_MoveSpd</v>
      </c>
      <c r="C58" s="53" t="s">
        <v>566</v>
      </c>
      <c r="D58" s="53" t="s">
        <v>560</v>
      </c>
      <c r="E58" s="14" t="s">
        <v>547</v>
      </c>
      <c r="F58" s="14" t="s">
        <v>579</v>
      </c>
      <c r="G58" s="14" t="s">
        <v>550</v>
      </c>
      <c r="H58" s="14" t="s">
        <v>561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59" spans="2:9" ht="18">
      <c r="B59" t="str">
        <f>LocaleTable[[#This Row],['#인덱스제너레이터]]</f>
        <v>UI_Tap_Stat_GoldGain</v>
      </c>
      <c r="C59" s="53" t="s">
        <v>568</v>
      </c>
      <c r="D59" s="53" t="s">
        <v>167</v>
      </c>
      <c r="E59" s="14" t="s">
        <v>547</v>
      </c>
      <c r="F59" s="14" t="s">
        <v>579</v>
      </c>
      <c r="G59" s="14" t="s">
        <v>550</v>
      </c>
      <c r="H59" s="14" t="s">
        <v>557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0" spans="2:9" ht="18">
      <c r="B60" t="str">
        <f>LocaleTable[[#This Row],['#인덱스제너레이터]]</f>
        <v>UI_GameOver_Title</v>
      </c>
      <c r="C60" s="53" t="s">
        <v>675</v>
      </c>
      <c r="D60" s="53" t="s">
        <v>581</v>
      </c>
      <c r="E60" s="14" t="s">
        <v>547</v>
      </c>
      <c r="F60" s="14" t="s">
        <v>672</v>
      </c>
      <c r="G60" s="14" t="s">
        <v>581</v>
      </c>
      <c r="H60" s="14"/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1" spans="2:9" ht="18">
      <c r="B61" t="str">
        <f>LocaleTable[[#This Row],['#인덱스제너레이터]]</f>
        <v>UI_GameOver_Restart</v>
      </c>
      <c r="C61" s="53" t="s">
        <v>674</v>
      </c>
      <c r="D61" s="53" t="s">
        <v>673</v>
      </c>
      <c r="E61" s="14" t="s">
        <v>547</v>
      </c>
      <c r="F61" s="14" t="s">
        <v>672</v>
      </c>
      <c r="G61" s="14" t="s">
        <v>673</v>
      </c>
      <c r="H61" s="14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2" spans="2:9" ht="18">
      <c r="B62" t="str">
        <f>LocaleTable[[#This Row],['#인덱스제너레이터]]</f>
        <v>UI_ItemHolder_Select</v>
      </c>
      <c r="C62" s="83" t="s">
        <v>903</v>
      </c>
      <c r="D62" s="83" t="s">
        <v>901</v>
      </c>
      <c r="E62" s="14" t="s">
        <v>547</v>
      </c>
      <c r="F62" s="14" t="s">
        <v>899</v>
      </c>
      <c r="G62" s="14" t="s">
        <v>901</v>
      </c>
      <c r="H62" s="14"/>
      <c r="I62" s="78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3" spans="2:9" ht="18">
      <c r="B63" t="str">
        <f>LocaleTable[[#This Row],['#인덱스제너레이터]]</f>
        <v>UI_ItemHolder_Buy</v>
      </c>
      <c r="C63" s="83" t="s">
        <v>902</v>
      </c>
      <c r="D63" s="83" t="s">
        <v>900</v>
      </c>
      <c r="E63" s="14" t="s">
        <v>547</v>
      </c>
      <c r="F63" s="14" t="s">
        <v>899</v>
      </c>
      <c r="G63" s="14" t="s">
        <v>900</v>
      </c>
      <c r="H63" s="14"/>
      <c r="I63" s="78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4" spans="2:9" ht="18">
      <c r="B64" t="str">
        <f>LocaleTable[[#This Row],['#인덱스제너레이터]]</f>
        <v>UI_Loading_Tip_1</v>
      </c>
      <c r="C64" s="53" t="s">
        <v>892</v>
      </c>
      <c r="D64" s="53" t="s">
        <v>893</v>
      </c>
      <c r="E64" s="14" t="s">
        <v>547</v>
      </c>
      <c r="F64" s="14" t="s">
        <v>718</v>
      </c>
      <c r="G64" s="14" t="s">
        <v>719</v>
      </c>
      <c r="H64" s="14">
        <v>1</v>
      </c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5" spans="2:9" ht="18">
      <c r="B65" t="str">
        <f>LocaleTable[[#This Row],['#인덱스제너레이터]]</f>
        <v>UI_Loading_Tip_2</v>
      </c>
      <c r="C65" s="53" t="s">
        <v>720</v>
      </c>
      <c r="D65" s="53" t="s">
        <v>854</v>
      </c>
      <c r="E65" s="14" t="s">
        <v>547</v>
      </c>
      <c r="F65" s="14" t="s">
        <v>718</v>
      </c>
      <c r="G65" s="14" t="s">
        <v>719</v>
      </c>
      <c r="H65" s="14">
        <v>2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6" spans="2:9" ht="18">
      <c r="B66" t="str">
        <f>LocaleTable[[#This Row],['#인덱스제너레이터]]</f>
        <v>UI_Loading_Tip_3</v>
      </c>
      <c r="C66" s="53" t="s">
        <v>721</v>
      </c>
      <c r="D66" s="53" t="s">
        <v>853</v>
      </c>
      <c r="E66" s="14" t="s">
        <v>547</v>
      </c>
      <c r="F66" s="14" t="s">
        <v>718</v>
      </c>
      <c r="G66" s="14" t="s">
        <v>719</v>
      </c>
      <c r="H66" s="14">
        <v>3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7" spans="2:9" ht="18">
      <c r="B67" t="str">
        <f>LocaleTable[[#This Row],['#인덱스제너레이터]]</f>
        <v>UI_Loading_Tip_4</v>
      </c>
      <c r="C67" s="53" t="s">
        <v>722</v>
      </c>
      <c r="D67" s="53" t="s">
        <v>855</v>
      </c>
      <c r="E67" s="14" t="s">
        <v>547</v>
      </c>
      <c r="F67" s="14" t="s">
        <v>718</v>
      </c>
      <c r="G67" s="14" t="s">
        <v>719</v>
      </c>
      <c r="H67" s="14">
        <v>4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8" spans="2:9" ht="18">
      <c r="B68" t="str">
        <f>LocaleTable[[#This Row],['#인덱스제너레이터]]</f>
        <v>UI_Loading_Tip_5</v>
      </c>
      <c r="C68" s="53" t="s">
        <v>856</v>
      </c>
      <c r="D68" s="53" t="s">
        <v>857</v>
      </c>
      <c r="E68" s="14" t="s">
        <v>547</v>
      </c>
      <c r="F68" s="14" t="s">
        <v>718</v>
      </c>
      <c r="G68" s="14" t="s">
        <v>719</v>
      </c>
      <c r="H68" s="14">
        <v>5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69" spans="2:9" ht="18">
      <c r="B69" t="str">
        <f>LocaleTable[[#This Row],['#인덱스제너레이터]]</f>
        <v>UI_Loading_Tip_6</v>
      </c>
      <c r="C69" s="53" t="s">
        <v>723</v>
      </c>
      <c r="D69" s="53" t="s">
        <v>726</v>
      </c>
      <c r="E69" s="14" t="s">
        <v>547</v>
      </c>
      <c r="F69" s="14" t="s">
        <v>718</v>
      </c>
      <c r="G69" s="14" t="s">
        <v>719</v>
      </c>
      <c r="H69" s="14">
        <v>6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0" spans="2:9" ht="18">
      <c r="B70" t="str">
        <f>LocaleTable[[#This Row],['#인덱스제너레이터]]</f>
        <v>UI_Loading_Tip_7</v>
      </c>
      <c r="C70" s="53" t="s">
        <v>724</v>
      </c>
      <c r="D70" s="53" t="s">
        <v>858</v>
      </c>
      <c r="E70" s="14" t="s">
        <v>547</v>
      </c>
      <c r="F70" s="14" t="s">
        <v>718</v>
      </c>
      <c r="G70" s="14" t="s">
        <v>719</v>
      </c>
      <c r="H70" s="14">
        <v>7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1" spans="2:9" ht="18">
      <c r="B71" t="str">
        <f>LocaleTable[[#This Row],['#인덱스제너레이터]]</f>
        <v>UI_Loading_Tip_8</v>
      </c>
      <c r="C71" s="53" t="s">
        <v>725</v>
      </c>
      <c r="D71" s="53" t="s">
        <v>727</v>
      </c>
      <c r="E71" s="14" t="s">
        <v>547</v>
      </c>
      <c r="F71" s="14" t="s">
        <v>718</v>
      </c>
      <c r="G71" s="14" t="s">
        <v>719</v>
      </c>
      <c r="H71" s="14">
        <v>8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2" spans="2:9" ht="18">
      <c r="B72" t="str">
        <f>LocaleTable[[#This Row],['#인덱스제너레이터]]</f>
        <v>UI_Loading_Tip_9</v>
      </c>
      <c r="C72" s="53" t="s">
        <v>860</v>
      </c>
      <c r="D72" s="53" t="s">
        <v>859</v>
      </c>
      <c r="E72" s="14" t="s">
        <v>547</v>
      </c>
      <c r="F72" s="14" t="s">
        <v>718</v>
      </c>
      <c r="G72" s="14" t="s">
        <v>719</v>
      </c>
      <c r="H72" s="14">
        <v>9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3" spans="2:9" ht="18">
      <c r="B73" t="str">
        <f>LocaleTable[[#This Row],['#인덱스제너레이터]]</f>
        <v>UI_Loading_Tip_10</v>
      </c>
      <c r="C73" s="53" t="s">
        <v>896</v>
      </c>
      <c r="D73" s="53" t="s">
        <v>897</v>
      </c>
      <c r="E73" s="14" t="s">
        <v>547</v>
      </c>
      <c r="F73" s="14" t="s">
        <v>718</v>
      </c>
      <c r="G73" s="14" t="s">
        <v>719</v>
      </c>
      <c r="H73" s="14">
        <v>10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4" spans="2:9" ht="18">
      <c r="B74" t="str">
        <f>LocaleTable[[#This Row],['#인덱스제너레이터]]</f>
        <v>UI_Loading_Tip_11</v>
      </c>
      <c r="C74" s="53" t="s">
        <v>894</v>
      </c>
      <c r="D74" s="53" t="s">
        <v>895</v>
      </c>
      <c r="E74" s="14" t="s">
        <v>547</v>
      </c>
      <c r="F74" s="14" t="s">
        <v>718</v>
      </c>
      <c r="G74" s="14" t="s">
        <v>719</v>
      </c>
      <c r="H74" s="14">
        <v>11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5" spans="2:9" ht="18">
      <c r="B75" t="str">
        <f>LocaleTable[[#This Row],['#인덱스제너레이터]]</f>
        <v>UI_Loading_Tip_12</v>
      </c>
      <c r="C75" s="53" t="s">
        <v>877</v>
      </c>
      <c r="D75" s="53" t="s">
        <v>878</v>
      </c>
      <c r="E75" s="14" t="s">
        <v>547</v>
      </c>
      <c r="F75" s="14" t="s">
        <v>718</v>
      </c>
      <c r="G75" s="14" t="s">
        <v>719</v>
      </c>
      <c r="H75" s="14">
        <v>12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6" spans="2:9" ht="18">
      <c r="B76" t="str">
        <f>LocaleTable[[#This Row],['#인덱스제너레이터]]</f>
        <v>UI_Boss_Dulahan_Title</v>
      </c>
      <c r="C76" s="53" t="s">
        <v>668</v>
      </c>
      <c r="D76" s="53" t="s">
        <v>671</v>
      </c>
      <c r="E76" s="14" t="s">
        <v>547</v>
      </c>
      <c r="F76" s="14" t="s">
        <v>666</v>
      </c>
      <c r="G76" s="14" t="s">
        <v>667</v>
      </c>
      <c r="H76" s="14" t="s">
        <v>581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7" spans="2:9" ht="18">
      <c r="B77" t="str">
        <f>LocaleTable[[#This Row],['#인덱스제너레이터]]</f>
        <v>UI_Boss_Dulahan_Name</v>
      </c>
      <c r="C77" s="53" t="s">
        <v>669</v>
      </c>
      <c r="D77" s="53" t="s">
        <v>670</v>
      </c>
      <c r="E77" s="14" t="s">
        <v>547</v>
      </c>
      <c r="F77" s="14" t="s">
        <v>666</v>
      </c>
      <c r="G77" s="14" t="s">
        <v>667</v>
      </c>
      <c r="H77" s="14" t="s">
        <v>338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8" spans="2:9" ht="18">
      <c r="B78" t="str">
        <f>LocaleTable[[#This Row],['#인덱스제너레이터]]</f>
        <v>Item_Name_2000</v>
      </c>
      <c r="C78" s="53" t="s">
        <v>219</v>
      </c>
      <c r="D78" s="53" t="s">
        <v>512</v>
      </c>
      <c r="E78" s="14" t="s">
        <v>541</v>
      </c>
      <c r="F78" s="14" t="s">
        <v>338</v>
      </c>
      <c r="G78" s="19">
        <v>2000</v>
      </c>
      <c r="H78" s="19"/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79" spans="2:9" ht="18">
      <c r="B79" t="str">
        <f>LocaleTable[[#This Row],['#인덱스제너레이터]]</f>
        <v>Item_Name_2001</v>
      </c>
      <c r="C79" s="53" t="s">
        <v>100</v>
      </c>
      <c r="D79" s="53" t="s">
        <v>584</v>
      </c>
      <c r="E79" s="14" t="s">
        <v>541</v>
      </c>
      <c r="F79" s="14" t="s">
        <v>338</v>
      </c>
      <c r="G79" s="19">
        <v>2001</v>
      </c>
      <c r="H79" s="19"/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80" spans="2:9" ht="18">
      <c r="B80" t="str">
        <f>LocaleTable[[#This Row],['#인덱스제너레이터]]</f>
        <v>Item_Name_2002</v>
      </c>
      <c r="C80" s="53" t="s">
        <v>103</v>
      </c>
      <c r="D80" s="53" t="s">
        <v>514</v>
      </c>
      <c r="E80" s="14" t="s">
        <v>541</v>
      </c>
      <c r="F80" s="14" t="s">
        <v>338</v>
      </c>
      <c r="G80" s="19">
        <v>2002</v>
      </c>
      <c r="H80" s="19"/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81" spans="2:9" ht="18">
      <c r="B81" t="str">
        <f>LocaleTable[[#This Row],['#인덱스제너레이터]]</f>
        <v>Item_Name_2003</v>
      </c>
      <c r="C81" s="53" t="s">
        <v>102</v>
      </c>
      <c r="D81" s="53" t="s">
        <v>585</v>
      </c>
      <c r="E81" s="14" t="s">
        <v>541</v>
      </c>
      <c r="F81" s="14" t="s">
        <v>338</v>
      </c>
      <c r="G81" s="19">
        <v>2003</v>
      </c>
      <c r="H81" s="19"/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82" spans="2:9" ht="18">
      <c r="B82" t="str">
        <f>LocaleTable[[#This Row],['#인덱스제너레이터]]</f>
        <v>Item_Name_2004</v>
      </c>
      <c r="C82" s="53" t="s">
        <v>98</v>
      </c>
      <c r="D82" s="53" t="s">
        <v>527</v>
      </c>
      <c r="E82" s="14" t="s">
        <v>541</v>
      </c>
      <c r="F82" s="14" t="s">
        <v>338</v>
      </c>
      <c r="G82" s="19">
        <v>2004</v>
      </c>
      <c r="H82" s="19"/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83" spans="2:9" ht="18">
      <c r="B83" t="str">
        <f>LocaleTable[[#This Row],['#인덱스제너레이터]]</f>
        <v>Item_Name_2005</v>
      </c>
      <c r="C83" s="53" t="s">
        <v>104</v>
      </c>
      <c r="D83" s="53" t="s">
        <v>596</v>
      </c>
      <c r="E83" s="14" t="s">
        <v>541</v>
      </c>
      <c r="F83" s="14" t="s">
        <v>338</v>
      </c>
      <c r="G83" s="19">
        <v>2005</v>
      </c>
      <c r="H83" s="19"/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84" spans="2:9" ht="18">
      <c r="B84" t="str">
        <f>LocaleTable[[#This Row],['#인덱스제너레이터]]</f>
        <v>Item_Name_3000</v>
      </c>
      <c r="C84" s="53" t="s">
        <v>36</v>
      </c>
      <c r="D84" s="53" t="s">
        <v>516</v>
      </c>
      <c r="E84" s="14" t="s">
        <v>541</v>
      </c>
      <c r="F84" s="14" t="s">
        <v>338</v>
      </c>
      <c r="G84" s="19">
        <v>3000</v>
      </c>
      <c r="H84" s="19"/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85" spans="2:9" ht="18">
      <c r="B85" t="str">
        <f>LocaleTable[[#This Row],['#인덱스제너레이터]]</f>
        <v>Item_Name_3001</v>
      </c>
      <c r="C85" s="53" t="s">
        <v>241</v>
      </c>
      <c r="D85" s="53" t="s">
        <v>530</v>
      </c>
      <c r="E85" s="14" t="s">
        <v>541</v>
      </c>
      <c r="F85" s="14" t="s">
        <v>338</v>
      </c>
      <c r="G85" s="19">
        <v>3001</v>
      </c>
      <c r="H85" s="19"/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86" spans="2:9" ht="18">
      <c r="B86" t="str">
        <f>LocaleTable[[#This Row],['#인덱스제너레이터]]</f>
        <v>Item_Name_3002</v>
      </c>
      <c r="C86" s="53" t="s">
        <v>38</v>
      </c>
      <c r="D86" s="53" t="s">
        <v>532</v>
      </c>
      <c r="E86" s="14" t="s">
        <v>541</v>
      </c>
      <c r="F86" s="14" t="s">
        <v>338</v>
      </c>
      <c r="G86" s="19">
        <v>3002</v>
      </c>
      <c r="H86" s="19"/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87" spans="2:9" ht="18">
      <c r="B87" t="str">
        <f>LocaleTable[[#This Row],['#인덱스제너레이터]]</f>
        <v>Item_Name_3003</v>
      </c>
      <c r="C87" s="53" t="s">
        <v>216</v>
      </c>
      <c r="D87" s="53" t="s">
        <v>586</v>
      </c>
      <c r="E87" s="14" t="s">
        <v>541</v>
      </c>
      <c r="F87" s="14" t="s">
        <v>338</v>
      </c>
      <c r="G87" s="19">
        <v>3003</v>
      </c>
      <c r="H87" s="19"/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88" spans="2:9" ht="18">
      <c r="B88" t="str">
        <f>LocaleTable[[#This Row],['#인덱스제너레이터]]</f>
        <v>Item_Name_3004</v>
      </c>
      <c r="C88" s="53" t="s">
        <v>227</v>
      </c>
      <c r="D88" s="53" t="s">
        <v>587</v>
      </c>
      <c r="E88" s="14" t="s">
        <v>541</v>
      </c>
      <c r="F88" s="14" t="s">
        <v>338</v>
      </c>
      <c r="G88" s="19">
        <v>3004</v>
      </c>
      <c r="H88" s="19"/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89" spans="2:9" ht="18">
      <c r="B89" t="str">
        <f>LocaleTable[[#This Row],['#인덱스제너레이터]]</f>
        <v>Item_Name_3005</v>
      </c>
      <c r="C89" s="53" t="s">
        <v>106</v>
      </c>
      <c r="D89" s="53" t="s">
        <v>588</v>
      </c>
      <c r="E89" s="14" t="s">
        <v>541</v>
      </c>
      <c r="F89" s="14" t="s">
        <v>338</v>
      </c>
      <c r="G89" s="19">
        <v>3005</v>
      </c>
      <c r="H89" s="19"/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90" spans="2:9" ht="18">
      <c r="B90" t="str">
        <f>LocaleTable[[#This Row],['#인덱스제너레이터]]</f>
        <v>Item_Name_3006</v>
      </c>
      <c r="C90" s="54" t="s">
        <v>375</v>
      </c>
      <c r="D90" s="53" t="s">
        <v>589</v>
      </c>
      <c r="E90" s="14" t="s">
        <v>541</v>
      </c>
      <c r="F90" s="14" t="s">
        <v>338</v>
      </c>
      <c r="G90" s="19">
        <v>3006</v>
      </c>
      <c r="H90" s="19"/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91" spans="2:9" ht="18">
      <c r="B91" t="str">
        <f>LocaleTable[[#This Row],['#인덱스제너레이터]]</f>
        <v>Item_Name_4000</v>
      </c>
      <c r="C91" s="53" t="s">
        <v>101</v>
      </c>
      <c r="D91" s="53" t="s">
        <v>590</v>
      </c>
      <c r="E91" s="14" t="s">
        <v>541</v>
      </c>
      <c r="F91" s="14" t="s">
        <v>338</v>
      </c>
      <c r="G91" s="19">
        <v>4000</v>
      </c>
      <c r="H91" s="19"/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Item_Name_4000</v>
      </c>
    </row>
    <row r="92" spans="2:9" ht="18">
      <c r="B92" t="str">
        <f>LocaleTable[[#This Row],['#인덱스제너레이터]]</f>
        <v>Item_Name_4001</v>
      </c>
      <c r="C92" s="53" t="s">
        <v>97</v>
      </c>
      <c r="D92" s="53" t="s">
        <v>519</v>
      </c>
      <c r="E92" s="14" t="s">
        <v>541</v>
      </c>
      <c r="F92" s="14" t="s">
        <v>338</v>
      </c>
      <c r="G92" s="19">
        <v>4001</v>
      </c>
      <c r="H92" s="19"/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93" spans="2:9" ht="18">
      <c r="B93" t="str">
        <f>LocaleTable[[#This Row],['#인덱스제너레이터]]</f>
        <v>Item_Name_4002</v>
      </c>
      <c r="C93" s="53" t="s">
        <v>225</v>
      </c>
      <c r="D93" s="53" t="s">
        <v>611</v>
      </c>
      <c r="E93" s="14" t="s">
        <v>541</v>
      </c>
      <c r="F93" s="14" t="s">
        <v>338</v>
      </c>
      <c r="G93" s="19">
        <v>4002</v>
      </c>
      <c r="H93" s="19"/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94" spans="2:9" ht="18">
      <c r="B94" t="str">
        <f>LocaleTable[[#This Row],['#인덱스제너레이터]]</f>
        <v>Item_Name_4003</v>
      </c>
      <c r="C94" s="53" t="s">
        <v>217</v>
      </c>
      <c r="D94" s="53" t="s">
        <v>597</v>
      </c>
      <c r="E94" s="14" t="s">
        <v>541</v>
      </c>
      <c r="F94" s="14" t="s">
        <v>338</v>
      </c>
      <c r="G94" s="19">
        <v>4003</v>
      </c>
      <c r="H94" s="19"/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95" spans="2:9" ht="18">
      <c r="B95" t="str">
        <f>LocaleTable[[#This Row],['#인덱스제너레이터]]</f>
        <v>Item_Name_4004</v>
      </c>
      <c r="C95" s="53" t="s">
        <v>380</v>
      </c>
      <c r="D95" s="53" t="s">
        <v>591</v>
      </c>
      <c r="E95" s="14" t="s">
        <v>541</v>
      </c>
      <c r="F95" s="14" t="s">
        <v>338</v>
      </c>
      <c r="G95" s="19">
        <v>4004</v>
      </c>
      <c r="H95" s="19"/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96" spans="2:9" ht="18">
      <c r="B96" t="str">
        <f>LocaleTable[[#This Row],['#인덱스제너레이터]]</f>
        <v>Item_Name_4005</v>
      </c>
      <c r="C96" s="53" t="s">
        <v>456</v>
      </c>
      <c r="D96" s="53" t="s">
        <v>592</v>
      </c>
      <c r="E96" s="14" t="s">
        <v>541</v>
      </c>
      <c r="F96" s="14" t="s">
        <v>338</v>
      </c>
      <c r="G96" s="19">
        <v>4005</v>
      </c>
      <c r="H96" s="19"/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97" spans="2:9" ht="18">
      <c r="B97" t="str">
        <f>LocaleTable[[#This Row],['#인덱스제너레이터]]</f>
        <v>Item_Name_4006</v>
      </c>
      <c r="C97" s="53" t="s">
        <v>460</v>
      </c>
      <c r="D97" s="53" t="s">
        <v>830</v>
      </c>
      <c r="E97" s="14" t="s">
        <v>541</v>
      </c>
      <c r="F97" s="14" t="s">
        <v>338</v>
      </c>
      <c r="G97" s="19">
        <v>4006</v>
      </c>
      <c r="H97" s="19"/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98" spans="2:9" ht="18">
      <c r="B98" t="str">
        <f>LocaleTable[[#This Row],['#인덱스제너레이터]]</f>
        <v>Item_Name_10000</v>
      </c>
      <c r="C98" s="53" t="s">
        <v>371</v>
      </c>
      <c r="D98" s="53" t="s">
        <v>593</v>
      </c>
      <c r="E98" s="14" t="s">
        <v>541</v>
      </c>
      <c r="F98" s="14" t="s">
        <v>338</v>
      </c>
      <c r="G98" s="19">
        <v>10000</v>
      </c>
      <c r="H98" s="19"/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99" spans="2:9" ht="18">
      <c r="B99" t="str">
        <f>LocaleTable[[#This Row],['#인덱스제너레이터]]</f>
        <v>Item_Name_10001</v>
      </c>
      <c r="C99" s="54" t="s">
        <v>385</v>
      </c>
      <c r="D99" s="53" t="s">
        <v>594</v>
      </c>
      <c r="E99" s="14" t="s">
        <v>541</v>
      </c>
      <c r="F99" s="14" t="s">
        <v>338</v>
      </c>
      <c r="G99" s="19">
        <v>10001</v>
      </c>
      <c r="H99" s="19"/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00" spans="2:9" ht="18">
      <c r="B100" t="str">
        <f>LocaleTable[[#This Row],['#인덱스제너레이터]]</f>
        <v>Item_Name_10002</v>
      </c>
      <c r="C100" s="54" t="s">
        <v>509</v>
      </c>
      <c r="D100" s="53" t="s">
        <v>522</v>
      </c>
      <c r="E100" s="14" t="s">
        <v>541</v>
      </c>
      <c r="F100" s="14" t="s">
        <v>338</v>
      </c>
      <c r="G100" s="19">
        <v>10002</v>
      </c>
      <c r="H100" s="19"/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01" spans="2:9" ht="18">
      <c r="B101" t="str">
        <f>LocaleTable[[#This Row],['#인덱스제너레이터]]</f>
        <v>Item_Name_10003</v>
      </c>
      <c r="C101" s="54" t="s">
        <v>373</v>
      </c>
      <c r="D101" s="53" t="s">
        <v>595</v>
      </c>
      <c r="E101" s="14" t="s">
        <v>541</v>
      </c>
      <c r="F101" s="14" t="s">
        <v>338</v>
      </c>
      <c r="G101" s="19">
        <v>10003</v>
      </c>
      <c r="H101" s="19"/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02" spans="2:9" ht="18">
      <c r="B102" t="str">
        <f>LocaleTable[[#This Row],['#인덱스제너레이터]]</f>
        <v>Item_Name_10004</v>
      </c>
      <c r="C102" s="53" t="s">
        <v>464</v>
      </c>
      <c r="D102" s="53" t="s">
        <v>524</v>
      </c>
      <c r="E102" s="14" t="s">
        <v>541</v>
      </c>
      <c r="F102" s="14" t="s">
        <v>338</v>
      </c>
      <c r="G102" s="19">
        <v>10004</v>
      </c>
      <c r="H102" s="19"/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03" spans="2:9" ht="18">
      <c r="B103" t="str">
        <f>LocaleTable[[#This Row],['#인덱스제너레이터]]</f>
        <v>Item_Name_10005</v>
      </c>
      <c r="C103" s="53" t="s">
        <v>474</v>
      </c>
      <c r="D103" s="53" t="s">
        <v>831</v>
      </c>
      <c r="E103" s="14" t="s">
        <v>541</v>
      </c>
      <c r="F103" s="14" t="s">
        <v>338</v>
      </c>
      <c r="G103" s="19">
        <v>10005</v>
      </c>
      <c r="H103" s="19"/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04" spans="2:9" ht="18">
      <c r="B104" t="str">
        <f>LocaleTable[[#This Row],['#인덱스제너레이터]]</f>
        <v>Item_Desc_2000</v>
      </c>
      <c r="C104" s="53" t="s">
        <v>414</v>
      </c>
      <c r="D104" s="53" t="s">
        <v>603</v>
      </c>
      <c r="E104" s="14" t="s">
        <v>541</v>
      </c>
      <c r="F104" s="14" t="s">
        <v>546</v>
      </c>
      <c r="G104" s="19">
        <v>2000</v>
      </c>
      <c r="H104" s="19"/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05" spans="2:9" ht="18">
      <c r="B105" t="str">
        <f>LocaleTable[[#This Row],['#인덱스제너레이터]]</f>
        <v>Item_Desc_2001</v>
      </c>
      <c r="C105" s="54" t="s">
        <v>248</v>
      </c>
      <c r="D105" s="53" t="s">
        <v>619</v>
      </c>
      <c r="E105" s="14" t="s">
        <v>541</v>
      </c>
      <c r="F105" s="14" t="s">
        <v>546</v>
      </c>
      <c r="G105" s="19">
        <v>2001</v>
      </c>
      <c r="H105" s="19"/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06" spans="2:9" ht="18">
      <c r="B106" t="str">
        <f>LocaleTable[[#This Row],['#인덱스제너레이터]]</f>
        <v>Item_Desc_2002</v>
      </c>
      <c r="C106" s="54" t="s">
        <v>239</v>
      </c>
      <c r="D106" s="53" t="s">
        <v>604</v>
      </c>
      <c r="E106" s="14" t="s">
        <v>541</v>
      </c>
      <c r="F106" s="14" t="s">
        <v>546</v>
      </c>
      <c r="G106" s="19">
        <v>2002</v>
      </c>
      <c r="H106" s="19"/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07" spans="2:9" ht="36">
      <c r="B107" t="str">
        <f>LocaleTable[[#This Row],['#인덱스제너레이터]]</f>
        <v>Item_Desc_2003</v>
      </c>
      <c r="C107" s="53" t="s">
        <v>240</v>
      </c>
      <c r="D107" s="53" t="s">
        <v>765</v>
      </c>
      <c r="E107" s="14" t="s">
        <v>541</v>
      </c>
      <c r="F107" s="14" t="s">
        <v>546</v>
      </c>
      <c r="G107" s="19">
        <v>2003</v>
      </c>
      <c r="H107" s="19"/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08" spans="2:9" ht="36">
      <c r="B108" t="str">
        <f>LocaleTable[[#This Row],['#인덱스제너레이터]]</f>
        <v>Item_Desc_2004</v>
      </c>
      <c r="C108" s="55" t="s">
        <v>387</v>
      </c>
      <c r="D108" s="53" t="s">
        <v>605</v>
      </c>
      <c r="E108" s="14" t="s">
        <v>541</v>
      </c>
      <c r="F108" s="14" t="s">
        <v>546</v>
      </c>
      <c r="G108" s="19">
        <v>2004</v>
      </c>
      <c r="H108" s="19"/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09" spans="2:9" ht="36">
      <c r="B109" t="str">
        <f>LocaleTable[[#This Row],['#인덱스제너레이터]]</f>
        <v>Item_Desc_2005</v>
      </c>
      <c r="C109" s="53" t="s">
        <v>247</v>
      </c>
      <c r="D109" s="53" t="s">
        <v>766</v>
      </c>
      <c r="E109" s="14" t="s">
        <v>541</v>
      </c>
      <c r="F109" s="14" t="s">
        <v>546</v>
      </c>
      <c r="G109" s="19">
        <v>2005</v>
      </c>
      <c r="H109" s="19"/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10" spans="2:9" ht="18">
      <c r="B110" t="str">
        <f>LocaleTable[[#This Row],['#인덱스제너레이터]]</f>
        <v>Item_Desc_3000</v>
      </c>
      <c r="C110" s="55" t="s">
        <v>606</v>
      </c>
      <c r="D110" s="53" t="s">
        <v>767</v>
      </c>
      <c r="E110" s="14" t="s">
        <v>541</v>
      </c>
      <c r="F110" s="14" t="s">
        <v>546</v>
      </c>
      <c r="G110" s="19">
        <v>3000</v>
      </c>
      <c r="H110" s="19"/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11" spans="2:9" ht="36">
      <c r="B111" t="str">
        <f>LocaleTable[[#This Row],['#인덱스제너레이터]]</f>
        <v>Item_Desc_3001</v>
      </c>
      <c r="C111" s="54" t="s">
        <v>250</v>
      </c>
      <c r="D111" s="53" t="s">
        <v>768</v>
      </c>
      <c r="E111" s="14" t="s">
        <v>541</v>
      </c>
      <c r="F111" s="14" t="s">
        <v>546</v>
      </c>
      <c r="G111" s="19">
        <v>3001</v>
      </c>
      <c r="H111" s="19"/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12" spans="2:9" ht="36">
      <c r="B112" t="str">
        <f>LocaleTable[[#This Row],['#인덱스제너레이터]]</f>
        <v>Item_Desc_3002</v>
      </c>
      <c r="C112" s="54" t="s">
        <v>388</v>
      </c>
      <c r="D112" s="53" t="s">
        <v>769</v>
      </c>
      <c r="E112" s="14" t="s">
        <v>541</v>
      </c>
      <c r="F112" s="14" t="s">
        <v>546</v>
      </c>
      <c r="G112" s="19">
        <v>3002</v>
      </c>
      <c r="H112" s="19"/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13" spans="2:9" ht="36">
      <c r="B113" t="str">
        <f>LocaleTable[[#This Row],['#인덱스제너레이터]]</f>
        <v>Item_Desc_3003</v>
      </c>
      <c r="C113" s="54" t="s">
        <v>242</v>
      </c>
      <c r="D113" s="53" t="s">
        <v>770</v>
      </c>
      <c r="E113" s="14" t="s">
        <v>541</v>
      </c>
      <c r="F113" s="14" t="s">
        <v>546</v>
      </c>
      <c r="G113" s="19">
        <v>3003</v>
      </c>
      <c r="H113" s="19"/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14" spans="2:9" ht="18">
      <c r="B114" t="str">
        <f>LocaleTable[[#This Row],['#인덱스제너레이터]]</f>
        <v>Item_Desc_3004</v>
      </c>
      <c r="C114" s="54" t="s">
        <v>244</v>
      </c>
      <c r="D114" s="53" t="s">
        <v>776</v>
      </c>
      <c r="E114" s="14" t="s">
        <v>541</v>
      </c>
      <c r="F114" s="14" t="s">
        <v>546</v>
      </c>
      <c r="G114" s="19">
        <v>3004</v>
      </c>
      <c r="H114" s="19"/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15" spans="2:9" ht="36">
      <c r="B115" t="str">
        <f>LocaleTable[[#This Row],['#인덱스제너레이터]]</f>
        <v>Item_Desc_3005</v>
      </c>
      <c r="C115" s="54" t="s">
        <v>598</v>
      </c>
      <c r="D115" s="53" t="s">
        <v>607</v>
      </c>
      <c r="E115" s="14" t="s">
        <v>541</v>
      </c>
      <c r="F115" s="14" t="s">
        <v>546</v>
      </c>
      <c r="G115" s="19">
        <v>3005</v>
      </c>
      <c r="H115" s="19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16" spans="2:9" ht="18">
      <c r="B116" t="str">
        <f>LocaleTable[[#This Row],['#인덱스제너레이터]]</f>
        <v>Item_Desc_3006</v>
      </c>
      <c r="C116" s="54" t="s">
        <v>376</v>
      </c>
      <c r="D116" s="53" t="s">
        <v>608</v>
      </c>
      <c r="E116" s="14" t="s">
        <v>541</v>
      </c>
      <c r="F116" s="14" t="s">
        <v>546</v>
      </c>
      <c r="G116" s="19">
        <v>3006</v>
      </c>
      <c r="H116" s="19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17" spans="2:9" ht="36">
      <c r="B117" t="str">
        <f>LocaleTable[[#This Row],['#인덱스제너레이터]]</f>
        <v>Item_Desc_4000</v>
      </c>
      <c r="C117" s="53" t="s">
        <v>246</v>
      </c>
      <c r="D117" s="53" t="s">
        <v>775</v>
      </c>
      <c r="E117" s="14" t="s">
        <v>541</v>
      </c>
      <c r="F117" s="14" t="s">
        <v>546</v>
      </c>
      <c r="G117" s="19">
        <v>4000</v>
      </c>
      <c r="H117" s="19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Item_Desc_4000</v>
      </c>
    </row>
    <row r="118" spans="2:9" ht="36">
      <c r="B118" t="str">
        <f>LocaleTable[[#This Row],['#인덱스제너레이터]]</f>
        <v>Item_Desc_4001</v>
      </c>
      <c r="C118" s="53" t="s">
        <v>391</v>
      </c>
      <c r="D118" s="53" t="s">
        <v>609</v>
      </c>
      <c r="E118" s="14" t="s">
        <v>541</v>
      </c>
      <c r="F118" s="14" t="s">
        <v>546</v>
      </c>
      <c r="G118" s="19">
        <v>4001</v>
      </c>
      <c r="H118" s="19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19" spans="2:9" ht="36">
      <c r="B119" t="str">
        <f>LocaleTable[[#This Row],['#인덱스제너레이터]]</f>
        <v>Item_Desc_4002</v>
      </c>
      <c r="C119" s="54" t="s">
        <v>245</v>
      </c>
      <c r="D119" s="53" t="s">
        <v>771</v>
      </c>
      <c r="E119" s="14" t="s">
        <v>541</v>
      </c>
      <c r="F119" s="14" t="s">
        <v>546</v>
      </c>
      <c r="G119" s="19">
        <v>4002</v>
      </c>
      <c r="H119" s="19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20" spans="2:9" ht="36">
      <c r="B120" t="str">
        <f>LocaleTable[[#This Row],['#인덱스제너레이터]]</f>
        <v>Item_Desc_4003</v>
      </c>
      <c r="C120" s="53" t="s">
        <v>243</v>
      </c>
      <c r="D120" s="53" t="s">
        <v>614</v>
      </c>
      <c r="E120" s="14" t="s">
        <v>541</v>
      </c>
      <c r="F120" s="14" t="s">
        <v>546</v>
      </c>
      <c r="G120" s="19">
        <v>4003</v>
      </c>
      <c r="H120" s="19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21" spans="2:9" ht="36">
      <c r="B121" t="str">
        <f>LocaleTable[[#This Row],['#인덱스제너레이터]]</f>
        <v>Item_Desc_4004</v>
      </c>
      <c r="C121" s="53" t="s">
        <v>249</v>
      </c>
      <c r="D121" s="53" t="s">
        <v>613</v>
      </c>
      <c r="E121" s="14" t="s">
        <v>541</v>
      </c>
      <c r="F121" s="14" t="s">
        <v>546</v>
      </c>
      <c r="G121" s="19">
        <v>4004</v>
      </c>
      <c r="H121" s="19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22" spans="2:9" ht="18">
      <c r="B122" t="str">
        <f>LocaleTable[[#This Row],['#인덱스제너레이터]]</f>
        <v>Item_Desc_4005</v>
      </c>
      <c r="C122" s="53" t="s">
        <v>849</v>
      </c>
      <c r="D122" s="53" t="s">
        <v>772</v>
      </c>
      <c r="E122" s="14" t="s">
        <v>541</v>
      </c>
      <c r="F122" s="14" t="s">
        <v>546</v>
      </c>
      <c r="G122" s="19">
        <v>4005</v>
      </c>
      <c r="H122" s="19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23" spans="2:9" ht="36">
      <c r="B123" t="str">
        <f>LocaleTable[[#This Row],['#인덱스제너레이터]]</f>
        <v>Item_Desc_4006</v>
      </c>
      <c r="C123" s="53" t="s">
        <v>461</v>
      </c>
      <c r="D123" s="53" t="s">
        <v>616</v>
      </c>
      <c r="E123" s="14" t="s">
        <v>541</v>
      </c>
      <c r="F123" s="14" t="s">
        <v>546</v>
      </c>
      <c r="G123" s="19">
        <v>4006</v>
      </c>
      <c r="H123" s="19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24" spans="2:9" ht="36">
      <c r="B124" t="str">
        <f>LocaleTable[[#This Row],['#인덱스제너레이터]]</f>
        <v>Item_Desc_10000</v>
      </c>
      <c r="C124" s="53" t="s">
        <v>398</v>
      </c>
      <c r="D124" s="53" t="s">
        <v>773</v>
      </c>
      <c r="E124" s="14" t="s">
        <v>541</v>
      </c>
      <c r="F124" s="14" t="s">
        <v>546</v>
      </c>
      <c r="G124" s="19">
        <v>10000</v>
      </c>
      <c r="H124" s="19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25" spans="2:9" ht="18">
      <c r="B125" t="str">
        <f>LocaleTable[[#This Row],['#인덱스제너레이터]]</f>
        <v>Item_Desc_10001</v>
      </c>
      <c r="C125" s="54" t="s">
        <v>389</v>
      </c>
      <c r="D125" s="53" t="s">
        <v>617</v>
      </c>
      <c r="E125" s="14" t="s">
        <v>541</v>
      </c>
      <c r="F125" s="14" t="s">
        <v>546</v>
      </c>
      <c r="G125" s="19">
        <v>10001</v>
      </c>
      <c r="H125" s="19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26" spans="2:9" ht="36">
      <c r="B126" t="str">
        <f>LocaleTable[[#This Row],['#인덱스제너레이터]]</f>
        <v>Item_Desc_10002</v>
      </c>
      <c r="C126" s="54" t="s">
        <v>510</v>
      </c>
      <c r="D126" s="55" t="s">
        <v>774</v>
      </c>
      <c r="E126" s="14" t="s">
        <v>541</v>
      </c>
      <c r="F126" s="14" t="s">
        <v>546</v>
      </c>
      <c r="G126" s="19">
        <v>10002</v>
      </c>
      <c r="H126" s="19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27" spans="2:9" ht="36">
      <c r="B127" t="str">
        <f>LocaleTable[[#This Row],['#인덱스제너레이터]]</f>
        <v>Item_Desc_10003</v>
      </c>
      <c r="C127" s="54" t="s">
        <v>386</v>
      </c>
      <c r="D127" s="53" t="s">
        <v>842</v>
      </c>
      <c r="E127" s="14" t="s">
        <v>541</v>
      </c>
      <c r="F127" s="14" t="s">
        <v>546</v>
      </c>
      <c r="G127" s="19">
        <v>10003</v>
      </c>
      <c r="H127" s="19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28" spans="2:9" ht="18">
      <c r="B128" t="str">
        <f>LocaleTable[[#This Row],['#인덱스제너레이터]]</f>
        <v>Item_Desc_10004</v>
      </c>
      <c r="C128" s="53" t="s">
        <v>465</v>
      </c>
      <c r="D128" s="53" t="s">
        <v>624</v>
      </c>
      <c r="E128" s="14" t="s">
        <v>541</v>
      </c>
      <c r="F128" s="14" t="s">
        <v>546</v>
      </c>
      <c r="G128" s="19">
        <v>10004</v>
      </c>
      <c r="H128" s="19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29" spans="2:9" ht="18">
      <c r="B129" t="str">
        <f>LocaleTable[[#This Row],['#인덱스제너레이터]]</f>
        <v>Item_Desc_10005</v>
      </c>
      <c r="C129" s="53" t="s">
        <v>475</v>
      </c>
      <c r="D129" s="53" t="s">
        <v>625</v>
      </c>
      <c r="E129" s="14" t="s">
        <v>541</v>
      </c>
      <c r="F129" s="14" t="s">
        <v>546</v>
      </c>
      <c r="G129" s="19">
        <v>10005</v>
      </c>
      <c r="H129" s="19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30" spans="2:9" ht="18">
      <c r="B130" t="str">
        <f>LocaleTable[[#This Row],['#인덱스제너레이터]]</f>
        <v>Item_PlusDesc_2000</v>
      </c>
      <c r="C130" s="54" t="s">
        <v>419</v>
      </c>
      <c r="D130" s="53" t="s">
        <v>626</v>
      </c>
      <c r="E130" s="14" t="s">
        <v>541</v>
      </c>
      <c r="F130" s="14" t="s">
        <v>365</v>
      </c>
      <c r="G130" s="19">
        <v>2000</v>
      </c>
      <c r="H130" s="19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31" spans="2:9" ht="18">
      <c r="B131" t="str">
        <f>LocaleTable[[#This Row],['#인덱스제너레이터]]</f>
        <v>Item_PlusDesc_2001</v>
      </c>
      <c r="C131" s="53" t="s">
        <v>810</v>
      </c>
      <c r="D131" s="53" t="s">
        <v>820</v>
      </c>
      <c r="E131" s="14" t="s">
        <v>541</v>
      </c>
      <c r="F131" s="14" t="s">
        <v>365</v>
      </c>
      <c r="G131" s="19">
        <v>2001</v>
      </c>
      <c r="H131" s="19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32" spans="2:9" ht="18">
      <c r="B132" t="str">
        <f>LocaleTable[[#This Row],['#인덱스제너레이터]]</f>
        <v>Item_PlusDesc_2002</v>
      </c>
      <c r="C132" s="53" t="s">
        <v>811</v>
      </c>
      <c r="D132" s="53" t="s">
        <v>819</v>
      </c>
      <c r="E132" s="14" t="s">
        <v>541</v>
      </c>
      <c r="F132" s="14" t="s">
        <v>365</v>
      </c>
      <c r="G132" s="19">
        <v>2002</v>
      </c>
      <c r="H132" s="19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33" spans="2:9" ht="18">
      <c r="B133" t="str">
        <f>LocaleTable[[#This Row],['#인덱스제너레이터]]</f>
        <v>Item_PlusDesc_2003</v>
      </c>
      <c r="C133" s="53" t="s">
        <v>415</v>
      </c>
      <c r="D133" s="53" t="s">
        <v>841</v>
      </c>
      <c r="E133" s="14" t="s">
        <v>541</v>
      </c>
      <c r="F133" s="14" t="s">
        <v>365</v>
      </c>
      <c r="G133" s="19">
        <v>2003</v>
      </c>
      <c r="H133" s="19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34" spans="2:9" ht="18">
      <c r="B134" t="str">
        <f>LocaleTable[[#This Row],['#인덱스제너레이터]]</f>
        <v>Item_PlusDesc_2004</v>
      </c>
      <c r="C134" s="53" t="s">
        <v>812</v>
      </c>
      <c r="D134" s="53" t="s">
        <v>818</v>
      </c>
      <c r="E134" s="14" t="s">
        <v>541</v>
      </c>
      <c r="F134" s="14" t="s">
        <v>365</v>
      </c>
      <c r="G134" s="19">
        <v>2004</v>
      </c>
      <c r="H134" s="19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35" spans="2:9" ht="18">
      <c r="B135" t="str">
        <f>LocaleTable[[#This Row],['#인덱스제너레이터]]</f>
        <v>Item_PlusDesc_2005</v>
      </c>
      <c r="C135" s="16" t="s">
        <v>832</v>
      </c>
      <c r="D135" s="53" t="s">
        <v>836</v>
      </c>
      <c r="E135" s="14" t="s">
        <v>541</v>
      </c>
      <c r="F135" s="14" t="s">
        <v>365</v>
      </c>
      <c r="G135" s="19">
        <v>2005</v>
      </c>
      <c r="H135" s="19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36" spans="2:9" ht="36">
      <c r="B136" t="str">
        <f>LocaleTable[[#This Row],['#인덱스제너레이터]]</f>
        <v>Item_PlusDesc_3000</v>
      </c>
      <c r="C136" s="55" t="s">
        <v>453</v>
      </c>
      <c r="D136" s="53" t="s">
        <v>840</v>
      </c>
      <c r="E136" s="14" t="s">
        <v>541</v>
      </c>
      <c r="F136" s="14" t="s">
        <v>365</v>
      </c>
      <c r="G136" s="19">
        <v>3000</v>
      </c>
      <c r="H136" s="19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37" spans="2:9" ht="18">
      <c r="B137" t="str">
        <f>LocaleTable[[#This Row],['#인덱스제너레이터]]</f>
        <v>Item_PlusDesc_3001</v>
      </c>
      <c r="C137" s="53" t="s">
        <v>709</v>
      </c>
      <c r="D137" s="53" t="s">
        <v>710</v>
      </c>
      <c r="E137" s="14" t="s">
        <v>541</v>
      </c>
      <c r="F137" s="14" t="s">
        <v>365</v>
      </c>
      <c r="G137" s="19">
        <v>3001</v>
      </c>
      <c r="H137" s="19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38" spans="2:9" ht="36">
      <c r="B138" t="str">
        <f>LocaleTable[[#This Row],['#인덱스제너레이터]]</f>
        <v>Item_PlusDesc_3002</v>
      </c>
      <c r="C138" s="53" t="s">
        <v>814</v>
      </c>
      <c r="D138" s="53" t="s">
        <v>839</v>
      </c>
      <c r="E138" s="14" t="s">
        <v>541</v>
      </c>
      <c r="F138" s="14" t="s">
        <v>365</v>
      </c>
      <c r="G138" s="19">
        <v>3002</v>
      </c>
      <c r="H138" s="19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39" spans="2:9" ht="18">
      <c r="B139" t="str">
        <f>LocaleTable[[#This Row],['#인덱스제너레이터]]</f>
        <v>Item_PlusDesc_3003</v>
      </c>
      <c r="C139" s="53" t="s">
        <v>384</v>
      </c>
      <c r="D139" s="53" t="s">
        <v>627</v>
      </c>
      <c r="E139" s="14" t="s">
        <v>541</v>
      </c>
      <c r="F139" s="14" t="s">
        <v>365</v>
      </c>
      <c r="G139" s="19">
        <v>3003</v>
      </c>
      <c r="H139" s="19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40" spans="2:9" ht="18">
      <c r="B140" t="str">
        <f>LocaleTable[[#This Row],['#인덱스제너레이터]]</f>
        <v>Item_PlusDesc_3004</v>
      </c>
      <c r="C140" s="53" t="s">
        <v>394</v>
      </c>
      <c r="D140" s="53" t="s">
        <v>837</v>
      </c>
      <c r="E140" s="14" t="s">
        <v>541</v>
      </c>
      <c r="F140" s="14" t="s">
        <v>365</v>
      </c>
      <c r="G140" s="19">
        <v>3004</v>
      </c>
      <c r="H140" s="19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41" spans="2:9" ht="18">
      <c r="B141" t="str">
        <f>LocaleTable[[#This Row],['#인덱스제너레이터]]</f>
        <v>Item_PlusDesc_3005</v>
      </c>
      <c r="C141" s="11" t="s">
        <v>835</v>
      </c>
      <c r="D141" s="53" t="s">
        <v>838</v>
      </c>
      <c r="E141" s="14" t="s">
        <v>541</v>
      </c>
      <c r="F141" s="14" t="s">
        <v>365</v>
      </c>
      <c r="G141" s="19">
        <v>3005</v>
      </c>
      <c r="H141" s="19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42" spans="2:9" ht="18">
      <c r="B142" t="str">
        <f>LocaleTable[[#This Row],['#인덱스제너레이터]]</f>
        <v>Item_PlusDesc_3006</v>
      </c>
      <c r="C142" s="54" t="s">
        <v>454</v>
      </c>
      <c r="D142" s="53" t="s">
        <v>628</v>
      </c>
      <c r="E142" s="14" t="s">
        <v>541</v>
      </c>
      <c r="F142" s="14" t="s">
        <v>365</v>
      </c>
      <c r="G142" s="19">
        <v>3006</v>
      </c>
      <c r="H142" s="19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43" spans="2:9" ht="18">
      <c r="B143" t="str">
        <f>LocaleTable[[#This Row],['#인덱스제너레이터]]</f>
        <v>Item_PlusDesc_4000</v>
      </c>
      <c r="C143" s="53" t="s">
        <v>424</v>
      </c>
      <c r="D143" s="53" t="s">
        <v>629</v>
      </c>
      <c r="E143" s="14" t="s">
        <v>541</v>
      </c>
      <c r="F143" s="14" t="s">
        <v>365</v>
      </c>
      <c r="G143" s="19">
        <v>4000</v>
      </c>
      <c r="H143" s="19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Item_PlusDesc_4000</v>
      </c>
    </row>
    <row r="144" spans="2:9" ht="36">
      <c r="B144" t="str">
        <f>LocaleTable[[#This Row],['#인덱스제너레이터]]</f>
        <v>Item_PlusDesc_4001</v>
      </c>
      <c r="C144" s="53" t="s">
        <v>815</v>
      </c>
      <c r="D144" s="53" t="s">
        <v>847</v>
      </c>
      <c r="E144" s="14" t="s">
        <v>541</v>
      </c>
      <c r="F144" s="14" t="s">
        <v>365</v>
      </c>
      <c r="G144" s="19">
        <v>4001</v>
      </c>
      <c r="H144" s="19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45" spans="2:9" ht="18">
      <c r="B145" t="str">
        <f>LocaleTable[[#This Row],['#인덱스제너레이터]]</f>
        <v>Item_PlusDesc_4002</v>
      </c>
      <c r="C145" s="53" t="s">
        <v>312</v>
      </c>
      <c r="D145" s="53" t="s">
        <v>630</v>
      </c>
      <c r="E145" s="14" t="s">
        <v>541</v>
      </c>
      <c r="F145" s="14" t="s">
        <v>365</v>
      </c>
      <c r="G145" s="19">
        <v>4002</v>
      </c>
      <c r="H145" s="19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46" spans="2:9" ht="18">
      <c r="B146" t="str">
        <f>LocaleTable[[#This Row],['#인덱스제너레이터]]</f>
        <v>Item_PlusDesc_4003</v>
      </c>
      <c r="C146" s="53" t="s">
        <v>397</v>
      </c>
      <c r="D146" s="53" t="s">
        <v>631</v>
      </c>
      <c r="E146" s="14" t="s">
        <v>541</v>
      </c>
      <c r="F146" s="14" t="s">
        <v>365</v>
      </c>
      <c r="G146" s="19">
        <v>4003</v>
      </c>
      <c r="H146" s="19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47" spans="2:9" ht="18">
      <c r="B147" t="str">
        <f>LocaleTable[[#This Row],['#인덱스제너레이터]]</f>
        <v>Item_PlusDesc_4004</v>
      </c>
      <c r="C147" s="53" t="s">
        <v>457</v>
      </c>
      <c r="D147" s="53" t="s">
        <v>851</v>
      </c>
      <c r="E147" s="14" t="s">
        <v>541</v>
      </c>
      <c r="F147" s="14" t="s">
        <v>365</v>
      </c>
      <c r="G147" s="19">
        <v>4004</v>
      </c>
      <c r="H147" s="19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48" spans="2:9" ht="18">
      <c r="B148" t="str">
        <f>LocaleTable[[#This Row],['#인덱스제너레이터]]</f>
        <v>Item_PlusDesc_4005</v>
      </c>
      <c r="C148" s="53" t="s">
        <v>417</v>
      </c>
      <c r="D148" s="53" t="s">
        <v>850</v>
      </c>
      <c r="E148" s="14" t="s">
        <v>541</v>
      </c>
      <c r="F148" s="14" t="s">
        <v>365</v>
      </c>
      <c r="G148" s="19">
        <v>4005</v>
      </c>
      <c r="H148" s="19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149" spans="2:9" ht="18">
      <c r="B149" t="str">
        <f>LocaleTable[[#This Row],['#인덱스제너레이터]]</f>
        <v>Item_PlusDesc_4006</v>
      </c>
      <c r="C149" s="53" t="s">
        <v>813</v>
      </c>
      <c r="D149" s="53" t="s">
        <v>821</v>
      </c>
      <c r="E149" s="14" t="s">
        <v>541</v>
      </c>
      <c r="F149" s="14" t="s">
        <v>365</v>
      </c>
      <c r="G149" s="19">
        <v>4006</v>
      </c>
      <c r="H149" s="19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150" spans="2:9" ht="18">
      <c r="B150" t="str">
        <f>LocaleTable[[#This Row],['#인덱스제너레이터]]</f>
        <v>Item_PlusDesc_10000</v>
      </c>
      <c r="C150" s="54" t="s">
        <v>372</v>
      </c>
      <c r="D150" s="53" t="s">
        <v>632</v>
      </c>
      <c r="E150" s="14" t="s">
        <v>541</v>
      </c>
      <c r="F150" s="14" t="s">
        <v>365</v>
      </c>
      <c r="G150" s="19">
        <v>10000</v>
      </c>
      <c r="H150" s="19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151" spans="2:9" ht="18">
      <c r="B151" t="str">
        <f>LocaleTable[[#This Row],['#인덱스제너레이터]]</f>
        <v>Item_PlusDesc_10001</v>
      </c>
      <c r="C151" s="54" t="s">
        <v>508</v>
      </c>
      <c r="D151" s="53" t="s">
        <v>846</v>
      </c>
      <c r="E151" s="14" t="s">
        <v>541</v>
      </c>
      <c r="F151" s="14" t="s">
        <v>365</v>
      </c>
      <c r="G151" s="19">
        <v>10001</v>
      </c>
      <c r="H151" s="19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152" spans="2:9" ht="36">
      <c r="B152" t="str">
        <f>LocaleTable[[#This Row],['#인덱스제너레이터]]</f>
        <v>Item_PlusDesc_10002</v>
      </c>
      <c r="C152" s="54" t="s">
        <v>511</v>
      </c>
      <c r="D152" s="53" t="s">
        <v>845</v>
      </c>
      <c r="E152" s="14" t="s">
        <v>541</v>
      </c>
      <c r="F152" s="14" t="s">
        <v>365</v>
      </c>
      <c r="G152" s="19">
        <v>10002</v>
      </c>
      <c r="H152" s="19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153" spans="2:9" ht="18">
      <c r="B153" t="str">
        <f>LocaleTable[[#This Row],['#인덱스제너레이터]]</f>
        <v>Item_PlusDesc_10003</v>
      </c>
      <c r="C153" s="54" t="s">
        <v>506</v>
      </c>
      <c r="D153" s="53" t="s">
        <v>844</v>
      </c>
      <c r="E153" s="14" t="s">
        <v>541</v>
      </c>
      <c r="F153" s="14" t="s">
        <v>365</v>
      </c>
      <c r="G153" s="19">
        <v>10003</v>
      </c>
      <c r="H153" s="19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154" spans="2:9" ht="18">
      <c r="B154" t="str">
        <f>LocaleTable[[#This Row],['#인덱스제너레이터]]</f>
        <v>Item_PlusDesc_10004</v>
      </c>
      <c r="C154" s="53" t="s">
        <v>466</v>
      </c>
      <c r="D154" s="53" t="s">
        <v>633</v>
      </c>
      <c r="E154" s="14" t="s">
        <v>541</v>
      </c>
      <c r="F154" s="14" t="s">
        <v>365</v>
      </c>
      <c r="G154" s="19">
        <v>10004</v>
      </c>
      <c r="H154" s="19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155" spans="2:9" ht="36">
      <c r="B155" t="str">
        <f>LocaleTable[[#This Row],['#인덱스제너레이터]]</f>
        <v>Item_PlusDesc_10005</v>
      </c>
      <c r="C155" s="53" t="s">
        <v>507</v>
      </c>
      <c r="D155" s="53" t="s">
        <v>843</v>
      </c>
      <c r="E155" s="14" t="s">
        <v>541</v>
      </c>
      <c r="F155" s="14" t="s">
        <v>365</v>
      </c>
      <c r="G155" s="19">
        <v>10005</v>
      </c>
      <c r="H155" s="19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156" spans="2:9" ht="18">
      <c r="B156" t="str">
        <f>LocaleTable[[#This Row],['#인덱스제너레이터]]</f>
        <v>Item_MinusDesc_4000</v>
      </c>
      <c r="C156" s="53" t="s">
        <v>816</v>
      </c>
      <c r="D156" s="63" t="s">
        <v>817</v>
      </c>
      <c r="E156" s="14" t="s">
        <v>541</v>
      </c>
      <c r="F156" s="14" t="s">
        <v>366</v>
      </c>
      <c r="G156" s="19">
        <v>4000</v>
      </c>
      <c r="H156" s="19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Item_MinusDesc_4000</v>
      </c>
    </row>
    <row r="157" spans="2:9" ht="18">
      <c r="B157" t="str">
        <f>LocaleTable[[#This Row],['#인덱스제너레이터]]</f>
        <v>Item_MinusDesc_4001</v>
      </c>
      <c r="C157" s="53" t="s">
        <v>390</v>
      </c>
      <c r="D157" s="63" t="s">
        <v>634</v>
      </c>
      <c r="E157" s="14" t="s">
        <v>541</v>
      </c>
      <c r="F157" s="14" t="s">
        <v>366</v>
      </c>
      <c r="G157" s="19">
        <v>4001</v>
      </c>
      <c r="H157" s="19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158" spans="2:9" ht="18">
      <c r="B158" t="str">
        <f>LocaleTable[[#This Row],['#인덱스제너레이터]]</f>
        <v>Item_MinusDesc_4002</v>
      </c>
      <c r="C158" s="53" t="s">
        <v>155</v>
      </c>
      <c r="D158" s="53" t="s">
        <v>635</v>
      </c>
      <c r="E158" s="14" t="s">
        <v>541</v>
      </c>
      <c r="F158" s="14" t="s">
        <v>366</v>
      </c>
      <c r="G158" s="19">
        <v>4002</v>
      </c>
      <c r="H158" s="19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159" spans="2:9" ht="18">
      <c r="B159" t="str">
        <f>LocaleTable[[#This Row],['#인덱스제너레이터]]</f>
        <v>Item_MinusDesc_4003</v>
      </c>
      <c r="C159" s="53" t="s">
        <v>833</v>
      </c>
      <c r="D159" s="53" t="s">
        <v>834</v>
      </c>
      <c r="E159" s="14" t="s">
        <v>541</v>
      </c>
      <c r="F159" s="14" t="s">
        <v>366</v>
      </c>
      <c r="G159" s="19">
        <v>4003</v>
      </c>
      <c r="H159" s="19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160" spans="2:9" ht="18">
      <c r="B160" t="str">
        <f>LocaleTable[[#This Row],['#인덱스제너레이터]]</f>
        <v>Item_MinusDesc_4004</v>
      </c>
      <c r="C160" s="53" t="s">
        <v>504</v>
      </c>
      <c r="D160" s="53" t="s">
        <v>636</v>
      </c>
      <c r="E160" s="14" t="s">
        <v>541</v>
      </c>
      <c r="F160" s="14" t="s">
        <v>366</v>
      </c>
      <c r="G160" s="19">
        <v>4004</v>
      </c>
      <c r="H160" s="19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161" spans="2:9" ht="18">
      <c r="B161" t="str">
        <f>LocaleTable[[#This Row],['#인덱스제너레이터]]</f>
        <v>Item_MinusDesc_4005</v>
      </c>
      <c r="C161" s="53" t="s">
        <v>459</v>
      </c>
      <c r="D161" s="53" t="s">
        <v>637</v>
      </c>
      <c r="E161" s="14" t="s">
        <v>541</v>
      </c>
      <c r="F161" s="14" t="s">
        <v>366</v>
      </c>
      <c r="G161" s="19">
        <v>4005</v>
      </c>
      <c r="H161" s="19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162" spans="2:9" ht="18">
      <c r="B162" t="str">
        <f>LocaleTable[[#This Row],['#인덱스제너레이터]]</f>
        <v>Item_MinusDesc_4006</v>
      </c>
      <c r="C162" s="53" t="s">
        <v>848</v>
      </c>
      <c r="D162" s="53" t="s">
        <v>852</v>
      </c>
      <c r="E162" s="14" t="s">
        <v>541</v>
      </c>
      <c r="F162" s="14" t="s">
        <v>366</v>
      </c>
      <c r="G162" s="19">
        <v>4006</v>
      </c>
      <c r="H162" s="19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2023-10-18T21:43:48Z</dcterms:modified>
  <cp:version>1200.0100.01</cp:version>
</cp:coreProperties>
</file>