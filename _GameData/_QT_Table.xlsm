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41235F83-46A0-4053-8ABD-A2AF6C1A5B04}" xr6:coauthVersionLast="47" xr6:coauthVersionMax="47" xr10:uidLastSave="{00000000-0000-0000-0000-000000000000}"/>
  <bookViews>
    <workbookView xWindow="-108" yWindow="-108" windowWidth="23256" windowHeight="12456" firstSheet="11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3" l="1" a="1"/>
  <c r="E24" i="3" s="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6" i="21"/>
  <c r="E6" i="21"/>
  <c r="E7" i="21"/>
  <c r="B81" i="16"/>
  <c r="E8" i="21"/>
  <c r="F8" i="21"/>
  <c r="F7" i="21"/>
  <c r="E5" i="21"/>
  <c r="F5" i="21"/>
  <c r="F3" i="21"/>
  <c r="F4" i="21"/>
  <c r="E3" i="21"/>
  <c r="E4" i="2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25" i="19" l="1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<sst xmlns="http://schemas.openxmlformats.org/spreadsheetml/2006/main" count="2656" uniqueCount="1104">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</sst>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4" dataDxfId="73">
  <autoFilter ref="B2:R33" xr:uid="{00000000-0009-0000-0100-000004000000}"/>
  <tableColumns count="17">
    <tableColumn id="1" xr3:uid="{00000000-0010-0000-1A00-000001000000}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1">
      <calculatedColumnFormula>INDEX(LocaleTable[LocaleKR],MATCH(ItemTable[[#This Row],[Name]],LocaleTable[StringKey],0))</calculatedColumnFormula>
    </tableColumn>
    <tableColumn id="13" xr3:uid="{00000000-0010-0000-1A00-00000D000000}" name="#설명" dataDxfId="7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7">
      <calculatedColumnFormula>ItemTable[[#This Row],['#Index 참조용]]</calculatedColumnFormula>
    </tableColumn>
    <tableColumn id="2" xr3:uid="{00000000-0010-0000-1A00-000002000000}" name="Name" dataDxfId="66"/>
    <tableColumn id="3" xr3:uid="{00000000-0010-0000-1A00-000003000000}" name="Desc" dataDxfId="65"/>
    <tableColumn id="18" xr3:uid="{00000000-0010-0000-1A00-000012000000}" name="PlusDesc" dataDxfId="64"/>
    <tableColumn id="19" xr3:uid="{00000000-0010-0000-1A00-000013000000}" name="MinusDesc" dataDxfId="63"/>
    <tableColumn id="4" xr3:uid="{00000000-0010-0000-1A00-000004000000}" name="GradeType" dataDxfId="62"/>
    <tableColumn id="10" xr3:uid="{00000000-0010-0000-1A00-00000A000000}" name="MaxStack" dataDxfId="61"/>
    <tableColumn id="5" xr3:uid="{00000000-0010-0000-1A00-000005000000}" name="Value" dataDxfId="60"/>
    <tableColumn id="6" xr3:uid="{00000000-0010-0000-1A00-000006000000}" name="CostHp" dataDxfId="59"/>
    <tableColumn id="7" xr3:uid="{00000000-0010-0000-1A00-000007000000}" name="CostGold" dataDxfId="58"/>
    <tableColumn id="8" xr3:uid="{00000000-0010-0000-1A00-000008000000}" name="ItemEffectDataId" dataDxfId="57"/>
    <tableColumn id="9" xr3:uid="{00000000-0010-0000-1A00-000009000000}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5">
  <autoFilter ref="B2:S41" xr:uid="{00000000-0009-0000-0100-000001000000}"/>
  <tableColumns count="18">
    <tableColumn id="2" xr3:uid="{00000000-0010-0000-1B00-000002000000}" name="#이름" dataDxfId="54">
      <calculatedColumnFormula>INDEX(ItemTable['#이름],MATCH(ItemEffectTable[[#This Row],[Index]],ItemTable[ItemEffectDataId],0))</calculatedColumnFormula>
    </tableColumn>
    <tableColumn id="3" xr3:uid="{00000000-0010-0000-1B00-000003000000}" name="#Grade" dataDxfId="53">
      <calculatedColumnFormula>INDEX(ItemTable[GradeType],MATCH(ItemEffectTable[[#This Row],[Index]],ItemTable[ItemEffectDataId],0))</calculatedColumnFormula>
    </tableColumn>
    <tableColumn id="4" xr3:uid="{00000000-0010-0000-1B00-000004000000}" name="Index" dataDxfId="5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1"/>
    <tableColumn id="12" xr3:uid="{00000000-0010-0000-1B00-00000C000000}" name="ConditionValue"/>
    <tableColumn id="1" xr3:uid="{00000000-0010-0000-1B00-000001000000}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2">
  <autoFilter ref="B2:U35" xr:uid="{00000000-0009-0000-0100-000016000000}"/>
  <tableColumns count="20">
    <tableColumn id="3" xr3:uid="{00000000-0010-0000-1C00-000003000000}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6"/>
    <tableColumn id="8" xr3:uid="{00000000-0010-0000-1C00-000008000000}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5">
  <autoFilter ref="B2:N25" xr:uid="{00000000-0009-0000-0100-000017000000}"/>
  <tableColumns count="13">
    <tableColumn id="4" xr3:uid="{00000000-0010-0000-1D00-000004000000}" name="Index" dataDxfId="24"/>
    <tableColumn id="7" xr3:uid="{00000000-0010-0000-1D00-000007000000}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2"/>
    <tableColumn id="13" xr3:uid="{00000000-0010-0000-1D00-00000D000000}" name="Param2"/>
    <tableColumn id="2" xr3:uid="{00000000-0010-0000-1D00-000002000000}" name="#Param2설명" dataDxfId="21"/>
    <tableColumn id="14" xr3:uid="{00000000-0010-0000-1D00-00000E000000}" name="Param3"/>
    <tableColumn id="3" xr3:uid="{00000000-0010-0000-1D00-000003000000}" name="#Param3설명" dataDxfId="20"/>
    <tableColumn id="8" xr3:uid="{00000000-0010-0000-1D00-000008000000}" name="Param4" dataDxfId="19"/>
    <tableColumn id="9" xr3:uid="{00000000-0010-0000-1D00-000009000000}" name="#Param3설명3" dataDxfId="18"/>
    <tableColumn id="10" xr3:uid="{00000000-0010-0000-1D00-00000A000000}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4"/>
    <tableColumn id="3" xr3:uid="{00000000-0010-0000-1E00-000003000000}" name="#리소스 유형" dataDxfId="1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60D7941-DE0A-034E-B1B7-6132CB8AE4FA}" name="표31" displayName="표31" ref="B2:F39" totalsRowShown="0">
  <autoFilter ref="B2:F39" xr:uid="{960D7941-DE0A-034E-B1B7-6132CB8AE4FA}"/>
  <tableColumns count="5">
    <tableColumn id="1" xr3:uid="{09B1B949-606D-1B40-B8B0-DA4AC4C1EC1F}" name="Index"/>
    <tableColumn id="2" xr3:uid="{575BF0B7-3E5E-5642-8C82-C47CD88F14BE}" name="LocaleId" dataDxfId="12"/>
    <tableColumn id="3" xr3:uid="{139B9400-56C9-6644-A87D-CE52E0600A5C}" name="Duration"/>
    <tableColumn id="4" xr3:uid="{2A1BF5A5-78F9-DE4B-A9D7-67414A2F9252}" name="#한국어" dataDxfId="11">
      <calculatedColumnFormula>INDEX(LocaleTable[LocaleKR],MATCH(표31[[#This Row],[LocaleId]],LocaleTable[StringKey],0))</calculatedColumnFormula>
    </tableColumn>
    <tableColumn id="5" xr3:uid="{F596FF80-B0C2-9643-BB05-5332A324D9BF}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9921875" defaultRowHeight="17.399999999999999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69921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19921875" bestFit="1" customWidth="1"/>
    <col min="6" max="6" width="11.19921875" customWidth="1"/>
    <col min="7" max="7" width="15.19921875" customWidth="1"/>
    <col min="8" max="8" width="13.19921875" customWidth="1"/>
    <col min="9" max="9" width="11.69921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69921875" customWidth="1"/>
    <col min="18" max="18" width="15.6992187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defaultColWidth="14.69921875" defaultRowHeight="17.399999999999999"/>
  <cols>
    <col min="1" max="1" width="2.5" customWidth="1"/>
    <col min="2" max="2" width="19.69921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9921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69921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69921875" bestFit="1" customWidth="1"/>
    <col min="6" max="6" width="17" bestFit="1" customWidth="1"/>
    <col min="7" max="7" width="23.69921875" bestFit="1" customWidth="1"/>
    <col min="8" max="8" width="22.69921875" bestFit="1" customWidth="1"/>
    <col min="9" max="9" width="19" bestFit="1" customWidth="1"/>
    <col min="10" max="10" width="23.19921875" bestFit="1" customWidth="1"/>
    <col min="11" max="12" width="23.19921875" customWidth="1"/>
    <col min="13" max="13" width="11.69921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69921875" defaultRowHeight="17.399999999999999"/>
  <cols>
    <col min="2" max="2" width="8.69921875" bestFit="1" customWidth="1"/>
    <col min="3" max="3" width="16" bestFit="1" customWidth="1"/>
    <col min="4" max="4" width="17.19921875" bestFit="1" customWidth="1"/>
    <col min="5" max="5" width="12.19921875" bestFit="1" customWidth="1"/>
    <col min="6" max="6" width="20.19921875" bestFit="1" customWidth="1"/>
    <col min="7" max="7" width="13.69921875" bestFit="1" customWidth="1"/>
    <col min="8" max="8" width="22.19921875" customWidth="1"/>
    <col min="9" max="9" width="17.69921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69921875" bestFit="1" customWidth="1"/>
    <col min="14" max="15" width="19.5" bestFit="1" customWidth="1"/>
    <col min="16" max="17" width="23.19921875" bestFit="1" customWidth="1"/>
    <col min="18" max="18" width="13.19921875" bestFit="1" customWidth="1"/>
    <col min="19" max="19" width="14.19921875" bestFit="1" customWidth="1"/>
    <col min="20" max="20" width="25.19921875" bestFit="1" customWidth="1"/>
    <col min="21" max="23" width="22.19921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69921875" defaultRowHeight="17.399999999999999"/>
  <cols>
    <col min="2" max="2" width="8.5" bestFit="1" customWidth="1"/>
    <col min="3" max="3" width="12.69921875" bestFit="1" customWidth="1"/>
    <col min="4" max="4" width="18.19921875" bestFit="1" customWidth="1"/>
    <col min="5" max="5" width="16.69921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19921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69921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69921875" defaultRowHeight="17.399999999999999"/>
  <cols>
    <col min="3" max="3" width="19.19921875" customWidth="1"/>
    <col min="4" max="4" width="10.19921875" bestFit="1" customWidth="1"/>
    <col min="7" max="7" width="10.69921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69921875" defaultRowHeight="17.399999999999999"/>
  <cols>
    <col min="2" max="2" width="8.69921875" bestFit="1" customWidth="1"/>
    <col min="3" max="4" width="30.19921875" customWidth="1"/>
    <col min="5" max="5" width="10.19921875" customWidth="1"/>
    <col min="6" max="6" width="14.5" customWidth="1"/>
    <col min="7" max="7" width="12.69921875" customWidth="1"/>
    <col min="8" max="8" width="14" customWidth="1"/>
    <col min="9" max="9" width="27.69921875" customWidth="1"/>
    <col min="10" max="10" width="17" customWidth="1"/>
    <col min="11" max="11" width="19.19921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19921875" bestFit="1" customWidth="1"/>
    <col min="19" max="19" width="18.19921875" bestFit="1" customWidth="1"/>
    <col min="20" max="20" width="47.19921875" customWidth="1"/>
    <col min="21" max="21" width="20.69921875" bestFit="1" customWidth="1"/>
    <col min="22" max="22" width="17.6992187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1036</v>
      </c>
      <c r="D2" s="12" t="s">
        <v>1037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1034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1035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1033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69921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19921875" bestFit="1" customWidth="1"/>
    <col min="7" max="7" width="14.69921875" bestFit="1" customWidth="1"/>
    <col min="8" max="8" width="23.69921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872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872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872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69921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19921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890</v>
      </c>
      <c r="D94">
        <v>0</v>
      </c>
      <c r="E94">
        <v>206</v>
      </c>
      <c r="F94">
        <v>0</v>
      </c>
      <c r="G94">
        <v>16</v>
      </c>
      <c r="H94" s="11" t="s">
        <v>986</v>
      </c>
    </row>
    <row r="95" spans="2:8">
      <c r="B95">
        <v>806</v>
      </c>
      <c r="C95" s="11" t="s">
        <v>890</v>
      </c>
      <c r="D95">
        <v>15</v>
      </c>
      <c r="E95">
        <v>206</v>
      </c>
      <c r="F95">
        <v>0</v>
      </c>
      <c r="G95">
        <v>16</v>
      </c>
      <c r="H95" s="11" t="s">
        <v>986</v>
      </c>
    </row>
    <row r="96" spans="2:8">
      <c r="B96">
        <v>806</v>
      </c>
      <c r="C96" s="11" t="s">
        <v>890</v>
      </c>
      <c r="D96">
        <v>-15</v>
      </c>
      <c r="E96">
        <v>206</v>
      </c>
      <c r="F96">
        <v>0</v>
      </c>
      <c r="G96">
        <v>16</v>
      </c>
      <c r="H96" s="11" t="s">
        <v>986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879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6" sqref="F6"/>
    </sheetView>
  </sheetViews>
  <sheetFormatPr defaultColWidth="8.69921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19921875" bestFit="1" customWidth="1"/>
    <col min="7" max="7" width="38.69921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890</v>
      </c>
      <c r="D7" t="b">
        <v>1</v>
      </c>
      <c r="E7">
        <v>2</v>
      </c>
      <c r="F7">
        <v>40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877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878</v>
      </c>
    </row>
    <row r="20" spans="2:7">
      <c r="B20">
        <v>3003</v>
      </c>
      <c r="C20" s="14" t="s">
        <v>874</v>
      </c>
      <c r="D20" t="b">
        <v>1</v>
      </c>
      <c r="E20">
        <v>1</v>
      </c>
      <c r="F20">
        <v>25</v>
      </c>
      <c r="G20" s="16" t="s">
        <v>875</v>
      </c>
    </row>
    <row r="21" spans="2:7">
      <c r="B21">
        <v>3004</v>
      </c>
      <c r="C21" s="14" t="s">
        <v>873</v>
      </c>
      <c r="D21" t="b">
        <v>1</v>
      </c>
      <c r="E21">
        <v>1</v>
      </c>
      <c r="F21">
        <v>25</v>
      </c>
      <c r="G21" s="16" t="s">
        <v>876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abSelected="1" topLeftCell="A15" zoomScaleNormal="100" zoomScaleSheetLayoutView="100" workbookViewId="0">
      <pane xSplit="3" topLeftCell="D1" activePane="topRight" state="frozen"/>
      <selection pane="topRight" activeCell="E27" sqref="E27"/>
    </sheetView>
  </sheetViews>
  <sheetFormatPr defaultColWidth="8.69921875" defaultRowHeight="17.399999999999999"/>
  <cols>
    <col min="1" max="1" width="8.69921875" style="72"/>
    <col min="2" max="2" width="11.5" style="42" customWidth="1"/>
    <col min="3" max="3" width="17.69921875" style="42" customWidth="1"/>
    <col min="4" max="4" width="62.19921875" style="42" customWidth="1"/>
    <col min="5" max="5" width="68.796875" style="42" customWidth="1"/>
    <col min="6" max="6" width="31.69921875" style="42" customWidth="1"/>
    <col min="7" max="7" width="8.19921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9921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19921875" style="42" customWidth="1"/>
    <col min="19" max="16384" width="8.69921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870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871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880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851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1047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1016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1018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1048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1049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848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849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889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987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15" sqref="F15"/>
    </sheetView>
  </sheetViews>
  <sheetFormatPr defaultColWidth="8.69921875" defaultRowHeight="17.399999999999999"/>
  <cols>
    <col min="1" max="1" width="8.69921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19921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1003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996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992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993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884</v>
      </c>
      <c r="I18" s="11" t="s">
        <v>823</v>
      </c>
      <c r="J18" s="11" t="s">
        <v>866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884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1008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1017</v>
      </c>
      <c r="I21" s="11" t="s">
        <v>823</v>
      </c>
      <c r="J21" s="16" t="s">
        <v>992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1017</v>
      </c>
      <c r="I22" s="16" t="s">
        <v>823</v>
      </c>
      <c r="J22" s="11" t="s">
        <v>993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1028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988</v>
      </c>
      <c r="J33" s="11" t="s">
        <v>866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996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988</v>
      </c>
      <c r="J35" s="11" t="s">
        <v>866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D13" sqref="D13"/>
    </sheetView>
  </sheetViews>
  <sheetFormatPr defaultColWidth="8.69921875" defaultRowHeight="17.399999999999999"/>
  <cols>
    <col min="2" max="2" width="17.69921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69921875" bestFit="1" customWidth="1"/>
    <col min="15" max="15" width="13.69921875" customWidth="1"/>
    <col min="16" max="16" width="13.69921875" bestFit="1" customWidth="1"/>
    <col min="17" max="19" width="13.6992187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1015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883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1026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1027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1025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114.28571428571425</v>
      </c>
      <c r="Q19" s="19">
        <f>SUMIF(ItemEffectTable23['#아이템 명칭],ItemEffectTable23[[#This Row],['#아이템 명칭]],ItemEffectTable23['#총 가치판단])</f>
        <v>39.285714285714235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39.285714285714235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0.7857142857142847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39.285714285714235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39.285714285714235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0.7857142857142847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69921875" defaultRowHeight="17.399999999999999"/>
  <cols>
    <col min="1" max="1" width="8.69921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19921875" customWidth="1"/>
    <col min="7" max="7" width="11.69921875" customWidth="1"/>
    <col min="8" max="8" width="20.69921875" customWidth="1"/>
    <col min="9" max="9" width="17.5" customWidth="1"/>
    <col min="10" max="10" width="25.69921875" customWidth="1"/>
    <col min="11" max="11" width="11.69921875" bestFit="1" customWidth="1"/>
    <col min="12" max="12" width="22.19921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991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869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991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9921875" defaultRowHeight="17.399999999999999"/>
  <cols>
    <col min="3" max="3" width="15.19921875" bestFit="1" customWidth="1"/>
    <col min="4" max="4" width="28.19921875" customWidth="1"/>
    <col min="5" max="5" width="16.19921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FD3B-0470-1742-B18A-F854DE2D5D1A}">
  <sheetPr>
    <tabColor theme="9" tint="0.79998168889431442"/>
  </sheetPr>
  <dimension ref="B1:F39"/>
  <sheetViews>
    <sheetView topLeftCell="C19" workbookViewId="0">
      <selection activeCell="E40" sqref="E40"/>
    </sheetView>
  </sheetViews>
  <sheetFormatPr defaultColWidth="11.19921875" defaultRowHeight="17.399999999999999"/>
  <cols>
    <col min="3" max="3" width="28.69921875" customWidth="1"/>
    <col min="4" max="4" width="14.296875" customWidth="1"/>
    <col min="5" max="5" width="100.296875" customWidth="1"/>
    <col min="6" max="6" width="105.796875" customWidth="1"/>
  </cols>
  <sheetData>
    <row r="1" spans="2:6">
      <c r="B1" s="16" t="s">
        <v>610</v>
      </c>
      <c r="C1" s="16" t="s">
        <v>1058</v>
      </c>
      <c r="D1" s="16" t="s">
        <v>312</v>
      </c>
      <c r="E1" s="16"/>
      <c r="F1" s="16"/>
    </row>
    <row r="2" spans="2:6">
      <c r="B2" s="16" t="s">
        <v>1056</v>
      </c>
      <c r="C2" s="16" t="s">
        <v>1057</v>
      </c>
      <c r="D2" s="16" t="s">
        <v>320</v>
      </c>
      <c r="E2" s="87" t="s">
        <v>1059</v>
      </c>
      <c r="F2" s="87" t="s">
        <v>1060</v>
      </c>
    </row>
    <row r="3" spans="2:6">
      <c r="B3">
        <v>1000</v>
      </c>
      <c r="C3" s="16" t="s">
        <v>1061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1062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1063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1064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Vash,\nyou've completed all the tutorials!</v>
      </c>
    </row>
    <row r="7" spans="2:6">
      <c r="B7">
        <v>1001</v>
      </c>
      <c r="C7" t="s">
        <v>1065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1066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1067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Ms. Bash!\nBaseball is always fun, isn't it?</v>
      </c>
    </row>
    <row r="10" spans="2:6">
      <c r="B10">
        <v>1004</v>
      </c>
      <c r="C10" t="s">
        <v>1068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Ms. Bash, you're here! \nMay you be crowned champion!</v>
      </c>
    </row>
    <row r="11" spans="2:6">
      <c r="B11">
        <v>1005</v>
      </c>
      <c r="C11" t="s">
        <v>1069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Ms. Bash! Stop Jello's run!</v>
      </c>
    </row>
    <row r="12" spans="2:6">
      <c r="B12">
        <v>1006</v>
      </c>
      <c r="C12" t="s">
        <v>1070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Ms. Bash! Saddy stopped by earlier!\nHe's been waiting for you!</v>
      </c>
    </row>
    <row r="13" spans="2:6">
      <c r="B13">
        <v>1007</v>
      </c>
      <c r="C13" t="s">
        <v>1071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Ms. Bash!\nMr. Dullahan is gunning for you!</v>
      </c>
    </row>
    <row r="14" spans="2:6">
      <c r="B14">
        <v>1008</v>
      </c>
      <c r="C14" t="s">
        <v>1072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1073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1074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1075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1076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1077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1078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1079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1080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1081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1082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1083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1084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1085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1086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1087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1088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Ms. Bash, we're at the end of the tutorial!\nIn front of me are some powerful Active Items!</v>
      </c>
    </row>
    <row r="31" spans="2:6">
      <c r="B31">
        <v>2301</v>
      </c>
      <c r="C31" t="s">
        <v>1089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1090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1091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1092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1093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1094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1095</v>
      </c>
      <c r="D37">
        <v>1</v>
      </c>
      <c r="E37" s="88" t="str">
        <f>INDEX(LocaleTable[LocaleKR],MATCH(표31[[#This Row],[LocaleId]],LocaleTable[StringKey],0))</f>
        <v>그 난폭한 젤로를 쓰러트리다니!/n엄청난 성장세입니다 배쉬 선수!</v>
      </c>
      <c r="F37" s="88" t="str">
        <f>INDEX(LocaleTable[LocaleUS],MATCH(표31[[#This Row],[LocaleId]],LocaleTable[StringKey],0))</f>
        <v>You took down that unruly Jello!/nYou're making great progress, Ms. Bash!</v>
      </c>
    </row>
    <row r="38" spans="2:6">
      <c r="B38">
        <v>3002</v>
      </c>
      <c r="C38" t="s">
        <v>1096</v>
      </c>
      <c r="D38">
        <v>1</v>
      </c>
      <c r="E38" s="88" t="str">
        <f>INDEX(LocaleTable[LocaleKR],MATCH(표31[[#This Row],[LocaleId]],LocaleTable[StringKey],0))</f>
        <v>이럴 수가! 새디마저 배쉬 선수의 손에 꺾이다니!/n이제 챔피언까지 한걸음 남았습니다!</v>
      </c>
      <c r="F38" s="88" t="str">
        <f>INDEX(LocaleTable[LocaleUS],MATCH(표31[[#This Row],[LocaleId]],LocaleTable[StringKey],0))</f>
        <v>I can't believe it! Even Saddy was defeated by Ms. Bash!/nNow you're one step away from being crowned champion!</v>
      </c>
    </row>
    <row r="39" spans="2:6">
      <c r="B39">
        <v>3003</v>
      </c>
      <c r="C39" t="s">
        <v>1097</v>
      </c>
      <c r="D39">
        <v>1</v>
      </c>
      <c r="E39" s="88" t="str">
        <f>INDEX(LocaleTable[LocaleKR],MATCH(표31[[#This Row],[LocaleId]],LocaleTable[StringKey],0))</f>
        <v>준비되시면 제 앞에서 F를 눌러주시길! 다음 층으로 가는 지하철로 보내드리겠습니다!</v>
      </c>
      <c r="F39" s="88" t="str">
        <f>INDEX(LocaleTable[LocaleUS],MATCH(표31[[#This Row],[LocaleId]],LocaleTable[StringKey],0))</f>
        <v>When you're ready, press F in front of me and I'll send you on the subway to the next level!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173" zoomScale="85" zoomScaleNormal="85" zoomScaleSheetLayoutView="100" workbookViewId="0">
      <selection activeCell="C190" sqref="C190"/>
    </sheetView>
  </sheetViews>
  <sheetFormatPr defaultColWidth="8.69921875" defaultRowHeight="17.399999999999999"/>
  <cols>
    <col min="2" max="2" width="22.69921875" customWidth="1"/>
    <col min="3" max="3" width="73.5" style="9" customWidth="1"/>
    <col min="4" max="4" width="64.19921875" customWidth="1"/>
    <col min="5" max="5" width="13.69921875" style="79" customWidth="1"/>
    <col min="6" max="6" width="12.19921875" style="79" bestFit="1" customWidth="1"/>
    <col min="7" max="7" width="16.69921875" style="79" customWidth="1"/>
    <col min="8" max="8" width="12.19921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760</v>
      </c>
      <c r="D48" s="51" t="s">
        <v>772</v>
      </c>
      <c r="E48" s="81" t="s">
        <v>473</v>
      </c>
      <c r="F48" s="81" t="s">
        <v>505</v>
      </c>
      <c r="G48" s="81" t="s">
        <v>761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765</v>
      </c>
      <c r="D49" s="51" t="s">
        <v>771</v>
      </c>
      <c r="E49" s="81" t="s">
        <v>473</v>
      </c>
      <c r="F49" s="81" t="s">
        <v>505</v>
      </c>
      <c r="G49" s="81" t="s">
        <v>761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766</v>
      </c>
      <c r="D50" s="51" t="s">
        <v>762</v>
      </c>
      <c r="E50" s="81" t="s">
        <v>473</v>
      </c>
      <c r="F50" s="81" t="s">
        <v>505</v>
      </c>
      <c r="G50" s="81" t="s">
        <v>761</v>
      </c>
      <c r="H50" s="81" t="s">
        <v>762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767</v>
      </c>
      <c r="D51" s="51" t="s">
        <v>763</v>
      </c>
      <c r="E51" s="81" t="s">
        <v>473</v>
      </c>
      <c r="F51" s="81" t="s">
        <v>505</v>
      </c>
      <c r="G51" s="81" t="s">
        <v>761</v>
      </c>
      <c r="H51" s="81" t="s">
        <v>763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768</v>
      </c>
      <c r="D52" s="51" t="s">
        <v>770</v>
      </c>
      <c r="E52" s="81" t="s">
        <v>473</v>
      </c>
      <c r="F52" s="81" t="s">
        <v>505</v>
      </c>
      <c r="G52" s="81" t="s">
        <v>761</v>
      </c>
      <c r="H52" s="81" t="s">
        <v>764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769</v>
      </c>
      <c r="D53" s="51" t="s">
        <v>571</v>
      </c>
      <c r="E53" s="81" t="s">
        <v>473</v>
      </c>
      <c r="F53" s="81" t="s">
        <v>505</v>
      </c>
      <c r="G53" s="81" t="s">
        <v>761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784</v>
      </c>
      <c r="D62" s="51" t="s">
        <v>782</v>
      </c>
      <c r="E62" s="81" t="s">
        <v>473</v>
      </c>
      <c r="F62" s="81" t="s">
        <v>780</v>
      </c>
      <c r="G62" s="81" t="s">
        <v>782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783</v>
      </c>
      <c r="D63" s="51" t="s">
        <v>781</v>
      </c>
      <c r="E63" s="81" t="s">
        <v>473</v>
      </c>
      <c r="F63" s="81" t="s">
        <v>780</v>
      </c>
      <c r="G63" s="81" t="s">
        <v>781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773</v>
      </c>
      <c r="D64" s="51" t="s">
        <v>774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735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734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736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737</v>
      </c>
      <c r="D68" s="51" t="s">
        <v>738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628</v>
      </c>
      <c r="D70" s="51" t="s">
        <v>739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741</v>
      </c>
      <c r="D72" s="51" t="s">
        <v>740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777</v>
      </c>
      <c r="D73" s="51" t="s">
        <v>778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775</v>
      </c>
      <c r="D74" s="51" t="s">
        <v>776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758</v>
      </c>
      <c r="D75" s="51" t="s">
        <v>759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916</v>
      </c>
      <c r="D78" s="51" t="s">
        <v>917</v>
      </c>
      <c r="E78" s="81" t="s">
        <v>901</v>
      </c>
      <c r="F78" s="81" t="s">
        <v>902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918</v>
      </c>
      <c r="D79" s="51" t="s">
        <v>919</v>
      </c>
      <c r="E79" s="83" t="s">
        <v>901</v>
      </c>
      <c r="F79" s="83" t="s">
        <v>902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920</v>
      </c>
      <c r="D80" s="51" t="s">
        <v>921</v>
      </c>
      <c r="E80" s="83" t="s">
        <v>901</v>
      </c>
      <c r="F80" s="83" t="s">
        <v>902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922</v>
      </c>
      <c r="D81" s="51" t="s">
        <v>923</v>
      </c>
      <c r="E81" s="83" t="s">
        <v>901</v>
      </c>
      <c r="F81" s="83" t="s">
        <v>902</v>
      </c>
      <c r="G81" s="83" t="s">
        <v>903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924</v>
      </c>
      <c r="D82" s="51" t="s">
        <v>925</v>
      </c>
      <c r="E82" s="83" t="s">
        <v>901</v>
      </c>
      <c r="F82" s="83" t="s">
        <v>902</v>
      </c>
      <c r="G82" s="83" t="s">
        <v>903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926</v>
      </c>
      <c r="D83" s="51" t="s">
        <v>927</v>
      </c>
      <c r="E83" s="83" t="s">
        <v>901</v>
      </c>
      <c r="F83" s="83" t="s">
        <v>902</v>
      </c>
      <c r="G83" s="83" t="s">
        <v>904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928</v>
      </c>
      <c r="D84" s="51" t="s">
        <v>929</v>
      </c>
      <c r="E84" s="83" t="s">
        <v>901</v>
      </c>
      <c r="F84" s="83" t="s">
        <v>902</v>
      </c>
      <c r="G84" s="83" t="s">
        <v>904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930</v>
      </c>
      <c r="D85" s="51" t="s">
        <v>931</v>
      </c>
      <c r="E85" s="83" t="s">
        <v>901</v>
      </c>
      <c r="F85" s="83" t="s">
        <v>902</v>
      </c>
      <c r="G85" s="83" t="s">
        <v>904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932</v>
      </c>
      <c r="D86" s="51" t="s">
        <v>933</v>
      </c>
      <c r="E86" s="83" t="s">
        <v>901</v>
      </c>
      <c r="F86" s="83" t="s">
        <v>902</v>
      </c>
      <c r="G86" s="83" t="s">
        <v>905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934</v>
      </c>
      <c r="D87" s="51" t="s">
        <v>935</v>
      </c>
      <c r="E87" s="83" t="s">
        <v>901</v>
      </c>
      <c r="F87" s="83" t="s">
        <v>902</v>
      </c>
      <c r="G87" s="83" t="s">
        <v>906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936</v>
      </c>
      <c r="D88" s="51" t="s">
        <v>937</v>
      </c>
      <c r="E88" s="83" t="s">
        <v>901</v>
      </c>
      <c r="F88" s="83" t="s">
        <v>902</v>
      </c>
      <c r="G88" s="83" t="s">
        <v>907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938</v>
      </c>
      <c r="D89" s="51" t="s">
        <v>939</v>
      </c>
      <c r="E89" s="83" t="s">
        <v>901</v>
      </c>
      <c r="F89" s="83" t="s">
        <v>902</v>
      </c>
      <c r="G89" s="83" t="s">
        <v>908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940</v>
      </c>
      <c r="D90" s="51" t="s">
        <v>941</v>
      </c>
      <c r="E90" s="83" t="s">
        <v>901</v>
      </c>
      <c r="F90" s="83" t="s">
        <v>902</v>
      </c>
      <c r="G90" s="83" t="s">
        <v>908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942</v>
      </c>
      <c r="D91" s="51" t="s">
        <v>943</v>
      </c>
      <c r="E91" s="83" t="s">
        <v>901</v>
      </c>
      <c r="F91" s="83" t="s">
        <v>902</v>
      </c>
      <c r="G91" s="83" t="s">
        <v>908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944</v>
      </c>
      <c r="D92" s="51" t="s">
        <v>945</v>
      </c>
      <c r="E92" s="83" t="s">
        <v>901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946</v>
      </c>
      <c r="D93" s="51" t="s">
        <v>947</v>
      </c>
      <c r="E93" s="83" t="s">
        <v>901</v>
      </c>
      <c r="F93" s="83" t="s">
        <v>497</v>
      </c>
      <c r="G93" s="83" t="s">
        <v>909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>
      <c r="B94" t="str">
        <f>LocaleTable[[#This Row],['#인덱스제너레이터]]</f>
        <v>Caster_Tutorial_Attack_2</v>
      </c>
      <c r="C94" s="9" t="s">
        <v>948</v>
      </c>
      <c r="D94" s="51" t="s">
        <v>1043</v>
      </c>
      <c r="E94" s="83" t="s">
        <v>901</v>
      </c>
      <c r="F94" s="83" t="s">
        <v>497</v>
      </c>
      <c r="G94" s="83" t="s">
        <v>909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949</v>
      </c>
      <c r="D95" s="51" t="s">
        <v>950</v>
      </c>
      <c r="E95" s="83" t="s">
        <v>901</v>
      </c>
      <c r="F95" s="83" t="s">
        <v>497</v>
      </c>
      <c r="G95" s="83" t="s">
        <v>909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951</v>
      </c>
      <c r="D96" s="51" t="s">
        <v>1044</v>
      </c>
      <c r="E96" s="83" t="s">
        <v>901</v>
      </c>
      <c r="F96" s="83" t="s">
        <v>497</v>
      </c>
      <c r="G96" s="83" t="s">
        <v>909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952</v>
      </c>
      <c r="D97" s="51" t="s">
        <v>953</v>
      </c>
      <c r="E97" s="83" t="s">
        <v>901</v>
      </c>
      <c r="F97" s="83" t="s">
        <v>497</v>
      </c>
      <c r="G97" s="83" t="s">
        <v>909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954</v>
      </c>
      <c r="D98" s="51" t="s">
        <v>955</v>
      </c>
      <c r="E98" s="83" t="s">
        <v>901</v>
      </c>
      <c r="F98" s="83" t="s">
        <v>497</v>
      </c>
      <c r="G98" s="83" t="s">
        <v>909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58" t="s">
        <v>1045</v>
      </c>
      <c r="D99" s="51" t="s">
        <v>1046</v>
      </c>
      <c r="E99" s="83" t="s">
        <v>901</v>
      </c>
      <c r="F99" s="83" t="s">
        <v>497</v>
      </c>
      <c r="G99" s="83" t="s">
        <v>909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956</v>
      </c>
      <c r="D100" s="51" t="s">
        <v>957</v>
      </c>
      <c r="E100" s="83" t="s">
        <v>901</v>
      </c>
      <c r="F100" s="83" t="s">
        <v>497</v>
      </c>
      <c r="G100" s="83" t="s">
        <v>909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958</v>
      </c>
      <c r="D101" s="51" t="s">
        <v>959</v>
      </c>
      <c r="E101" s="83" t="s">
        <v>901</v>
      </c>
      <c r="F101" s="83" t="s">
        <v>497</v>
      </c>
      <c r="G101" s="83" t="s">
        <v>909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960</v>
      </c>
      <c r="D102" s="51" t="s">
        <v>961</v>
      </c>
      <c r="E102" s="83" t="s">
        <v>901</v>
      </c>
      <c r="F102" s="83" t="s">
        <v>497</v>
      </c>
      <c r="G102" s="83" t="s">
        <v>909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962</v>
      </c>
      <c r="D103" s="51" t="s">
        <v>963</v>
      </c>
      <c r="E103" s="83" t="s">
        <v>901</v>
      </c>
      <c r="F103" s="83" t="s">
        <v>497</v>
      </c>
      <c r="G103" s="83" t="s">
        <v>910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964</v>
      </c>
      <c r="D104" s="51" t="s">
        <v>965</v>
      </c>
      <c r="E104" s="83" t="s">
        <v>901</v>
      </c>
      <c r="F104" s="83" t="s">
        <v>497</v>
      </c>
      <c r="G104" s="83" t="s">
        <v>910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966</v>
      </c>
      <c r="D105" s="51" t="s">
        <v>967</v>
      </c>
      <c r="E105" s="83" t="s">
        <v>901</v>
      </c>
      <c r="F105" s="83" t="s">
        <v>497</v>
      </c>
      <c r="G105" s="83" t="s">
        <v>911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968</v>
      </c>
      <c r="D106" s="51" t="s">
        <v>969</v>
      </c>
      <c r="E106" s="83" t="s">
        <v>901</v>
      </c>
      <c r="F106" s="83" t="s">
        <v>497</v>
      </c>
      <c r="G106" s="83" t="s">
        <v>911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970</v>
      </c>
      <c r="D107" s="51" t="s">
        <v>971</v>
      </c>
      <c r="E107" s="83" t="s">
        <v>901</v>
      </c>
      <c r="F107" s="83" t="s">
        <v>497</v>
      </c>
      <c r="G107" s="83" t="s">
        <v>911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972</v>
      </c>
      <c r="D108" s="51" t="s">
        <v>973</v>
      </c>
      <c r="E108" s="83" t="s">
        <v>901</v>
      </c>
      <c r="F108" s="83" t="s">
        <v>497</v>
      </c>
      <c r="G108" s="83" t="s">
        <v>911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974</v>
      </c>
      <c r="D109" s="51" t="s">
        <v>975</v>
      </c>
      <c r="E109" s="83" t="s">
        <v>901</v>
      </c>
      <c r="F109" s="83" t="s">
        <v>497</v>
      </c>
      <c r="G109" s="83" t="s">
        <v>912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976</v>
      </c>
      <c r="D110" s="51" t="s">
        <v>977</v>
      </c>
      <c r="E110" s="83" t="s">
        <v>901</v>
      </c>
      <c r="F110" s="83" t="s">
        <v>497</v>
      </c>
      <c r="G110" s="83" t="s">
        <v>912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978</v>
      </c>
      <c r="D111" s="51" t="s">
        <v>979</v>
      </c>
      <c r="E111" s="83" t="s">
        <v>901</v>
      </c>
      <c r="F111" s="83" t="s">
        <v>497</v>
      </c>
      <c r="G111" s="83" t="s">
        <v>912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980</v>
      </c>
      <c r="D112" s="51" t="s">
        <v>981</v>
      </c>
      <c r="E112" s="83" t="s">
        <v>901</v>
      </c>
      <c r="F112" s="83" t="s">
        <v>913</v>
      </c>
      <c r="G112" s="83" t="s">
        <v>914</v>
      </c>
      <c r="H112" s="83" t="s">
        <v>905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982</v>
      </c>
      <c r="D113" s="51" t="s">
        <v>983</v>
      </c>
      <c r="E113" s="83" t="s">
        <v>901</v>
      </c>
      <c r="F113" s="83" t="s">
        <v>913</v>
      </c>
      <c r="G113" s="83" t="s">
        <v>914</v>
      </c>
      <c r="H113" s="83" t="s">
        <v>906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984</v>
      </c>
      <c r="D114" s="51" t="s">
        <v>985</v>
      </c>
      <c r="E114" s="83" t="s">
        <v>901</v>
      </c>
      <c r="F114" s="83" t="s">
        <v>913</v>
      </c>
      <c r="G114" s="83" t="s">
        <v>914</v>
      </c>
      <c r="H114" s="83" t="s">
        <v>915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842</v>
      </c>
      <c r="D116" s="51" t="s">
        <v>843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1009</v>
      </c>
      <c r="D121" s="51" t="s">
        <v>1010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852</v>
      </c>
      <c r="D123" s="51" t="s">
        <v>853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867</v>
      </c>
      <c r="D129" s="51" t="s">
        <v>868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1019</v>
      </c>
      <c r="D131" s="51" t="s">
        <v>1020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1031</v>
      </c>
      <c r="D132" s="51" t="s">
        <v>1032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857</v>
      </c>
      <c r="D134" s="51" t="s">
        <v>854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1050</v>
      </c>
      <c r="D135" s="51" t="s">
        <v>1051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724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863</v>
      </c>
      <c r="D139" s="51" t="s">
        <v>862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725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858</v>
      </c>
      <c r="D147" s="51" t="s">
        <v>859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1011</v>
      </c>
      <c r="D152" s="51" t="s">
        <v>1012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860</v>
      </c>
      <c r="D154" s="77" t="s">
        <v>861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788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789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790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791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881</v>
      </c>
      <c r="D160" s="51" t="s">
        <v>882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226</v>
      </c>
      <c r="D161" s="51" t="s">
        <v>792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1021</v>
      </c>
      <c r="D162" s="51" t="s">
        <v>1022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1029</v>
      </c>
      <c r="D163" s="51" t="s">
        <v>1030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366</v>
      </c>
      <c r="D164" s="51" t="s">
        <v>793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855</v>
      </c>
      <c r="D165" s="51" t="s">
        <v>856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1053</v>
      </c>
      <c r="D166" s="51" t="s">
        <v>1052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732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794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885</v>
      </c>
      <c r="D170" s="77" t="s">
        <v>886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796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795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361</v>
      </c>
      <c r="D174" s="51" t="s">
        <v>730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715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714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1098</v>
      </c>
      <c r="D180" s="51" t="s">
        <v>1100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1099</v>
      </c>
      <c r="D181" s="51" t="s">
        <v>1101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726</v>
      </c>
      <c r="D182" s="51" t="s">
        <v>864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1013</v>
      </c>
      <c r="D183" s="51" t="s">
        <v>1014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1004</v>
      </c>
      <c r="D184" s="51" t="s">
        <v>1005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1040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712</v>
      </c>
      <c r="D186" s="51" t="s">
        <v>729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887</v>
      </c>
      <c r="D187" s="51" t="s">
        <v>888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728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1102</v>
      </c>
      <c r="D189" s="51" t="s">
        <v>1103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989</v>
      </c>
      <c r="D190" s="51" t="s">
        <v>990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1038</v>
      </c>
      <c r="D191" s="51" t="s">
        <v>1039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1006</v>
      </c>
      <c r="D192" s="51" t="s">
        <v>1007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1023</v>
      </c>
      <c r="D193" s="51" t="s">
        <v>1024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1041</v>
      </c>
      <c r="D194" s="51" t="s">
        <v>1042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713</v>
      </c>
      <c r="D195" s="51" t="s">
        <v>731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999</v>
      </c>
      <c r="D198" s="51" t="s">
        <v>1000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733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997</v>
      </c>
      <c r="D200" s="51" t="s">
        <v>998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1001</v>
      </c>
      <c r="D201" s="51" t="s">
        <v>1002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899</v>
      </c>
      <c r="D202" s="51" t="s">
        <v>898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895</v>
      </c>
      <c r="D203" s="51" t="s">
        <v>891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896</v>
      </c>
      <c r="D204" s="51" t="s">
        <v>892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893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900</v>
      </c>
      <c r="D206" s="51" t="s">
        <v>897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894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727</v>
      </c>
      <c r="D210" s="51" t="s">
        <v>865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825</v>
      </c>
      <c r="D211" s="51" t="s">
        <v>826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1054</v>
      </c>
      <c r="D212" s="51" t="s">
        <v>1055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994</v>
      </c>
      <c r="D213" s="51" t="s">
        <v>995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2023-11-17T10:26:45Z</dcterms:modified>
  <cp:version>1200.0100.01</cp:version>
</cp:coreProperties>
</file>