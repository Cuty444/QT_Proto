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mc:AlternateContent xmlns:mc="http://schemas.openxmlformats.org/markup-compatibility/2006">
    <mc:Choice Requires="x15">
      <x15ac:absPath xmlns:x15ac="http://schemas.microsoft.com/office/spreadsheetml/2010/11/ac" url="C:\Users\224dj\Documents\QT_Proto\_GameData\"/>
    </mc:Choice>
  </mc:AlternateContent>
  <xr:revisionPtr revIDLastSave="0" documentId="13_ncr:1_{175DBB0C-4F62-485D-A4AC-1DC2A6133519}" xr6:coauthVersionLast="47" xr6:coauthVersionMax="47" xr10:uidLastSave="{00000000-0000-0000-0000-000000000000}"/>
  <bookViews>
    <workbookView xWindow="-108" yWindow="-108" windowWidth="23256" windowHeight="12456" firstSheet="11" activeTab="12"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0" l="1"/>
  <c r="C6" i="20"/>
  <c r="C7" i="20"/>
  <c r="C8" i="20"/>
  <c r="C9" i="20"/>
  <c r="C10" i="20"/>
  <c r="C11" i="20"/>
  <c r="C12" i="20"/>
  <c r="C13" i="20"/>
  <c r="C14" i="20"/>
  <c r="C15" i="20"/>
  <c r="C16" i="20"/>
  <c r="C17" i="20"/>
  <c r="C18" i="20"/>
  <c r="C19" i="20"/>
  <c r="C20" i="20"/>
  <c r="B15" i="13" a="1"/>
  <c r="B15" i="13" s="1"/>
  <c r="B16" i="13" s="1" a="1"/>
  <c r="B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0" i="13" s="1" a="1"/>
  <c r="B30" i="13" s="1"/>
  <c r="H138" i="10"/>
  <c r="I138" i="10"/>
  <c r="H137" i="10"/>
  <c r="I137" i="10"/>
  <c r="H136" i="10"/>
  <c r="I136" i="10"/>
  <c r="G3" i="13"/>
  <c r="G4" i="13"/>
  <c r="G5" i="13"/>
  <c r="G6" i="13"/>
  <c r="G7" i="13"/>
  <c r="G8" i="13"/>
  <c r="G9" i="13"/>
  <c r="G10" i="13"/>
  <c r="G11" i="13"/>
  <c r="G12" i="13"/>
  <c r="G13" i="13"/>
  <c r="G14"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G17" i="13" l="1"/>
  <c r="G16" i="13"/>
  <c r="G15" i="13"/>
  <c r="Q16" i="13" a="1"/>
  <c r="Q16" i="13" s="1"/>
  <c r="G25" i="13"/>
  <c r="G28" i="13"/>
  <c r="G27" i="13"/>
  <c r="G26" i="13"/>
  <c r="G30" i="13"/>
  <c r="Q17" i="14"/>
  <c r="R17" i="14" s="1"/>
  <c r="R16" i="14"/>
  <c r="M14" i="19" s="1"/>
  <c r="O14" i="19" s="1"/>
  <c r="P14" i="19" s="1"/>
  <c r="J16" i="13"/>
  <c r="I16" i="13"/>
  <c r="H16" i="13"/>
  <c r="C16" i="13" s="1"/>
  <c r="P31" i="14"/>
  <c r="R31" i="14" s="1"/>
  <c r="R12" i="14"/>
  <c r="M11" i="19" s="1"/>
  <c r="O11" i="19" s="1"/>
  <c r="P11" i="19" s="1"/>
  <c r="I25" i="13"/>
  <c r="H25" i="13"/>
  <c r="J25" i="13"/>
  <c r="K17" i="13"/>
  <c r="K18" i="13"/>
  <c r="H18" i="13"/>
  <c r="H17" i="13"/>
  <c r="I18" i="13"/>
  <c r="I17" i="13"/>
  <c r="J18"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O23" i="13" a="1"/>
  <c r="O23" i="13" s="1"/>
  <c r="O22" i="13" a="1"/>
  <c r="O22" i="13" s="1"/>
  <c r="M9" i="2"/>
  <c r="L9" i="2"/>
  <c r="E5" i="9"/>
  <c r="K7" i="8"/>
  <c r="K8" i="8"/>
  <c r="K9" i="8"/>
  <c r="K10" i="8"/>
  <c r="K11" i="8"/>
  <c r="K3" i="8"/>
  <c r="K6" i="8"/>
  <c r="K5" i="8"/>
  <c r="K4" i="8"/>
  <c r="O15" i="13" a="1"/>
  <c r="O15" i="13" s="1"/>
  <c r="G18" i="13" l="1"/>
  <c r="F17" i="13"/>
  <c r="F18" i="13"/>
  <c r="D16" i="13"/>
  <c r="F8" i="13"/>
  <c r="F25" i="13"/>
  <c r="F28" i="13"/>
  <c r="F29" i="13"/>
  <c r="F9" i="13"/>
  <c r="F26" i="13"/>
  <c r="F11" i="13"/>
  <c r="F12" i="13"/>
  <c r="F16" i="13"/>
  <c r="F10" i="13"/>
  <c r="F27" i="13"/>
  <c r="F3" i="13"/>
  <c r="F4" i="13"/>
  <c r="F5" i="13"/>
  <c r="F13" i="13"/>
  <c r="F30" i="13"/>
  <c r="F7" i="13"/>
  <c r="F15" i="13"/>
  <c r="F6" i="13"/>
  <c r="F14" i="13"/>
  <c r="E16" i="13"/>
  <c r="I26" i="13"/>
  <c r="D26" i="13" s="1"/>
  <c r="J26" i="13"/>
  <c r="E26" i="13" s="1"/>
  <c r="H26" i="13"/>
  <c r="C26" i="13" s="1"/>
  <c r="C25" i="13"/>
  <c r="C17" i="13"/>
  <c r="E25" i="13"/>
  <c r="D25" i="13"/>
  <c r="E17" i="13"/>
  <c r="D17" i="13"/>
  <c r="E18" i="13"/>
  <c r="D18"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G19" i="13" l="1"/>
  <c r="K19" i="13"/>
  <c r="F19" i="13" s="1"/>
  <c r="I19" i="13"/>
  <c r="D19" i="13" s="1"/>
  <c r="J19" i="13"/>
  <c r="E19" i="13" s="1"/>
  <c r="H19" i="13"/>
  <c r="C19" i="13" s="1"/>
  <c r="J27" i="13"/>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G20" i="13" l="1"/>
  <c r="I20" i="13"/>
  <c r="D20" i="13" s="1"/>
  <c r="J20" i="13"/>
  <c r="E20" i="13" s="1"/>
  <c r="K20" i="13"/>
  <c r="F20" i="13" s="1"/>
  <c r="H20" i="13"/>
  <c r="C20" i="13" s="1"/>
  <c r="H28" i="13"/>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G21" i="13" l="1"/>
  <c r="K21" i="13"/>
  <c r="F21" i="13" s="1"/>
  <c r="I21" i="13"/>
  <c r="D21" i="13" s="1"/>
  <c r="H21" i="13"/>
  <c r="C21" i="13" s="1"/>
  <c r="J21" i="13"/>
  <c r="E21" i="13" s="1"/>
  <c r="J29" i="13"/>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G22" i="13" l="1"/>
  <c r="K22" i="13"/>
  <c r="F22" i="13" s="1"/>
  <c r="J22" i="13"/>
  <c r="E22" i="13" s="1"/>
  <c r="H22" i="13"/>
  <c r="C22" i="13" s="1"/>
  <c r="Q22" i="13" a="1"/>
  <c r="Q22" i="13" s="1"/>
  <c r="I22" i="13"/>
  <c r="D22" i="13" s="1"/>
  <c r="I30" i="13"/>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G23" i="13" l="1"/>
  <c r="J23" i="13"/>
  <c r="E23" i="13" s="1"/>
  <c r="H23" i="13"/>
  <c r="C23" i="13" s="1"/>
  <c r="Q23" i="13" a="1"/>
  <c r="Q23" i="13" s="1"/>
  <c r="I23" i="13"/>
  <c r="D23" i="13" s="1"/>
  <c r="K23" i="13"/>
  <c r="F23" i="13" s="1"/>
  <c r="I14" i="13"/>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G24" i="13" l="1"/>
  <c r="Q24" i="13" a="1"/>
  <c r="Q24" i="13" s="1"/>
  <c r="K24" i="13"/>
  <c r="F24" i="13" s="1"/>
  <c r="J24" i="13"/>
  <c r="E24" i="13" s="1"/>
  <c r="I24" i="13"/>
  <c r="D24" i="13" s="1"/>
  <c r="H24" i="13"/>
  <c r="C24" i="13" s="1"/>
  <c r="I15" i="13"/>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T14" i="19" a="1"/>
  <c r="T14" i="19" s="1"/>
  <c r="B15" i="14"/>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3" i="14"/>
  <c r="T7" i="19" a="1"/>
  <c r="T7" i="19" s="1"/>
  <c r="B4" i="14"/>
  <c r="B4" i="19" s="1"/>
  <c r="T6" i="19" a="1"/>
  <c r="T6" i="19" s="1"/>
  <c r="C6" i="14"/>
  <c r="C8" i="14"/>
  <c r="B5" i="14"/>
  <c r="B5" i="19" s="1"/>
  <c r="T4" i="19" a="1"/>
  <c r="T4" i="19" s="1"/>
  <c r="B3" i="14"/>
  <c r="B3" i="19" s="1"/>
  <c r="C4" i="14"/>
  <c r="B35" i="14"/>
  <c r="B28" i="14"/>
  <c r="B18" i="14"/>
  <c r="B15" i="19" s="1"/>
  <c r="B38" i="14"/>
  <c r="B35" i="19" s="1"/>
  <c r="B21" i="14"/>
  <c r="B19" i="14"/>
  <c r="B17" i="19" s="1"/>
  <c r="B26" i="14"/>
  <c r="B23" i="19" s="1"/>
  <c r="B24" i="14"/>
  <c r="B22" i="19" s="1"/>
  <c r="B8" i="14"/>
  <c r="C3" i="20" s="1"/>
  <c r="B30" i="14"/>
  <c r="B23" i="14"/>
  <c r="B33" i="14"/>
  <c r="T3" i="19" a="1"/>
  <c r="T3" i="19" s="1"/>
  <c r="B32" i="14"/>
  <c r="B6" i="14"/>
  <c r="B6" i="19" s="1"/>
  <c r="B20" i="14"/>
  <c r="B18" i="19" s="1"/>
  <c r="C31" i="14"/>
  <c r="B34" i="14"/>
  <c r="B25" i="14"/>
  <c r="B31" i="14"/>
  <c r="T8" i="19" a="1"/>
  <c r="T8" i="19" s="1"/>
  <c r="C7" i="14"/>
  <c r="B22" i="14"/>
  <c r="C5" i="14"/>
  <c r="B29" i="14"/>
  <c r="B36" i="14"/>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B25" i="19"/>
  <c r="B33" i="19"/>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<sst xmlns="http://schemas.openxmlformats.org/spreadsheetml/2006/main" count="2359" uniqueCount="940">
  <si>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</si>
  <si>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</si>
  <si>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</si>
  <si>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</si>
  <si>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</si>
  <si>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</si>
  <si>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</si>
  <si>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</si>
  <si>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</si>
  <si>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</si>
  <si>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</si>
  <si>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</si>
  <si>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</si>
  <si>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</si>
  <si>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</si>
  <si>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</si>
  <si>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</si>
  <si>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</si>
  <si>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</si>
  <si>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</si>
  <si>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</si>
  <si>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</si>
  <si>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</si>
  <si>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</si>
  <si>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</si>
  <si>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</si>
  <si>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</si>
  <si>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</si>
  <si>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</si>
  <si>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</si>
  <si>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</si>
  <si>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</si>
  <si>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</si>
  <si>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</si>
  <si>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</si>
  <si>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</si>
  <si>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</si>
  <si>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</si>
  <si>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</si>
  <si>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</si>
  <si>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</si>
  <si>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</si>
  <si>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</si>
  <si>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</si>
  <si>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</si>
  <si>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</si>
  <si>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</si>
  <si>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</si>
  <si>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</si>
  <si>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</si>
  <si>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</si>
  <si>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</si>
  <si>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</si>
  <si>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</si>
  <si>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</si>
  <si>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</si>
  <si>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</si>
  <si>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</si>
  <si>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</si>
  <si>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</si>
  <si>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</si>
  <si>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</si>
  <si>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</si>
  <si>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</si>
  <si>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</si>
  <si>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</si>
  <si>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</si>
  <si>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</si>
  <si>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</si>
  <si>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</si>
  <si>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</si>
  <si>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</si>
  <si>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</si>
  <si>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</si>
  <si>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</si>
  <si>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</si>
  <si>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</si>
  <si>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</si>
  <si>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</si>
  <si>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</si>
  <si>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</si>
  <si>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</si>
  <si>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</si>
  <si>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</si>
  <si>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</si>
  <si>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</si>
  <si>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</si>
  <si>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</si>
  <si>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</si>
  <si>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</si>
  <si>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</si>
  <si>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</si>
  <si>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</si>
  <si>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</si>
  <si>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</si>
  <si>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</si>
  <si>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</si>
  <si>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</si>
  <si>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</si>
  <si>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</si>
  <si>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</si>
  <si>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</si>
  <si>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</si>
  <si>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</si>
  <si>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</si>
  <si>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</si>
  <si>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</si>
  <si>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</si>
  <si>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</si>
  <si>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</si>
  <si>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</si>
  <si>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</si>
  <si>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</si>
  <si>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</si>
  <si>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</si>
  <si>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</si>
  <si>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</si>
  <si>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</si>
  <si>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</si>
  <si>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</si>
  <si>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</si>
  <si>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</si>
  <si>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</si>
  <si>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</si>
  <si>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</si>
  <si>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</si>
  <si>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</si>
  <si>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</si>
  <si>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</si>
  <si>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</si>
  <si>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</si>
  <si>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</si>
  <si>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</si>
  <si>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</si>
  <si>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</si>
  <si>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</si>
  <si>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</si>
  <si>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</si>
  <si>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</si>
  <si>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</si>
  <si>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</si>
  <si>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</si>
  <si>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</si>
  <si>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</si>
  <si>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</si>
  <si>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</si>
  <si>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</si>
  <si>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</si>
  <si>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</si>
  <si>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</si>
  <si>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</si>
  <si>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</si>
  <si>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</si>
  <si>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</si>
  <si>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</si>
  <si>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</si>
  <si>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</si>
  <si>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</si>
  <si>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</si>
  <si>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</si>
  <si>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</si>
  <si>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</si>
  <si>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</si>
  <si>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</si>
  <si>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</si>
  <si>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</si>
  <si>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</si>
  <si>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</si>
  <si>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</si>
  <si>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</si>
  <si>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</si>
  <si>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</si>
  <si>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</si>
  <si>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</si>
  <si>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</si>
  <si>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</si>
  <si>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</si>
  <si>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</si>
  <si>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</si>
  <si>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</si>
  <si>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</si>
  <si>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</si>
  <si>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</si>
  <si>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</si>
  <si>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</si>
  <si>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</si>
  <si>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</si>
  <si>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</si>
  <si>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</si>
  <si>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</si>
  <si>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</si>
  <si>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</si>
  <si>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</si>
  <si>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</si>
  <si>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</si>
  <si>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</si>
  <si>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</si>
  <si>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</si>
  <si>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</si>
  <si>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</si>
  <si>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</si>
  <si>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</si>
  <si>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</si>
  <si>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</si>
  <si>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</si>
  <si>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</si>
  <si>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</si>
  <si>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</si>
  <si>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</si>
  <si>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</si>
  <si>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</si>
  <si>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</si>
  <si>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</si>
  <si>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</si>
  <si>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</si>
  <si>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</si>
  <si>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</si>
  <si>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</si>
  <si>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</si>
  <si>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</si>
  <si>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</si>
  <si>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</si>
  <si>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</si>
  <si>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</si>
  <si>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</si>
  <si>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</si>
  <si>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</si>
  <si>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</si>
  <si>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</si>
  <si>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</si>
  <si>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</si>
  <si>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</si>
  <si>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</si>
  <si>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</si>
  <si>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</si>
  <si>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</si>
  <si>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</si>
  <si>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</si>
  <si>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</si>
  <si>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</si>
  <si>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</si>
  <si>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</si>
  <si>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</si>
  <si>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</si>
  <si>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</si>
  <si>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</si>
  <si>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</si>
  <si>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</si>
  <si>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</si>
  <si>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</si>
  <si>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</si>
  <si>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</si>
  <si>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</si>
  <si>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</si>
  <si>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</si>
  <si>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</si>
  <si>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</si>
  <si>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</si>
  <si>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</si>
  <si>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</si>
  <si>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</si>
  <si>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</si>
  <si>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</si>
  <si>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</si>
  <si>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</si>
  <si>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</si>
  <si>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</si>
  <si>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</si>
  <si>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</si>
  <si>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</si>
  <si>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</si>
  <si>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</si>
  <si>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</si>
  <si>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</si>
  <si>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</si>
  <si>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</si>
  <si>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</si>
  <si>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</si>
  <si>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</si>
  <si>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</si>
  <si>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</si>
  <si>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</si>
  <si>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</si>
  <si>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</si>
  <si>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</si>
  <si>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</si>
  <si>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</si>
  <si>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</si>
  <si>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</si>
  <si>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</si>
  <si>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</si>
  <si>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</si>
  <si>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</si>
  <si>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</si>
  <si>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</si>
  <si>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</si>
  <si>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</si>
  <si>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</si>
  <si>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</si>
  <si>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</si>
  <si>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</si>
  <si>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</si>
  <si>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</si>
  <si>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</si>
  <si>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</si>
  <si>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</si>
  <si>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</si>
  <si>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</si>
  <si>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</si>
  <si>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</si>
  <si>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</si>
  <si>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</si>
  <si>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</si>
  <si>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</si>
  <si>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</si>
  <si>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</si>
  <si>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</si>
  <si>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</si>
  <si>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</si>
  <si>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</si>
  <si>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</si>
  <si>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</si>
  <si>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</si>
  <si>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</si>
  <si>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</si>
  <si>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</si>
  <si>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</si>
  <si>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</si>
  <si>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</si>
  <si>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</si>
  <si>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</si>
  <si>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</si>
  <si>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</si>
  <si>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</si>
  <si>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</si>
  <si>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</si>
  <si>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</si>
  <si>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</si>
  <si>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</si>
  <si>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</si>
  <si>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</si>
  <si>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</si>
  <si>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</si>
  <si>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</si>
  <si>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</si>
  <si>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</si>
  <si>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</si>
  <si>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</si>
  <si>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</si>
  <si>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</si>
  <si>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</si>
  <si>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</si>
  <si>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</si>
  <si>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</si>
  <si>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</si>
  <si>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</si>
  <si>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</si>
  <si>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</si>
  <si>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</si>
  <si>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</si>
  <si>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</si>
  <si>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</si>
  <si>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</si>
  <si>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</si>
  <si>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</si>
  <si>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</si>
  <si>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</si>
  <si>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</si>
  <si>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</si>
  <si>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</si>
  <si>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</si>
  <si>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</si>
  <si>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</si>
  <si>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</si>
  <si>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</si>
  <si>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</si>
  <si>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</si>
  <si>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</si>
  <si>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</si>
  <si>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</si>
  <si>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</si>
  <si>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</si>
  <si>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</si>
  <si>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</si>
  <si>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</si>
  <si>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</si>
  <si>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</si>
  <si>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</si>
  <si>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</si>
  <si>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</si>
  <si>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</si>
  <si>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</si>
  <si>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</si>
  <si>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</si>
  <si>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</si>
  <si>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</si>
  <si>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</si>
  <si>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</si>
  <si>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</si>
  <si>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</si>
  <si>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</si>
  <si>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</si>
  <si>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</si>
  <si>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</si>
  <si>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</si>
  <si>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</si>
  <si>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</si>
  <si>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</si>
  <si>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</si>
  <si>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</si>
  <si>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</si>
  <si>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</si>
  <si>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</si>
  <si>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</si>
  <si>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</si>
  <si>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</si>
  <si>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</si>
  <si>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</si>
  <si>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</si>
  <si>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</si>
  <si>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</si>
  <si>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</si>
  <si>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</si>
  <si>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</si>
  <si>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</si>
  <si>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</si>
  <si>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</si>
  <si>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</si>
  <si>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</si>
  <si>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</si>
  <si>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</si>
  <si>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</si>
  <si>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</si>
  <si>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</si>
  <si>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</si>
  <si>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</si>
  <si>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</si>
  <si>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</si>
  <si>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</si>
  <si>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</si>
  <si>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</si>
  <si>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</si>
  <si>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</si>
  <si>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</si>
  <si>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</si>
  <si>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</si>
  <si>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</si>
  <si>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</si>
  <si>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</si>
  <si>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</si>
  <si>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</si>
  <si>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</si>
  <si>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</si>
  <si>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</si>
  <si>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</si>
  <si>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</si>
  <si>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</si>
  <si>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</si>
  <si>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</si>
  <si>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</si>
  <si>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</si>
  <si>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</si>
  <si>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</si>
  <si>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</si>
  <si>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</si>
  <si>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</si>
  <si>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</si>
  <si>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</si>
  <si>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</si>
  <si>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</si>
  <si>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</si>
  <si>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</si>
  <si>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</si>
  <si>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</si>
  <si>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</si>
  <si>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</si>
  <si>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</si>
  <si>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</si>
  <si>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</si>
  <si>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</si>
  <si>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</si>
  <si>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</si>
  <si>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</si>
  <si>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</si>
  <si>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</si>
  <si>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</si>
  <si>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</si>
  <si>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</si>
  <si>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</si>
  <si>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</si>
  <si>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</si>
  <si>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</si>
  <si>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</si>
  <si>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</si>
  <si>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</si>
  <si>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</si>
  <si>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</si>
  <si>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</si>
  <si>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</si>
  <si>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</si>
  <si>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</si>
  <si>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</si>
  <si>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</si>
  <si>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</si>
  <si>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</si>
  <si>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</si>
  <si>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</si>
  <si>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</si>
  <si>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</si>
  <si>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</si>
  <si>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</si>
  <si>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</si>
  <si>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</si>
  <si>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</si>
  <si>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</si>
  <si>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</si>
  <si>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</si>
  <si>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</si>
  <si>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</si>
  <si>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</si>
  <si>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</si>
  <si>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</si>
  <si>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</si>
  <si>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</si>
  <si>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</si>
  <si>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</si>
  <si>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</si>
  <si>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</si>
  <si>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</si>
  <si>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</si>
  <si>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</si>
  <si>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</si>
  <si>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</si>
  <si>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</si>
  <si>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</si>
  <si>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</si>
  <si>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</si>
  <si>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</si>
  <si>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</si>
  <si>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</si>
  <si>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</si>
  <si>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</si>
  <si>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</si>
  <si>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</si>
  <si>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</si>
  <si>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</si>
  <si>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</si>
  <si>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</si>
  <si>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</si>
  <si>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</si>
  <si>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</si>
  <si>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</si>
  <si>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</si>
  <si>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</si>
  <si>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</si>
  <si>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</si>
  <si>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</si>
  <si>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</si>
  <si>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</si>
  <si>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</si>
  <si>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</si>
  <si>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</si>
  <si>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</si>
  <si>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</si>
  <si>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</si>
  <si>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</si>
  <si>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</si>
  <si>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</si>
  <si>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</si>
  <si>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</si>
  <si>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</si>
  <si>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</si>
  <si>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</si>
  <si>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</si>
  <si>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</si>
  <si>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</si>
  <si>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</si>
  <si>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</si>
  <si>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</si>
  <si>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</si>
  <si>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</si>
  <si>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</si>
  <si>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</si>
  <si>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</si>
  <si>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</si>
  <si>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</si>
  <si>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</si>
  <si>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</si>
  <si>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</si>
  <si>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</si>
  <si>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</si>
  <si>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</si>
  <si>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</si>
  <si>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</si>
  <si>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</si>
  <si>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</si>
  <si>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</si>
  <si>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</si>
  <si>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</si>
  <si>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</si>
  <si>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</si>
  <si>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</si>
  <si>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</si>
  <si>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</si>
  <si>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</si>
  <si>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</si>
  <si>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</si>
  <si>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</si>
  <si>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</si>
  <si>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</si>
  <si>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</si>
  <si>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</si>
  <si>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</si>
  <si>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</si>
  <si>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</si>
  <si>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</si>
  <si>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</si>
  <si>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</si>
  <si>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</si>
  <si>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</si>
  <si>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</si>
  <si>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</si>
  <si>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</si>
  <si>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</si>
  <si>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</si>
  <si>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</si>
  <si>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</si>
  <si>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</si>
  <si>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</si>
  <si>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</si>
  <si>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</si>
  <si>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</si>
  <si>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</si>
  <si>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</si>
  <si>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</si>
  <si>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</si>
  <si>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</si>
  <si>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</si>
  <si>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</si>
  <si>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</si>
  <si>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</si>
  <si>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</si>
  <si>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</si>
  <si>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</si>
  <si>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</si>
  <si>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</si>
  <si>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</si>
  <si>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</si>
  <si>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</si>
  <si>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</si>
  <si>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</si>
  <si>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</si>
  <si>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</si>
  <si>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</si>
  <si>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</si>
  <si>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</si>
  <si>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</si>
  <si>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</si>
  <si>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</si>
  <si>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</si>
  <si>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</si>
  <si>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</si>
  <si>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</si>
  <si>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</si>
  <si>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</si>
  <si>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</si>
  <si>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</si>
  <si>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</si>
  <si>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</si>
  <si>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</si>
  <si>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</si>
  <si>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</si>
  <si>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</si>
  <si>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</si>
  <si>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</si>
  <si>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</si>
  <si>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</si>
  <si>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</si>
  <si>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</si>
  <si>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</si>
  <si>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</si>
  <si>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</si>
  <si>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</si>
  <si>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</si>
  <si>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</si>
  <si>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</si>
  <si>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</si>
  <si>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</si>
  <si>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</si>
  <si>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</si>
  <si>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</si>
  <si>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</si>
  <si>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</si>
  <si>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</si>
  <si>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</si>
  <si>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</si>
  <si>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</si>
  <si>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</si>
  <si>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</si>
  <si>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</si>
  <si>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</si>
  <si>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</si>
  <si>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</si>
  <si>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</si>
  <si>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</si>
  <si>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</si>
  <si>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</si>
  <si>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</si>
  <si>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</si>
  <si>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</si>
  <si>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</si>
  <si>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</si>
  <si>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</si>
  <si>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</si>
  <si>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</si>
  <si>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</si>
  <si>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</si>
  <si>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</si>
  <si>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</si>
  <si>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</si>
  <si>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</si>
  <si>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</si>
  <si>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</si>
  <si>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</si>
  <si>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</si>
  <si>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</si>
  <si>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</si>
  <si>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</si>
  <si>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</si>
  <si>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</si>
  <si>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</si>
  <si>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</si>
  <si>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</si>
  <si>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</si>
  <si>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</si>
  <si>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</si>
  <si>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</si>
  <si>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</si>
  <si>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</si>
  <si>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</si>
  <si>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</si>
  <si>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</si>
  <si>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</si>
  <si>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</si>
  <si>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</si>
  <si>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</si>
  <si>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</si>
  <si>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</si>
  <si>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</si>
  <si>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</si>
  <si>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</si>
  <si>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</si>
  <si>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</si>
  <si>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</si>
  <si>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</si>
  <si>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</si>
  <si>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</si>
  <si>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</si>
  <si>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</si>
  <si>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</si>
  <si>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</si>
  <si>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</si>
  <si>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</si>
  <si>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</si>
  <si>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</si>
  <si>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</si>
  <si>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</si>
  <si>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</si>
  <si>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</si>
  <si>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</si>
  <si>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</si>
  <si>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</si>
  <si>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</si>
  <si>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</si>
  <si>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</si>
  <si>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</si>
  <si>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</si>
  <si>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</si>
  <si>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</si>
  <si>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</si>
  <si>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</si>
  <si>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</si>
  <si>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</si>
  <si>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</si>
  <si>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</si>
  <si>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</si>
  <si>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</si>
  <si>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</si>
  <si>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</si>
  <si>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</si>
  <si>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</si>
  <si>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</si>
  <si>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</si>
  <si>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</si>
  <si>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</si>
  <si>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</si>
  <si>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</si>
  <si>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</si>
  <si>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</si>
  <si>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</si>
  <si>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</si>
  <si>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</si>
  <si>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</si>
  <si>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</si>
  <si>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</si>
  <si>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</si>
  <si>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</si>
  <si>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</si>
  <si>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</si>
  <si>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</si>
  <si>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</si>
  <si>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</si>
  <si>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</si>
  <si>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</si>
  <si>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</si>
  <si>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</si>
  <si>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</si>
  <si>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</si>
  <si>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</si>
  <si>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</si>
  <si>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</si>
  <si>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</si>
  <si>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</si>
  <si>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</si>
  <si>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</si>
  <si>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</si>
  <si>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</si>
  <si>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</si>
  <si>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</si>
  <si>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</si>
  <si>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</si>
  <si>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</si>
  <si>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</si>
  <si>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</si>
  <si>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</si>
  <si>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</si>
  <si>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</si>
  <si>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</si>
  <si>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</si>
  <si>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</si>
  <si>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</si>
  <si>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</si>
  <si>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</si>
  <si>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</si>
  <si>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</si>
  <si>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</si>
  <si>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</si>
  <si>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</si>
  <si>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</si>
  <si>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</si>
  <si>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</si>
  <si>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</si>
  <si>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</si>
  <si>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</si>
  <si>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</si>
  <si>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</si>
  <si>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</si>
  <si>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</si>
  <si>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</si>
  <si>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</si>
  <si>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</si>
  <si>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</si>
  <si>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</si>
  <si>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</si>
  <si>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</si>
  <si>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</si>
  <si>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</si>
  <si>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</si>
  <si>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</si>
  <si>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</si>
  <si>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</si>
  <si>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</si>
  <si>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</si>
  <si>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</si>
  <si>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</si>
  <si>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</si>
  <si>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</si>
  <si>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</si>
  <si>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</si>
  <si>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</si>
  <si>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</si>
  <si>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</si>
  <si>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</si>
  <si>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</si>
  <si>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</si>
  <si>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</si>
  <si>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</si>
  <si>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</si>
  <si>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</si>
  <si>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</si>
  <si>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</si>
  <si>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</si>
  <si>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</si>
  <si>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</si>
  <si>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</si>
  <si>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</si>
  <si>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</si>
  <si>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</si>
  <si>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</si>
  <si>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</si>
  <si>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</si>
  <si>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</si>
  <si>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</si>
  <si>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</si>
  <si>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</si>
  <si>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</si>
  <si>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</si>
  <si>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</si>
  <si>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</si>
  <si>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</si>
  <si>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</si>
  <si>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</si>
  <si>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</si>
  <si>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</si>
  <si>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</si>
  <si>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</si>
  <si>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</si>
  <si>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</si>
  <si>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</si>
  <si>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</si>
  <si>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</si>
  <si>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</si>
  <si>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</si>
  <si>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</si>
  <si>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</si>
  <si>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</si>
  <si>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</si>
  <si>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</si>
  <si>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</si>
  <si>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#Index 참조용</t>
    <phoneticPr fontId="6" type="noConversion"/>
  </si>
  <si>
    <t>Index</t>
    <phoneticPr fontId="6" type="noConversion"/>
  </si>
  <si>
    <t>젤로 왼손 공격</t>
    <phoneticPr fontId="6" type="noConversion"/>
  </si>
  <si>
    <t>젤로 공(왼손)</t>
    <phoneticPr fontId="6" type="noConversion"/>
  </si>
  <si>
    <t>젤로 공(오른손)</t>
    <phoneticPr fontId="6" type="noConversion"/>
  </si>
  <si>
    <t>Prefabs/jello_Projectile_Red.prefab</t>
    <phoneticPr fontId="6" type="noConversion"/>
  </si>
  <si>
    <t>Prefabs/jello_Projectile_Yellow.prefab</t>
    <phoneticPr fontId="6" type="noConversion"/>
  </si>
  <si>
    <t>Prefabs/jello_Projectile BigRed.prefab</t>
    <phoneticPr fontId="6" type="noConversion"/>
  </si>
  <si>
    <t>Prefabs/jello_Projectile BigYellow.prefab</t>
    <phoneticPr fontId="6" type="noConversion"/>
  </si>
  <si>
    <t>젤로 왼손이 연발 발사</t>
    <phoneticPr fontId="6" type="noConversion"/>
  </si>
  <si>
    <t>Stack*0.005</t>
    <phoneticPr fontId="1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</si>
</sst>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88">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30" fillId="0" borderId="0" xfId="0" applyFont="1">
      <alignment vertical="center"/>
    </xf>
    <xf numFmtId="0" fontId="4" fillId="2" borderId="0" xfId="0" applyFont="1" applyFill="1" applyAlignment="1">
      <alignment horizontal="left" vertical="center"/>
    </xf>
    <xf numFmtId="0" fontId="5" fillId="2" borderId="0" xfId="0" applyFont="1" applyFill="1" applyAlignment="1">
      <alignment horizontal="left" vertical="center"/>
    </xf>
  </cellXfs>
  <cellStyles count="2">
    <cellStyle name="백분율" xfId="1" builtinId="5"/>
    <cellStyle name="표준" xfId="0" builtinId="0"/>
  </cellStyles>
  <dxfs count="187">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8" totalsRowShown="0">
  <autoFilter ref="B2:I138"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8" totalsRowShown="0">
  <autoFilter ref="B2:H238"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20" totalsRowShown="0" headerRowDxfId="84">
  <autoFilter ref="B2:G20"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71" dataDxfId="70">
  <autoFilter ref="B2:R30" xr:uid="{00000000-0009-0000-0100-000004000000}"/>
  <tableColumns count="17">
    <tableColumn id="1" xr3:uid="{00000000-0010-0000-1200-000001000000}" name="#Index 참조용" dataDxfId="69">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68">
      <calculatedColumnFormula>INDEX(LocaleTable[LocaleKR],MATCH(ItemTable[[#This Row],[Name]],LocaleTable[StringKey],0))</calculatedColumnFormula>
    </tableColumn>
    <tableColumn id="13" xr3:uid="{0228A5D9-BA73-4AE8-96BB-B4E0516E7318}" name="#설명" dataDxfId="67">
      <calculatedColumnFormula>INDEX(LocaleTable[LocaleKR],MATCH(ItemTable[[#This Row],[Desc]],LocaleTable[StringKey],0))</calculatedColumnFormula>
    </tableColumn>
    <tableColumn id="12" xr3:uid="{E9E64980-0312-45FE-9FAE-1ACAEDBC3E20}" name="#이로운효과" dataDxfId="66">
      <calculatedColumnFormula>INDEX(LocaleTable[LocaleKR],MATCH(ItemTable[[#This Row],[PlusDesc]],LocaleTable[StringKey],0))</calculatedColumnFormula>
    </tableColumn>
    <tableColumn id="16" xr3:uid="{9E53E2C4-095F-4E9E-A0AD-42A61B1B0748}" name="#해로운효과" dataDxfId="65">
      <calculatedColumnFormula>IFERROR(INDEX(LocaleTable[LocaleKR],MATCH(ItemTable[[#This Row],[MinusDesc]],LocaleTable[StringKey],0)),"-")</calculatedColumnFormula>
    </tableColumn>
    <tableColumn id="14" xr3:uid="{7E111D60-6C5A-41E3-804E-886C6BF9CB1C}" name="Index" dataDxfId="64">
      <calculatedColumnFormula>ItemTable[[#This Row],['#Index 참조용]]</calculatedColumnFormula>
    </tableColumn>
    <tableColumn id="2" xr3:uid="{00000000-0010-0000-1200-000002000000}" name="Name" dataDxfId="63"/>
    <tableColumn id="3" xr3:uid="{00000000-0010-0000-1200-000003000000}" name="Desc" dataDxfId="62"/>
    <tableColumn id="18" xr3:uid="{00000000-0010-0000-1200-000012000000}" name="PlusDesc" dataDxfId="61"/>
    <tableColumn id="19" xr3:uid="{00000000-0010-0000-1200-000013000000}" name="MinusDesc" dataDxfId="60"/>
    <tableColumn id="4" xr3:uid="{00000000-0010-0000-1200-000004000000}" name="GradeType" dataDxfId="59"/>
    <tableColumn id="10" xr3:uid="{6DE5866A-8A04-9347-9CC2-5EDCEC20C35F}" name="MaxStack" dataDxfId="58"/>
    <tableColumn id="5" xr3:uid="{00000000-0010-0000-1200-000005000000}" name="Value" dataDxfId="57"/>
    <tableColumn id="6" xr3:uid="{00000000-0010-0000-1200-000006000000}" name="CostHp" dataDxfId="56"/>
    <tableColumn id="7" xr3:uid="{00000000-0010-0000-1200-000007000000}" name="CostGold" dataDxfId="55"/>
    <tableColumn id="8" xr3:uid="{00000000-0010-0000-1200-000008000000}" name="ItemEffectDataId" dataDxfId="54"/>
    <tableColumn id="9" xr3:uid="{00000000-0010-0000-1200-000009000000}" name="ItemIconPath" dataDxfId="53"/>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52">
  <autoFilter ref="B2:S38" xr:uid="{00000000-0009-0000-0100-000001000000}"/>
  <tableColumns count="18">
    <tableColumn id="2" xr3:uid="{00000000-0010-0000-1300-000002000000}" name="#이름" dataDxfId="51">
      <calculatedColumnFormula>INDEX(ItemTable['#이름],MATCH(ItemEffectTable[[#This Row],[Index]],ItemTable[ItemEffectDataId],0))</calculatedColumnFormula>
    </tableColumn>
    <tableColumn id="3" xr3:uid="{00000000-0010-0000-1300-000003000000}" name="#Grade" dataDxfId="50">
      <calculatedColumnFormula>INDEX(ItemTable[GradeType],MATCH(ItemEffectTable[[#This Row],[Index]],ItemTable[ItemEffectDataId],0))</calculatedColumnFormula>
    </tableColumn>
    <tableColumn id="4" xr3:uid="{00000000-0010-0000-1300-000004000000}" name="Index" dataDxfId="49"/>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48"/>
    <tableColumn id="12" xr3:uid="{00000000-0010-0000-1300-00000C000000}" name="ConditionValue"/>
    <tableColumn id="1" xr3:uid="{0B4ED250-DA0A-47BD-8D15-6BC486DF4AD6}" name="#트리거1" dataDxfId="47">
      <calculatedColumnFormula>IFERROR(LEFT(ItemEffectTable[[#This Row],[TriggerType]],FIND(",",ItemEffectTable[[#This Row],[TriggerType]],1)-1),ItemEffectTable[[#This Row],[TriggerType]])</calculatedColumnFormula>
    </tableColumn>
    <tableColumn id="13" xr3:uid="{9DFD0B72-F6DD-441C-A249-60E7C5627080}" name="#트리거2" dataDxfId="46">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45">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44">
      <calculatedColumnFormula>IFERROR(INDEX(스텟별가치29[발동율],MATCH(ItemEffectTable[[#This Row],['#트리거1]],스텟별가치29[트리거],0)),0)</calculatedColumnFormula>
    </tableColumn>
    <tableColumn id="17" xr3:uid="{42428A73-0C22-4408-89F6-B3F791C76DE9}" name="#트리거2 발동 간격" dataDxfId="43">
      <calculatedColumnFormula>IFERROR(INDEX(스텟별가치29[발동율],MATCH(ItemEffectTable[[#This Row],['#트리거2]],스텟별가치29[트리거],0)),-1)</calculatedColumnFormula>
    </tableColumn>
    <tableColumn id="18" xr3:uid="{63CC1E3C-7126-416C-B322-3980D5CA7D9B}" name="#트리거3 발동 간격" dataDxfId="42">
      <calculatedColumnFormula>IFERROR(INDEX(스텟별가치29[발동율],MATCH(ItemEffectTable[[#This Row],['#트리거3]],스텟별가치29[트리거],0)),-1)</calculatedColumnFormula>
    </tableColumn>
    <tableColumn id="19" xr3:uid="{F4C87584-0C3C-4533-B1C1-1A61E655B61E}" name="#발동율" dataDxfId="41">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40">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39">
  <autoFilter ref="B2:U35" xr:uid="{00000000-0009-0000-0100-000016000000}"/>
  <tableColumns count="20">
    <tableColumn id="3" xr3:uid="{E74DAA42-5E4A-4F89-AD3E-565200EEF3AE}" name="#아이템 명칭" dataDxfId="38">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37">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36"/>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35">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34">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33"/>
    <tableColumn id="8" xr3:uid="{27E501F3-F27A-44EE-8F20-18B66E39DD44}" name="#효력 가치 판단" dataDxfId="32">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31">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30">
      <calculatedColumnFormula>INDEX(ItemEffectTable[CoolTime],MATCH(ItemEffectTable23[[#This Row],[Index]],ItemEffectTable[ApplyBuffId],0))</calculatedColumnFormula>
    </tableColumn>
    <tableColumn id="2" xr3:uid="{823B8CD2-FD6B-4052-8604-4A74DB5CF8F0}" name="#발동량" dataDxfId="29">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28">
      <calculatedColumnFormula>ItemEffectTable23[[#This Row],['#효력 가치 판단]]/IF(ItemEffectTable23[[#This Row],['#발동량]]=-1,1,ItemEffectTable23[[#This Row],['#발동량]])</calculatedColumnFormula>
    </tableColumn>
    <tableColumn id="18" xr3:uid="{DAE41A94-6D6C-4B30-A4EB-3BCE15F5EA05}" name="#아이템 효력 합산" dataDxfId="27">
      <calculatedColumnFormula>SUMIF(ItemEffectTable23['#아이템 명칭],ItemEffectTable23[[#This Row],['#아이템 명칭]],ItemEffectTable23['#총 가치판단])</calculatedColumnFormula>
    </tableColumn>
    <tableColumn id="19" xr3:uid="{675E3CDD-206B-437F-8932-709A25577865}" name="#특수 효력" dataDxfId="26">
      <calculatedColumnFormula>IFERROR(INDEX(ItemEffectTable2324['#가치판단],MATCH(ItemEffectTable23[[#This Row],['#아이템 명칭]],ItemEffectTable2324['#명칭],0)),0)</calculatedColumnFormula>
    </tableColumn>
    <tableColumn id="20" xr3:uid="{3094EFE3-D751-4DC0-ABE2-2BF73B378B63}" name="#종합 효력" dataDxfId="25">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24">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23"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22">
  <autoFilter ref="B2:N20" xr:uid="{00000000-0009-0000-0100-000017000000}"/>
  <tableColumns count="13">
    <tableColumn id="4" xr3:uid="{00000000-0010-0000-1500-000004000000}" name="Index" dataDxfId="21"/>
    <tableColumn id="7" xr3:uid="{00000000-0010-0000-1500-000007000000}" name="#명칭" dataDxfId="20">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19"/>
    <tableColumn id="13" xr3:uid="{00000000-0010-0000-1500-00000D000000}" name="Param2"/>
    <tableColumn id="2" xr3:uid="{00000000-0010-0000-1500-000002000000}" name="#Param2설명" dataDxfId="18"/>
    <tableColumn id="14" xr3:uid="{00000000-0010-0000-1500-00000E000000}" name="Param3"/>
    <tableColumn id="3" xr3:uid="{00000000-0010-0000-1500-000003000000}" name="#Param3설명" dataDxfId="17"/>
    <tableColumn id="8" xr3:uid="{00000000-0010-0000-1500-000008000000}" name="Param4" dataDxfId="16"/>
    <tableColumn id="9" xr3:uid="{00000000-0010-0000-1500-000009000000}" name="#Param3설명3" dataDxfId="15"/>
    <tableColumn id="10" xr3:uid="{951A949B-EF34-47CE-8BAF-0E6EF248C2E8}" name="#가치판단" dataDxfId="14">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13">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12">
  <autoFilter ref="B2:F9" xr:uid="{00000000-0009-0000-0100-000010000000}"/>
  <tableColumns count="5">
    <tableColumn id="1" xr3:uid="{00000000-0010-0000-1600-000001000000}" name="Index"/>
    <tableColumn id="2" xr3:uid="{00000000-0010-0000-1600-000002000000}" name="#대상 아이템" dataDxfId="11"/>
    <tableColumn id="3" xr3:uid="{00000000-0010-0000-1600-000003000000}" name="#리소스 유형" dataDxfId="10"/>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9" dataDxfId="8">
  <autoFilter ref="B2:I169" xr:uid="{00000000-0009-0000-0100-000003000000}"/>
  <tableColumns count="8">
    <tableColumn id="1" xr3:uid="{00000000-0010-0000-1700-000001000000}" name="StringKey" dataDxfId="7"/>
    <tableColumn id="2" xr3:uid="{00000000-0010-0000-1700-000002000000}" name="LocaleKR" dataDxfId="6"/>
    <tableColumn id="3" xr3:uid="{00000000-0010-0000-1700-000003000000}" name="LocaleUS" dataDxfId="5"/>
    <tableColumn id="6" xr3:uid="{E3862F4E-A202-4C33-8F08-0A8EE362E05D}" name="#컴포넌트1" dataDxfId="4"/>
    <tableColumn id="7" xr3:uid="{A8B25166-9EBA-45B8-A228-83468AA6119B}" name="#컴포넌트2" dataDxfId="3"/>
    <tableColumn id="8" xr3:uid="{32BD4EBA-A1BF-40F2-89E8-6AC453E97F65}" name="#컴포넌트3" dataDxfId="2"/>
    <tableColumn id="9" xr3:uid="{E4B209A1-024F-4787-87AC-CB0822188CFE}" name="#컴포넌트4" dataDxfId="1"/>
    <tableColumn id="5" xr3:uid="{E2A87673-1FFD-49A7-BA63-308B2C186E48}" name="#인덱스제너레이터" dataDxfId="0">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defaultColWidth="8.796875" defaultRowHeight="17.399999999999999"/>
  <sheetData>
    <row r="1" spans="2:5" s="1" customFormat="1">
      <c r="B1" s="86" t="s">
        <v>184</v>
      </c>
      <c r="C1" s="87"/>
      <c r="D1" s="87"/>
      <c r="E1" s="87"/>
    </row>
    <row r="2" spans="2:5" s="1" customFormat="1">
      <c r="B2" s="87"/>
      <c r="C2" s="87"/>
      <c r="D2" s="87"/>
      <c r="E2" s="87"/>
    </row>
    <row r="3" spans="2:5" s="1" customFormat="1">
      <c r="B3" s="87"/>
      <c r="C3" s="87"/>
      <c r="D3" s="87"/>
      <c r="E3" s="87"/>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defaultColWidth="8.796875" defaultRowHeight="17.399999999999999"/>
  <cols>
    <col min="2" max="2" width="10.19921875" customWidth="1"/>
    <col min="3" max="3" width="12.19921875" customWidth="1"/>
    <col min="4" max="4" width="12.69921875" bestFit="1" customWidth="1"/>
    <col min="5" max="5" width="10.296875" bestFit="1" customWidth="1"/>
    <col min="6" max="6" width="11.19921875" customWidth="1"/>
    <col min="7" max="7" width="15.19921875" customWidth="1"/>
    <col min="8" max="8" width="13.296875" customWidth="1"/>
    <col min="9" max="9" width="11.796875" customWidth="1"/>
    <col min="11" max="12" width="16" customWidth="1"/>
    <col min="13" max="13" width="17.19921875" customWidth="1"/>
    <col min="14" max="14" width="16.69921875" customWidth="1"/>
    <col min="15" max="15" width="16.19921875" customWidth="1"/>
    <col min="16" max="16" width="17" customWidth="1"/>
    <col min="17" max="17" width="14.796875" customWidth="1"/>
    <col min="18" max="18" width="15.69921875" customWidth="1"/>
  </cols>
  <sheetData>
    <row r="1" spans="2:18" s="1" customFormat="1">
      <c r="B1" s="86" t="s">
        <v>117</v>
      </c>
      <c r="C1" s="87"/>
      <c r="D1" s="87"/>
      <c r="E1" s="87"/>
    </row>
    <row r="2" spans="2:18" s="1" customFormat="1">
      <c r="B2" s="87"/>
      <c r="C2" s="87"/>
      <c r="D2" s="87"/>
      <c r="E2" s="87"/>
    </row>
    <row r="3" spans="2:18" s="1" customFormat="1">
      <c r="B3" s="87"/>
      <c r="C3" s="87"/>
      <c r="D3" s="87"/>
      <c r="E3" s="87"/>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defaultColWidth="14.69921875" defaultRowHeight="17.399999999999999"/>
  <cols>
    <col min="1" max="1" width="2.5" customWidth="1"/>
    <col min="2" max="2" width="19.796875" customWidth="1"/>
    <col min="3" max="3" width="20.5" customWidth="1"/>
    <col min="4" max="4" width="41.19921875" customWidth="1"/>
    <col min="5" max="5" width="17" customWidth="1"/>
    <col min="6" max="6" width="13.19921875" customWidth="1"/>
    <col min="7" max="7" width="3.5" customWidth="1"/>
    <col min="8" max="12" width="16.5" customWidth="1"/>
    <col min="13" max="13" width="2.5" customWidth="1"/>
    <col min="14" max="14" width="15.69921875" customWidth="1"/>
    <col min="15" max="15" width="18.5" customWidth="1"/>
  </cols>
  <sheetData>
    <row r="1" spans="1:17" s="1" customFormat="1">
      <c r="B1" s="86" t="s">
        <v>164</v>
      </c>
      <c r="C1" s="87"/>
      <c r="D1" s="87"/>
      <c r="E1" s="87"/>
      <c r="F1" s="87"/>
      <c r="G1" s="87"/>
    </row>
    <row r="2" spans="1:17" s="1" customFormat="1">
      <c r="B2" s="87"/>
      <c r="C2" s="87"/>
      <c r="D2" s="87"/>
      <c r="E2" s="87"/>
      <c r="F2" s="87"/>
      <c r="G2" s="87"/>
    </row>
    <row r="3" spans="1:17" s="1" customFormat="1">
      <c r="B3" s="87"/>
      <c r="C3" s="87"/>
      <c r="D3" s="87"/>
      <c r="E3" s="87"/>
      <c r="F3" s="87"/>
      <c r="G3" s="87"/>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c r="A12" s="9"/>
      <c r="B12" s="9" t="s">
        <v>108</v>
      </c>
      <c r="C12" s="10" t="s">
        <v>16</v>
      </c>
      <c r="D12" t="s">
        <v>74</v>
      </c>
      <c r="E12" s="19">
        <v>0</v>
      </c>
      <c r="F12" s="64">
        <v>0</v>
      </c>
      <c r="H12" s="11" t="s">
        <v>624</v>
      </c>
      <c r="I12" s="11" t="s">
        <v>625</v>
      </c>
      <c r="J12" s="11" t="s">
        <v>626</v>
      </c>
      <c r="K12" t="s">
        <v>618</v>
      </c>
      <c r="L12" t="s">
        <v>619</v>
      </c>
    </row>
    <row r="13" spans="1:17">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c r="A14" s="9"/>
      <c r="B14" s="9" t="s">
        <v>29</v>
      </c>
      <c r="C14" s="9" t="s">
        <v>143</v>
      </c>
      <c r="D14" t="s">
        <v>85</v>
      </c>
      <c r="E14" s="19">
        <v>0</v>
      </c>
      <c r="F14" s="64">
        <v>0</v>
      </c>
      <c r="N14" t="s">
        <v>55</v>
      </c>
      <c r="O14" t="s">
        <v>163</v>
      </c>
    </row>
    <row r="15" spans="1:17">
      <c r="A15" s="9"/>
      <c r="B15" s="60" t="s">
        <v>111</v>
      </c>
      <c r="C15" s="60" t="s">
        <v>143</v>
      </c>
      <c r="D15" s="20" t="s">
        <v>197</v>
      </c>
      <c r="E15" s="22">
        <f>50/3</f>
        <v>16.666666666666668</v>
      </c>
      <c r="F15" s="64">
        <v>0</v>
      </c>
      <c r="H15" s="11" t="s">
        <v>748</v>
      </c>
      <c r="I15" t="s">
        <v>620</v>
      </c>
      <c r="J15" t="s">
        <v>621</v>
      </c>
      <c r="N15">
        <v>100</v>
      </c>
      <c r="O15">
        <v>0.2</v>
      </c>
    </row>
    <row r="16" spans="1:17">
      <c r="A16" s="9"/>
      <c r="B16" s="9" t="s">
        <v>156</v>
      </c>
      <c r="C16" s="9" t="s">
        <v>143</v>
      </c>
      <c r="D16" t="s">
        <v>80</v>
      </c>
      <c r="E16" s="14">
        <f>50/0.5</f>
        <v>100</v>
      </c>
      <c r="F16" s="64">
        <v>0</v>
      </c>
      <c r="H16">
        <v>1</v>
      </c>
      <c r="I16">
        <v>1</v>
      </c>
      <c r="J16">
        <v>0.8</v>
      </c>
    </row>
    <row r="17" spans="1:15">
      <c r="A17" s="9"/>
      <c r="B17" s="61" t="s">
        <v>339</v>
      </c>
      <c r="C17" s="9" t="s">
        <v>143</v>
      </c>
      <c r="D17" s="11" t="s">
        <v>607</v>
      </c>
      <c r="E17" s="14">
        <f>50/0.8</f>
        <v>62.5</v>
      </c>
      <c r="F17" s="64">
        <v>0</v>
      </c>
    </row>
    <row r="18" spans="1:15">
      <c r="A18" s="9"/>
      <c r="B18" s="61" t="s">
        <v>609</v>
      </c>
      <c r="C18" s="9" t="s">
        <v>143</v>
      </c>
      <c r="D18" s="11" t="s">
        <v>610</v>
      </c>
      <c r="E18" s="19">
        <v>100</v>
      </c>
      <c r="F18" s="64">
        <v>0</v>
      </c>
      <c r="H18" t="s">
        <v>622</v>
      </c>
      <c r="I18" t="s">
        <v>623</v>
      </c>
      <c r="J18" s="11" t="s">
        <v>631</v>
      </c>
    </row>
    <row r="19" spans="1:15">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c r="A20" s="9"/>
      <c r="B20" s="9" t="s">
        <v>103</v>
      </c>
      <c r="C20" s="9" t="s">
        <v>133</v>
      </c>
      <c r="D20" t="s">
        <v>84</v>
      </c>
      <c r="E20" s="19">
        <f>20/0.2</f>
        <v>100</v>
      </c>
      <c r="F20" s="64">
        <v>0</v>
      </c>
    </row>
    <row r="21" spans="1:15">
      <c r="A21" s="9"/>
      <c r="B21" s="9" t="s">
        <v>189</v>
      </c>
      <c r="C21" s="9" t="s">
        <v>9</v>
      </c>
      <c r="D21" t="s">
        <v>75</v>
      </c>
      <c r="E21" s="19" cm="1">
        <f t="array" ref="E21">밸런스시트31[DPS 상승량]</f>
        <v>250</v>
      </c>
      <c r="F21" s="64">
        <v>0</v>
      </c>
    </row>
    <row r="22" spans="1:15">
      <c r="A22" s="9"/>
      <c r="B22" s="9" t="s">
        <v>188</v>
      </c>
      <c r="C22" s="9" t="s">
        <v>9</v>
      </c>
      <c r="D22" s="11" t="s">
        <v>629</v>
      </c>
      <c r="E22" s="19">
        <f>30/0.3</f>
        <v>100</v>
      </c>
      <c r="F22" s="64">
        <v>0</v>
      </c>
    </row>
    <row r="23" spans="1:15">
      <c r="A23" s="9"/>
      <c r="B23" s="9" t="s">
        <v>8</v>
      </c>
      <c r="C23" s="9" t="s">
        <v>9</v>
      </c>
      <c r="D23" s="11" t="s">
        <v>628</v>
      </c>
      <c r="E23" s="19">
        <f>50/360</f>
        <v>0.1388888888888889</v>
      </c>
      <c r="F23" s="64">
        <v>0</v>
      </c>
    </row>
    <row r="24" spans="1:15">
      <c r="A24" s="9"/>
      <c r="B24" s="9" t="s">
        <v>129</v>
      </c>
      <c r="C24" s="9" t="s">
        <v>9</v>
      </c>
      <c r="D24" s="11" t="s">
        <v>627</v>
      </c>
      <c r="E24" s="19" cm="1">
        <f t="array" ref="E24">30/(CharacterAtkTable[SwingCooldown]*-0.08)</f>
        <v>-750</v>
      </c>
      <c r="F24" s="64">
        <v>0</v>
      </c>
    </row>
    <row r="25" spans="1:15">
      <c r="A25" s="9"/>
      <c r="B25" s="74" t="s">
        <v>854</v>
      </c>
      <c r="C25" s="9" t="s">
        <v>9</v>
      </c>
      <c r="D25" s="16" t="s">
        <v>858</v>
      </c>
      <c r="E25" s="19">
        <v>50</v>
      </c>
      <c r="F25" s="64">
        <v>0</v>
      </c>
    </row>
    <row r="26" spans="1:15">
      <c r="A26" s="9"/>
      <c r="B26" s="74" t="s">
        <v>855</v>
      </c>
      <c r="C26" s="9" t="s">
        <v>9</v>
      </c>
      <c r="D26" s="16" t="s">
        <v>857</v>
      </c>
      <c r="E26" s="19">
        <v>30</v>
      </c>
      <c r="F26" s="64">
        <v>0</v>
      </c>
    </row>
    <row r="27" spans="1:15">
      <c r="A27" s="9"/>
      <c r="B27" s="74" t="s">
        <v>851</v>
      </c>
      <c r="C27" s="9" t="s">
        <v>9</v>
      </c>
      <c r="D27" s="16" t="s">
        <v>856</v>
      </c>
      <c r="E27" s="62">
        <v>30</v>
      </c>
      <c r="F27" s="64">
        <v>0</v>
      </c>
      <c r="O27" s="11">
        <f>0.5*0.8</f>
        <v>0.4</v>
      </c>
    </row>
    <row r="28" spans="1:15">
      <c r="A28" s="9"/>
      <c r="B28" s="9" t="s">
        <v>206</v>
      </c>
      <c r="C28" s="9" t="s">
        <v>9</v>
      </c>
      <c r="D28" s="11" t="s">
        <v>612</v>
      </c>
      <c r="E28" s="63" cm="1">
        <f t="array" ref="E28">30/(CharacterAtkTable[ChargeTime]*-0.15)</f>
        <v>-333.33333333333337</v>
      </c>
      <c r="F28" s="64">
        <v>0</v>
      </c>
    </row>
    <row r="29" spans="1:15">
      <c r="A29" s="9"/>
      <c r="B29" s="61" t="s">
        <v>360</v>
      </c>
      <c r="C29" s="9" t="s">
        <v>9</v>
      </c>
      <c r="D29" s="11" t="s">
        <v>613</v>
      </c>
      <c r="E29" s="63">
        <f>30/-0.08</f>
        <v>-375</v>
      </c>
      <c r="F29" s="64">
        <v>0</v>
      </c>
    </row>
    <row r="30" spans="1:15">
      <c r="A30" s="9"/>
      <c r="B30" s="9" t="s">
        <v>122</v>
      </c>
      <c r="C30" s="9" t="s">
        <v>9</v>
      </c>
      <c r="D30" t="s">
        <v>138</v>
      </c>
      <c r="E30" s="19">
        <f>50/100</f>
        <v>0.5</v>
      </c>
      <c r="F30" s="64">
        <v>0</v>
      </c>
    </row>
    <row r="31" spans="1:15">
      <c r="A31" s="9"/>
      <c r="B31" s="9" t="s">
        <v>144</v>
      </c>
      <c r="C31" s="9" t="s">
        <v>9</v>
      </c>
      <c r="D31" t="s">
        <v>140</v>
      </c>
      <c r="E31" s="19">
        <f>50/100</f>
        <v>0.5</v>
      </c>
      <c r="F31" s="64">
        <v>0</v>
      </c>
    </row>
    <row r="32" spans="1:15">
      <c r="A32" s="9"/>
      <c r="B32" s="52" t="s">
        <v>391</v>
      </c>
      <c r="C32" s="9" t="s">
        <v>9</v>
      </c>
      <c r="D32" t="s">
        <v>150</v>
      </c>
      <c r="E32" s="19">
        <f>30/1/2</f>
        <v>15</v>
      </c>
      <c r="F32" s="64">
        <v>0</v>
      </c>
    </row>
    <row r="33" spans="1:6">
      <c r="A33" s="9"/>
      <c r="B33" s="9" t="s">
        <v>132</v>
      </c>
      <c r="C33" s="9" t="s">
        <v>9</v>
      </c>
      <c r="D33" t="s">
        <v>195</v>
      </c>
      <c r="E33" s="19">
        <f>50/25</f>
        <v>2</v>
      </c>
      <c r="F33" s="64">
        <v>0</v>
      </c>
    </row>
    <row r="34" spans="1:6">
      <c r="A34" s="9"/>
      <c r="B34" s="9" t="s">
        <v>137</v>
      </c>
      <c r="C34" s="9" t="s">
        <v>9</v>
      </c>
      <c r="D34" t="s">
        <v>196</v>
      </c>
      <c r="E34" s="19">
        <f>50/25</f>
        <v>2</v>
      </c>
      <c r="F34" s="64">
        <v>0</v>
      </c>
    </row>
    <row r="35" spans="1:6">
      <c r="A35" s="9"/>
      <c r="B35" s="9" t="s">
        <v>149</v>
      </c>
      <c r="C35" s="9" t="s">
        <v>9</v>
      </c>
      <c r="D35" t="s">
        <v>211</v>
      </c>
      <c r="E35" s="19">
        <v>2</v>
      </c>
      <c r="F35" s="64">
        <v>0</v>
      </c>
    </row>
    <row r="36" spans="1:6">
      <c r="A36" s="9"/>
      <c r="B36" s="9" t="s">
        <v>153</v>
      </c>
      <c r="C36" s="9" t="s">
        <v>9</v>
      </c>
      <c r="D36" t="s">
        <v>212</v>
      </c>
      <c r="E36" s="19">
        <v>2</v>
      </c>
      <c r="F36" s="64">
        <v>0</v>
      </c>
    </row>
    <row r="37" spans="1:6">
      <c r="B37" s="9" t="s">
        <v>109</v>
      </c>
      <c r="C37" s="9" t="s">
        <v>31</v>
      </c>
      <c r="D37" s="9" t="s">
        <v>11</v>
      </c>
      <c r="E37" s="19">
        <v>-50</v>
      </c>
      <c r="F37" s="64">
        <v>0</v>
      </c>
    </row>
    <row r="38" spans="1:6">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c r="B46" s="9" t="s">
        <v>704</v>
      </c>
      <c r="C46" s="61" t="b">
        <v>0</v>
      </c>
      <c r="D46">
        <v>0</v>
      </c>
      <c r="E46" s="19">
        <f>IF(스텟별가치29[[#This Row],[발동 여부]],스텟별가치29[[#This Row],[발동에 걸리는 시간]],-1)*(1+스텟별가치29[[#This Row],[OP계수]])</f>
        <v>-1</v>
      </c>
      <c r="F46" s="64">
        <v>0</v>
      </c>
    </row>
    <row r="47" spans="1:6">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defaultColWidth="8.796875" defaultRowHeight="17.399999999999999"/>
  <cols>
    <col min="1" max="1" width="8.69921875" bestFit="1" customWidth="1"/>
    <col min="2" max="2" width="30.19921875" bestFit="1" customWidth="1"/>
    <col min="4" max="4" width="73.6992187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defaultColWidth="8.796875" defaultRowHeight="17.399999999999999"/>
  <cols>
    <col min="2" max="2" width="8.69921875" bestFit="1" customWidth="1"/>
    <col min="3" max="3" width="8.69921875" customWidth="1"/>
    <col min="4" max="4" width="10.19921875" bestFit="1" customWidth="1"/>
    <col min="5" max="5" width="15.796875" bestFit="1" customWidth="1"/>
    <col min="6" max="6" width="17" bestFit="1" customWidth="1"/>
    <col min="7" max="7" width="23.796875" bestFit="1" customWidth="1"/>
    <col min="8" max="8" width="22.796875" bestFit="1" customWidth="1"/>
    <col min="9" max="9" width="19" bestFit="1" customWidth="1"/>
    <col min="10" max="10" width="23.296875" bestFit="1" customWidth="1"/>
    <col min="11" max="12" width="23.296875" customWidth="1"/>
    <col min="13" max="13" width="11.79687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defaultColWidth="8.796875" defaultRowHeight="17.399999999999999"/>
  <cols>
    <col min="2" max="2" width="8.69921875" bestFit="1" customWidth="1"/>
    <col min="3" max="3" width="16" bestFit="1" customWidth="1"/>
    <col min="4" max="4" width="17.296875" bestFit="1" customWidth="1"/>
    <col min="5" max="5" width="12.296875" bestFit="1" customWidth="1"/>
    <col min="6" max="6" width="20.296875" bestFit="1" customWidth="1"/>
    <col min="7" max="7" width="13.69921875" bestFit="1" customWidth="1"/>
    <col min="8" max="8" width="22.19921875" customWidth="1"/>
    <col min="9" max="9" width="17.796875" style="74" customWidth="1"/>
    <col min="10" max="10" width="18.19921875" bestFit="1" customWidth="1"/>
    <col min="11" max="11" width="19.19921875" bestFit="1" customWidth="1"/>
    <col min="12" max="12" width="22.69921875" bestFit="1" customWidth="1"/>
    <col min="13" max="13" width="18.796875" bestFit="1" customWidth="1"/>
    <col min="14" max="15" width="19.5" bestFit="1" customWidth="1"/>
    <col min="16" max="16" width="23.296875" bestFit="1" customWidth="1"/>
    <col min="17" max="17" width="23.19921875" bestFit="1" customWidth="1"/>
    <col min="18" max="18" width="13.296875" bestFit="1" customWidth="1"/>
    <col min="19" max="19" width="14.19921875" bestFit="1" customWidth="1"/>
    <col min="20" max="20" width="25.19921875" bestFit="1" customWidth="1"/>
    <col min="21" max="23" width="22.296875" bestFit="1" customWidth="1"/>
    <col min="24" max="24" width="21.19921875" customWidth="1"/>
    <col min="25" max="25" width="27.1992187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defaultColWidth="8.796875" defaultRowHeight="17.399999999999999"/>
  <cols>
    <col min="2" max="2" width="8.5" bestFit="1" customWidth="1"/>
    <col min="3" max="3" width="12.796875" bestFit="1" customWidth="1"/>
    <col min="4" max="4" width="18.19921875" bestFit="1" customWidth="1"/>
    <col min="5" max="5" width="16.796875" bestFit="1" customWidth="1"/>
    <col min="6" max="6" width="15.19921875" bestFit="1" customWidth="1"/>
    <col min="7" max="7" width="23.5" bestFit="1" customWidth="1"/>
    <col min="8" max="8" width="14.19921875" bestFit="1" customWidth="1"/>
    <col min="9" max="9" width="17.296875" bestFit="1" customWidth="1"/>
    <col min="10" max="10" width="19" bestFit="1" customWidth="1"/>
    <col min="11" max="11" width="14.19921875" bestFit="1" customWidth="1"/>
    <col min="12" max="12" width="16.19921875" bestFit="1" customWidth="1"/>
    <col min="13" max="13" width="17.69921875" bestFit="1" customWidth="1"/>
    <col min="14" max="14" width="15.69921875" bestFit="1" customWidth="1"/>
    <col min="15" max="15" width="17.19921875" bestFit="1" customWidth="1"/>
    <col min="16" max="17" width="17.796875" bestFit="1" customWidth="1"/>
    <col min="18" max="18" width="15.69921875" bestFit="1" customWidth="1"/>
    <col min="19" max="19" width="17.1992187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defaultColWidth="8.796875" defaultRowHeight="17.399999999999999"/>
  <cols>
    <col min="3" max="3" width="19.19921875" customWidth="1"/>
    <col min="4" max="4" width="10.296875" bestFit="1" customWidth="1"/>
    <col min="7" max="7" width="10.79687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zoomScaleNormal="75" zoomScaleSheetLayoutView="100" workbookViewId="0">
      <selection activeCell="I25" sqref="I25"/>
    </sheetView>
  </sheetViews>
  <sheetFormatPr defaultColWidth="8.796875" defaultRowHeight="17.399999999999999"/>
  <cols>
    <col min="2" max="2" width="8.69921875" bestFit="1" customWidth="1"/>
    <col min="3" max="4" width="30.296875" customWidth="1"/>
    <col min="5" max="5" width="10.19921875" customWidth="1"/>
    <col min="6" max="6" width="14.5" customWidth="1"/>
    <col min="7" max="7" width="12.796875" customWidth="1"/>
    <col min="8" max="8" width="14" customWidth="1"/>
    <col min="9" max="9" width="27.796875" customWidth="1"/>
    <col min="10" max="10" width="17" customWidth="1"/>
    <col min="11" max="11" width="19.296875" customWidth="1"/>
    <col min="12" max="12" width="17.5" customWidth="1"/>
    <col min="13" max="13" width="15.69921875" customWidth="1"/>
    <col min="14" max="14" width="17.19921875" customWidth="1"/>
    <col min="15" max="15" width="12.69921875" customWidth="1"/>
    <col min="16" max="16" width="17.69921875" customWidth="1"/>
    <col min="17" max="17" width="16" customWidth="1"/>
    <col min="18" max="18" width="16.296875" bestFit="1" customWidth="1"/>
    <col min="19" max="19" width="18.296875" bestFit="1" customWidth="1"/>
    <col min="20" max="20" width="47.19921875" customWidth="1"/>
    <col min="21" max="21" width="20.69921875" bestFit="1" customWidth="1"/>
    <col min="22" max="22" width="17.79687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882</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883</v>
      </c>
      <c r="V17" s="20">
        <f>AVERAGE(EnemyGameData[[#This Row],[GoldDropMin]],EnemyGameData[[#This Row],[GoldDropMax]])</f>
        <v>25</v>
      </c>
    </row>
    <row r="18" spans="2:22" s="39" customFormat="1">
      <c r="B18" s="39">
        <v>1102</v>
      </c>
      <c r="C18" s="45" t="s">
        <v>880</v>
      </c>
      <c r="D18" s="40"/>
      <c r="E18" s="39">
        <v>200</v>
      </c>
      <c r="F18" s="39">
        <v>16</v>
      </c>
      <c r="G18" s="39" t="s">
        <v>181</v>
      </c>
      <c r="H18" s="39">
        <v>5</v>
      </c>
      <c r="I18" s="20">
        <v>0.3</v>
      </c>
      <c r="J18" s="39">
        <v>2</v>
      </c>
      <c r="K18" s="39">
        <v>0</v>
      </c>
      <c r="Q18" s="39">
        <v>0</v>
      </c>
      <c r="R18" s="39">
        <v>0</v>
      </c>
      <c r="S18"/>
      <c r="T18" s="39" t="s">
        <v>885</v>
      </c>
      <c r="V18" s="20"/>
    </row>
    <row r="19" spans="2:22" s="39" customFormat="1">
      <c r="B19" s="39">
        <v>1103</v>
      </c>
      <c r="C19" s="45" t="s">
        <v>881</v>
      </c>
      <c r="D19" s="40"/>
      <c r="E19" s="39">
        <v>200</v>
      </c>
      <c r="F19" s="39">
        <v>16</v>
      </c>
      <c r="G19" s="39" t="s">
        <v>181</v>
      </c>
      <c r="H19" s="39">
        <v>3</v>
      </c>
      <c r="I19" s="20">
        <v>0.3</v>
      </c>
      <c r="J19" s="39">
        <v>2.5</v>
      </c>
      <c r="K19" s="39">
        <v>0</v>
      </c>
      <c r="Q19" s="39">
        <v>0</v>
      </c>
      <c r="R19" s="39">
        <v>0</v>
      </c>
      <c r="S19"/>
      <c r="T19" s="39" t="s">
        <v>886</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884</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8"/>
  <sheetViews>
    <sheetView topLeftCell="A9" zoomScaleNormal="75" zoomScaleSheetLayoutView="100" workbookViewId="0">
      <selection activeCell="G19" sqref="G19"/>
    </sheetView>
  </sheetViews>
  <sheetFormatPr defaultColWidth="8.796875" defaultRowHeight="17.399999999999999"/>
  <cols>
    <col min="2" max="2" width="8.69921875" bestFit="1" customWidth="1"/>
    <col min="3" max="3" width="23.5" customWidth="1"/>
    <col min="4" max="4" width="15" bestFit="1" customWidth="1"/>
    <col min="5" max="5" width="14.69921875" customWidth="1"/>
    <col min="6" max="6" width="13.296875" bestFit="1" customWidth="1"/>
    <col min="7" max="7" width="14.69921875" bestFit="1" customWidth="1"/>
    <col min="8" max="8" width="23.796875" bestFit="1" customWidth="1"/>
    <col min="9" max="9" width="22.1992187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2.6</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row r="136" spans="2:9">
      <c r="B136">
        <v>30002</v>
      </c>
      <c r="C136" s="16" t="s">
        <v>931</v>
      </c>
      <c r="D136">
        <v>3301</v>
      </c>
      <c r="E136" s="16" t="s">
        <v>262</v>
      </c>
      <c r="F136">
        <v>1</v>
      </c>
      <c r="G136">
        <v>0.3</v>
      </c>
      <c r="H136" t="str">
        <f>INDEX(ShootTable['#설명],MATCH(EnemyAtkTable[[#This Row],[ShootDataId]],ShootTable[Index],0))</f>
        <v>젤로 왼손이 연발 발사</v>
      </c>
      <c r="I136">
        <f>SUMIF(EnemyAtkTable[Index],EnemyAtkTable[[#This Row],[Index]],EnemyAtkTable[BeforeDelay])+SUMIF(EnemyAtkTable[Index],EnemyAtkTable[[#This Row],[Index]],EnemyAtkTable[AfterDelay])</f>
        <v>2.1</v>
      </c>
    </row>
    <row r="137" spans="2:9">
      <c r="B137">
        <v>30002</v>
      </c>
      <c r="C137" s="16" t="s">
        <v>931</v>
      </c>
      <c r="D137">
        <v>3301</v>
      </c>
      <c r="E137" s="16" t="s">
        <v>262</v>
      </c>
      <c r="F137">
        <v>0.1</v>
      </c>
      <c r="G137">
        <v>0.3</v>
      </c>
      <c r="H137" t="str">
        <f>INDEX(ShootTable['#설명],MATCH(EnemyAtkTable[[#This Row],[ShootDataId]],ShootTable[Index],0))</f>
        <v>젤로 왼손이 연발 발사</v>
      </c>
      <c r="I137">
        <f>SUMIF(EnemyAtkTable[Index],EnemyAtkTable[[#This Row],[Index]],EnemyAtkTable[BeforeDelay])+SUMIF(EnemyAtkTable[Index],EnemyAtkTable[[#This Row],[Index]],EnemyAtkTable[AfterDelay])</f>
        <v>2.1</v>
      </c>
    </row>
    <row r="138" spans="2:9">
      <c r="B138">
        <v>30002</v>
      </c>
      <c r="C138" s="16" t="s">
        <v>931</v>
      </c>
      <c r="D138">
        <v>3301</v>
      </c>
      <c r="E138" s="16" t="s">
        <v>262</v>
      </c>
      <c r="F138">
        <v>0.1</v>
      </c>
      <c r="G138">
        <v>0.3</v>
      </c>
      <c r="H138" t="str">
        <f>INDEX(ShootTable['#설명],MATCH(EnemyAtkTable[[#This Row],[ShootDataId]],ShootTable[Index],0))</f>
        <v>젤로 왼손이 연발 발사</v>
      </c>
      <c r="I138">
        <f>SUMIF(EnemyAtkTable[Index],EnemyAtkTable[[#This Row],[Index]],EnemyAtkTable[BeforeDelay])+SUMIF(EnemyAtkTable[Index],EnemyAtkTable[[#This Row],[Index]],EnemyAtkTable[AfterDelay])</f>
        <v>2.1</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8"/>
  <sheetViews>
    <sheetView topLeftCell="A207" zoomScaleNormal="75" zoomScaleSheetLayoutView="100" workbookViewId="0">
      <selection activeCell="G238" sqref="G238"/>
    </sheetView>
  </sheetViews>
  <sheetFormatPr defaultColWidth="8.796875" defaultRowHeight="17.399999999999999"/>
  <cols>
    <col min="2" max="2" width="8.69921875" bestFit="1" customWidth="1"/>
    <col min="3" max="3" width="22.5" customWidth="1"/>
    <col min="4" max="4" width="14.19921875" bestFit="1" customWidth="1"/>
    <col min="5" max="5" width="18.296875" bestFit="1" customWidth="1"/>
    <col min="6" max="6" width="20.1992187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3004</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3004</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3004</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3004</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3004</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3004</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3004</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3004</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3004</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3004</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3004</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3004</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3004</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3004</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3004</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3004</v>
      </c>
      <c r="F237">
        <v>0</v>
      </c>
      <c r="G237">
        <v>7</v>
      </c>
      <c r="H237" s="11" t="s">
        <v>325</v>
      </c>
    </row>
    <row r="238" spans="2:8">
      <c r="B238">
        <v>3301</v>
      </c>
      <c r="C238" s="16" t="s">
        <v>938</v>
      </c>
      <c r="D238">
        <v>0</v>
      </c>
      <c r="E238">
        <v>3004</v>
      </c>
      <c r="F238">
        <v>1</v>
      </c>
      <c r="G238">
        <v>6</v>
      </c>
      <c r="H238"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20"/>
  <sheetViews>
    <sheetView zoomScaleNormal="75" zoomScaleSheetLayoutView="100" workbookViewId="0">
      <selection activeCell="B20" sqref="B20"/>
    </sheetView>
  </sheetViews>
  <sheetFormatPr defaultColWidth="8.796875" defaultRowHeight="17.399999999999999"/>
  <cols>
    <col min="2" max="2" width="8.69921875" bestFit="1" customWidth="1"/>
    <col min="3" max="3" width="16" customWidth="1"/>
    <col min="4" max="4" width="11.69921875" bestFit="1" customWidth="1"/>
    <col min="5" max="5" width="14" bestFit="1" customWidth="1"/>
    <col min="6" max="6" width="13.296875" bestFit="1" customWidth="1"/>
    <col min="7" max="7" width="38.79687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936</v>
      </c>
    </row>
    <row r="18" spans="2:7">
      <c r="B18">
        <v>3002</v>
      </c>
      <c r="C18" s="14" t="s">
        <v>875</v>
      </c>
      <c r="D18" t="b">
        <v>1</v>
      </c>
      <c r="E18">
        <v>2</v>
      </c>
      <c r="F18">
        <v>25</v>
      </c>
      <c r="G18" s="16" t="s">
        <v>937</v>
      </c>
    </row>
    <row r="19" spans="2:7">
      <c r="B19">
        <v>3003</v>
      </c>
      <c r="C19" s="14" t="s">
        <v>933</v>
      </c>
      <c r="D19" t="b">
        <v>1</v>
      </c>
      <c r="E19">
        <v>1</v>
      </c>
      <c r="F19">
        <v>25</v>
      </c>
      <c r="G19" s="16" t="s">
        <v>934</v>
      </c>
    </row>
    <row r="20" spans="2:7">
      <c r="B20">
        <v>3004</v>
      </c>
      <c r="C20" s="14" t="s">
        <v>932</v>
      </c>
      <c r="D20" t="b">
        <v>1</v>
      </c>
      <c r="E20">
        <v>1</v>
      </c>
      <c r="F20">
        <v>25</v>
      </c>
      <c r="G20" s="16" t="s">
        <v>935</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tabSelected="1" zoomScaleNormal="100" zoomScaleSheetLayoutView="100" workbookViewId="0">
      <pane xSplit="3" topLeftCell="K1" activePane="topRight" state="frozen"/>
      <selection pane="topRight" activeCell="R16" sqref="R16"/>
    </sheetView>
  </sheetViews>
  <sheetFormatPr defaultColWidth="8.796875" defaultRowHeight="17.399999999999999"/>
  <cols>
    <col min="1" max="1" width="8.796875" style="79"/>
    <col min="2" max="2" width="11.5" style="42" customWidth="1"/>
    <col min="3" max="3" width="17.69921875" style="42" customWidth="1"/>
    <col min="4" max="4" width="30.296875" style="42" customWidth="1"/>
    <col min="5" max="5" width="14.69921875" style="42" customWidth="1"/>
    <col min="6" max="7" width="8.296875" style="42" customWidth="1"/>
    <col min="8" max="8" width="18" style="42" bestFit="1" customWidth="1"/>
    <col min="9" max="9" width="17" style="42" bestFit="1" customWidth="1"/>
    <col min="10" max="10" width="20.5" style="42" bestFit="1" customWidth="1"/>
    <col min="11" max="11" width="20.3984375" style="42" bestFit="1" customWidth="1"/>
    <col min="12" max="12" width="14.69921875" style="42" customWidth="1"/>
    <col min="13" max="13" width="12.19921875" style="42" customWidth="1"/>
    <col min="14" max="14" width="8.19921875" style="42" bestFit="1" customWidth="1"/>
    <col min="15" max="15" width="9.69921875" style="42" customWidth="1"/>
    <col min="16" max="16" width="11.19921875" style="42" bestFit="1" customWidth="1"/>
    <col min="17" max="17" width="18.69921875" style="42" bestFit="1" customWidth="1"/>
    <col min="18" max="18" width="36.296875" style="42" customWidth="1"/>
    <col min="19" max="16384" width="8.796875" style="42"/>
  </cols>
  <sheetData>
    <row r="1" spans="2:18">
      <c r="E1" s="42" t="s">
        <v>39</v>
      </c>
      <c r="H1" s="42" t="s">
        <v>24</v>
      </c>
      <c r="I1" s="42" t="s">
        <v>24</v>
      </c>
      <c r="J1" s="42" t="s">
        <v>24</v>
      </c>
      <c r="K1" s="42" t="s">
        <v>24</v>
      </c>
      <c r="M1" s="42" t="s">
        <v>50</v>
      </c>
      <c r="N1" s="42" t="s">
        <v>26</v>
      </c>
    </row>
    <row r="2" spans="2:18" ht="18" customHeight="1">
      <c r="B2" s="66" t="s">
        <v>929</v>
      </c>
      <c r="C2" s="80" t="s">
        <v>826</v>
      </c>
      <c r="D2" s="80" t="s">
        <v>889</v>
      </c>
      <c r="E2" s="80" t="s">
        <v>890</v>
      </c>
      <c r="F2" s="80" t="s">
        <v>891</v>
      </c>
      <c r="G2" s="85" t="s">
        <v>930</v>
      </c>
      <c r="H2" s="57" t="s">
        <v>41</v>
      </c>
      <c r="I2" s="57" t="s">
        <v>100</v>
      </c>
      <c r="J2" s="57" t="s">
        <v>345</v>
      </c>
      <c r="K2" s="57" t="s">
        <v>346</v>
      </c>
      <c r="L2" s="57" t="s">
        <v>157</v>
      </c>
      <c r="M2" s="57" t="s">
        <v>827</v>
      </c>
      <c r="N2" s="57" t="s">
        <v>45</v>
      </c>
      <c r="O2" s="57" t="s">
        <v>48</v>
      </c>
      <c r="P2" s="57" t="s">
        <v>158</v>
      </c>
      <c r="Q2" s="57" t="s">
        <v>7</v>
      </c>
      <c r="R2" s="57" t="s">
        <v>110</v>
      </c>
    </row>
    <row r="3" spans="2: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2" t="str">
        <f>INDEX(LocaleTable[LocaleKR],MATCH(ItemTable[[#This Row],[Name]],LocaleTable[StringKey],0))</f>
        <v>메탈유니콘 키링</v>
      </c>
      <c r="D3" s="82" t="str">
        <f>INDEX(LocaleTable[LocaleKR],MATCH(ItemTable[[#This Row],[Desc]],LocaleTable[StringKey],0))</f>
        <v>배트에 달아놓으면 휘두를 때\n짤랑짤랑 소리가 납니다.</v>
      </c>
      <c r="E3" s="82"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2: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2" t="str">
        <f>INDEX(LocaleTable[LocaleKR],MATCH(ItemTable[[#This Row],[Name]],LocaleTable[StringKey],0))</f>
        <v>천사의 열매</v>
      </c>
      <c r="D4" s="82" t="str">
        <f>INDEX(LocaleTable[LocaleKR],MATCH(ItemTable[[#This Row],[Desc]],LocaleTable[StringKey],0))</f>
        <v>먹으면 배트가 고무처럼 늘어납니다.\n산에 올라갈 때 고산증이 잘 오는 부작용이 있습니다.</v>
      </c>
      <c r="E4" s="82"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892</v>
      </c>
    </row>
    <row r="5" spans="2: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2" t="str">
        <f>INDEX(LocaleTable[LocaleKR],MATCH(ItemTable[[#This Row],[Name]],LocaleTable[StringKey],0))</f>
        <v>쿨 - 도그</v>
      </c>
      <c r="D5" s="82" t="str">
        <f>INDEX(LocaleTable[LocaleKR],MATCH(ItemTable[[#This Row],[Desc]],LocaleTable[StringKey],0))</f>
        <v>얼.죽.아 클럽의 새로운 유행입니다.</v>
      </c>
      <c r="E5" s="82"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2: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2" t="str">
        <f>INDEX(LocaleTable[LocaleKR],MATCH(ItemTable[[#This Row],[Name]],LocaleTable[StringKey],0))</f>
        <v>QT 파우더</v>
      </c>
      <c r="D6" s="82" t="str">
        <f>INDEX(LocaleTable[LocaleKR],MATCH(ItemTable[[#This Row],[Desc]],LocaleTable[StringKey],0))</f>
        <v>배트 이외의 물건에 사용하지 마시오\nQT추출물 0.0006% 함유\nQT향 0.1%함유</v>
      </c>
      <c r="E6" s="82"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2: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2" t="str">
        <f>INDEX(LocaleTable[LocaleKR],MATCH(ItemTable[[#This Row],[Name]],LocaleTable[StringKey],0))</f>
        <v>적토목마</v>
      </c>
      <c r="D7" s="82" t="str">
        <f>INDEX(LocaleTable[LocaleKR],MATCH(ItemTable[[#This Row],[Desc]],LocaleTable[StringKey],0))</f>
        <v>시크한 표정을 믿고 산책에 나갔다가는\n마라톤을 하게 될 수 있습니다.</v>
      </c>
      <c r="E7" s="82"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2: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2" t="str">
        <f>INDEX(LocaleTable[LocaleKR],MATCH(ItemTable[[#This Row],[Name]],LocaleTable[StringKey],0))</f>
        <v>삼각김곰</v>
      </c>
      <c r="D8" s="82" t="str">
        <f>INDEX(LocaleTable[LocaleKR],MATCH(ItemTable[[#This Row],[Desc]],LocaleTable[StringKey],0))</f>
        <v>대나무 향을 머금은 흰 밥이\n까만 김을 만나 완성된 환상적인 조합.</v>
      </c>
      <c r="E8" s="82"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2: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2" t="str">
        <f>INDEX(LocaleTable[LocaleKR],MATCH(ItemTable[[#This Row],[Name]],LocaleTable[StringKey],0))</f>
        <v>데빌불</v>
      </c>
      <c r="D9" s="82" t="str">
        <f>INDEX(LocaleTable[LocaleKR],MATCH(ItemTable[[#This Row],[Desc]],LocaleTable[StringKey],0))</f>
        <v>데빌불, 숨겨진 악성을 펼쳐줘요.\n불티나게 팔리고 있는 음료입니다.</v>
      </c>
      <c r="E9" s="82"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2: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2" t="str">
        <f>INDEX(LocaleTable[LocaleKR],MATCH(ItemTable[[#This Row],[Name]],LocaleTable[StringKey],0))</f>
        <v>배트리트</v>
      </c>
      <c r="D10" s="82" t="str">
        <f>INDEX(LocaleTable[LocaleKR],MATCH(ItemTable[[#This Row],[Desc]],LocaleTable[StringKey],0))</f>
        <v>'너의 소중한 모든 것들을 바쳐라\n그러면 너의 소원이 이루어질테니'</v>
      </c>
      <c r="E10" s="82"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896</v>
      </c>
    </row>
    <row r="11" spans="2: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2" t="str">
        <f>INDEX(LocaleTable[LocaleKR],MATCH(ItemTable[[#This Row],[Name]],LocaleTable[StringKey],0))</f>
        <v>돌가면</v>
      </c>
      <c r="D11" s="82" t="str">
        <f>INDEX(LocaleTable[LocaleKR],MATCH(ItemTable[[#This Row],[Desc]],LocaleTable[StringKey],0))</f>
        <v>꽤 무게가 나가는 돌가면.\n안쪽에 숨겨진 침들이 보이는데...\n위험하진 않겠죠?</v>
      </c>
      <c r="E11" s="82"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2: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2" t="str">
        <f>INDEX(LocaleTable[LocaleKR],MATCH(ItemTable[[#This Row],[Name]],LocaleTable[StringKey],0))</f>
        <v>사나운 돼지저금통</v>
      </c>
      <c r="D12" s="82" t="str">
        <f>INDEX(LocaleTable[LocaleKR],MATCH(ItemTable[[#This Row],[Desc]],LocaleTable[StringKey],0))</f>
        <v>자아를 가진 저금통입니다.\n숨겨진 돈을 잘 찾아내는 듯 합니다.\n잠깐, 제 지갑이 어디갔죠?</v>
      </c>
      <c r="E12" s="82"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2: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2" t="str">
        <f>INDEX(LocaleTable[LocaleKR],MATCH(ItemTable[[#This Row],[Name]],LocaleTable[StringKey],0))</f>
        <v>성배 속 무언가</v>
      </c>
      <c r="D13" s="82" t="str">
        <f>INDEX(LocaleTable[LocaleKR],MATCH(ItemTable[[#This Row],[Desc]],LocaleTable[StringKey],0))</f>
        <v>종교적인 용도로 보이는 컵입니다.\n잠깐, 방금 조금 움직인 것 같은데요?</v>
      </c>
      <c r="E13" s="82"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2: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2" t="str">
        <f>INDEX(LocaleTable[LocaleKR],MATCH(ItemTable[[#This Row],[Name]],LocaleTable[StringKey],0))</f>
        <v>이상한 사탕</v>
      </c>
      <c r="D14" s="82" t="str">
        <f>INDEX(LocaleTable[LocaleKR],MATCH(ItemTable[[#This Row],[Desc]],LocaleTable[StringKey],0))</f>
        <v>이벤트성으로 100만봉지\n중 한 개만 들어간 ■̛̲͙̩͎͖̲̐̐̂͐ͅ■͓̟̦̹͚̇̓́͛͠ͅ맛 사탕입니다.</v>
      </c>
      <c r="E14" s="82"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2: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2" t="str">
        <f>INDEX(LocaleTable[LocaleKR],MATCH(ItemTable[[#This Row],[Name]],LocaleTable[StringKey],0))</f>
        <v>투수 케르베로스</v>
      </c>
      <c r="D15" s="82" t="str">
        <f>INDEX(LocaleTable[LocaleKR],MATCH(ItemTable[[#This Row],[Desc]],LocaleTable[StringKey],0))</f>
        <v>공을 좋아하는 개들입니다.\n자세히보니 한마리였네요…</v>
      </c>
      <c r="E15" s="82"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2:18">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2" t="str">
        <f>INDEX(LocaleTable[LocaleKR],MATCH(ItemTable[[#This Row],[Name]],LocaleTable[StringKey],0))</f>
        <v>공을 마시는 배트</v>
      </c>
      <c r="D16" s="82"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2" t="str">
        <f>INDEX(LocaleTable[LocaleKR],MATCH(ItemTable[[#This Row],[PlusDesc]],LocaleTable[StringKey],0))</f>
        <v>기절한 적을 공격할 때마다 공격력 0.5%씩 최대 50%까지 증가</v>
      </c>
      <c r="F16" s="82" t="str">
        <f>IFERROR(INDEX(LocaleTable[LocaleKR],MATCH(ItemTable[[#This Row],[MinusDesc]],LocaleTable[StringKey],0)),"-")</f>
        <v>-</v>
      </c>
      <c r="G16" s="56">
        <f>ItemTable[[#This Row],['#Index 참조용]]</f>
        <v>3007</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462</v>
      </c>
    </row>
    <row r="17" spans="1:18">
      <c r="B17" s="42" cm="1">
        <f t="array" ref="B17">_xlfn.IFS(ItemTable[[#This Row],[GradeType]]="Hp",IF(L16=ItemTable[[#This Row],[GradeType]],B16+1,10),
ItemTable[[#This Row],[GradeType]]="Gold",IF(L16=ItemTable[[#This Row],[GradeType]],B16+1,20),
ItemTable[[#This Row],[GradeType]]="Weapon",IF(L16=ItemTable[[#This Row],[GradeType]],B16+1,1000),
ItemTable[[#This Row],[GradeType]]="Normal",IF(L16=ItemTable[[#This Row],[GradeType]],B16+1,2000),
ItemTable[[#This Row],[GradeType]]="Rare",IF(L16=ItemTable[[#This Row],[GradeType]],B16+1,3000),
ItemTable[[#This Row],[GradeType]]="Cursed",IF(L16=ItemTable[[#This Row],[GradeType]],B16+1,4000),
ItemTable[[#This Row],[GradeType]]="Active",IF(L16=ItemTable[[#This Row],[GradeType]],B16+1,10000))</f>
        <v>4000</v>
      </c>
      <c r="C17" s="82" t="str">
        <f>INDEX(LocaleTable[LocaleKR],MATCH(ItemTable[[#This Row],[Name]],LocaleTable[StringKey],0))</f>
        <v>코코아 한통</v>
      </c>
      <c r="D17" s="82" t="str">
        <f>INDEX(LocaleTable[LocaleKR],MATCH(ItemTable[[#This Row],[Desc]],LocaleTable[StringKey],0))</f>
        <v>온 몸이 녹는 듯 한 강력한 단맛입니다.\n끈적해지지 않게 조심하세요!</v>
      </c>
      <c r="E17" s="82"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2" t="str">
        <f>INDEX(LocaleTable[LocaleKR],MATCH(ItemTable[[#This Row],[Name]],LocaleTable[StringKey],0))</f>
        <v>슬픈 캔리오</v>
      </c>
      <c r="D18" s="82" t="str">
        <f>INDEX(LocaleTable[LocaleKR],MATCH(ItemTable[[#This Row],[Desc]],LocaleTable[StringKey],0))</f>
        <v>어째선지 계속해서 울고 있는 양초입니다.\n건드리고 싶지 않네요.</v>
      </c>
      <c r="E18" s="82"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2" t="str">
        <f>INDEX(LocaleTable[LocaleKR],MATCH(ItemTable[[#This Row],[Name]],LocaleTable[StringKey],0))</f>
        <v>청개구리 총</v>
      </c>
      <c r="D19" s="82" t="str">
        <f>INDEX(LocaleTable[LocaleKR],MATCH(ItemTable[[#This Row],[Desc]],LocaleTable[StringKey],0))</f>
        <v>발사하면 거꾸로 공이 나가는 이상한 총.\n유명한 첩보원이 썼다는데, 도저히 이해되지 않습니다.</v>
      </c>
      <c r="E19" s="82"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895</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2" t="str">
        <f>INDEX(LocaleTable[LocaleKR],MATCH(ItemTable[[#This Row],[Name]],LocaleTable[StringKey],0))</f>
        <v>누군가의 일기장</v>
      </c>
      <c r="D20" s="82" t="str">
        <f>INDEX(LocaleTable[LocaleKR],MATCH(ItemTable[[#This Row],[Desc]],LocaleTable[StringKey],0))</f>
        <v>낡은 추억들이 느껴집니다.\n3년 전 이 사람은...\n잠깐, 우리가 이걸봐도 괜찮은걸까요?</v>
      </c>
      <c r="E20" s="82"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2" t="str">
        <f>INDEX(LocaleTable[LocaleKR],MATCH(ItemTable[[#This Row],[Name]],LocaleTable[StringKey],0))</f>
        <v>행성 만세</v>
      </c>
      <c r="D21" s="82" t="str">
        <f>INDEX(LocaleTable[LocaleKR],MATCH(ItemTable[[#This Row],[Desc]],LocaleTable[StringKey],0))</f>
        <v>1. 태양의 방향으로 기립.\n2. 팔을 벌려 Y자로 선다.\n3. 태양을 바라보며 외친다.</v>
      </c>
      <c r="E21" s="82"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2" t="str">
        <f>INDEX(LocaleTable[LocaleKR],MATCH(ItemTable[[#This Row],[Name]],LocaleTable[StringKey],0))</f>
        <v>회피 캣</v>
      </c>
      <c r="D22" s="82" t="str">
        <f>INDEX(LocaleTable[LocaleKR],MATCH(ItemTable[[#This Row],[Desc]],LocaleTable[StringKey],0))</f>
        <v>하지만 이렇게 간단하게 회피했습니다.</v>
      </c>
      <c r="E22" s="82"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893</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2" t="str">
        <f>INDEX(LocaleTable[LocaleKR],MATCH(ItemTable[[#This Row],[Name]],LocaleTable[StringKey],0))</f>
        <v>어른의 카드</v>
      </c>
      <c r="D23" s="82" t="str">
        <f>INDEX(LocaleTable[LocaleKR],MATCH(ItemTable[[#This Row],[Desc]],LocaleTable[StringKey],0))</f>
        <v>리스크는 이해하고 있습니다.\n사용할수록, 깎여나갑니다.\n당신의 삶과 시간이…</v>
      </c>
      <c r="E23" s="82"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894</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2" t="str">
        <f>INDEX(LocaleTable[LocaleKR],MATCH(ItemTable[[#This Row],[Name]],LocaleTable[StringKey],0))</f>
        <v>악마의 적금통장</v>
      </c>
      <c r="D24" s="82" t="str">
        <f>INDEX(LocaleTable[LocaleKR],MATCH(ItemTable[[#This Row],[Desc]],LocaleTable[StringKey],0))</f>
        <v>'체력이 생기면 고민도 행복해진다.'\n마계 국민 첫 재테크 적금으로 딱입니다.</v>
      </c>
      <c r="E24" s="82"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894</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2" t="str">
        <f>INDEX(LocaleTable[LocaleKR],MATCH(ItemTable[[#This Row],[Name]],LocaleTable[StringKey],0))</f>
        <v>인피니티 도넛</v>
      </c>
      <c r="D25" s="82" t="str">
        <f>INDEX(LocaleTable[LocaleKR],MATCH(ItemTable[[#This Row],[Desc]],LocaleTable[StringKey],0))</f>
        <v>도넛에 구멍은 몇 개일까요?\n이 도넛은 무한한 구멍을 가졌습니다.</v>
      </c>
      <c r="E25" s="82"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2" t="str">
        <f>INDEX(LocaleTable[LocaleKR],MATCH(ItemTable[[#This Row],[Name]],LocaleTable[StringKey],0))</f>
        <v>초소형 블랙홀</v>
      </c>
      <c r="D26" s="82" t="str">
        <f>INDEX(LocaleTable[LocaleKR],MATCH(ItemTable[[#This Row],[Desc]],LocaleTable[StringKey],0))</f>
        <v>공공장소에서 사용으로 인한\n피해는 책임지지 않습니다.</v>
      </c>
      <c r="E26" s="82"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2" t="str">
        <f>INDEX(LocaleTable[LocaleKR],MATCH(ItemTable[[#This Row],[Name]],LocaleTable[StringKey],0))</f>
        <v>사이버웨어</v>
      </c>
      <c r="D27" s="82" t="str">
        <f>INDEX(LocaleTable[LocaleKR],MATCH(ItemTable[[#This Row],[Desc]],LocaleTable[StringKey],0))</f>
        <v>기초적인 임플란트입니다.\n마구 사용하다간 무언가 고장날 수 있습니다.</v>
      </c>
      <c r="E27" s="82"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2" t="str">
        <f>INDEX(LocaleTable[LocaleKR],MATCH(ItemTable[[#This Row],[Name]],LocaleTable[StringKey],0))</f>
        <v>미사일 백팩</v>
      </c>
      <c r="D28" s="82" t="str">
        <f>INDEX(LocaleTable[LocaleKR],MATCH(ItemTable[[#This Row],[Desc]],LocaleTable[StringKey],0))</f>
        <v>앞만 보고 살아가는 당신에게 추천합니다.\n데일리룩으로 안성맞춤.</v>
      </c>
      <c r="E28" s="82"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2" t="str">
        <f>INDEX(LocaleTable[LocaleKR],MATCH(ItemTable[[#This Row],[Name]],LocaleTable[StringKey],0))</f>
        <v>엑스칼리배트</v>
      </c>
      <c r="D29" s="82" t="str">
        <f>INDEX(LocaleTable[LocaleKR],MATCH(ItemTable[[#This Row],[Desc]],LocaleTable[StringKey],0))</f>
        <v>약속된 홈런의 배트!</v>
      </c>
      <c r="E29" s="82"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2" t="str">
        <f>INDEX(LocaleTable[LocaleKR],MATCH(ItemTable[[#This Row],[Name]],LocaleTable[StringKey],0))</f>
        <v>여의배트</v>
      </c>
      <c r="D30" s="82" t="str">
        <f>INDEX(LocaleTable[LocaleKR],MATCH(ItemTable[[#This Row],[Desc]],LocaleTable[StringKey],0))</f>
        <v>배트를 마음대로 늘릴 수 있습니다!</v>
      </c>
      <c r="E30" s="82"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82" priority="5">
      <formula>$L1="Active"</formula>
    </cfRule>
    <cfRule type="expression" dxfId="81" priority="6">
      <formula>$L1="Cursed"</formula>
    </cfRule>
    <cfRule type="expression" dxfId="80" priority="7">
      <formula>$L1="Rare"</formula>
    </cfRule>
    <cfRule type="expression" dxfId="79" priority="8">
      <formula>$L1="Normal"</formula>
    </cfRule>
  </conditionalFormatting>
  <conditionalFormatting sqref="A1:XFD1048576">
    <cfRule type="expression" dxfId="78"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77" priority="4">
      <formula>LEFT(B$2,1)="#"</formula>
    </cfRule>
  </conditionalFormatting>
  <conditionalFormatting sqref="H2:R30">
    <cfRule type="expression" dxfId="76" priority="13">
      <formula>$L2="Active"</formula>
    </cfRule>
    <cfRule type="expression" dxfId="75" priority="14">
      <formula>$L2="Cursed"</formula>
    </cfRule>
    <cfRule type="expression" dxfId="74" priority="15">
      <formula>$L2="Rare"</formula>
    </cfRule>
    <cfRule type="expression" dxfId="73" priority="16">
      <formula>$L2="Normal"</formula>
    </cfRule>
  </conditionalFormatting>
  <conditionalFormatting sqref="B31:B1048576">
    <cfRule type="expression" dxfId="72"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topLeftCell="A10" zoomScale="85" zoomScaleNormal="85" zoomScaleSheetLayoutView="100" workbookViewId="0">
      <selection activeCell="G19" sqref="G19"/>
    </sheetView>
  </sheetViews>
  <sheetFormatPr defaultColWidth="8.796875" defaultRowHeight="17.399999999999999"/>
  <cols>
    <col min="1" max="1" width="8.796875" style="44"/>
    <col min="2" max="2" width="20" bestFit="1" customWidth="1"/>
    <col min="3" max="3" width="10.19921875" bestFit="1" customWidth="1"/>
    <col min="4" max="4" width="8.69921875" bestFit="1" customWidth="1"/>
    <col min="5" max="7" width="17.69921875" customWidth="1"/>
    <col min="8" max="8" width="28.296875" customWidth="1"/>
    <col min="9" max="11" width="18" customWidth="1"/>
    <col min="12" max="17" width="18.1992187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3">
        <v>8007</v>
      </c>
      <c r="E16" s="83"/>
      <c r="F16" s="83">
        <v>8007</v>
      </c>
      <c r="G16" s="81">
        <v>0</v>
      </c>
      <c r="H16" s="83" t="s">
        <v>353</v>
      </c>
      <c r="I16" s="81"/>
      <c r="J16" s="83" t="s">
        <v>325</v>
      </c>
      <c r="K16" s="81"/>
      <c r="L16" s="83" t="str">
        <f>IFERROR(LEFT(ItemEffectTable[[#This Row],[TriggerType]],FIND(",",ItemEffectTable[[#This Row],[TriggerType]],1)-1),ItemEffectTable[[#This Row],[TriggerType]])</f>
        <v>OnAttackStunEnemy</v>
      </c>
      <c r="M16" s="83" t="str">
        <f>IFERROR(
MID(ItemEffectTable[[#This Row],[TriggerType]],
FIND(",",ItemEffectTable[[#This Row],[TriggerType]],1)+2,
FIND(",",ItemEffectTable[[#This Row],[TriggerType]],FIND(",",ItemEffectTable[[#This Row],[TriggerType]],1))
),
"")</f>
        <v/>
      </c>
      <c r="N16" s="83"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3">
        <f>IFERROR(INDEX(스텟별가치29[발동율],MATCH(ItemEffectTable[[#This Row],['#트리거1]],스텟별가치29[트리거],0)),0)</f>
        <v>2</v>
      </c>
      <c r="P16" s="83">
        <f>IFERROR(INDEX(스텟별가치29[발동율],MATCH(ItemEffectTable[[#This Row],['#트리거2]],스텟별가치29[트리거],0)),-1)</f>
        <v>-1</v>
      </c>
      <c r="Q16" s="83">
        <f>IFERROR(INDEX(스텟별가치29[발동율],MATCH(ItemEffectTable[[#This Row],['#트리거3]],스텟별가치29[트리거],0)),-1)</f>
        <v>-1</v>
      </c>
      <c r="R16" s="83">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3">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3">
        <v>8007</v>
      </c>
      <c r="E17" s="83">
        <v>8007</v>
      </c>
      <c r="F17" s="83"/>
      <c r="G17" s="81">
        <v>0</v>
      </c>
      <c r="H17" s="83" t="s">
        <v>353</v>
      </c>
      <c r="I17" s="81"/>
      <c r="J17" s="84" t="s">
        <v>919</v>
      </c>
      <c r="K17" s="81">
        <v>1</v>
      </c>
      <c r="L17" s="83" t="str">
        <f>IFERROR(LEFT(ItemEffectTable[[#This Row],[TriggerType]],FIND(",",ItemEffectTable[[#This Row],[TriggerType]],1)-1),ItemEffectTable[[#This Row],[TriggerType]])</f>
        <v>OnAttackStunEnemy</v>
      </c>
      <c r="M17" s="83" t="str">
        <f>IFERROR(
MID(ItemEffectTable[[#This Row],[TriggerType]],
FIND(",",ItemEffectTable[[#This Row],[TriggerType]],1)+2,
FIND(",",ItemEffectTable[[#This Row],[TriggerType]],FIND(",",ItemEffectTable[[#This Row],[TriggerType]],1))
),
"")</f>
        <v/>
      </c>
      <c r="N17" s="83"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3">
        <f>IFERROR(INDEX(스텟별가치29[발동율],MATCH(ItemEffectTable[[#This Row],['#트리거1]],스텟별가치29[트리거],0)),0)</f>
        <v>2</v>
      </c>
      <c r="P17" s="83">
        <f>IFERROR(INDEX(스텟별가치29[발동율],MATCH(ItemEffectTable[[#This Row],['#트리거2]],스텟별가치29[트리거],0)),-1)</f>
        <v>-1</v>
      </c>
      <c r="Q17" s="83">
        <f>IFERROR(INDEX(스텟별가치29[발동율],MATCH(ItemEffectTable[[#This Row],['#트리거3]],스텟별가치29[트리거],0)),-1)</f>
        <v>-1</v>
      </c>
      <c r="R17" s="83">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2.0000000000000001E-4</v>
      </c>
      <c r="S17" s="83">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919</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zoomScaleNormal="100" zoomScaleSheetLayoutView="100" workbookViewId="0">
      <selection activeCell="F15" sqref="F15"/>
    </sheetView>
  </sheetViews>
  <sheetFormatPr defaultColWidth="8.796875" defaultRowHeight="17.399999999999999"/>
  <cols>
    <col min="2" max="2" width="17.796875" bestFit="1" customWidth="1"/>
    <col min="3" max="3" width="29" bestFit="1" customWidth="1"/>
    <col min="4" max="4" width="8.69921875" bestFit="1" customWidth="1"/>
    <col min="5" max="5" width="21.19921875" bestFit="1" customWidth="1"/>
    <col min="6" max="6" width="20.5" bestFit="1" customWidth="1"/>
    <col min="7" max="7" width="21.69921875" bestFit="1" customWidth="1"/>
    <col min="8" max="8" width="11.5" bestFit="1" customWidth="1"/>
    <col min="9" max="9" width="18.69921875" bestFit="1" customWidth="1"/>
    <col min="10" max="10" width="12.5" bestFit="1" customWidth="1"/>
    <col min="11" max="11" width="12.19921875" style="8" customWidth="1"/>
    <col min="12" max="12" width="12.69921875" bestFit="1" customWidth="1"/>
    <col min="13" max="14" width="13.796875" bestFit="1" customWidth="1"/>
    <col min="15" max="15" width="13.796875" customWidth="1"/>
    <col min="16" max="16" width="13.796875" bestFit="1" customWidth="1"/>
    <col min="17" max="19" width="13.79687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939</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B7" sqref="B7"/>
    </sheetView>
  </sheetViews>
  <sheetFormatPr defaultColWidth="8.796875" defaultRowHeight="17.399999999999999"/>
  <cols>
    <col min="1" max="1" width="8.796875" style="43"/>
    <col min="2" max="2" width="8.69921875" bestFit="1" customWidth="1"/>
    <col min="3" max="3" width="14.69921875" customWidth="1"/>
    <col min="4" max="4" width="14.5" customWidth="1"/>
    <col min="5" max="5" width="11.19921875" customWidth="1"/>
    <col min="6" max="6" width="18.296875" customWidth="1"/>
    <col min="7" max="7" width="11.796875" customWidth="1"/>
    <col min="8" max="8" width="20.69921875" customWidth="1"/>
    <col min="9" max="9" width="17.5" customWidth="1"/>
    <col min="10" max="10" width="25.796875" customWidth="1"/>
    <col min="11" max="11" width="11.796875" bestFit="1" customWidth="1"/>
    <col min="12" max="12" width="22.296875" customWidth="1"/>
    <col min="13" max="14" width="14.1992187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IFERROR(INDEX(ItemEffectTable['#이름],MATCH(ItemEffectTable2324[[#This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928</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18"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921</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18"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defaultColWidth="8.796875" defaultRowHeight="17.399999999999999"/>
  <cols>
    <col min="3" max="3" width="15.19921875" bestFit="1" customWidth="1"/>
    <col min="4" max="4" width="28.296875" customWidth="1"/>
    <col min="5" max="5" width="16.296875" bestFit="1" customWidth="1"/>
    <col min="6" max="6" width="33.1992187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defaultColWidth="8.796875" defaultRowHeight="17.399999999999999"/>
  <cols>
    <col min="2" max="2" width="22.796875" customWidth="1"/>
    <col min="3" max="3" width="73.5" style="9" customWidth="1"/>
    <col min="4" max="4" width="64.19921875" customWidth="1"/>
    <col min="5" max="5" width="13.69921875" customWidth="1"/>
    <col min="6" max="6" width="12.296875" bestFit="1" customWidth="1"/>
    <col min="7" max="7" width="16.69921875" customWidth="1"/>
    <col min="8" max="8" width="12.296875" bestFit="1" customWidth="1"/>
    <col min="9" max="9" width="34.19921875" customWidth="1"/>
  </cols>
  <sheetData>
    <row r="1" spans="2:9">
      <c r="B1" t="s">
        <v>27</v>
      </c>
      <c r="C1" s="9" t="s">
        <v>39</v>
      </c>
      <c r="D1" t="s">
        <v>39</v>
      </c>
      <c r="E1" t="s">
        <v>231</v>
      </c>
      <c r="F1" t="s">
        <v>231</v>
      </c>
      <c r="G1" t="s">
        <v>231</v>
      </c>
      <c r="H1" t="s">
        <v>231</v>
      </c>
      <c r="I1" t="s">
        <v>231</v>
      </c>
    </row>
    <row r="2" spans="2:9">
      <c r="B2" s="11" t="s">
        <v>546</v>
      </c>
      <c r="C2" s="9" t="s">
        <v>160</v>
      </c>
      <c r="D2" t="s">
        <v>159</v>
      </c>
      <c r="E2" s="36" t="s">
        <v>487</v>
      </c>
      <c r="F2" s="36" t="s">
        <v>488</v>
      </c>
      <c r="G2" s="36" t="s">
        <v>489</v>
      </c>
      <c r="H2" s="36" t="s">
        <v>490</v>
      </c>
      <c r="I2" s="36" t="s">
        <v>528</v>
      </c>
    </row>
    <row r="3" spans="2:9">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4.799999999999997">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4.799999999999997">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4.799999999999997">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4.799999999999997">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c r="B79" t="str">
        <f>LocaleTable[[#This Row],['#인덱스제너레이터]]</f>
        <v>Item_Name_2001</v>
      </c>
      <c r="C79" s="52" t="s">
        <v>887</v>
      </c>
      <c r="D79" s="52" t="s">
        <v>888</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c r="B85" t="str">
        <f>LocaleTable[[#This Row],['#인덱스제너레이터]]</f>
        <v>Item_Name_3001</v>
      </c>
      <c r="C85" s="52" t="s">
        <v>897</v>
      </c>
      <c r="D85" s="52" t="s">
        <v>898</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c r="B91" t="str">
        <f>LocaleTable[[#This Row],['#인덱스제너레이터]]</f>
        <v>Item_Name_3007</v>
      </c>
      <c r="C91" s="53" t="s">
        <v>922</v>
      </c>
      <c r="D91" s="52" t="s">
        <v>923</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c r="B94" t="str">
        <f>LocaleTable[[#This Row],['#인덱스제너레이터]]</f>
        <v>Item_Name_4002</v>
      </c>
      <c r="C94" s="52" t="s">
        <v>902</v>
      </c>
      <c r="D94" s="52" t="s">
        <v>899</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c r="B95" t="str">
        <f>LocaleTable[[#This Row],['#인덱스제너레이터]]</f>
        <v>Item_Name_4003</v>
      </c>
      <c r="C95" s="52" t="s">
        <v>205</v>
      </c>
      <c r="D95" s="52" t="s">
        <v>903</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c r="B99" t="str">
        <f>LocaleTable[[#This Row],['#인덱스제너레이터]]</f>
        <v>Item_Name_4007</v>
      </c>
      <c r="C99" s="53" t="s">
        <v>909</v>
      </c>
      <c r="D99" s="53" t="s">
        <v>908</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4.799999999999997">
      <c r="B107" t="str">
        <f>LocaleTable[[#This Row],['#인덱스제너레이터]]</f>
        <v>Item_Desc_2001</v>
      </c>
      <c r="C107" s="53" t="s">
        <v>904</v>
      </c>
      <c r="D107" s="52" t="s">
        <v>905</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4.799999999999997">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4.799999999999997">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c r="B113" t="str">
        <f>LocaleTable[[#This Row],['#인덱스제너레이터]]</f>
        <v>Item_Desc_3001</v>
      </c>
      <c r="C113" s="78" t="s">
        <v>906</v>
      </c>
      <c r="D113" s="54" t="s">
        <v>907</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4.799999999999997">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69.599999999999994">
      <c r="B119" t="str">
        <f>LocaleTable[[#This Row],['#인덱스제너레이터]]</f>
        <v>Item_Desc_3007</v>
      </c>
      <c r="C119" s="53" t="s">
        <v>924</v>
      </c>
      <c r="D119" s="52" t="s">
        <v>925</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4.799999999999997">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4.799999999999997">
      <c r="B122" t="str">
        <f>LocaleTable[[#This Row],['#인덱스제너레이터]]</f>
        <v>Item_Desc_4002</v>
      </c>
      <c r="C122" s="53" t="s">
        <v>900</v>
      </c>
      <c r="D122" s="52" t="s">
        <v>901</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4.799999999999997">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4.799999999999997">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4.799999999999997">
      <c r="B127" t="str">
        <f>LocaleTable[[#This Row],['#인덱스제너레이터]]</f>
        <v>Item_Desc_4007</v>
      </c>
      <c r="C127" s="78" t="s">
        <v>917</v>
      </c>
      <c r="D127" s="54" t="s">
        <v>918</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4.799999999999997">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4.799999999999997">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c r="B139" t="str">
        <f>LocaleTable[[#This Row],['#인덱스제너레이터]]</f>
        <v>Item_PlusDesc_2005</v>
      </c>
      <c r="C139" s="16" t="s">
        <v>758</v>
      </c>
      <c r="D139" s="52" t="s">
        <v>910</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4.799999999999997">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4.799999999999997">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c r="B145" t="str">
        <f>LocaleTable[[#This Row],['#인덱스제너레이터]]</f>
        <v>Item_PlusDesc_3005</v>
      </c>
      <c r="C145" s="11" t="s">
        <v>912</v>
      </c>
      <c r="D145" s="52" t="s">
        <v>911</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4.799999999999997">
      <c r="B147" t="str">
        <f>LocaleTable[[#This Row],['#인덱스제너레이터]]</f>
        <v>Item_PlusDesc_3007</v>
      </c>
      <c r="C147" s="53" t="s">
        <v>926</v>
      </c>
      <c r="D147" s="52" t="s">
        <v>927</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4.799999999999997">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c r="B155" t="str">
        <f>LocaleTable[[#This Row],['#인덱스제너레이터]]</f>
        <v>Item_PlusDesc_4007</v>
      </c>
      <c r="C155" s="52" t="s">
        <v>920</v>
      </c>
      <c r="D155" s="52" t="s">
        <v>913</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c r="B165" t="str">
        <f>LocaleTable[[#This Row],['#인덱스제너레이터]]</f>
        <v>Item_MinusDesc_4003</v>
      </c>
      <c r="C165" s="52" t="s">
        <v>759</v>
      </c>
      <c r="D165" s="52" t="s">
        <v>916</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c r="B169" t="str">
        <f>LocaleTable[[#This Row],['#인덱스제너레이터]]</f>
        <v>Item_MinusDesc_4007</v>
      </c>
      <c r="C169" s="52" t="s">
        <v>914</v>
      </c>
      <c r="D169" s="52" t="s">
        <v>915</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동주 김</cp:lastModifiedBy>
  <cp:revision>2</cp:revision>
  <dcterms:created xsi:type="dcterms:W3CDTF">2023-03-25T04:43:38Z</dcterms:created>
  <dcterms:modified xsi:type="dcterms:W3CDTF">2023-11-12T13:19:36Z</dcterms:modified>
  <cp:version>1200.0100.01</cp:version>
</cp:coreProperties>
</file>