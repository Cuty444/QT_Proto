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159E08A-F9D6-49EC-AC71-F5E024A93745}" xr6:coauthVersionLast="47" xr6:coauthVersionMax="47" xr10:uidLastSave="{00000000-0000-0000-0000-000000000000}"/>
  <bookViews>
    <workbookView xWindow="-28920" yWindow="-120" windowWidth="29040" windowHeight="15840" firstSheet="3" activeTab="5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" l="1" a="1"/>
  <c r="N3" i="2" s="1"/>
  <c r="P3" i="2" s="1" a="1"/>
  <c r="P3" i="2" s="1"/>
  <c r="Q3" i="2" s="1" a="1"/>
  <c r="Q3" i="2" s="1"/>
  <c r="N4" i="2" a="1"/>
  <c r="N4" i="2" s="1"/>
  <c r="P4" i="2" s="1" a="1"/>
  <c r="P4" i="2" s="1"/>
  <c r="Q4" i="2" s="1" a="1"/>
  <c r="Q4" i="2" s="1"/>
  <c r="N5" i="2" a="1"/>
  <c r="N5" i="2" s="1"/>
  <c r="P5" i="2" s="1" a="1"/>
  <c r="P5" i="2" s="1"/>
  <c r="Q5" i="2" s="1" a="1"/>
  <c r="Q5" i="2" s="1"/>
  <c r="N6" i="2" a="1"/>
  <c r="N6" i="2" s="1"/>
  <c r="P6" i="2" s="1" a="1"/>
  <c r="P6" i="2" s="1"/>
  <c r="Q6" i="2" s="1" a="1"/>
  <c r="Q6" i="2" s="1"/>
  <c r="N7" i="2" a="1"/>
  <c r="N7" i="2" s="1"/>
  <c r="P7" i="2" s="1" a="1"/>
  <c r="P7" i="2" s="1"/>
  <c r="Q7" i="2" s="1" a="1"/>
  <c r="Q7" i="2" s="1"/>
  <c r="N8" i="2" a="1"/>
  <c r="N8" i="2" s="1"/>
  <c r="P8" i="2" s="1" a="1"/>
  <c r="P8" i="2" s="1"/>
  <c r="Q8" i="2" s="1" a="1"/>
  <c r="Q8" i="2" s="1"/>
  <c r="N9" i="2" a="1"/>
  <c r="N9" i="2" s="1"/>
  <c r="P9" i="2" s="1" a="1"/>
  <c r="P9" i="2" s="1"/>
  <c r="Q9" i="2" s="1" a="1"/>
  <c r="Q9" i="2" s="1"/>
  <c r="N10" i="2" a="1"/>
  <c r="N10" i="2" s="1"/>
  <c r="N11" i="2" a="1"/>
  <c r="N11" i="2" s="1"/>
  <c r="N12" i="2" a="1"/>
  <c r="N12" i="2" s="1"/>
  <c r="P12" i="2" s="1" a="1"/>
  <c r="P12" i="2" s="1"/>
  <c r="Q12" i="2" s="1" a="1"/>
  <c r="Q12" i="2" s="1"/>
  <c r="N13" i="2" a="1"/>
  <c r="N13" i="2" s="1"/>
  <c r="N14" i="2" a="1"/>
  <c r="N14" i="2" s="1"/>
  <c r="N15" i="2" a="1"/>
  <c r="N15" i="2" s="1"/>
  <c r="P15" i="2" s="1" a="1"/>
  <c r="P15" i="2" s="1"/>
  <c r="Q15" i="2" s="1" a="1"/>
  <c r="Q15" i="2" s="1"/>
  <c r="N16" i="2" a="1"/>
  <c r="N16" i="2" s="1"/>
  <c r="P16" i="2" s="1" a="1"/>
  <c r="P16" i="2" s="1"/>
  <c r="Q16" i="2" s="1" a="1"/>
  <c r="Q16" i="2" s="1"/>
  <c r="N17" i="2" a="1"/>
  <c r="N17" i="2" s="1"/>
  <c r="P17" i="2" s="1" a="1"/>
  <c r="P17" i="2" s="1"/>
  <c r="Q17" i="2" s="1" a="1"/>
  <c r="Q17" i="2" s="1"/>
  <c r="N18" i="2" a="1"/>
  <c r="N18" i="2" s="1"/>
  <c r="N19" i="2" a="1"/>
  <c r="N19" i="2" s="1"/>
  <c r="P19" i="2" s="1" a="1"/>
  <c r="P19" i="2" s="1"/>
  <c r="Q19" i="2" s="1" a="1"/>
  <c r="Q19" i="2" s="1"/>
  <c r="N20" i="2" a="1"/>
  <c r="N20" i="2" s="1"/>
  <c r="P20" i="2" s="1" a="1"/>
  <c r="P20" i="2" s="1"/>
  <c r="Q20" i="2" s="1" a="1"/>
  <c r="Q20" i="2" s="1"/>
  <c r="N21" i="2" a="1"/>
  <c r="N21" i="2" s="1"/>
  <c r="P21" i="2" s="1" a="1"/>
  <c r="P21" i="2" s="1"/>
  <c r="Q21" i="2" s="1" a="1"/>
  <c r="Q21" i="2" s="1"/>
  <c r="N23" i="2" a="1"/>
  <c r="N23" i="2" s="1"/>
  <c r="P23" i="2" s="1" a="1"/>
  <c r="P23" i="2" s="1"/>
  <c r="Q23" i="2" s="1" a="1"/>
  <c r="Q23" i="2" s="1"/>
  <c r="N24" i="2" a="1"/>
  <c r="N24" i="2" s="1"/>
  <c r="P24" i="2" s="1" a="1"/>
  <c r="P24" i="2" s="1"/>
  <c r="Q24" i="2" s="1" a="1"/>
  <c r="Q24" i="2" s="1"/>
  <c r="N25" i="2" a="1"/>
  <c r="N25" i="2" s="1"/>
  <c r="P25" i="2" s="1" a="1"/>
  <c r="P25" i="2" s="1"/>
  <c r="Q25" i="2" s="1" a="1"/>
  <c r="Q25" i="2" s="1"/>
  <c r="N26" i="2" a="1"/>
  <c r="N26" i="2" s="1"/>
  <c r="N27" i="2" a="1"/>
  <c r="N27" i="2" s="1"/>
  <c r="P27" i="2" s="1" a="1"/>
  <c r="P27" i="2" s="1"/>
  <c r="Q27" i="2" s="1" a="1"/>
  <c r="Q27" i="2" s="1"/>
  <c r="N28" i="2" a="1"/>
  <c r="N28" i="2" s="1"/>
  <c r="P28" i="2" s="1" a="1"/>
  <c r="P28" i="2" s="1"/>
  <c r="Q28" i="2" s="1" a="1"/>
  <c r="Q28" i="2" s="1"/>
  <c r="N29" i="2" a="1"/>
  <c r="N29" i="2" s="1"/>
  <c r="P29" i="2" s="1" a="1"/>
  <c r="P29" i="2" s="1"/>
  <c r="Q29" i="2" s="1" a="1"/>
  <c r="Q29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N22" i="2" s="1" a="1"/>
  <c r="N22" i="2" s="1"/>
  <c r="P22" i="2" s="1" a="1"/>
  <c r="P22" i="2" s="1"/>
  <c r="Q22" i="2" s="1" a="1"/>
  <c r="Q22" i="2" s="1"/>
  <c r="M23" i="2"/>
  <c r="M24" i="2"/>
  <c r="M25" i="2"/>
  <c r="M26" i="2"/>
  <c r="M27" i="2"/>
  <c r="M28" i="2"/>
  <c r="M29" i="2"/>
  <c r="C17" i="2"/>
  <c r="D17" i="2"/>
  <c r="H17" i="2"/>
  <c r="H16" i="2"/>
  <c r="D16" i="2"/>
  <c r="C16" i="2"/>
  <c r="H24" i="2"/>
  <c r="D24" i="2"/>
  <c r="C24" i="2"/>
  <c r="C27" i="2"/>
  <c r="C28" i="2"/>
  <c r="C29" i="2"/>
  <c r="D27" i="2"/>
  <c r="D28" i="2"/>
  <c r="D29" i="2"/>
  <c r="H29" i="2"/>
  <c r="H28" i="2"/>
  <c r="H27" i="2"/>
  <c r="B9" i="6" a="1"/>
  <c r="B9" i="6" s="1"/>
  <c r="B10" i="6" s="1" a="1"/>
  <c r="B10" i="6" s="1"/>
  <c r="B11" i="6" s="1" a="1"/>
  <c r="B11" i="6" s="1"/>
  <c r="B12" i="6" s="1" a="1"/>
  <c r="B12" i="6" s="1"/>
  <c r="B13" i="6" s="1" a="1"/>
  <c r="B13" i="6" s="1"/>
  <c r="B14" i="6" a="1"/>
  <c r="B14" i="6" s="1"/>
  <c r="B15" i="6" s="1" a="1"/>
  <c r="B15" i="6" s="1"/>
  <c r="B16" i="6" s="1" a="1"/>
  <c r="B16" i="6" s="1"/>
  <c r="B17" i="6" s="1" a="1"/>
  <c r="B17" i="6" s="1"/>
  <c r="B18" i="6" s="1" a="1"/>
  <c r="B18" i="6" s="1"/>
  <c r="B19" i="6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K24" i="6"/>
  <c r="G24" i="6" a="1"/>
  <c r="G24" i="6" s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8" i="2"/>
  <c r="H19" i="2"/>
  <c r="H20" i="2"/>
  <c r="H21" i="2"/>
  <c r="H22" i="2"/>
  <c r="H23" i="2"/>
  <c r="H25" i="2"/>
  <c r="H26" i="2"/>
  <c r="E12" i="8"/>
  <c r="E9" i="8"/>
  <c r="E8" i="8"/>
  <c r="E15" i="8"/>
  <c r="E13" i="8"/>
  <c r="O18" i="2"/>
  <c r="E21" i="8"/>
  <c r="E22" i="8"/>
  <c r="E18" i="8"/>
  <c r="J15" i="8"/>
  <c r="O10" i="2"/>
  <c r="O11" i="2"/>
  <c r="B8" i="6" a="1"/>
  <c r="B8" i="6" s="1"/>
  <c r="B5" i="6" a="1"/>
  <c r="B5" i="6" s="1"/>
  <c r="B6" i="6" s="1" a="1"/>
  <c r="B6" i="6" s="1"/>
  <c r="B7" i="6" s="1" a="1"/>
  <c r="B7" i="6" s="1"/>
  <c r="I7" i="6" s="1" a="1"/>
  <c r="I7" i="6" s="1"/>
  <c r="B3" i="6" a="1"/>
  <c r="B3" i="6" s="1"/>
  <c r="B4" i="6" s="1" a="1"/>
  <c r="B4" i="6" s="1"/>
  <c r="O8" i="8" a="1"/>
  <c r="O8" i="8" s="1"/>
  <c r="O9" i="8" a="1"/>
  <c r="O9" i="8" s="1"/>
  <c r="O10" i="8" a="1"/>
  <c r="O10" i="8" s="1"/>
  <c r="O11" i="8" a="1"/>
  <c r="O11" i="8" s="1"/>
  <c r="O12" i="8" a="1"/>
  <c r="O12" i="8" s="1"/>
  <c r="D7" i="7"/>
  <c r="G8" i="6" a="1"/>
  <c r="G8" i="6" s="1"/>
  <c r="G19" i="6" a="1"/>
  <c r="G19" i="6" s="1"/>
  <c r="G9" i="6" a="1"/>
  <c r="G9" i="6" s="1"/>
  <c r="G10" i="6" a="1"/>
  <c r="G10" i="6" s="1"/>
  <c r="G20" i="6" a="1"/>
  <c r="G20" i="6" s="1"/>
  <c r="G11" i="6" a="1"/>
  <c r="G11" i="6" s="1"/>
  <c r="G21" i="6" a="1"/>
  <c r="G21" i="6" s="1"/>
  <c r="G16" i="6" a="1"/>
  <c r="G16" i="6" s="1"/>
  <c r="G17" i="6" a="1"/>
  <c r="G17" i="6" s="1"/>
  <c r="G12" i="6" a="1"/>
  <c r="G12" i="6" s="1"/>
  <c r="G15" i="6" a="1"/>
  <c r="G15" i="6" s="1"/>
  <c r="G22" i="6" a="1"/>
  <c r="G22" i="6" s="1"/>
  <c r="G13" i="6" a="1"/>
  <c r="G13" i="6" s="1"/>
  <c r="G18" i="6" a="1"/>
  <c r="G18" i="6" s="1"/>
  <c r="G14" i="6" a="1"/>
  <c r="G14" i="6" s="1"/>
  <c r="P26" i="2" l="1" a="1"/>
  <c r="P26" i="2" s="1"/>
  <c r="Q26" i="2" s="1" a="1"/>
  <c r="Q26" i="2" s="1"/>
  <c r="P14" i="2" a="1"/>
  <c r="P14" i="2" s="1"/>
  <c r="Q14" i="2" s="1" a="1"/>
  <c r="Q14" i="2" s="1"/>
  <c r="P13" i="2" a="1"/>
  <c r="P13" i="2" s="1"/>
  <c r="Q13" i="2" s="1" a="1"/>
  <c r="Q13" i="2" s="1"/>
  <c r="P11" i="2" a="1"/>
  <c r="P11" i="2" s="1"/>
  <c r="Q11" i="2" s="1" a="1"/>
  <c r="Q11" i="2" s="1"/>
  <c r="P10" i="2" a="1"/>
  <c r="P10" i="2" s="1"/>
  <c r="Q10" i="2" s="1" a="1"/>
  <c r="Q10" i="2" s="1"/>
  <c r="P18" i="2" a="1"/>
  <c r="P18" i="2" s="1"/>
  <c r="Q18" i="2" s="1" a="1"/>
  <c r="Q18" i="2" s="1"/>
  <c r="I8" i="6" a="1"/>
  <c r="I8" i="6" s="1"/>
  <c r="I3" i="6" a="1"/>
  <c r="I3" i="6" s="1"/>
  <c r="R16" i="2" l="1" a="1"/>
  <c r="R16" i="2" s="1"/>
  <c r="S16" i="2" s="1"/>
  <c r="R17" i="2" a="1"/>
  <c r="R17" i="2" s="1"/>
  <c r="S17" i="2" s="1"/>
  <c r="R24" i="2" a="1"/>
  <c r="R24" i="2" s="1"/>
  <c r="S24" i="2" s="1"/>
  <c r="R27" i="2" a="1"/>
  <c r="R27" i="2" s="1"/>
  <c r="S27" i="2" s="1"/>
  <c r="R28" i="2" a="1"/>
  <c r="R28" i="2" s="1"/>
  <c r="S28" i="2" s="1"/>
  <c r="R29" i="2" a="1"/>
  <c r="R29" i="2" s="1"/>
  <c r="S29" i="2" s="1"/>
  <c r="R12" i="2" a="1"/>
  <c r="R12" i="2" s="1"/>
  <c r="R26" i="2" a="1"/>
  <c r="R26" i="2" s="1"/>
  <c r="R20" i="2" a="1"/>
  <c r="R20" i="2" s="1"/>
  <c r="R11" i="2" a="1"/>
  <c r="R11" i="2" s="1"/>
  <c r="R6" i="2" a="1"/>
  <c r="R6" i="2" s="1"/>
  <c r="R5" i="2" a="1"/>
  <c r="R5" i="2" s="1"/>
  <c r="R10" i="2" a="1"/>
  <c r="R10" i="2" s="1"/>
  <c r="R14" i="2" a="1"/>
  <c r="R14" i="2" s="1"/>
  <c r="R7" i="2" a="1"/>
  <c r="R7" i="2" s="1"/>
  <c r="R4" i="2" a="1"/>
  <c r="R4" i="2" s="1"/>
  <c r="R22" i="2" a="1"/>
  <c r="R22" i="2" s="1"/>
  <c r="R25" i="2" a="1"/>
  <c r="R25" i="2" s="1"/>
  <c r="R9" i="2" a="1"/>
  <c r="R9" i="2" s="1"/>
  <c r="R13" i="2" a="1"/>
  <c r="R13" i="2" s="1"/>
  <c r="R15" i="2" a="1"/>
  <c r="R15" i="2" s="1"/>
  <c r="R18" i="2" a="1"/>
  <c r="R18" i="2" s="1"/>
  <c r="R3" i="2" a="1"/>
  <c r="R3" i="2" s="1"/>
  <c r="R8" i="2" a="1"/>
  <c r="R8" i="2" s="1"/>
  <c r="R23" i="2" a="1"/>
  <c r="R23" i="2" s="1"/>
  <c r="R19" i="2" a="1"/>
  <c r="R19" i="2" s="1"/>
  <c r="R21" i="2" a="1"/>
  <c r="R21" i="2" s="1"/>
  <c r="I9" i="6" a="1"/>
  <c r="I9" i="6" s="1"/>
  <c r="I4" i="6" a="1"/>
  <c r="I4" i="6" s="1"/>
  <c r="I10" i="6" l="1" a="1"/>
  <c r="I10" i="6" s="1"/>
  <c r="I5" i="6" a="1"/>
  <c r="I5" i="6" s="1"/>
  <c r="I11" i="6" l="1" a="1"/>
  <c r="I11" i="6" s="1"/>
  <c r="I6" i="6" a="1"/>
  <c r="I6" i="6" s="1"/>
  <c r="D5" i="2" l="1"/>
  <c r="S5" i="2" s="1"/>
  <c r="C7" i="2"/>
  <c r="D6" i="2"/>
  <c r="S6" i="2" s="1"/>
  <c r="D7" i="2"/>
  <c r="S7" i="2" s="1"/>
  <c r="C6" i="2"/>
  <c r="C4" i="2"/>
  <c r="C5" i="2"/>
  <c r="D4" i="2"/>
  <c r="S4" i="2" s="1"/>
  <c r="I12" i="6" a="1"/>
  <c r="I12" i="6" s="1"/>
  <c r="C8" i="2" l="1"/>
  <c r="D8" i="2"/>
  <c r="S8" i="2" s="1"/>
  <c r="I13" i="6" a="1"/>
  <c r="I13" i="6" s="1"/>
  <c r="I14" i="6" l="1" a="1"/>
  <c r="I14" i="6" s="1"/>
  <c r="I23" i="6" l="1" a="1"/>
  <c r="I23" i="6" s="1"/>
  <c r="B24" i="6" a="1"/>
  <c r="B24" i="6" s="1"/>
  <c r="I24" i="6" s="1" a="1"/>
  <c r="I24" i="6" s="1"/>
  <c r="S10" i="15"/>
  <c r="D10" i="15"/>
  <c r="S9" i="15"/>
  <c r="D9" i="15"/>
  <c r="D8" i="15"/>
  <c r="S8" i="15"/>
  <c r="D7" i="15"/>
  <c r="S7" i="15"/>
  <c r="D6" i="15"/>
  <c r="S6" i="15"/>
  <c r="E17" i="8"/>
  <c r="E24" i="8"/>
  <c r="E23" i="8"/>
  <c r="E20" i="8"/>
  <c r="E19" i="8"/>
  <c r="E10" i="8"/>
  <c r="E14" i="8"/>
  <c r="AE3" i="10"/>
  <c r="O7" i="8" s="1" a="1"/>
  <c r="O7" i="8" s="1"/>
  <c r="AD3" i="10"/>
  <c r="Y3" i="10"/>
  <c r="AC3" i="10"/>
  <c r="AB3" i="10"/>
  <c r="AA3" i="10"/>
  <c r="Z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D48" i="5" l="1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G3" i="6"/>
  <c r="H5" i="6"/>
  <c r="H6" i="6"/>
  <c r="H7" i="6"/>
  <c r="G4" i="6"/>
  <c r="P7" i="8" l="1"/>
  <c r="P9" i="8"/>
  <c r="P12" i="8"/>
  <c r="P8" i="8"/>
  <c r="P10" i="8"/>
  <c r="A5" i="5"/>
  <c r="A4" i="5"/>
  <c r="A3" i="5"/>
  <c r="I10" i="8"/>
  <c r="I12" i="8"/>
  <c r="I8" i="8"/>
  <c r="I9" i="8"/>
  <c r="I7" i="8"/>
  <c r="H11" i="8"/>
  <c r="A6" i="5" l="1"/>
  <c r="D6" i="5" l="1" a="1"/>
  <c r="D6" i="5" s="1"/>
  <c r="D5" i="5" a="1"/>
  <c r="D5" i="5" s="1"/>
  <c r="D3" i="5" a="1"/>
  <c r="D3" i="5" s="1"/>
  <c r="D4" i="5" a="1"/>
  <c r="D4" i="5" s="1"/>
  <c r="A7" i="5"/>
  <c r="D7" i="5" l="1" a="1"/>
  <c r="D7" i="5" s="1"/>
  <c r="C4" i="13" l="1"/>
  <c r="C3" i="13"/>
  <c r="C5" i="13" l="1"/>
  <c r="C7" i="13"/>
  <c r="C6" i="13"/>
  <c r="C8" i="13" l="1"/>
  <c r="C9" i="13"/>
  <c r="A8" i="5" l="1"/>
  <c r="D8" i="5" l="1" a="1"/>
  <c r="D8" i="5" s="1"/>
  <c r="I15" i="6" a="1"/>
  <c r="I15" i="6" s="1"/>
  <c r="I16" i="6" a="1"/>
  <c r="I16" i="6" s="1"/>
  <c r="A10" i="5"/>
  <c r="D10" i="5" s="1" a="1"/>
  <c r="D10" i="5" s="1"/>
  <c r="I18" i="6" a="1"/>
  <c r="I18" i="6" s="1"/>
  <c r="I17" i="6" a="1"/>
  <c r="I17" i="6" s="1"/>
  <c r="A9" i="5"/>
  <c r="D39" i="5" s="1" a="1"/>
  <c r="D39" i="5" s="1"/>
  <c r="I20" i="6" a="1"/>
  <c r="I20" i="6" s="1"/>
  <c r="I19" i="6" a="1"/>
  <c r="I19" i="6" s="1"/>
  <c r="I22" i="6" a="1"/>
  <c r="I22" i="6" s="1"/>
  <c r="I21" i="6" a="1"/>
  <c r="I21" i="6" s="1"/>
  <c r="D13" i="2" l="1"/>
  <c r="S13" i="2" s="1"/>
  <c r="C13" i="2"/>
  <c r="D14" i="2"/>
  <c r="S14" i="2" s="1"/>
  <c r="D26" i="2"/>
  <c r="S26" i="2" s="1"/>
  <c r="D20" i="2"/>
  <c r="S20" i="2" s="1"/>
  <c r="D22" i="2"/>
  <c r="S22" i="2" s="1"/>
  <c r="D11" i="2"/>
  <c r="S11" i="2" s="1"/>
  <c r="C11" i="2"/>
  <c r="C26" i="2"/>
  <c r="C9" i="2"/>
  <c r="D9" i="2"/>
  <c r="S9" i="2" s="1"/>
  <c r="C14" i="2"/>
  <c r="C22" i="2"/>
  <c r="C20" i="2"/>
  <c r="D15" i="2"/>
  <c r="S15" i="2" s="1"/>
  <c r="D19" i="2"/>
  <c r="S19" i="2" s="1"/>
  <c r="C23" i="2"/>
  <c r="D21" i="2"/>
  <c r="S21" i="2" s="1"/>
  <c r="C18" i="2"/>
  <c r="C21" i="2"/>
  <c r="C10" i="2"/>
  <c r="C25" i="2"/>
  <c r="C15" i="2"/>
  <c r="D25" i="2"/>
  <c r="S25" i="2" s="1"/>
  <c r="D10" i="2"/>
  <c r="S10" i="2" s="1"/>
  <c r="D23" i="2"/>
  <c r="S23" i="2" s="1"/>
  <c r="C19" i="2"/>
  <c r="D12" i="2"/>
  <c r="S12" i="2" s="1"/>
  <c r="D18" i="2"/>
  <c r="S18" i="2" s="1"/>
  <c r="C12" i="2"/>
  <c r="D3" i="2"/>
  <c r="S3" i="2" s="1"/>
  <c r="C3" i="2"/>
  <c r="D15" i="5" a="1"/>
  <c r="D15" i="5" s="1"/>
  <c r="D26" i="5" a="1"/>
  <c r="D26" i="5" s="1"/>
  <c r="D41" i="5" a="1"/>
  <c r="D41" i="5" s="1"/>
  <c r="D13" i="5" a="1"/>
  <c r="D13" i="5" s="1"/>
  <c r="D42" i="5" a="1"/>
  <c r="D42" i="5" s="1"/>
  <c r="D22" i="5" a="1"/>
  <c r="D22" i="5" s="1"/>
  <c r="D20" i="5" a="1"/>
  <c r="D20" i="5" s="1"/>
  <c r="D28" i="5" a="1"/>
  <c r="D28" i="5" s="1"/>
  <c r="D29" i="5" a="1"/>
  <c r="D29" i="5" s="1"/>
  <c r="D34" i="5" a="1"/>
  <c r="D34" i="5" s="1"/>
  <c r="D43" i="5" a="1"/>
  <c r="D43" i="5" s="1"/>
  <c r="D23" i="5" a="1"/>
  <c r="D23" i="5" s="1"/>
  <c r="D37" i="5" a="1"/>
  <c r="D37" i="5" s="1"/>
  <c r="D18" i="5" a="1"/>
  <c r="D18" i="5" s="1"/>
  <c r="D12" i="5" a="1"/>
  <c r="D12" i="5" s="1"/>
  <c r="D17" i="5" a="1"/>
  <c r="D17" i="5" s="1"/>
  <c r="D31" i="5" a="1"/>
  <c r="D31" i="5" s="1"/>
  <c r="D24" i="5" a="1"/>
  <c r="D24" i="5" s="1"/>
  <c r="D30" i="5" a="1"/>
  <c r="D30" i="5" s="1"/>
  <c r="D35" i="5" a="1"/>
  <c r="D35" i="5" s="1"/>
  <c r="D32" i="5" a="1"/>
  <c r="D32" i="5" s="1"/>
  <c r="D38" i="5" a="1"/>
  <c r="D38" i="5" s="1"/>
  <c r="D11" i="5" a="1"/>
  <c r="D11" i="5" s="1"/>
  <c r="D25" i="5" a="1"/>
  <c r="D25" i="5" s="1"/>
  <c r="D33" i="5" a="1"/>
  <c r="D33" i="5" s="1"/>
  <c r="D14" i="5" a="1"/>
  <c r="D14" i="5" s="1"/>
  <c r="D44" i="5" a="1"/>
  <c r="D44" i="5" s="1"/>
  <c r="D27" i="5" a="1"/>
  <c r="D27" i="5" s="1"/>
  <c r="D21" i="5" a="1"/>
  <c r="D21" i="5" s="1"/>
  <c r="D36" i="5" a="1"/>
  <c r="D36" i="5" s="1"/>
  <c r="D16" i="5" a="1"/>
  <c r="D16" i="5" s="1"/>
  <c r="D19" i="5" a="1"/>
  <c r="D19" i="5" s="1"/>
  <c r="D40" i="5" a="1"/>
  <c r="D40" i="5" s="1"/>
  <c r="D45" i="5" a="1"/>
  <c r="D45" i="5" s="1"/>
  <c r="D46" i="5" a="1"/>
  <c r="D46" i="5" s="1"/>
  <c r="D9" i="5" a="1"/>
  <c r="D9" i="5" s="1"/>
  <c r="D47" i="5" a="1"/>
  <c r="D4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  <comment ref="S24" authorId="0" shapeId="0" xr:uid="{0ED58EFB-F739-4E16-8A79-93EA3D3EF50A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인덱스의</t>
        </r>
        <r>
          <rPr>
            <sz val="9"/>
            <color indexed="81"/>
            <rFont val="Tahoma"/>
            <family val="2"/>
          </rPr>
          <t xml:space="preserve"> # </t>
        </r>
        <r>
          <rPr>
            <sz val="9"/>
            <color indexed="81"/>
            <rFont val="돋움"/>
            <family val="3"/>
            <charset val="129"/>
          </rPr>
          <t>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정상작동</t>
        </r>
        <r>
          <rPr>
            <sz val="9"/>
            <color indexed="81"/>
            <rFont val="Tahoma"/>
            <family val="2"/>
          </rPr>
          <t xml:space="preserve">.
# </t>
        </r>
        <r>
          <rPr>
            <sz val="9"/>
            <color indexed="81"/>
            <rFont val="돋움"/>
            <family val="3"/>
            <charset val="129"/>
          </rPr>
          <t>빼보고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괜찮은지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확인하세요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<sst xmlns="http://schemas.openxmlformats.org/spreadsheetml/2006/main" count="907" uniqueCount="484">
  <si>
    <t>value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</si>
  <si>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</si>
  <si>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</si>
  <si>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</si>
  <si>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</si>
  <si>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</si>
  <si>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</si>
  <si>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</si>
  <si>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</si>
  <si>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</si>
  <si>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</si>
  <si>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</si>
  <si>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</si>
  <si>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</si>
  <si>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</si>
  <si>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</si>
  <si>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</si>
  <si>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</si>
  <si>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</si>
  <si>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</si>
  <si>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</si>
  <si>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</si>
  <si>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</si>
  <si>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</si>
  <si>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ResourceChange</t>
  </si>
  <si>
    <t>None</t>
  </si>
  <si>
    <t>ChargeAtkPierce</t>
  </si>
  <si>
    <t>이동속도가 조금 빨라집니다.</t>
  </si>
  <si>
    <t>MovementSpd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</si>
  <si>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</si>
  <si>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</si>
  <si>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</si>
  <si>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</si>
  <si>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</si>
  <si>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공 던지기 가능 개수가 1개 증가합니다.</t>
  </si>
  <si>
    <t>차징중에 공을 끌어당김</t>
  </si>
  <si>
    <t>BlackHole</t>
  </si>
  <si>
    <t>[배트]로 쳐낸 공이 적을 관통합니다.</t>
  </si>
  <si>
    <t>[하트]가 1개 증가합니다. 이동속도, 공격속도가 10% 빨라집니다.</t>
  </si>
  <si>
    <t>최대 [하트] 1개 당 5% 만큼 피해량이 증가합니다.</t>
  </si>
  <si>
    <t>골드를 20%씩 더 획득합니다.</t>
  </si>
  <si>
    <t>GoldGain</t>
  </si>
  <si>
    <t>“공이 복사가 된다고” 공 던지기 개수가 2개 증가합니다.</t>
  </si>
  <si>
    <t>소지중인 골드의 1%만큼 데미지 상승</t>
  </si>
  <si>
    <t>빈 하트 1개당 피해량 5% 상승</t>
  </si>
  <si>
    <t>RowCollider을 무시하고 이동함.</t>
  </si>
  <si>
    <t>Fly</t>
  </si>
  <si>
    <t>피해량이 20% 증가합니다.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</si>
  <si>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</si>
  <si>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</si>
  <si>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</si>
  <si>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</si>
  <si>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</si>
  <si>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</si>
  <si>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</si>
  <si>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</si>
  <si>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공격을 반대로 합니다. 대신 피해량이 25% 증가합니다.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</si>
  <si>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</si>
  <si>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</si>
  <si>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</si>
  <si>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</si>
  <si>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</si>
  <si>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</si>
  <si>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</si>
  <si>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</si>
  <si>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</si>
  <si>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</si>
  <si>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</si>
  <si>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</si>
  <si>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</si>
  <si>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</si>
  <si>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</si>
  <si>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</si>
  <si>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</si>
  <si>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</si>
  <si>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</si>
  <si>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</si>
  <si>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</si>
  <si>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</si>
  <si>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</si>
  <si>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</si>
  <si>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</si>
  <si>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</si>
  <si>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</si>
  <si>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</si>
  <si>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</si>
  <si>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</si>
  <si>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</si>
  <si>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</si>
  <si>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</si>
  <si>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</si>
  <si>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</si>
  <si>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</si>
  <si>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</si>
  <si>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</si>
  <si>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</si>
  <si>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</si>
  <si>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</si>
  <si>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</si>
  <si>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</si>
  <si>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</si>
  <si>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</si>
  <si>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</si>
  <si>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</si>
  <si>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</si>
  <si>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</si>
  <si>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</si>
  <si>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</si>
  <si>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</si>
  <si>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</si>
  <si>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</si>
  <si>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</si>
  <si>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</si>
  <si>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</si>
  <si>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</si>
  <si>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</si>
  <si>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</si>
  <si>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</si>
  <si>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</si>
  <si>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</si>
  <si>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</si>
  <si>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</si>
  <si>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</si>
  <si>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</si>
  <si>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</si>
  <si>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</si>
  <si>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</si>
  <si>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</si>
  <si>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</si>
  <si>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</si>
  <si>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</si>
  <si>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</si>
  <si>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</si>
  <si>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</si>
  <si>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</si>
  <si>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</si>
  <si>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</si>
  <si>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</si>
  <si>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</si>
  <si>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</si>
  <si>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</si>
  <si>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</si>
  <si>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</si>
  <si>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</si>
  <si>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</si>
  <si>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</si>
  <si>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</si>
  <si>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</si>
  <si>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</si>
  <si>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</si>
  <si>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</si>
  <si>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</si>
  <si>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</si>
  <si>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</si>
  <si>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</si>
  <si>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</si>
  <si>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</si>
  <si>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</si>
  <si>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</si>
  <si>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</si>
  <si>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</si>
  <si>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</si>
  <si>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</si>
  <si>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</si>
  <si>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</si>
  <si>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</si>
  <si>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</si>
  <si>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</si>
  <si>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</si>
  <si>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</si>
  <si>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</si>
  <si>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</si>
  <si>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</si>
  <si>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</si>
  <si>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</si>
  <si>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</si>
  <si>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</si>
  <si>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</si>
  <si>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</si>
  <si>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</si>
  <si>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</si>
  <si>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</si>
  <si>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</si>
  <si>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</si>
  <si>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</si>
  <si>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</si>
  <si>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</si>
  <si>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</si>
  <si>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</si>
  <si>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</si>
  <si>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</si>
  <si>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</si>
  <si>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</si>
  <si>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</si>
  <si>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</si>
  <si>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</si>
  <si>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</si>
  <si>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</si>
  <si>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</si>
  <si>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</si>
  <si>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</si>
  <si>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</si>
  <si>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</si>
  <si>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</si>
  <si>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</si>
  <si>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</si>
  <si>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</si>
  <si>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</si>
  <si>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#효과 한글</t>
    <phoneticPr fontId="1" type="noConversion"/>
  </si>
  <si>
    <t>#개발여부</t>
    <phoneticPr fontId="1" type="noConversion"/>
  </si>
  <si>
    <t>#이름값</t>
    <phoneticPr fontId="1" type="noConversion"/>
  </si>
  <si>
    <t>#Grade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</si>
  <si>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</si>
  <si>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</si>
  <si>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</si>
  <si>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</si>
  <si>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</si>
  <si>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</si>
  <si>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</si>
  <si>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</si>
  <si>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</si>
  <si>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</si>
  <si>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</si>
  <si>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</si>
  <si>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</si>
  <si>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</si>
  <si>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</si>
  <si>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</si>
  <si>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</si>
  <si>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</si>
  <si>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</si>
  <si>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</si>
  <si>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</si>
  <si>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</si>
  <si>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</si>
  <si>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</si>
  <si>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</si>
  <si>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</si>
  <si>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</si>
  <si>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</si>
  <si>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</si>
  <si>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</si>
  <si>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</si>
  <si>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</si>
  <si>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</si>
  <si>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</si>
  <si>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</si>
  <si>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</si>
  <si>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</si>
  <si>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</si>
  <si>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</si>
  <si>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</si>
  <si>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</si>
  <si>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</si>
  <si>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</si>
  <si>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</si>
  <si>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</si>
  <si>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</si>
  <si>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</si>
  <si>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</si>
  <si>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</si>
  <si>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</si>
  <si>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</si>
  <si>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</si>
  <si>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</si>
  <si>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</si>
  <si>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</si>
  <si>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</si>
  <si>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</si>
  <si>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</si>
  <si>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</si>
  <si>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</si>
  <si>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</si>
  <si>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</si>
  <si>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</si>
  <si>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</si>
  <si>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</si>
  <si>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</si>
  <si>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</si>
  <si>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</si>
  <si>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ChargeShootSpd1</t>
  </si>
  <si>
    <t>ChargeShootSpd2</t>
  </si>
  <si>
    <t>ChargeBounceCount1</t>
  </si>
  <si>
    <t>ChargeBounceCount2</t>
  </si>
  <si>
    <t>ChargeRigidDmg1</t>
  </si>
  <si>
    <t>ChargeRigidDmg2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</si>
  <si>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</si>
  <si>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</si>
  <si>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</si>
  <si>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</si>
  <si>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</si>
  <si>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</si>
  <si>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</si>
  <si>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</si>
  <si>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</si>
  <si>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</si>
  <si>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튕겨내기탄환속도변경-미차징</t>
  </si>
  <si>
    <t>튕겨내기탄환속도변경-1단계</t>
  </si>
  <si>
    <t>직접공격피해량-미차징</t>
  </si>
  <si>
    <t>직접공격피해량-1단계</t>
  </si>
  <si>
    <t>차징에 따른 충돌 횟수 변경 - 1단계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</si>
  <si>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</si>
  <si>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</si>
  <si>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</si>
  <si>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</si>
  <si>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</si>
  <si>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</si>
  <si>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</si>
  <si>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</si>
  <si>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효력 검사 ▶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</si>
  <si>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</si>
  <si>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</si>
  <si>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</si>
  <si>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</si>
  <si>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</si>
  <si>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</si>
  <si>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</si>
  <si>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</si>
  <si>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</si>
  <si>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</si>
  <si>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</si>
  <si>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</si>
  <si>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</si>
  <si>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</si>
  <si>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</si>
  <si>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</si>
  <si>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</si>
  <si>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</si>
  <si>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</si>
  <si>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</si>
  <si>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</si>
  <si>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#오차값</t>
    <phoneticPr fontId="1" type="noConversion"/>
  </si>
  <si>
    <t>#ApplyValue 수식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</si>
  <si>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</si>
  <si>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</si>
  <si>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</si>
  <si>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</si>
  <si>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</si>
  <si>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</si>
  <si>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</si>
  <si>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</si>
  <si>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</si>
  <si>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</si>
  <si>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</si>
  <si>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</si>
  <si>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</si>
  <si>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</si>
  <si>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</si>
  <si>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</si>
  <si>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</si>
  <si>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</si>
  <si>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</si>
  <si>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</si>
  <si>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</si>
  <si>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</si>
  <si>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</si>
  <si>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</si>
  <si>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</si>
  <si>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</si>
  <si>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</si>
  <si>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</si>
  <si>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</si>
  <si>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</si>
  <si>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</si>
  <si>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</si>
  <si>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</si>
  <si>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</si>
  <si>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</si>
  <si>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</si>
  <si>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</si>
  <si>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</si>
  <si>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</si>
  <si>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</si>
  <si>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</si>
  <si>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</si>
  <si>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</si>
  <si>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</si>
  <si>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</si>
  <si>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</si>
  <si>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</si>
  <si>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</si>
  <si>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</si>
  <si>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</si>
  <si>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</si>
  <si>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</si>
  <si>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</si>
  <si>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</si>
  <si>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</si>
  <si>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</si>
  <si>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</si>
  <si>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</si>
  <si>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</si>
  <si>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</si>
  <si>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</si>
  <si>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</si>
  <si>
    <t>심연의 눈깔사탕</t>
    <phoneticPr fontId="1" type="noConversion"/>
  </si>
  <si>
    <t>누군가의 일기장</t>
    <phoneticPr fontId="1" type="noConversion"/>
  </si>
  <si>
    <t>챔피언 모자</t>
    <phoneticPr fontId="1" type="noConversion"/>
  </si>
  <si>
    <t>메탈유니콘 키링</t>
    <phoneticPr fontId="1" type="noConversion"/>
  </si>
  <si>
    <t>코코아 한통</t>
    <phoneticPr fontId="1" type="noConversion"/>
  </si>
  <si>
    <t>QT 파우더</t>
    <phoneticPr fontId="1" type="noConversion"/>
  </si>
  <si>
    <t>슬픈 캔리오</t>
    <phoneticPr fontId="1" type="noConversion"/>
  </si>
  <si>
    <t>돌가면</t>
    <phoneticPr fontId="1" type="noConversion"/>
  </si>
  <si>
    <t>사나운 돼지저금통</t>
    <phoneticPr fontId="1" type="noConversion"/>
  </si>
  <si>
    <t>적토목마</t>
    <phoneticPr fontId="1" type="noConversion"/>
  </si>
  <si>
    <t>공룡블록</t>
    <phoneticPr fontId="1" type="noConversion"/>
  </si>
  <si>
    <t>태양</t>
    <phoneticPr fontId="1" type="noConversion"/>
  </si>
  <si>
    <t>삼각김곰</t>
    <phoneticPr fontId="1" type="noConversion"/>
  </si>
  <si>
    <t>데빌불</t>
    <phoneticPr fontId="1" type="noConversion"/>
  </si>
  <si>
    <t>쿨 - 도그</t>
    <phoneticPr fontId="1" type="noConversion"/>
  </si>
  <si>
    <t>청개굴 버섯구이</t>
    <phoneticPr fontId="1" type="noConversion"/>
  </si>
  <si>
    <t>가끔 열쇠를 먹어버립니다. 
귀중품 관리에 주의하십시오.</t>
    <phoneticPr fontId="1" type="noConversion"/>
  </si>
  <si>
    <t>섬세한 마음이 예쁜 글씨로 써져있습니다. 
누군가의 소중한… 
잠깐, 우리가 이걸봐도 괜찮은걸까요?</t>
    <phoneticPr fontId="1" type="noConversion"/>
  </si>
  <si>
    <t>한 봉지에 오직 한 개씩
존재하는 콜라맛 사탕입니다.</t>
    <phoneticPr fontId="1" type="noConversion"/>
  </si>
  <si>
    <t>얼.죽.아 클럽의
새로운 유행입니다.</t>
    <phoneticPr fontId="1" type="noConversion"/>
  </si>
  <si>
    <t>온 몸이 녹는 듯 한
강력한 단맛입니다.
끈적해지지 않게
조심하세요!</t>
    <phoneticPr fontId="1" type="noConversion"/>
  </si>
  <si>
    <t>세 나라 이야기'의
붉은 목마 입니다.
시크한 표정이 매력적입니다.</t>
    <phoneticPr fontId="1" type="noConversion"/>
  </si>
  <si>
    <t>사납지만 성능은 확실합니다.
단, 늘어나는 돈에 심취해
흥청망청 쓰지않게 조심하세요.</t>
    <phoneticPr fontId="1" type="noConversion"/>
  </si>
  <si>
    <t>꽤 무게가 나가는 돌가면.
이걸 쓰고도 단련을 하면
꽤 오래 살 수 있을 것 같은
느낌이 듭니다.</t>
    <phoneticPr fontId="1" type="noConversion"/>
  </si>
  <si>
    <t>그는 자신의 따뜻한
짝을 잃어버리고만
서글픈 양초입니다.</t>
    <phoneticPr fontId="1" type="noConversion"/>
  </si>
  <si>
    <t>당신에게 한줌의
귀여움을 더해줍니다.</t>
    <phoneticPr fontId="1" type="noConversion"/>
  </si>
  <si>
    <t>아래를 주의하세요!
밟는 순간 발바닥이
터질 듯 아픕니다.</t>
    <phoneticPr fontId="1" type="noConversion"/>
  </si>
  <si>
    <t>지니고 있다보면
온기가 느껴집니다.
쉽게 마음이 꺾이지
않을 것 같습니다.</t>
    <phoneticPr fontId="1" type="noConversion"/>
  </si>
  <si>
    <t>직화구이가 되어도 여전히 미끌거립니다.
시각적 거부감을 이겨내고 한입 베어물면
무엇이든 반대로 하고 싶어집니다.</t>
    <phoneticPr fontId="1" type="noConversion"/>
  </si>
  <si>
    <t>대나무 향을 머금은 흰 밥이
까만 김을 만나
완성된 환상적인 조합</t>
    <phoneticPr fontId="1" type="noConversion"/>
  </si>
  <si>
    <t>성배 속 액체가 얼음을 만나
젤리처럼 탱글거립니다.</t>
    <phoneticPr fontId="1" type="noConversion"/>
  </si>
  <si>
    <t>데빌불, 숨겨진 악성을 펼쳐줘요'
아직도 마계에서 불티나게 팔리고 있는 음료입니다.</t>
    <phoneticPr fontId="1" type="noConversion"/>
  </si>
  <si>
    <t>성배 속 작은 젤리</t>
    <phoneticPr fontId="1" type="noConversion"/>
  </si>
  <si>
    <t>ChargeProjectileDmg2</t>
  </si>
  <si>
    <t>차징피해량-미차징</t>
    <phoneticPr fontId="1" type="noConversion"/>
  </si>
  <si>
    <t>차징피해량-1단계</t>
    <phoneticPr fontId="1" type="noConversion"/>
  </si>
  <si>
    <t>Multiply</t>
    <phoneticPr fontId="1" type="noConversion"/>
  </si>
  <si>
    <t>Equip</t>
  </si>
  <si>
    <t>Addition</t>
    <phoneticPr fontId="1" type="noConversion"/>
  </si>
  <si>
    <t>Hard</t>
    <phoneticPr fontId="1" type="noConversion"/>
  </si>
  <si>
    <t>PlayerStat</t>
    <phoneticPr fontId="1" type="noConversion"/>
  </si>
  <si>
    <t>(MovementSpd * 0.02) - 6</t>
    <phoneticPr fontId="1" type="noConversion"/>
  </si>
  <si>
    <t>icon/item/coin.png</t>
  </si>
  <si>
    <t>icon/item/item_02.png</t>
  </si>
  <si>
    <t>icon/item/item_04.png</t>
  </si>
  <si>
    <t>icon/item/item_05.png</t>
  </si>
  <si>
    <t>icon/item/item_07.png</t>
  </si>
  <si>
    <t>icon/item/item_11.png</t>
  </si>
  <si>
    <t>icon/item/item_15.png</t>
  </si>
  <si>
    <t>icon/item/item_17.png</t>
  </si>
  <si>
    <t>icon/item/item_12.png</t>
  </si>
  <si>
    <t>icon/item/item_13.png</t>
  </si>
  <si>
    <t>icon/item/item_09.png</t>
  </si>
  <si>
    <t>icon/item/item_10.png</t>
  </si>
  <si>
    <t>icon/item/item_16.png</t>
  </si>
  <si>
    <t>icon/item/item_03.png</t>
  </si>
  <si>
    <t>icon/item/item_06.png</t>
  </si>
  <si>
    <t>icon/item/item_08.png</t>
  </si>
  <si>
    <t>icon/item/item_14.png</t>
  </si>
  <si>
    <t>icon/item/item_01.png</t>
  </si>
  <si>
    <t>#효과 한글2</t>
    <phoneticPr fontId="1" type="noConversion"/>
  </si>
  <si>
    <t>공 충돌횟수 -1, 차징샷이 적을 관통합니다.</t>
    <phoneticPr fontId="1" type="noConversion"/>
  </si>
  <si>
    <t>HP</t>
    <phoneticPr fontId="1" type="noConversion"/>
  </si>
  <si>
    <t>ChargeBounceCount1 * 0.2</t>
    <phoneticPr fontId="1" type="noConversion"/>
  </si>
  <si>
    <t>(HP_Base - HP)*0.002</t>
    <phoneticPr fontId="1" type="noConversion"/>
  </si>
  <si>
    <t>최대체력 -2하트, 공격력 +60%</t>
    <phoneticPr fontId="1" type="noConversion"/>
  </si>
  <si>
    <t>공격력 +50%, 공격 방향이 반대가 됩니다.</t>
    <phoneticPr fontId="1" type="noConversion"/>
  </si>
  <si>
    <t>None</t>
    <phoneticPr fontId="1" type="noConversion"/>
  </si>
  <si>
    <t>공격속도 -20%, 차징속도 +45%</t>
    <phoneticPr fontId="1" type="noConversion"/>
  </si>
  <si>
    <t>이동속도 -25%, 최대체력 +4하트</t>
    <phoneticPr fontId="1" type="noConversion"/>
  </si>
  <si>
    <t>공 충돌횟수당 공격력 +20%</t>
    <phoneticPr fontId="1" type="noConversion"/>
  </si>
  <si>
    <t>OnHpChanged</t>
    <phoneticPr fontId="1" type="noConversion"/>
  </si>
  <si>
    <t>OnChargeBounceCountChanged</t>
    <phoneticPr fontId="1" type="noConversion"/>
  </si>
  <si>
    <t>OnMovementSpdChanged</t>
    <phoneticPr fontId="1" type="noConversion"/>
  </si>
  <si>
    <t>공 충돌횟수 +2</t>
    <phoneticPr fontId="1" type="noConversion"/>
  </si>
  <si>
    <t>골드획득량 +50%</t>
    <phoneticPr fontId="1" type="noConversion"/>
  </si>
  <si>
    <t>공격력 +10%, 이동속도 +0.5, 공격속도 +0.1초</t>
    <phoneticPr fontId="1" type="noConversion"/>
  </si>
  <si>
    <t>빈 하트 1개당 공격력 +10%</t>
    <phoneticPr fontId="1" type="noConversion"/>
  </si>
  <si>
    <t>변화된 이동속도 1당 공격력 +20%</t>
    <phoneticPr fontId="1" type="noConversion"/>
  </si>
  <si>
    <t>최대 체력 +1하트</t>
    <phoneticPr fontId="1" type="noConversion"/>
  </si>
  <si>
    <t>이동속도 +10%</t>
    <phoneticPr fontId="1" type="noConversion"/>
  </si>
  <si>
    <t>공 충돌횟수 +1</t>
    <phoneticPr fontId="1" type="noConversion"/>
  </si>
  <si>
    <t>차징속도 +20%</t>
    <phoneticPr fontId="1" type="noConversion"/>
  </si>
  <si>
    <t>공격범위 +20%</t>
    <phoneticPr fontId="1" type="noConversion"/>
  </si>
  <si>
    <t>공격속도 +30%</t>
    <phoneticPr fontId="1" type="noConversion"/>
  </si>
  <si>
    <t>#자료 위치 변환기</t>
    <phoneticPr fontId="1" type="noConversion"/>
  </si>
  <si>
    <t>TeleportAllowableDistance</t>
    <phoneticPr fontId="1" type="noConversion"/>
  </si>
  <si>
    <t>Desc</t>
    <phoneticPr fontId="1" type="noConversion"/>
  </si>
  <si>
    <t>태초부터 시작되더라도\n절망하지 않습니다.\n' 자 이제 시작이야 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</si>
</sst>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0" fontId="0" fillId="0" borderId="0" xfId="0" quotePrefix="1">
      <alignment vertical="center"/>
    </xf>
    <xf numFmtId="177" fontId="0" fillId="6" borderId="0" xfId="0" applyNumberForma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80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표 스타일 1" defaultPivotStyle="PivotStyleLight16">
    <tableStyle name="표 스타일 1" pivot="0" count="4" xr9:uid="{00000000-0011-0000-FFFF-FFFF00000000}">
      <tableStyleElement type="wholeTable" dxfId="79"/>
      <tableStyleElement type="headerRow" dxfId="78"/>
      <tableStyleElement type="firstRowStripe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4" dataDxfId="73">
  <autoFilter ref="B6:E32" xr:uid="{00000000-0009-0000-0100-000008000000}"/>
  <tableColumns count="4">
    <tableColumn id="1" xr3:uid="{00000000-0010-0000-0100-000001000000}" name="스텟" dataDxfId="72"/>
    <tableColumn id="4" xr3:uid="{00000000-0010-0000-0100-000004000000}" name="참조 테이블" dataDxfId="71"/>
    <tableColumn id="2" xr3:uid="{00000000-0010-0000-0100-000002000000}" name="설명" dataDxfId="70"/>
    <tableColumn id="3" xr3:uid="{00000000-0010-0000-0100-000003000000}" name="Value 1당 가치" dataDxfId="69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68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67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6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65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64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63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62">
      <calculatedColumnFormula array="1">#REF!</calculatedColumnFormula>
    </tableColumn>
    <tableColumn id="9" xr3:uid="{00000000-0010-0000-0400-000009000000}" name="예상 전투 시간" dataDxfId="61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0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59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58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57"/>
    <tableColumn id="2" xr3:uid="{00000000-0010-0000-0600-000002000000}" name="value"/>
    <tableColumn id="3" xr3:uid="{00000000-0010-0000-0600-000003000000}" name="#설명" dataDxfId="56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5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54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3">
  <autoFilter ref="B2:AE3" xr:uid="{00000000-0009-0000-0100-000007000000}"/>
  <tableColumns count="30">
    <tableColumn id="1" xr3:uid="{00000000-0010-0000-0800-000001000000}" name="Index"/>
    <tableColumn id="20" xr3:uid="{00000000-0010-0000-0800-000014000000}" name="#설명" dataDxfId="52"/>
    <tableColumn id="7" xr3:uid="{00000000-0010-0000-0800-000007000000}" name="ThrowCooldown" dataDxfId="51"/>
    <tableColumn id="33" xr3:uid="{00000000-0010-0000-0800-000021000000}" name="ThrowAfterDelay" dataDxfId="50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49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9" xr3:uid="{00000000-0010-0000-0800-000013000000}" name="AtkDmgPer"/>
    <tableColumn id="10" xr3:uid="{EBD98399-5F3F-4E59-8640-CA8EF7C583E9}" name="TeleportAllowableDistance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48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47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46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45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44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43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42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1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0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39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0" totalsRowShown="0">
  <autoFilter ref="B2:S10" xr:uid="{00000000-0009-0000-0100-000012000000}"/>
  <tableColumns count="18">
    <tableColumn id="2" xr3:uid="{00000000-0010-0000-0B00-000002000000}" name="Index"/>
    <tableColumn id="1" xr3:uid="{00000000-0010-0000-0B00-000001000000}" name="#이름" dataDxfId="38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37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36"/>
    <tableColumn id="6" xr3:uid="{00000000-0010-0000-0C00-000006000000}" name="ShootDataId" dataDxfId="35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33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K24" totalsRowShown="0" headerRowDxfId="31">
  <autoFilter ref="B2:K24" xr:uid="{00000000-0009-0000-0100-000004000000}"/>
  <tableColumns count="10">
    <tableColumn id="2" xr3:uid="{00000000-0010-0000-0F00-000002000000}" name="Index" dataDxfId="30">
      <calculatedColumnFormula array="1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calculatedColumnFormula>
    </tableColumn>
    <tableColumn id="5" xr3:uid="{00000000-0010-0000-0F00-000005000000}" name="Name" dataDxfId="29"/>
    <tableColumn id="7" xr3:uid="{00000000-0010-0000-0F00-000007000000}" name="Desc" dataDxfId="28"/>
    <tableColumn id="4" xr3:uid="{00000000-0010-0000-0F00-000004000000}" name="GradeType" dataDxfId="27"/>
    <tableColumn id="21" xr3:uid="{00000000-0010-0000-0F00-000015000000}" name="Value" dataDxfId="26"/>
    <tableColumn id="22" xr3:uid="{00000000-0010-0000-0F00-000016000000}" name="CostHp" dataDxfId="25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24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23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22"/>
    <tableColumn id="6" xr3:uid="{00000000-0010-0000-0F00-000006000000}" name="#자료 위치 변환기" dataDxfId="21">
      <calculatedColumnFormula>MID(ItemTable[[#This Row],[ItemIconPath]],FIND("icon",ItemTable[[#This Row],[ItemIconPath]]),999)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0">
  <autoFilter ref="B2:S29" xr:uid="{00000000-0009-0000-0100-000001000000}"/>
  <tableColumns count="18">
    <tableColumn id="1" xr3:uid="{00000000-0010-0000-1000-000001000000}" name="#개발여부" dataDxfId="19"/>
    <tableColumn id="12" xr3:uid="{00000000-0010-0000-1000-00000C000000}" name="#이름값" dataDxfId="18">
      <calculatedColumnFormula>INDEX(ItemTable[Name],MATCH(ItemEffectTable[[#This Row],[Index]],ItemTable[ItemEffectDataId],0))</calculatedColumnFormula>
    </tableColumn>
    <tableColumn id="4" xr3:uid="{00000000-0010-0000-1000-000004000000}" name="#Grade" dataDxfId="17">
      <calculatedColumnFormula>INDEX(ItemTable[GradeType],MATCH(ItemEffectTable[[#This Row],[Index]],ItemTable[ItemEffectDataId],0))</calculatedColumnFormula>
    </tableColumn>
    <tableColumn id="2" xr3:uid="{00000000-0010-0000-1000-000002000000}" name="Index" dataDxfId="16"/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15">
      <calculatedColumnFormula>IF(ItemEffectTable[[#This Row],[ApplyType]]="PlayerStat",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5" xr3:uid="{B15E8D53-E8A5-48DB-8F4A-EE6783E761D8}" name="#효과 한글2" dataDxfId="14"/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13">
      <calculatedColumnFormula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12">
      <calculatedColumnFormula array="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1"/>
    <tableColumn id="17" xr3:uid="{00000000-0010-0000-1000-000011000000}" name="#적용 후" dataDxfId="10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9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8">
      <calculatedColumnFormula array="1">SUM(IF($E$3:$E$56=E3,$Q$3:$Q$56))</calculatedColumnFormula>
    </tableColumn>
    <tableColumn id="18" xr3:uid="{00000000-0010-0000-1000-000012000000}" name="#오차값" dataDxfId="7">
      <calculatedColumnFormula>INDEX(표9[],MATCH(ItemEffectTable[[#This Row],['#Grade]],표9[#Headers],0))-ItemEffectTable[[#This Row],['#총 효력가치]]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>
      <calculatedColumnFormula>INDEX(#REF!,MATCH(ItemResourceTable[[#This Row],[Index]],ItemEffectTable[ApplyValue],0))</calculatedColumnFormula>
    </tableColumn>
    <tableColumn id="5" xr3:uid="{00000000-0010-0000-1100-000005000000}" name="#리소스 유형" dataDxfId="4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2" xr3:uid="{00000000-0010-0000-1200-000002000000}" name="Index" dataDxfId="2"/>
    <tableColumn id="5" xr3:uid="{00000000-0010-0000-1200-000005000000}" name="LocaleKR" dataDxfId="1"/>
    <tableColumn id="16" xr3:uid="{00000000-0010-0000-1200-000010000000}" name="LocaleUS"/>
    <tableColumn id="1" xr3:uid="{00000000-0010-0000-1200-000001000000}" name="#설명값참조" dataDxfId="0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defaultColWidth="8.875" defaultRowHeight="16.5"/>
  <sheetData>
    <row r="1" spans="2:5" s="1" customFormat="1">
      <c r="B1" s="27" t="s">
        <v>213</v>
      </c>
      <c r="C1" s="28"/>
      <c r="D1" s="28"/>
      <c r="E1" s="28"/>
    </row>
    <row r="2" spans="2:5" s="1" customFormat="1">
      <c r="B2" s="28"/>
      <c r="C2" s="28"/>
      <c r="D2" s="28"/>
      <c r="E2" s="28"/>
    </row>
    <row r="3" spans="2:5" s="1" customFormat="1">
      <c r="B3" s="28"/>
      <c r="C3" s="28"/>
      <c r="D3" s="28"/>
      <c r="E3" s="28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F30" sqref="F30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27" t="s">
        <v>212</v>
      </c>
      <c r="C1" s="28"/>
      <c r="D1" s="28"/>
      <c r="E1" s="28"/>
    </row>
    <row r="2" spans="2:8" s="1" customFormat="1">
      <c r="B2" s="28"/>
      <c r="C2" s="28"/>
      <c r="D2" s="28"/>
      <c r="E2" s="28"/>
    </row>
    <row r="3" spans="2:8" s="1" customFormat="1">
      <c r="B3" s="28"/>
      <c r="C3" s="28"/>
      <c r="D3" s="28"/>
      <c r="E3" s="28"/>
    </row>
    <row r="5" spans="2:8">
      <c r="B5" s="2" t="s">
        <v>82</v>
      </c>
    </row>
    <row r="6" spans="2:8">
      <c r="B6" t="s">
        <v>83</v>
      </c>
      <c r="C6" t="s">
        <v>84</v>
      </c>
      <c r="D6" t="s">
        <v>73</v>
      </c>
      <c r="E6" t="s">
        <v>66</v>
      </c>
      <c r="F6" t="s">
        <v>68</v>
      </c>
      <c r="G6" t="s">
        <v>69</v>
      </c>
      <c r="H6" t="s">
        <v>67</v>
      </c>
    </row>
    <row r="7" spans="2:8">
      <c r="B7" t="s">
        <v>84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73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2"/>
  <sheetViews>
    <sheetView topLeftCell="A5" workbookViewId="0">
      <selection activeCell="H34" sqref="H34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27" t="s">
        <v>144</v>
      </c>
      <c r="C1" s="28"/>
      <c r="D1" s="28"/>
      <c r="E1" s="28"/>
      <c r="F1" s="28"/>
    </row>
    <row r="2" spans="1:21" s="1" customFormat="1">
      <c r="B2" s="28"/>
      <c r="C2" s="28"/>
      <c r="D2" s="28"/>
      <c r="E2" s="28"/>
      <c r="F2" s="28"/>
    </row>
    <row r="3" spans="1:21" s="1" customFormat="1">
      <c r="B3" s="28"/>
      <c r="C3" s="28"/>
      <c r="D3" s="28"/>
      <c r="E3" s="28"/>
      <c r="F3" s="28"/>
    </row>
    <row r="5" spans="1:21">
      <c r="B5" s="3" t="s">
        <v>112</v>
      </c>
      <c r="G5" s="2" t="s">
        <v>147</v>
      </c>
      <c r="R5" s="3" t="s">
        <v>152</v>
      </c>
    </row>
    <row r="6" spans="1:21">
      <c r="B6" t="s">
        <v>109</v>
      </c>
      <c r="C6" t="s">
        <v>322</v>
      </c>
      <c r="D6" t="s">
        <v>286</v>
      </c>
      <c r="E6" s="4" t="s">
        <v>308</v>
      </c>
      <c r="G6" t="s">
        <v>143</v>
      </c>
      <c r="H6" t="s">
        <v>66</v>
      </c>
      <c r="I6" t="s">
        <v>68</v>
      </c>
      <c r="J6" t="s">
        <v>155</v>
      </c>
      <c r="K6" t="s">
        <v>154</v>
      </c>
      <c r="L6" t="s">
        <v>145</v>
      </c>
      <c r="M6" t="s">
        <v>150</v>
      </c>
      <c r="N6" t="s">
        <v>151</v>
      </c>
      <c r="O6" t="s">
        <v>319</v>
      </c>
      <c r="P6" t="s">
        <v>146</v>
      </c>
      <c r="R6" t="s">
        <v>111</v>
      </c>
      <c r="S6" t="s">
        <v>153</v>
      </c>
    </row>
    <row r="7" spans="1:21">
      <c r="A7" s="20"/>
      <c r="B7" s="18" t="s">
        <v>24</v>
      </c>
      <c r="C7" s="20" t="s">
        <v>276</v>
      </c>
      <c r="D7" t="s">
        <v>287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cm="1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
/밸런스시트[[#This Row],[PC 최대 DPS]]</f>
        <v>59.2</v>
      </c>
      <c r="R7">
        <f>1/15</f>
        <v>6.6666666666666666E-2</v>
      </c>
      <c r="S7">
        <v>3</v>
      </c>
    </row>
    <row r="8" spans="1:21">
      <c r="A8" s="17"/>
      <c r="B8" s="17" t="s">
        <v>28</v>
      </c>
      <c r="C8" s="17" t="s">
        <v>277</v>
      </c>
      <c r="D8" t="s">
        <v>290</v>
      </c>
      <c r="E8" s="4">
        <f>50/1</f>
        <v>50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#REF!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>
      <c r="A9" s="17"/>
      <c r="B9" s="17" t="s">
        <v>457</v>
      </c>
      <c r="C9" s="17" t="s">
        <v>277</v>
      </c>
      <c r="D9" t="s">
        <v>292</v>
      </c>
      <c r="E9" s="4">
        <f>30/50</f>
        <v>0.6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#REF!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110</v>
      </c>
      <c r="S9" s="3"/>
      <c r="T9" s="3"/>
    </row>
    <row r="10" spans="1:21">
      <c r="A10" s="17"/>
      <c r="B10" s="17" t="s">
        <v>106</v>
      </c>
      <c r="C10" s="17" t="s">
        <v>277</v>
      </c>
      <c r="D10" t="s">
        <v>293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#REF!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66</v>
      </c>
      <c r="S10" t="s">
        <v>68</v>
      </c>
      <c r="T10" t="s">
        <v>69</v>
      </c>
      <c r="U10" t="s">
        <v>67</v>
      </c>
    </row>
    <row r="11" spans="1:21">
      <c r="A11" s="17"/>
      <c r="B11" s="17" t="s">
        <v>41</v>
      </c>
      <c r="C11" s="17" t="s">
        <v>277</v>
      </c>
      <c r="D11" t="s">
        <v>294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#REF!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>
      <c r="A12" s="17"/>
      <c r="B12" s="17" t="s">
        <v>31</v>
      </c>
      <c r="C12" s="17" t="s">
        <v>278</v>
      </c>
      <c r="D12" t="s">
        <v>291</v>
      </c>
      <c r="E12" s="4">
        <f>20/0.2</f>
        <v>100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#REF!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>
      <c r="A13" s="17"/>
      <c r="B13" s="18" t="s">
        <v>229</v>
      </c>
      <c r="C13" s="17" t="s">
        <v>279</v>
      </c>
      <c r="D13" s="4" t="s">
        <v>320</v>
      </c>
      <c r="E13" s="4">
        <f>30/0.46</f>
        <v>65.217391304347828</v>
      </c>
      <c r="R13" s="2" t="s">
        <v>148</v>
      </c>
    </row>
    <row r="14" spans="1:21">
      <c r="A14" s="17"/>
      <c r="B14" s="18" t="s">
        <v>230</v>
      </c>
      <c r="C14" s="17" t="s">
        <v>279</v>
      </c>
      <c r="D14" s="4" t="s">
        <v>321</v>
      </c>
      <c r="E14" s="4">
        <f>50/360</f>
        <v>0.1388888888888889</v>
      </c>
      <c r="R14" t="s">
        <v>149</v>
      </c>
      <c r="S14" t="s">
        <v>142</v>
      </c>
    </row>
    <row r="15" spans="1:21">
      <c r="A15" s="17"/>
      <c r="B15" s="17" t="s">
        <v>275</v>
      </c>
      <c r="C15" s="17" t="s">
        <v>279</v>
      </c>
      <c r="D15" t="s">
        <v>302</v>
      </c>
      <c r="E15" s="4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>
      <c r="A16" s="17"/>
      <c r="B16" s="18" t="s">
        <v>26</v>
      </c>
      <c r="C16" s="17" t="s">
        <v>279</v>
      </c>
      <c r="D16" s="4" t="s">
        <v>288</v>
      </c>
      <c r="E16" s="16">
        <v>40</v>
      </c>
    </row>
    <row r="17" spans="1:5">
      <c r="A17" s="17"/>
      <c r="B17" s="18" t="s">
        <v>242</v>
      </c>
      <c r="C17" s="17" t="s">
        <v>279</v>
      </c>
      <c r="D17" s="4" t="s">
        <v>289</v>
      </c>
      <c r="E17" s="4">
        <f>50/0.3</f>
        <v>166.66666666666669</v>
      </c>
    </row>
    <row r="18" spans="1:5">
      <c r="A18" s="17"/>
      <c r="B18" s="18" t="s">
        <v>394</v>
      </c>
      <c r="C18" s="17" t="s">
        <v>279</v>
      </c>
      <c r="D18" s="4" t="s">
        <v>295</v>
      </c>
      <c r="E18" s="19">
        <f>30/-0.2</f>
        <v>-150</v>
      </c>
    </row>
    <row r="19" spans="1:5">
      <c r="A19" s="17"/>
      <c r="B19" s="18" t="s">
        <v>280</v>
      </c>
      <c r="C19" s="17" t="s">
        <v>279</v>
      </c>
      <c r="D19" s="4" t="s">
        <v>296</v>
      </c>
      <c r="E19" s="4">
        <f>50/100</f>
        <v>0.5</v>
      </c>
    </row>
    <row r="20" spans="1:5">
      <c r="A20" s="17"/>
      <c r="B20" s="18" t="s">
        <v>281</v>
      </c>
      <c r="C20" s="17" t="s">
        <v>279</v>
      </c>
      <c r="D20" s="4" t="s">
        <v>297</v>
      </c>
      <c r="E20" s="4">
        <f t="shared" ref="E20" si="0">50/100</f>
        <v>0.5</v>
      </c>
    </row>
    <row r="21" spans="1:5">
      <c r="A21" s="17"/>
      <c r="B21" s="18" t="s">
        <v>282</v>
      </c>
      <c r="C21" s="17" t="s">
        <v>279</v>
      </c>
      <c r="D21" s="4" t="s">
        <v>301</v>
      </c>
      <c r="E21" s="4">
        <f>30/1/2</f>
        <v>15</v>
      </c>
    </row>
    <row r="22" spans="1:5">
      <c r="A22" s="17"/>
      <c r="B22" s="18" t="s">
        <v>283</v>
      </c>
      <c r="C22" s="17" t="s">
        <v>279</v>
      </c>
      <c r="D22" s="4" t="s">
        <v>300</v>
      </c>
      <c r="E22" s="4">
        <f>30/1/2</f>
        <v>15</v>
      </c>
    </row>
    <row r="23" spans="1:5">
      <c r="A23" s="17"/>
      <c r="B23" s="18" t="s">
        <v>284</v>
      </c>
      <c r="C23" s="17" t="s">
        <v>279</v>
      </c>
      <c r="D23" s="4" t="s">
        <v>298</v>
      </c>
      <c r="E23" s="4">
        <f>50/25</f>
        <v>2</v>
      </c>
    </row>
    <row r="24" spans="1:5">
      <c r="A24" s="17"/>
      <c r="B24" s="18" t="s">
        <v>285</v>
      </c>
      <c r="C24" s="17" t="s">
        <v>279</v>
      </c>
      <c r="D24" s="4" t="s">
        <v>299</v>
      </c>
      <c r="E24" s="4">
        <f t="shared" ref="E24" si="1">50/25</f>
        <v>2</v>
      </c>
    </row>
    <row r="25" spans="1:5">
      <c r="A25" s="17"/>
      <c r="B25" s="18" t="s">
        <v>241</v>
      </c>
      <c r="C25" s="17" t="s">
        <v>279</v>
      </c>
      <c r="D25" s="4" t="s">
        <v>429</v>
      </c>
      <c r="E25" s="4">
        <v>2</v>
      </c>
    </row>
    <row r="26" spans="1:5">
      <c r="A26" s="17"/>
      <c r="B26" s="18" t="s">
        <v>428</v>
      </c>
      <c r="C26" s="17" t="s">
        <v>279</v>
      </c>
      <c r="D26" s="4" t="s">
        <v>430</v>
      </c>
      <c r="E26" s="4">
        <v>2</v>
      </c>
    </row>
    <row r="27" spans="1:5">
      <c r="A27" s="17"/>
      <c r="B27" s="18" t="s">
        <v>52</v>
      </c>
      <c r="C27" s="18" t="s">
        <v>323</v>
      </c>
      <c r="D27" s="18" t="s">
        <v>303</v>
      </c>
      <c r="E27" s="4">
        <v>-50</v>
      </c>
    </row>
    <row r="28" spans="1:5">
      <c r="A28" s="17"/>
      <c r="B28" s="18" t="s">
        <v>324</v>
      </c>
      <c r="C28" s="18" t="s">
        <v>323</v>
      </c>
      <c r="D28" s="18" t="s">
        <v>325</v>
      </c>
      <c r="E28" s="4">
        <v>-30</v>
      </c>
    </row>
    <row r="29" spans="1:5">
      <c r="A29" s="17"/>
      <c r="B29" s="18" t="s">
        <v>49</v>
      </c>
      <c r="C29" s="18" t="s">
        <v>323</v>
      </c>
      <c r="D29" s="18" t="s">
        <v>304</v>
      </c>
      <c r="E29" s="4">
        <v>50</v>
      </c>
    </row>
    <row r="30" spans="1:5">
      <c r="A30" s="17"/>
      <c r="B30" s="18" t="s">
        <v>46</v>
      </c>
      <c r="C30" s="18" t="s">
        <v>323</v>
      </c>
      <c r="D30" s="18" t="s">
        <v>305</v>
      </c>
      <c r="E30" s="4">
        <v>50</v>
      </c>
    </row>
    <row r="31" spans="1:5">
      <c r="A31" s="17"/>
      <c r="B31" s="18" t="s">
        <v>36</v>
      </c>
      <c r="C31" s="18" t="s">
        <v>323</v>
      </c>
      <c r="D31" s="18" t="s">
        <v>306</v>
      </c>
      <c r="E31" s="4">
        <v>50</v>
      </c>
    </row>
    <row r="32" spans="1:5">
      <c r="A32" s="17"/>
      <c r="B32" s="18" t="s">
        <v>51</v>
      </c>
      <c r="C32" s="18" t="s">
        <v>323</v>
      </c>
      <c r="D32" s="18" t="s">
        <v>307</v>
      </c>
      <c r="E32" s="4">
        <v>50</v>
      </c>
    </row>
  </sheetData>
  <mergeCells count="1">
    <mergeCell ref="B1:F3"/>
  </mergeCells>
  <phoneticPr fontId="1" type="noConversion"/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87</v>
      </c>
      <c r="B1" t="s">
        <v>64</v>
      </c>
      <c r="C1" t="s">
        <v>93</v>
      </c>
      <c r="D1" t="s">
        <v>64</v>
      </c>
    </row>
    <row r="2" spans="1:4">
      <c r="A2" t="s">
        <v>57</v>
      </c>
      <c r="B2" s="8" t="s">
        <v>158</v>
      </c>
      <c r="C2" t="s">
        <v>0</v>
      </c>
      <c r="D2" s="8" t="s">
        <v>157</v>
      </c>
    </row>
    <row r="3" spans="1:4">
      <c r="A3">
        <v>1</v>
      </c>
      <c r="B3" s="6" t="s">
        <v>256</v>
      </c>
      <c r="C3">
        <v>5</v>
      </c>
      <c r="D3" s="6" t="s">
        <v>70</v>
      </c>
    </row>
    <row r="4" spans="1:4">
      <c r="A4">
        <v>2</v>
      </c>
      <c r="B4" s="6" t="s">
        <v>236</v>
      </c>
      <c r="C4">
        <v>5</v>
      </c>
      <c r="D4" s="6" t="s">
        <v>237</v>
      </c>
    </row>
    <row r="5" spans="1:4">
      <c r="A5">
        <v>3</v>
      </c>
      <c r="B5" s="6" t="s">
        <v>257</v>
      </c>
      <c r="C5">
        <v>20</v>
      </c>
      <c r="D5" s="6" t="s">
        <v>258</v>
      </c>
    </row>
    <row r="6" spans="1:4">
      <c r="A6">
        <v>4</v>
      </c>
      <c r="B6" s="6" t="s">
        <v>244</v>
      </c>
      <c r="C6">
        <v>0.5</v>
      </c>
      <c r="D6" s="6" t="s">
        <v>71</v>
      </c>
    </row>
    <row r="7" spans="1:4">
      <c r="A7">
        <v>5</v>
      </c>
      <c r="B7" s="6" t="s">
        <v>245</v>
      </c>
      <c r="C7">
        <v>50</v>
      </c>
      <c r="D7" s="6" t="s">
        <v>72</v>
      </c>
    </row>
    <row r="8" spans="1:4">
      <c r="A8">
        <v>6</v>
      </c>
      <c r="B8" s="6" t="s">
        <v>246</v>
      </c>
      <c r="C8">
        <v>1</v>
      </c>
      <c r="D8" s="6" t="s">
        <v>90</v>
      </c>
    </row>
    <row r="9" spans="1:4">
      <c r="A9">
        <v>7</v>
      </c>
      <c r="B9" s="6" t="s">
        <v>247</v>
      </c>
      <c r="C9">
        <v>10</v>
      </c>
      <c r="D9" s="6" t="s">
        <v>91</v>
      </c>
    </row>
    <row r="10" spans="1:4">
      <c r="A10">
        <v>8</v>
      </c>
      <c r="B10" s="6" t="s">
        <v>248</v>
      </c>
      <c r="C10">
        <v>5</v>
      </c>
      <c r="D10" s="6" t="s">
        <v>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topLeftCell="D1" workbookViewId="0">
      <selection activeCell="D3" sqref="D3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88</v>
      </c>
      <c r="C1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370</v>
      </c>
      <c r="L1" t="s">
        <v>370</v>
      </c>
      <c r="M1" t="s">
        <v>88</v>
      </c>
      <c r="N1" t="s">
        <v>88</v>
      </c>
      <c r="O1" t="s">
        <v>88</v>
      </c>
      <c r="P1" t="s">
        <v>88</v>
      </c>
    </row>
    <row r="2" spans="2:16">
      <c r="B2" t="s">
        <v>57</v>
      </c>
      <c r="C2" s="8" t="s">
        <v>157</v>
      </c>
      <c r="D2" t="s">
        <v>328</v>
      </c>
      <c r="E2" t="s">
        <v>101</v>
      </c>
      <c r="F2" t="s">
        <v>102</v>
      </c>
      <c r="G2" t="s">
        <v>243</v>
      </c>
      <c r="H2" t="s">
        <v>160</v>
      </c>
      <c r="I2" t="s">
        <v>103</v>
      </c>
      <c r="J2" t="s">
        <v>104</v>
      </c>
      <c r="K2" t="s">
        <v>368</v>
      </c>
      <c r="L2" t="s">
        <v>369</v>
      </c>
      <c r="M2" t="s">
        <v>105</v>
      </c>
      <c r="N2" t="s">
        <v>106</v>
      </c>
      <c r="O2" t="s">
        <v>118</v>
      </c>
      <c r="P2" t="s">
        <v>119</v>
      </c>
    </row>
    <row r="3" spans="2:16">
      <c r="B3">
        <v>100</v>
      </c>
      <c r="C3" s="6" t="s">
        <v>161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E3"/>
  <sheetViews>
    <sheetView tabSelected="1" topLeftCell="Q1" workbookViewId="0">
      <selection activeCell="U29" sqref="U29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223</v>
      </c>
      <c r="L1" t="s">
        <v>93</v>
      </c>
      <c r="M1" t="s">
        <v>88</v>
      </c>
      <c r="N1" t="s">
        <v>88</v>
      </c>
      <c r="O1" t="s">
        <v>88</v>
      </c>
      <c r="P1" t="s">
        <v>88</v>
      </c>
      <c r="Q1" t="s">
        <v>88</v>
      </c>
      <c r="R1" t="s">
        <v>88</v>
      </c>
      <c r="S1" t="s">
        <v>88</v>
      </c>
      <c r="T1" t="s">
        <v>88</v>
      </c>
      <c r="U1" t="s">
        <v>88</v>
      </c>
      <c r="V1" t="s">
        <v>88</v>
      </c>
      <c r="W1" t="s">
        <v>88</v>
      </c>
      <c r="AD1" s="16" t="s">
        <v>318</v>
      </c>
    </row>
    <row r="2" spans="2:31">
      <c r="B2" t="s">
        <v>57</v>
      </c>
      <c r="C2" s="8" t="s">
        <v>157</v>
      </c>
      <c r="D2" s="11" t="s">
        <v>232</v>
      </c>
      <c r="E2" s="10" t="s">
        <v>107</v>
      </c>
      <c r="F2" s="10" t="s">
        <v>222</v>
      </c>
      <c r="G2" s="11" t="s">
        <v>233</v>
      </c>
      <c r="H2" s="12" t="s">
        <v>228</v>
      </c>
      <c r="I2" s="12" t="s">
        <v>231</v>
      </c>
      <c r="J2" s="12" t="s">
        <v>229</v>
      </c>
      <c r="K2" s="12" t="s">
        <v>230</v>
      </c>
      <c r="L2" s="12" t="s">
        <v>394</v>
      </c>
      <c r="M2" s="12" t="s">
        <v>108</v>
      </c>
      <c r="N2" s="12" t="s">
        <v>234</v>
      </c>
      <c r="O2" s="12" t="s">
        <v>235</v>
      </c>
      <c r="P2" s="12" t="s">
        <v>261</v>
      </c>
      <c r="Q2" s="12" t="s">
        <v>260</v>
      </c>
      <c r="R2" s="12" t="s">
        <v>372</v>
      </c>
      <c r="S2" s="13" t="s">
        <v>239</v>
      </c>
      <c r="T2" s="13" t="s">
        <v>240</v>
      </c>
      <c r="U2" s="13" t="s">
        <v>241</v>
      </c>
      <c r="V2" s="13" t="s">
        <v>238</v>
      </c>
      <c r="W2" s="1" t="s">
        <v>242</v>
      </c>
      <c r="X2" s="1" t="s">
        <v>481</v>
      </c>
      <c r="Y2" s="8" t="s">
        <v>311</v>
      </c>
      <c r="Z2" s="8" t="s">
        <v>312</v>
      </c>
      <c r="AA2" s="8" t="s">
        <v>313</v>
      </c>
      <c r="AB2" s="8" t="s">
        <v>314</v>
      </c>
      <c r="AC2" s="8" t="s">
        <v>315</v>
      </c>
      <c r="AD2" s="8" t="s">
        <v>316</v>
      </c>
      <c r="AE2" s="8" t="s">
        <v>317</v>
      </c>
    </row>
    <row r="3" spans="2:31">
      <c r="B3">
        <v>200</v>
      </c>
      <c r="C3" s="6" t="s">
        <v>162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5</v>
      </c>
      <c r="Y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51.8</v>
      </c>
      <c r="AE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84.459459459459453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topLeftCell="G1" workbookViewId="0">
      <selection activeCell="T3" sqref="T3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88</v>
      </c>
      <c r="C1" s="4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88</v>
      </c>
      <c r="I1" t="s">
        <v>88</v>
      </c>
      <c r="J1" t="s">
        <v>88</v>
      </c>
      <c r="K1" t="s">
        <v>88</v>
      </c>
      <c r="L1" t="s">
        <v>88</v>
      </c>
      <c r="M1" t="s">
        <v>88</v>
      </c>
      <c r="N1" t="s">
        <v>64</v>
      </c>
      <c r="O1" t="s">
        <v>64</v>
      </c>
      <c r="P1" t="s">
        <v>64</v>
      </c>
      <c r="Q1" t="s">
        <v>64</v>
      </c>
      <c r="R1" t="s">
        <v>64</v>
      </c>
      <c r="S1" t="s">
        <v>64</v>
      </c>
    </row>
    <row r="2" spans="1:19">
      <c r="B2" t="s">
        <v>57</v>
      </c>
      <c r="C2" s="8" t="s">
        <v>216</v>
      </c>
      <c r="D2" t="s">
        <v>129</v>
      </c>
      <c r="E2" t="s">
        <v>130</v>
      </c>
      <c r="F2" t="s">
        <v>131</v>
      </c>
      <c r="G2" t="s">
        <v>132</v>
      </c>
      <c r="H2" t="s">
        <v>174</v>
      </c>
      <c r="I2" t="s">
        <v>133</v>
      </c>
      <c r="J2" t="s">
        <v>134</v>
      </c>
      <c r="K2" t="s">
        <v>135</v>
      </c>
      <c r="L2" t="s">
        <v>136</v>
      </c>
      <c r="M2" t="s">
        <v>140</v>
      </c>
      <c r="N2" s="8" t="s">
        <v>249</v>
      </c>
      <c r="O2" s="8" t="s">
        <v>250</v>
      </c>
      <c r="P2" s="9" t="s">
        <v>251</v>
      </c>
      <c r="Q2" s="9" t="s">
        <v>252</v>
      </c>
      <c r="R2" s="9" t="s">
        <v>253</v>
      </c>
      <c r="S2" s="9" t="s">
        <v>254</v>
      </c>
    </row>
    <row r="3" spans="1:19">
      <c r="B3">
        <v>800</v>
      </c>
      <c r="C3" s="6" t="s">
        <v>137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64</v>
      </c>
      <c r="B4">
        <v>801</v>
      </c>
      <c r="C4" s="6" t="s">
        <v>138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</row>
    <row r="2" spans="1:9">
      <c r="B2" t="s">
        <v>57</v>
      </c>
      <c r="C2" s="8" t="s">
        <v>113</v>
      </c>
      <c r="D2" t="s">
        <v>66</v>
      </c>
      <c r="E2" t="s">
        <v>68</v>
      </c>
      <c r="F2" t="s">
        <v>69</v>
      </c>
      <c r="G2" t="s">
        <v>67</v>
      </c>
      <c r="H2" t="s">
        <v>84</v>
      </c>
      <c r="I2" t="s">
        <v>73</v>
      </c>
    </row>
    <row r="3" spans="1:9">
      <c r="B3">
        <v>9000</v>
      </c>
      <c r="C3" s="6" t="s">
        <v>175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139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141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115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114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116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64</v>
      </c>
      <c r="B9">
        <v>9100</v>
      </c>
      <c r="C9" s="14" t="s">
        <v>176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64</v>
      </c>
      <c r="B10">
        <v>9101</v>
      </c>
      <c r="C10" s="14" t="s">
        <v>255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64</v>
      </c>
      <c r="B11">
        <v>9102</v>
      </c>
      <c r="C11" s="14" t="s">
        <v>178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64</v>
      </c>
      <c r="B12">
        <v>9103</v>
      </c>
      <c r="C12" s="14" t="s">
        <v>180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64</v>
      </c>
      <c r="B13">
        <v>9104</v>
      </c>
      <c r="C13" s="14" t="s">
        <v>179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64</v>
      </c>
      <c r="B14">
        <v>9105</v>
      </c>
      <c r="C14" s="14" t="s">
        <v>177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0"/>
  <sheetViews>
    <sheetView topLeftCell="C1" workbookViewId="0">
      <selection activeCell="C6" sqref="C6"/>
    </sheetView>
  </sheetViews>
  <sheetFormatPr defaultColWidth="8.875" defaultRowHeight="16.5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>
      <c r="B1" t="s">
        <v>88</v>
      </c>
      <c r="C1" t="s">
        <v>64</v>
      </c>
      <c r="D1" t="s">
        <v>88</v>
      </c>
      <c r="E1" t="s">
        <v>199</v>
      </c>
      <c r="F1" t="s">
        <v>88</v>
      </c>
      <c r="G1" t="s">
        <v>93</v>
      </c>
      <c r="H1" t="s">
        <v>93</v>
      </c>
      <c r="I1" t="s">
        <v>93</v>
      </c>
      <c r="J1" t="s">
        <v>199</v>
      </c>
      <c r="K1" t="s">
        <v>93</v>
      </c>
      <c r="L1" t="s">
        <v>88</v>
      </c>
      <c r="M1" t="s">
        <v>88</v>
      </c>
      <c r="N1" t="s">
        <v>88</v>
      </c>
      <c r="O1" t="s">
        <v>88</v>
      </c>
      <c r="P1" t="s">
        <v>88</v>
      </c>
      <c r="Q1" t="s">
        <v>87</v>
      </c>
      <c r="R1" t="s">
        <v>214</v>
      </c>
      <c r="S1" t="s">
        <v>64</v>
      </c>
    </row>
    <row r="2" spans="2:19">
      <c r="B2" t="s">
        <v>163</v>
      </c>
      <c r="C2" s="8" t="s">
        <v>198</v>
      </c>
      <c r="D2" t="s">
        <v>218</v>
      </c>
      <c r="E2" t="s">
        <v>184</v>
      </c>
      <c r="F2" t="s">
        <v>185</v>
      </c>
      <c r="G2" t="s">
        <v>259</v>
      </c>
      <c r="H2" t="s">
        <v>102</v>
      </c>
      <c r="I2" t="s">
        <v>192</v>
      </c>
      <c r="J2" t="s">
        <v>186</v>
      </c>
      <c r="K2" t="s">
        <v>187</v>
      </c>
      <c r="L2" t="s">
        <v>188</v>
      </c>
      <c r="M2" t="s">
        <v>189</v>
      </c>
      <c r="N2" t="s">
        <v>190</v>
      </c>
      <c r="O2" t="s">
        <v>191</v>
      </c>
      <c r="P2" t="s">
        <v>227</v>
      </c>
      <c r="Q2" t="s">
        <v>183</v>
      </c>
      <c r="R2" s="8" t="s">
        <v>215</v>
      </c>
      <c r="S2" s="8" t="s">
        <v>274</v>
      </c>
    </row>
    <row r="3" spans="2:19">
      <c r="B3">
        <v>500</v>
      </c>
      <c r="C3" s="6" t="s">
        <v>333</v>
      </c>
      <c r="D3">
        <f>표14[적 기준 체력]*EnemyGameData[[#This Row],['#기준 적 체력 비율]]</f>
        <v>20</v>
      </c>
      <c r="E3" t="s">
        <v>194</v>
      </c>
      <c r="F3">
        <v>0</v>
      </c>
      <c r="G3">
        <v>0.3</v>
      </c>
      <c r="H3">
        <v>1.8</v>
      </c>
      <c r="I3">
        <v>0</v>
      </c>
      <c r="J3" t="s">
        <v>25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363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386</v>
      </c>
      <c r="D4">
        <f>표14[적 기준 체력]*EnemyGameData[[#This Row],['#기준 적 체력 비율]]</f>
        <v>80</v>
      </c>
      <c r="E4" t="s">
        <v>195</v>
      </c>
      <c r="F4">
        <v>6</v>
      </c>
      <c r="G4">
        <v>2</v>
      </c>
      <c r="H4">
        <v>2</v>
      </c>
      <c r="I4">
        <v>2.5</v>
      </c>
      <c r="J4" t="s">
        <v>196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364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382</v>
      </c>
      <c r="D5">
        <f>표14[적 기준 체력]*EnemyGameData[[#This Row],['#기준 적 체력 비율]]</f>
        <v>100</v>
      </c>
      <c r="E5" t="s">
        <v>338</v>
      </c>
      <c r="F5">
        <v>3</v>
      </c>
      <c r="G5">
        <v>1.2</v>
      </c>
      <c r="H5">
        <v>2</v>
      </c>
      <c r="I5">
        <v>3.5</v>
      </c>
      <c r="J5" t="s">
        <v>197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364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383</v>
      </c>
      <c r="D6">
        <f>표14[적 기준 체력]*EnemyGameData[[#This Row],['#기준 적 체력 비율]]</f>
        <v>80</v>
      </c>
      <c r="E6" t="s">
        <v>195</v>
      </c>
      <c r="F6">
        <v>6</v>
      </c>
      <c r="G6">
        <v>1.2</v>
      </c>
      <c r="H6">
        <v>2</v>
      </c>
      <c r="I6">
        <v>2</v>
      </c>
      <c r="J6" t="s">
        <v>197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364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384</v>
      </c>
      <c r="D7">
        <f>표14[적 기준 체력]*EnemyGameData[[#This Row],['#기준 적 체력 비율]]</f>
        <v>80</v>
      </c>
      <c r="E7" t="s">
        <v>195</v>
      </c>
      <c r="F7">
        <v>4</v>
      </c>
      <c r="G7">
        <v>1.5</v>
      </c>
      <c r="H7">
        <v>2</v>
      </c>
      <c r="I7">
        <v>2.5</v>
      </c>
      <c r="J7" t="s">
        <v>197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364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385</v>
      </c>
      <c r="D8">
        <f>표14[적 기준 체력]*EnemyGameData[[#This Row],['#기준 적 체력 비율]]</f>
        <v>100</v>
      </c>
      <c r="E8" t="s">
        <v>195</v>
      </c>
      <c r="F8">
        <v>4</v>
      </c>
      <c r="G8">
        <v>1.8</v>
      </c>
      <c r="H8">
        <v>2</v>
      </c>
      <c r="I8">
        <v>3.5</v>
      </c>
      <c r="J8" t="s">
        <v>197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364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393</v>
      </c>
      <c r="D9">
        <f>표14[적 기준 체력]*EnemyGameData[[#This Row],['#기준 적 체력 비율]]</f>
        <v>100</v>
      </c>
      <c r="E9" t="s">
        <v>195</v>
      </c>
      <c r="F9">
        <v>4</v>
      </c>
      <c r="G9">
        <v>1.4</v>
      </c>
      <c r="H9">
        <v>2</v>
      </c>
      <c r="I9">
        <v>2</v>
      </c>
      <c r="J9" t="s">
        <v>197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364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393</v>
      </c>
      <c r="D10">
        <f>표14[적 기준 체력]*EnemyGameData[[#This Row],['#기준 적 체력 비율]]</f>
        <v>100</v>
      </c>
      <c r="E10" t="s">
        <v>195</v>
      </c>
      <c r="F10">
        <v>4</v>
      </c>
      <c r="G10">
        <v>1.7</v>
      </c>
      <c r="H10">
        <v>2</v>
      </c>
      <c r="I10">
        <v>3</v>
      </c>
      <c r="J10" t="s">
        <v>197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364</v>
      </c>
      <c r="R10">
        <v>1</v>
      </c>
      <c r="S10">
        <f>AVERAGE(EnemyGameData[[#This Row],[GoldDropMin]],EnemyGameData[[#This Row],[GoldDropMax]])</f>
        <v>4.5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I28" sqref="I28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>
      <c r="B1" t="s">
        <v>88</v>
      </c>
      <c r="C1" t="s">
        <v>64</v>
      </c>
      <c r="D1" t="s">
        <v>88</v>
      </c>
      <c r="E1" t="s">
        <v>199</v>
      </c>
      <c r="F1" t="s">
        <v>93</v>
      </c>
      <c r="G1" t="s">
        <v>93</v>
      </c>
    </row>
    <row r="2" spans="2:7">
      <c r="B2" t="s">
        <v>57</v>
      </c>
      <c r="C2" s="8" t="s">
        <v>157</v>
      </c>
      <c r="D2" t="s">
        <v>202</v>
      </c>
      <c r="E2" t="s">
        <v>217</v>
      </c>
      <c r="F2" t="s">
        <v>201</v>
      </c>
      <c r="G2" t="s">
        <v>200</v>
      </c>
    </row>
    <row r="3" spans="2:7">
      <c r="B3">
        <v>600</v>
      </c>
      <c r="C3" s="6" t="s">
        <v>341</v>
      </c>
      <c r="D3">
        <v>700</v>
      </c>
      <c r="E3" t="s">
        <v>335</v>
      </c>
      <c r="F3">
        <v>0.5</v>
      </c>
      <c r="G3">
        <v>0.3</v>
      </c>
    </row>
    <row r="4" spans="2:7">
      <c r="B4">
        <v>600</v>
      </c>
      <c r="C4" s="6" t="s">
        <v>343</v>
      </c>
      <c r="D4">
        <v>701</v>
      </c>
      <c r="E4" t="s">
        <v>335</v>
      </c>
      <c r="F4">
        <v>0</v>
      </c>
      <c r="G4">
        <v>1</v>
      </c>
    </row>
    <row r="5" spans="2:7">
      <c r="B5">
        <v>601</v>
      </c>
      <c r="C5" s="6" t="s">
        <v>345</v>
      </c>
      <c r="D5">
        <v>702</v>
      </c>
      <c r="E5" t="s">
        <v>346</v>
      </c>
      <c r="F5">
        <v>0.5</v>
      </c>
      <c r="G5">
        <v>0.1</v>
      </c>
    </row>
    <row r="6" spans="2:7">
      <c r="B6">
        <v>601</v>
      </c>
      <c r="C6" s="6" t="s">
        <v>345</v>
      </c>
      <c r="D6">
        <v>706</v>
      </c>
      <c r="E6" t="s">
        <v>346</v>
      </c>
      <c r="F6">
        <v>0</v>
      </c>
      <c r="G6">
        <v>0.1</v>
      </c>
    </row>
    <row r="7" spans="2:7">
      <c r="B7">
        <v>601</v>
      </c>
      <c r="C7" s="6" t="s">
        <v>344</v>
      </c>
      <c r="D7">
        <v>712</v>
      </c>
      <c r="E7" t="s">
        <v>346</v>
      </c>
      <c r="F7">
        <v>0</v>
      </c>
      <c r="G7">
        <v>0.1</v>
      </c>
    </row>
    <row r="8" spans="2:7">
      <c r="B8">
        <v>601</v>
      </c>
      <c r="C8" s="6" t="s">
        <v>344</v>
      </c>
      <c r="D8">
        <v>709</v>
      </c>
      <c r="E8" t="s">
        <v>346</v>
      </c>
      <c r="F8">
        <v>0</v>
      </c>
      <c r="G8">
        <v>0.1</v>
      </c>
    </row>
    <row r="9" spans="2:7">
      <c r="B9">
        <v>601</v>
      </c>
      <c r="C9" s="6" t="s">
        <v>344</v>
      </c>
      <c r="D9">
        <v>711</v>
      </c>
      <c r="E9" t="s">
        <v>346</v>
      </c>
      <c r="F9">
        <v>0</v>
      </c>
      <c r="G9">
        <v>0.1</v>
      </c>
    </row>
    <row r="10" spans="2:7">
      <c r="B10">
        <v>601</v>
      </c>
      <c r="C10" s="6" t="s">
        <v>344</v>
      </c>
      <c r="D10">
        <v>708</v>
      </c>
      <c r="E10" t="s">
        <v>346</v>
      </c>
      <c r="F10">
        <v>0</v>
      </c>
      <c r="G10">
        <v>0.1</v>
      </c>
    </row>
    <row r="11" spans="2:7">
      <c r="B11">
        <v>601</v>
      </c>
      <c r="C11" s="6" t="s">
        <v>344</v>
      </c>
      <c r="D11">
        <v>718</v>
      </c>
      <c r="E11" t="s">
        <v>346</v>
      </c>
      <c r="F11">
        <v>0</v>
      </c>
      <c r="G11">
        <v>0.1</v>
      </c>
    </row>
    <row r="12" spans="2:7">
      <c r="B12">
        <v>601</v>
      </c>
      <c r="C12" s="6" t="s">
        <v>344</v>
      </c>
      <c r="D12">
        <v>710</v>
      </c>
      <c r="E12" t="s">
        <v>346</v>
      </c>
      <c r="F12">
        <v>0</v>
      </c>
      <c r="G12">
        <v>0.1</v>
      </c>
    </row>
    <row r="13" spans="2:7">
      <c r="B13">
        <v>601</v>
      </c>
      <c r="C13" s="6" t="s">
        <v>344</v>
      </c>
      <c r="D13">
        <v>703</v>
      </c>
      <c r="E13" t="s">
        <v>346</v>
      </c>
      <c r="F13">
        <v>0</v>
      </c>
      <c r="G13">
        <v>0.1</v>
      </c>
    </row>
    <row r="14" spans="2:7">
      <c r="B14">
        <v>601</v>
      </c>
      <c r="C14" s="6" t="s">
        <v>344</v>
      </c>
      <c r="D14">
        <v>715</v>
      </c>
      <c r="E14" t="s">
        <v>346</v>
      </c>
      <c r="F14">
        <v>0</v>
      </c>
      <c r="G14">
        <v>0.1</v>
      </c>
    </row>
    <row r="15" spans="2:7">
      <c r="B15">
        <v>601</v>
      </c>
      <c r="C15" s="6" t="s">
        <v>344</v>
      </c>
      <c r="D15">
        <v>707</v>
      </c>
      <c r="E15" t="s">
        <v>346</v>
      </c>
      <c r="F15">
        <v>0</v>
      </c>
      <c r="G15">
        <v>0.1</v>
      </c>
    </row>
    <row r="16" spans="2:7">
      <c r="B16">
        <v>601</v>
      </c>
      <c r="C16" s="6" t="s">
        <v>344</v>
      </c>
      <c r="D16">
        <v>705</v>
      </c>
      <c r="E16" t="s">
        <v>346</v>
      </c>
      <c r="F16">
        <v>0</v>
      </c>
      <c r="G16">
        <v>0.1</v>
      </c>
    </row>
    <row r="17" spans="2:7">
      <c r="B17">
        <v>601</v>
      </c>
      <c r="C17" s="6" t="s">
        <v>344</v>
      </c>
      <c r="D17">
        <v>716</v>
      </c>
      <c r="E17" t="s">
        <v>346</v>
      </c>
      <c r="F17">
        <v>0</v>
      </c>
      <c r="G17">
        <v>0.1</v>
      </c>
    </row>
    <row r="18" spans="2:7">
      <c r="B18">
        <v>601</v>
      </c>
      <c r="C18" s="6" t="s">
        <v>344</v>
      </c>
      <c r="D18">
        <v>717</v>
      </c>
      <c r="E18" t="s">
        <v>346</v>
      </c>
      <c r="F18">
        <v>0</v>
      </c>
      <c r="G18">
        <v>0.1</v>
      </c>
    </row>
    <row r="19" spans="2:7">
      <c r="B19">
        <v>601</v>
      </c>
      <c r="C19" s="6" t="s">
        <v>344</v>
      </c>
      <c r="D19">
        <v>704</v>
      </c>
      <c r="E19" t="s">
        <v>346</v>
      </c>
      <c r="F19">
        <v>0</v>
      </c>
      <c r="G19">
        <v>0.1</v>
      </c>
    </row>
    <row r="20" spans="2:7">
      <c r="B20">
        <v>601</v>
      </c>
      <c r="C20" s="6" t="s">
        <v>344</v>
      </c>
      <c r="D20">
        <v>714</v>
      </c>
      <c r="E20" t="s">
        <v>346</v>
      </c>
      <c r="F20">
        <v>0</v>
      </c>
      <c r="G20">
        <v>0.1</v>
      </c>
    </row>
    <row r="21" spans="2:7">
      <c r="B21">
        <v>601</v>
      </c>
      <c r="C21" s="6" t="s">
        <v>344</v>
      </c>
      <c r="D21">
        <v>713</v>
      </c>
      <c r="E21" t="s">
        <v>346</v>
      </c>
      <c r="F21">
        <v>0</v>
      </c>
      <c r="G21">
        <v>0.5</v>
      </c>
    </row>
    <row r="22" spans="2:7">
      <c r="B22">
        <v>602</v>
      </c>
      <c r="C22" s="6" t="s">
        <v>374</v>
      </c>
      <c r="D22">
        <v>719</v>
      </c>
      <c r="E22" t="s">
        <v>336</v>
      </c>
      <c r="F22">
        <v>0</v>
      </c>
      <c r="G22">
        <v>1</v>
      </c>
    </row>
    <row r="23" spans="2:7">
      <c r="B23">
        <v>603</v>
      </c>
      <c r="C23" s="6" t="s">
        <v>375</v>
      </c>
      <c r="D23">
        <v>720</v>
      </c>
      <c r="E23" t="s">
        <v>336</v>
      </c>
      <c r="F23">
        <v>0.5</v>
      </c>
      <c r="G23">
        <v>1</v>
      </c>
    </row>
    <row r="24" spans="2:7">
      <c r="B24">
        <v>604</v>
      </c>
      <c r="C24" s="6" t="s">
        <v>376</v>
      </c>
      <c r="D24">
        <v>721</v>
      </c>
      <c r="E24" t="s">
        <v>336</v>
      </c>
      <c r="F24">
        <v>0.5</v>
      </c>
      <c r="G24">
        <v>0.5</v>
      </c>
    </row>
    <row r="25" spans="2:7">
      <c r="B25">
        <v>604</v>
      </c>
      <c r="C25" s="6" t="s">
        <v>376</v>
      </c>
      <c r="D25">
        <v>722</v>
      </c>
      <c r="E25" t="s">
        <v>336</v>
      </c>
      <c r="F25">
        <v>0</v>
      </c>
      <c r="G25">
        <v>0.5</v>
      </c>
    </row>
    <row r="26" spans="2:7">
      <c r="B26">
        <v>604</v>
      </c>
      <c r="C26" s="6" t="s">
        <v>376</v>
      </c>
      <c r="D26">
        <v>723</v>
      </c>
      <c r="E26" t="s">
        <v>336</v>
      </c>
      <c r="F26">
        <v>0</v>
      </c>
      <c r="G26">
        <v>1</v>
      </c>
    </row>
    <row r="27" spans="2:7">
      <c r="B27">
        <v>605</v>
      </c>
      <c r="C27" s="6" t="s">
        <v>391</v>
      </c>
      <c r="D27">
        <v>724</v>
      </c>
      <c r="E27" t="s">
        <v>336</v>
      </c>
      <c r="F27">
        <v>0.5</v>
      </c>
      <c r="G27">
        <v>1</v>
      </c>
    </row>
    <row r="28" spans="2:7">
      <c r="B28">
        <v>606</v>
      </c>
      <c r="C28" s="6" t="s">
        <v>392</v>
      </c>
      <c r="D28">
        <v>724</v>
      </c>
      <c r="E28" t="s">
        <v>336</v>
      </c>
      <c r="F28">
        <v>0.5</v>
      </c>
      <c r="G28">
        <v>0</v>
      </c>
    </row>
    <row r="29" spans="2:7">
      <c r="B29">
        <v>606</v>
      </c>
      <c r="C29" s="6" t="s">
        <v>392</v>
      </c>
      <c r="D29">
        <v>724</v>
      </c>
      <c r="E29" t="s">
        <v>336</v>
      </c>
      <c r="F29">
        <v>0.2</v>
      </c>
      <c r="G29">
        <v>0</v>
      </c>
    </row>
    <row r="30" spans="2:7">
      <c r="B30">
        <v>606</v>
      </c>
      <c r="C30" s="6" t="s">
        <v>392</v>
      </c>
      <c r="D30">
        <v>724</v>
      </c>
      <c r="E30" t="s">
        <v>336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88</v>
      </c>
      <c r="C1" t="s">
        <v>64</v>
      </c>
      <c r="D1" t="s">
        <v>199</v>
      </c>
      <c r="E1" t="s">
        <v>88</v>
      </c>
      <c r="F1" t="s">
        <v>221</v>
      </c>
      <c r="G1" t="s">
        <v>88</v>
      </c>
    </row>
    <row r="2" spans="2:7">
      <c r="B2" t="s">
        <v>57</v>
      </c>
      <c r="C2" s="8" t="s">
        <v>157</v>
      </c>
      <c r="D2" t="s">
        <v>203</v>
      </c>
      <c r="E2" t="s">
        <v>227</v>
      </c>
      <c r="F2" t="s">
        <v>220</v>
      </c>
      <c r="G2" t="s">
        <v>219</v>
      </c>
    </row>
    <row r="3" spans="2:7">
      <c r="B3">
        <v>700</v>
      </c>
      <c r="C3" s="6" t="s">
        <v>339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339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339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339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340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340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340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340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342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348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352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349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350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351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353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354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355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347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356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357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358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359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360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361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362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373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390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390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389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389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389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389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389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389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378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378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377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377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377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377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377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377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380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380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379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379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379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379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379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379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381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381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381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381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381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381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381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381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391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391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391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G30" sqref="G30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88</v>
      </c>
      <c r="C1" t="s">
        <v>64</v>
      </c>
      <c r="D1" t="s">
        <v>226</v>
      </c>
      <c r="E1" t="s">
        <v>93</v>
      </c>
      <c r="F1" t="s">
        <v>88</v>
      </c>
      <c r="G1" t="s">
        <v>87</v>
      </c>
    </row>
    <row r="2" spans="2:7">
      <c r="B2" t="s">
        <v>163</v>
      </c>
      <c r="C2" s="8" t="s">
        <v>157</v>
      </c>
      <c r="D2" t="s">
        <v>337</v>
      </c>
      <c r="E2" t="s">
        <v>31</v>
      </c>
      <c r="F2" t="s">
        <v>181</v>
      </c>
      <c r="G2" t="s">
        <v>183</v>
      </c>
    </row>
    <row r="3" spans="2:7">
      <c r="B3">
        <v>200</v>
      </c>
      <c r="C3" s="6" t="s">
        <v>182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500</v>
      </c>
      <c r="C4" s="6" t="s">
        <v>193</v>
      </c>
      <c r="D4" s="5" t="b">
        <v>0</v>
      </c>
      <c r="E4">
        <v>1</v>
      </c>
      <c r="F4">
        <v>25</v>
      </c>
      <c r="G4" t="s">
        <v>366</v>
      </c>
    </row>
    <row r="5" spans="2:7">
      <c r="B5">
        <v>501</v>
      </c>
      <c r="C5" s="6" t="s">
        <v>334</v>
      </c>
      <c r="D5" s="5" t="b">
        <v>0</v>
      </c>
      <c r="E5">
        <v>1</v>
      </c>
      <c r="F5">
        <v>25</v>
      </c>
      <c r="G5" t="s">
        <v>366</v>
      </c>
    </row>
    <row r="6" spans="2:7">
      <c r="B6">
        <v>400</v>
      </c>
      <c r="C6" s="6" t="s">
        <v>224</v>
      </c>
      <c r="D6" s="5" t="b">
        <v>0</v>
      </c>
      <c r="E6">
        <v>0.25</v>
      </c>
      <c r="F6">
        <v>25</v>
      </c>
      <c r="G6" t="s">
        <v>366</v>
      </c>
    </row>
    <row r="7" spans="2:7">
      <c r="B7">
        <v>401</v>
      </c>
      <c r="C7" s="6" t="s">
        <v>387</v>
      </c>
      <c r="D7" s="5" t="b">
        <v>1</v>
      </c>
      <c r="E7">
        <v>0.25</v>
      </c>
      <c r="F7">
        <v>25</v>
      </c>
      <c r="G7" t="s">
        <v>366</v>
      </c>
    </row>
    <row r="8" spans="2:7">
      <c r="B8">
        <v>402</v>
      </c>
      <c r="C8" s="6" t="s">
        <v>225</v>
      </c>
      <c r="D8" s="5" t="b">
        <v>0</v>
      </c>
      <c r="E8">
        <v>0.4</v>
      </c>
      <c r="F8">
        <v>25</v>
      </c>
      <c r="G8" t="s">
        <v>366</v>
      </c>
    </row>
    <row r="9" spans="2:7">
      <c r="B9">
        <v>403</v>
      </c>
      <c r="C9" s="6" t="s">
        <v>388</v>
      </c>
      <c r="D9" s="5" t="b">
        <v>1</v>
      </c>
      <c r="E9">
        <v>0.4</v>
      </c>
      <c r="F9">
        <v>25</v>
      </c>
      <c r="G9" t="s">
        <v>366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K24"/>
  <sheetViews>
    <sheetView topLeftCell="A37" workbookViewId="0">
      <selection activeCell="D9" sqref="D9"/>
    </sheetView>
  </sheetViews>
  <sheetFormatPr defaultColWidth="8.875" defaultRowHeight="16.5"/>
  <cols>
    <col min="2" max="2" width="8.625" bestFit="1" customWidth="1"/>
    <col min="3" max="3" width="15.125" customWidth="1"/>
    <col min="4" max="4" width="83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</cols>
  <sheetData>
    <row r="1" spans="2:11">
      <c r="B1" t="s">
        <v>65</v>
      </c>
      <c r="C1" t="s">
        <v>61</v>
      </c>
      <c r="D1" t="s">
        <v>61</v>
      </c>
      <c r="E1" t="s">
        <v>61</v>
      </c>
      <c r="F1" t="s">
        <v>88</v>
      </c>
      <c r="G1" t="s">
        <v>88</v>
      </c>
      <c r="H1" t="s">
        <v>88</v>
      </c>
      <c r="I1" t="s">
        <v>88</v>
      </c>
      <c r="J1" t="s">
        <v>87</v>
      </c>
      <c r="K1" t="s">
        <v>64</v>
      </c>
    </row>
    <row r="2" spans="2:11">
      <c r="B2" t="s">
        <v>57</v>
      </c>
      <c r="C2" t="s">
        <v>63</v>
      </c>
      <c r="D2" t="s">
        <v>482</v>
      </c>
      <c r="E2" t="s">
        <v>89</v>
      </c>
      <c r="F2" t="s">
        <v>79</v>
      </c>
      <c r="G2" t="s">
        <v>80</v>
      </c>
      <c r="H2" t="s">
        <v>81</v>
      </c>
      <c r="I2" t="s">
        <v>156</v>
      </c>
      <c r="J2" t="s">
        <v>78</v>
      </c>
      <c r="K2" s="9" t="s">
        <v>480</v>
      </c>
    </row>
    <row r="3" spans="2:11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E3" t="s">
        <v>84</v>
      </c>
      <c r="F3">
        <v>25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v>10</v>
      </c>
      <c r="I3" cm="1">
        <f t="array" ref="I3">_xlfn.IFS(OR(ItemTable[[#This Row],[GradeType]]="Hp",ItemTable[[#This Row],[GradeType]]="Gold"),0,
TRUE,5000+ItemTable[[#This Row],[Index]])</f>
        <v>0</v>
      </c>
      <c r="K3" s="6" t="e">
        <f>MID(ItemTable[[#This Row],[ItemIconPath]],FIND("icon",ItemTable[[#This Row],[ItemIconPath]]),999)</f>
        <v>#VALUE!</v>
      </c>
    </row>
    <row r="4" spans="2:11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E4" t="s">
        <v>84</v>
      </c>
      <c r="F4">
        <v>50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v>20</v>
      </c>
      <c r="I4" cm="1">
        <f t="array" ref="I4">_xlfn.IFS(OR(ItemTable[[#This Row],[GradeType]]="Hp",ItemTable[[#This Row],[GradeType]]="Gold"),0,
TRUE,5000+ItemTable[[#This Row],[Index]])</f>
        <v>0</v>
      </c>
      <c r="K4" s="6" t="e">
        <f>MID(ItemTable[[#This Row],[ItemIconPath]],FIND("icon",ItemTable[[#This Row],[ItemIconPath]]),999)</f>
        <v>#VALUE!</v>
      </c>
    </row>
    <row r="5" spans="2:11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E5" t="s">
        <v>73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J5" t="s">
        <v>437</v>
      </c>
      <c r="K5" s="6" t="str">
        <f>MID(ItemTable[[#This Row],[ItemIconPath]],FIND("icon",ItemTable[[#This Row],[ItemIconPath]]),999)</f>
        <v>icon/item/coin.png</v>
      </c>
    </row>
    <row r="6" spans="2:11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E6" t="s">
        <v>73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J6" t="s">
        <v>437</v>
      </c>
      <c r="K6" s="6" t="str">
        <f>MID(ItemTable[[#This Row],[ItemIconPath]],FIND("icon",ItemTable[[#This Row],[ItemIconPath]]),999)</f>
        <v>icon/item/coin.png</v>
      </c>
    </row>
    <row r="7" spans="2:11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E7" t="s">
        <v>73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J7" t="s">
        <v>437</v>
      </c>
      <c r="K7" s="6" t="str">
        <f>MID(ItemTable[[#This Row],[ItemIconPath]],FIND("icon",ItemTable[[#This Row],[ItemIconPath]]),999)</f>
        <v>icon/item/coin.png</v>
      </c>
    </row>
    <row r="8" spans="2:11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2000</v>
      </c>
      <c r="C8" t="s">
        <v>398</v>
      </c>
      <c r="D8" t="s">
        <v>411</v>
      </c>
      <c r="E8" t="s">
        <v>66</v>
      </c>
      <c r="F8">
        <v>1</v>
      </c>
      <c r="G8" cm="1">
        <f t="array" ref="G8">_xlfn.IFS(
ItemTable[[#This Row],[GradeType]]="Normal",25,
ItemTable[[#This Row],[GradeType]]="Cursed",50,
ItemTable[[#This Row],[GradeType]]="Rare",50
)</f>
        <v>25</v>
      </c>
      <c r="H8">
        <v>10</v>
      </c>
      <c r="I8" cm="1">
        <f t="array" ref="I8">_xlfn.IFS(OR(ItemTable[[#This Row],[GradeType]]="Hp",ItemTable[[#This Row],[GradeType]]="Gold"),0,
TRUE,5000+ItemTable[[#This Row],[Index]])</f>
        <v>7000</v>
      </c>
      <c r="J8" t="s">
        <v>438</v>
      </c>
      <c r="K8" s="6" t="str">
        <f>MID(ItemTable[[#This Row],[ItemIconPath]],FIND("icon",ItemTable[[#This Row],[ItemIconPath]]),999)</f>
        <v>icon/item/item_02.png</v>
      </c>
    </row>
    <row r="9" spans="2:11">
      <c r="B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2001</v>
      </c>
      <c r="C9" t="s">
        <v>397</v>
      </c>
      <c r="D9" s="17" t="s">
        <v>483</v>
      </c>
      <c r="E9" t="s">
        <v>66</v>
      </c>
      <c r="F9">
        <v>1</v>
      </c>
      <c r="G9" cm="1">
        <f t="array" ref="G9">_xlfn.IFS(
ItemTable[[#This Row],[GradeType]]="Normal",25,
ItemTable[[#This Row],[GradeType]]="Cursed",50,
ItemTable[[#This Row],[GradeType]]="Rare",50
)</f>
        <v>25</v>
      </c>
      <c r="H9">
        <v>10</v>
      </c>
      <c r="I9" cm="1">
        <f t="array" ref="I9">_xlfn.IFS(OR(ItemTable[[#This Row],[GradeType]]="Hp",ItemTable[[#This Row],[GradeType]]="Gold"),0,
TRUE,5000+ItemTable[[#This Row],[Index]])</f>
        <v>7001</v>
      </c>
      <c r="J9" t="s">
        <v>439</v>
      </c>
      <c r="K9" s="6" t="str">
        <f>MID(ItemTable[[#This Row],[ItemIconPath]],FIND("icon",ItemTable[[#This Row],[ItemIconPath]]),999)</f>
        <v>icon/item/item_04.png</v>
      </c>
    </row>
    <row r="10" spans="2:11">
      <c r="B10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2002</v>
      </c>
      <c r="C10" t="s">
        <v>409</v>
      </c>
      <c r="D10" t="s">
        <v>414</v>
      </c>
      <c r="E10" t="s">
        <v>66</v>
      </c>
      <c r="F10">
        <v>1</v>
      </c>
      <c r="G10" cm="1">
        <f t="array" ref="G10">_xlfn.IFS(
ItemTable[[#This Row],[GradeType]]="Normal",25,
ItemTable[[#This Row],[GradeType]]="Cursed",50,
ItemTable[[#This Row],[GradeType]]="Rare",50
)</f>
        <v>25</v>
      </c>
      <c r="H10">
        <v>10</v>
      </c>
      <c r="I10" cm="1">
        <f t="array" ref="I10">_xlfn.IFS(OR(ItemTable[[#This Row],[GradeType]]="Hp",ItemTable[[#This Row],[GradeType]]="Gold"),0,
TRUE,5000+ItemTable[[#This Row],[Index]])</f>
        <v>7002</v>
      </c>
      <c r="J10" t="s">
        <v>440</v>
      </c>
      <c r="K10" s="6" t="str">
        <f>MID(ItemTable[[#This Row],[ItemIconPath]],FIND("icon",ItemTable[[#This Row],[ItemIconPath]]),999)</f>
        <v>icon/item/item_05.png</v>
      </c>
    </row>
    <row r="11" spans="2:11">
      <c r="B11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2003</v>
      </c>
      <c r="C11" t="s">
        <v>400</v>
      </c>
      <c r="D11" t="s">
        <v>420</v>
      </c>
      <c r="E11" t="s">
        <v>66</v>
      </c>
      <c r="F11">
        <v>1</v>
      </c>
      <c r="G11" cm="1">
        <f t="array" ref="G11">_xlfn.IFS(
ItemTable[[#This Row],[GradeType]]="Normal",25,
ItemTable[[#This Row],[GradeType]]="Cursed",50,
ItemTable[[#This Row],[GradeType]]="Rare",50
)</f>
        <v>25</v>
      </c>
      <c r="H11">
        <v>10</v>
      </c>
      <c r="I11" cm="1">
        <f t="array" ref="I11">_xlfn.IFS(OR(ItemTable[[#This Row],[GradeType]]="Hp",ItemTable[[#This Row],[GradeType]]="Gold"),0,
TRUE,5000+ItemTable[[#This Row],[Index]])</f>
        <v>7003</v>
      </c>
      <c r="J11" t="s">
        <v>441</v>
      </c>
      <c r="K11" s="6" t="str">
        <f>MID(ItemTable[[#This Row],[ItemIconPath]],FIND("icon",ItemTable[[#This Row],[ItemIconPath]]),999)</f>
        <v>icon/item/item_07.png</v>
      </c>
    </row>
    <row r="12" spans="2:11">
      <c r="B12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2004</v>
      </c>
      <c r="C12" t="s">
        <v>404</v>
      </c>
      <c r="D12" s="25" t="s">
        <v>416</v>
      </c>
      <c r="E12" t="s">
        <v>66</v>
      </c>
      <c r="F12">
        <v>1</v>
      </c>
      <c r="G12" cm="1">
        <f t="array" ref="G12">_xlfn.IFS(
ItemTable[[#This Row],[GradeType]]="Normal",25,
ItemTable[[#This Row],[GradeType]]="Cursed",50,
ItemTable[[#This Row],[GradeType]]="Rare",50
)</f>
        <v>25</v>
      </c>
      <c r="H12">
        <v>10</v>
      </c>
      <c r="I12" cm="1">
        <f t="array" ref="I12">_xlfn.IFS(OR(ItemTable[[#This Row],[GradeType]]="Hp",ItemTable[[#This Row],[GradeType]]="Gold"),0,
TRUE,5000+ItemTable[[#This Row],[Index]])</f>
        <v>7004</v>
      </c>
      <c r="J12" t="s">
        <v>442</v>
      </c>
      <c r="K12" s="6" t="str">
        <f>MID(ItemTable[[#This Row],[ItemIconPath]],FIND("icon",ItemTable[[#This Row],[ItemIconPath]]),999)</f>
        <v>icon/item/item_11.png</v>
      </c>
    </row>
    <row r="13" spans="2:11">
      <c r="B13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2005</v>
      </c>
      <c r="C13" t="s">
        <v>407</v>
      </c>
      <c r="D13" t="s">
        <v>424</v>
      </c>
      <c r="E13" t="s">
        <v>66</v>
      </c>
      <c r="F13">
        <v>1</v>
      </c>
      <c r="G13" cm="1">
        <f t="array" ref="G13">_xlfn.IFS(
ItemTable[[#This Row],[GradeType]]="Normal",25,
ItemTable[[#This Row],[GradeType]]="Cursed",50,
ItemTable[[#This Row],[GradeType]]="Rare",50
)</f>
        <v>25</v>
      </c>
      <c r="H13">
        <v>10</v>
      </c>
      <c r="I13" cm="1">
        <f t="array" ref="I13">_xlfn.IFS(OR(ItemTable[[#This Row],[GradeType]]="Hp",ItemTable[[#This Row],[GradeType]]="Gold"),0,
TRUE,5000+ItemTable[[#This Row],[Index]])</f>
        <v>7005</v>
      </c>
      <c r="J13" t="s">
        <v>443</v>
      </c>
      <c r="K13" s="6" t="str">
        <f>MID(ItemTable[[#This Row],[ItemIconPath]],FIND("icon",ItemTable[[#This Row],[ItemIconPath]]),999)</f>
        <v>icon/item/item_15.png</v>
      </c>
    </row>
    <row r="14" spans="2:11">
      <c r="B14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3000</v>
      </c>
      <c r="C14" t="s">
        <v>408</v>
      </c>
      <c r="D14" s="25" t="s">
        <v>426</v>
      </c>
      <c r="E14" t="s">
        <v>68</v>
      </c>
      <c r="F14">
        <v>1</v>
      </c>
      <c r="G14" cm="1">
        <f t="array" ref="G14">_xlfn.IFS(
ItemTable[[#This Row],[GradeType]]="Normal",25,
ItemTable[[#This Row],[GradeType]]="Cursed",50,
ItemTable[[#This Row],[GradeType]]="Rare",50
)</f>
        <v>50</v>
      </c>
      <c r="H14">
        <v>20</v>
      </c>
      <c r="I14" cm="1">
        <f t="array" ref="I14">_xlfn.IFS(OR(ItemTable[[#This Row],[GradeType]]="Hp",ItemTable[[#This Row],[GradeType]]="Gold"),0,
TRUE,5000+ItemTable[[#This Row],[Index]])</f>
        <v>8000</v>
      </c>
      <c r="J14" t="s">
        <v>444</v>
      </c>
      <c r="K14" s="6" t="str">
        <f>MID(ItemTable[[#This Row],[ItemIconPath]],FIND("icon",ItemTable[[#This Row],[ItemIconPath]]),999)</f>
        <v>icon/item/item_17.png</v>
      </c>
    </row>
    <row r="15" spans="2:11">
      <c r="B15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3001</v>
      </c>
      <c r="C15" t="s">
        <v>405</v>
      </c>
      <c r="D15" t="s">
        <v>421</v>
      </c>
      <c r="E15" t="s">
        <v>68</v>
      </c>
      <c r="F15">
        <v>1</v>
      </c>
      <c r="G15" cm="1">
        <f t="array" ref="G15">_xlfn.IFS(
ItemTable[[#This Row],[GradeType]]="Normal",25,
ItemTable[[#This Row],[GradeType]]="Cursed",50,
ItemTable[[#This Row],[GradeType]]="Rare",50
)</f>
        <v>50</v>
      </c>
      <c r="H15">
        <v>20</v>
      </c>
      <c r="I15" cm="1">
        <f t="array" ref="I15">_xlfn.IFS(OR(ItemTable[[#This Row],[GradeType]]="Hp",ItemTable[[#This Row],[GradeType]]="Gold"),0,
TRUE,5000+ItemTable[[#This Row],[Index]])</f>
        <v>8001</v>
      </c>
      <c r="J15" t="s">
        <v>445</v>
      </c>
      <c r="K15" s="6" t="str">
        <f>MID(ItemTable[[#This Row],[ItemIconPath]],FIND("icon",ItemTable[[#This Row],[ItemIconPath]]),999)</f>
        <v>icon/item/item_12.png</v>
      </c>
    </row>
    <row r="16" spans="2:11">
      <c r="B16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3002</v>
      </c>
      <c r="C16" t="s">
        <v>402</v>
      </c>
      <c r="D16" t="s">
        <v>418</v>
      </c>
      <c r="E16" t="s">
        <v>68</v>
      </c>
      <c r="F16">
        <v>1</v>
      </c>
      <c r="G16" cm="1">
        <f t="array" ref="G16">_xlfn.IFS(
ItemTable[[#This Row],[GradeType]]="Normal",25,
ItemTable[[#This Row],[GradeType]]="Cursed",50,
ItemTable[[#This Row],[GradeType]]="Rare",50
)</f>
        <v>50</v>
      </c>
      <c r="H16">
        <v>20</v>
      </c>
      <c r="I16" cm="1">
        <f t="array" ref="I16">_xlfn.IFS(OR(ItemTable[[#This Row],[GradeType]]="Hp",ItemTable[[#This Row],[GradeType]]="Gold"),0,
TRUE,5000+ItemTable[[#This Row],[Index]])</f>
        <v>8002</v>
      </c>
      <c r="J16" t="s">
        <v>447</v>
      </c>
      <c r="K16" s="6" t="str">
        <f>MID(ItemTable[[#This Row],[ItemIconPath]],FIND("icon",ItemTable[[#This Row],[ItemIconPath]]),999)</f>
        <v>icon/item/item_09.png</v>
      </c>
    </row>
    <row r="17" spans="2:11">
      <c r="B17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3003</v>
      </c>
      <c r="C17" t="s">
        <v>403</v>
      </c>
      <c r="D17" t="s">
        <v>417</v>
      </c>
      <c r="E17" t="s">
        <v>68</v>
      </c>
      <c r="F17">
        <v>1</v>
      </c>
      <c r="G17" cm="1">
        <f t="array" ref="G17">_xlfn.IFS(
ItemTable[[#This Row],[GradeType]]="Normal",25,
ItemTable[[#This Row],[GradeType]]="Cursed",50,
ItemTable[[#This Row],[GradeType]]="Rare",50
)</f>
        <v>50</v>
      </c>
      <c r="H17">
        <v>20</v>
      </c>
      <c r="I17" cm="1">
        <f t="array" ref="I17">_xlfn.IFS(OR(ItemTable[[#This Row],[GradeType]]="Hp",ItemTable[[#This Row],[GradeType]]="Gold"),0,
TRUE,5000+ItemTable[[#This Row],[Index]])</f>
        <v>8003</v>
      </c>
      <c r="J17" t="s">
        <v>448</v>
      </c>
      <c r="K17" s="6" t="str">
        <f>MID(ItemTable[[#This Row],[ItemIconPath]],FIND("icon",ItemTable[[#This Row],[ItemIconPath]]),999)</f>
        <v>icon/item/item_10.png</v>
      </c>
    </row>
    <row r="18" spans="2:11">
      <c r="B18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3004</v>
      </c>
      <c r="C18" t="s">
        <v>427</v>
      </c>
      <c r="D18" t="s">
        <v>425</v>
      </c>
      <c r="E18" t="s">
        <v>68</v>
      </c>
      <c r="F18">
        <v>1</v>
      </c>
      <c r="G18" cm="1">
        <f t="array" ref="G18">_xlfn.IFS(
ItemTable[[#This Row],[GradeType]]="Normal",25,
ItemTable[[#This Row],[GradeType]]="Cursed",50,
ItemTable[[#This Row],[GradeType]]="Rare",50
)</f>
        <v>50</v>
      </c>
      <c r="H18">
        <v>20</v>
      </c>
      <c r="I18" cm="1">
        <f t="array" ref="I18">_xlfn.IFS(OR(ItemTable[[#This Row],[GradeType]]="Hp",ItemTable[[#This Row],[GradeType]]="Gold"),0,
TRUE,5000+ItemTable[[#This Row],[Index]])</f>
        <v>8004</v>
      </c>
      <c r="J18" t="s">
        <v>449</v>
      </c>
      <c r="K18" s="6" t="str">
        <f>MID(ItemTable[[#This Row],[ItemIconPath]],FIND("icon",ItemTable[[#This Row],[ItemIconPath]]),999)</f>
        <v>icon/item/item_16.png</v>
      </c>
    </row>
    <row r="19" spans="2:11">
      <c r="B1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4000</v>
      </c>
      <c r="C19" t="s">
        <v>395</v>
      </c>
      <c r="D19" t="s">
        <v>413</v>
      </c>
      <c r="E19" t="s">
        <v>69</v>
      </c>
      <c r="F19">
        <v>1</v>
      </c>
      <c r="G19" cm="1">
        <f t="array" ref="G19">_xlfn.IFS(
ItemTable[[#This Row],[GradeType]]="Normal",25,
ItemTable[[#This Row],[GradeType]]="Cursed",50,
ItemTable[[#This Row],[GradeType]]="Rare",50
)</f>
        <v>50</v>
      </c>
      <c r="H19">
        <v>20</v>
      </c>
      <c r="I19" cm="1">
        <f t="array" ref="I19">_xlfn.IFS(OR(ItemTable[[#This Row],[GradeType]]="Hp",ItemTable[[#This Row],[GradeType]]="Gold"),0,
TRUE,5000+ItemTable[[#This Row],[Index]])</f>
        <v>9000</v>
      </c>
      <c r="J19" t="s">
        <v>450</v>
      </c>
      <c r="K19" s="6" t="str">
        <f>MID(ItemTable[[#This Row],[ItemIconPath]],FIND("icon",ItemTable[[#This Row],[ItemIconPath]]),999)</f>
        <v>icon/item/item_03.png</v>
      </c>
    </row>
    <row r="20" spans="2:11">
      <c r="B20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4001</v>
      </c>
      <c r="C20" t="s">
        <v>399</v>
      </c>
      <c r="D20" t="s">
        <v>415</v>
      </c>
      <c r="E20" t="s">
        <v>69</v>
      </c>
      <c r="F20">
        <v>1</v>
      </c>
      <c r="G20" cm="1">
        <f t="array" ref="G20">_xlfn.IFS(
ItemTable[[#This Row],[GradeType]]="Normal",25,
ItemTable[[#This Row],[GradeType]]="Cursed",50,
ItemTable[[#This Row],[GradeType]]="Rare",50
)</f>
        <v>50</v>
      </c>
      <c r="H20">
        <v>20</v>
      </c>
      <c r="I20" cm="1">
        <f t="array" ref="I20">_xlfn.IFS(OR(ItemTable[[#This Row],[GradeType]]="Hp",ItemTable[[#This Row],[GradeType]]="Gold"),0,
TRUE,5000+ItemTable[[#This Row],[Index]])</f>
        <v>9001</v>
      </c>
      <c r="J20" t="s">
        <v>451</v>
      </c>
      <c r="K20" s="6" t="str">
        <f>MID(ItemTable[[#This Row],[ItemIconPath]],FIND("icon",ItemTable[[#This Row],[ItemIconPath]]),999)</f>
        <v>icon/item/item_06.png</v>
      </c>
    </row>
    <row r="21" spans="2:11">
      <c r="B21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4002</v>
      </c>
      <c r="C21" t="s">
        <v>401</v>
      </c>
      <c r="D21" t="s">
        <v>419</v>
      </c>
      <c r="E21" t="s">
        <v>69</v>
      </c>
      <c r="F21">
        <v>1</v>
      </c>
      <c r="G21" cm="1">
        <f t="array" ref="G21">_xlfn.IFS(
ItemTable[[#This Row],[GradeType]]="Normal",25,
ItemTable[[#This Row],[GradeType]]="Cursed",50,
ItemTable[[#This Row],[GradeType]]="Rare",50
)</f>
        <v>50</v>
      </c>
      <c r="H21">
        <v>20</v>
      </c>
      <c r="I21" cm="1">
        <f t="array" ref="I21">_xlfn.IFS(OR(ItemTable[[#This Row],[GradeType]]="Hp",ItemTable[[#This Row],[GradeType]]="Gold"),0,
TRUE,5000+ItemTable[[#This Row],[Index]])</f>
        <v>9002</v>
      </c>
      <c r="J21" t="s">
        <v>452</v>
      </c>
      <c r="K21" s="6" t="str">
        <f>MID(ItemTable[[#This Row],[ItemIconPath]],FIND("icon",ItemTable[[#This Row],[ItemIconPath]]),999)</f>
        <v>icon/item/item_08.png</v>
      </c>
    </row>
    <row r="22" spans="2:11">
      <c r="B22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4003</v>
      </c>
      <c r="C22" t="s">
        <v>410</v>
      </c>
      <c r="D22" t="s">
        <v>423</v>
      </c>
      <c r="E22" t="s">
        <v>69</v>
      </c>
      <c r="F22">
        <v>1</v>
      </c>
      <c r="G22" cm="1">
        <f t="array" ref="G22">_xlfn.IFS(
ItemTable[[#This Row],[GradeType]]="Normal",25,
ItemTable[[#This Row],[GradeType]]="Cursed",50,
ItemTable[[#This Row],[GradeType]]="Rare",50
)</f>
        <v>50</v>
      </c>
      <c r="H22">
        <v>20</v>
      </c>
      <c r="I22" cm="1">
        <f t="array" ref="I22">_xlfn.IFS(OR(ItemTable[[#This Row],[GradeType]]="Hp",ItemTable[[#This Row],[GradeType]]="Gold"),0,
TRUE,5000+ItemTable[[#This Row],[Index]])</f>
        <v>9003</v>
      </c>
      <c r="J22" t="s">
        <v>453</v>
      </c>
      <c r="K22" s="6" t="str">
        <f>MID(ItemTable[[#This Row],[ItemIconPath]],FIND("icon",ItemTable[[#This Row],[ItemIconPath]]),999)</f>
        <v>icon/item/item_14.png</v>
      </c>
    </row>
    <row r="23" spans="2:11">
      <c r="B23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4004</v>
      </c>
      <c r="C23" t="s">
        <v>396</v>
      </c>
      <c r="D23" t="s">
        <v>412</v>
      </c>
      <c r="E23" t="s">
        <v>69</v>
      </c>
      <c r="F23">
        <v>1</v>
      </c>
      <c r="G23">
        <v>50</v>
      </c>
      <c r="H23">
        <v>20</v>
      </c>
      <c r="I23" cm="1">
        <f t="array" ref="I23">_xlfn.IFS(OR(ItemTable[[#This Row],[GradeType]]="Hp",ItemTable[[#This Row],[GradeType]]="Gold"),0,
TRUE,5000+ItemTable[[#This Row],[Index]])</f>
        <v>9004</v>
      </c>
      <c r="J23" t="s">
        <v>454</v>
      </c>
      <c r="K23" s="6" t="str">
        <f>MID(ItemTable[[#This Row],[ItemIconPath]],FIND("icon",ItemTable[[#This Row],[ItemIconPath]]),999)</f>
        <v>icon/item/item_01.png</v>
      </c>
    </row>
    <row r="24" spans="2:11">
      <c r="B24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4005</v>
      </c>
      <c r="C24" t="s">
        <v>406</v>
      </c>
      <c r="D24" t="s">
        <v>422</v>
      </c>
      <c r="E24" t="s">
        <v>69</v>
      </c>
      <c r="F24">
        <v>1</v>
      </c>
      <c r="G24" cm="1">
        <f t="array" ref="G24">_xlfn.IFS(
ItemTable[[#This Row],[GradeType]]="Normal",25,
ItemTable[[#This Row],[GradeType]]="Cursed",50,
ItemTable[[#This Row],[GradeType]]="Rare",50
)</f>
        <v>50</v>
      </c>
      <c r="H24">
        <v>20</v>
      </c>
      <c r="I24" cm="1">
        <f t="array" ref="I24">_xlfn.IFS(OR(ItemTable[[#This Row],[GradeType]]="Hp",ItemTable[[#This Row],[GradeType]]="Gold"),0,
TRUE,5000+ItemTable[[#This Row],[Index]])</f>
        <v>9005</v>
      </c>
      <c r="J24" t="s">
        <v>446</v>
      </c>
      <c r="K24" s="6" t="str">
        <f>MID(ItemTable[[#This Row],[ItemIconPath]],FIND("icon",ItemTable[[#This Row],[ItemIconPath]]),999)</f>
        <v>icon/item/item_13.png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S29"/>
  <sheetViews>
    <sheetView workbookViewId="0">
      <selection activeCell="G25" sqref="G25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6" customWidth="1"/>
    <col min="16" max="17" width="20.375" customWidth="1"/>
    <col min="18" max="19" width="17.125" customWidth="1"/>
  </cols>
  <sheetData>
    <row r="1" spans="2:19">
      <c r="E1" t="s">
        <v>88</v>
      </c>
      <c r="F1" t="s">
        <v>199</v>
      </c>
      <c r="G1" t="s">
        <v>87</v>
      </c>
      <c r="J1" t="s">
        <v>87</v>
      </c>
      <c r="K1" t="s">
        <v>199</v>
      </c>
      <c r="L1" t="s">
        <v>199</v>
      </c>
      <c r="M1" s="16" t="s">
        <v>309</v>
      </c>
      <c r="N1" s="16"/>
      <c r="P1" s="16"/>
      <c r="Q1" s="16"/>
    </row>
    <row r="2" spans="2:19">
      <c r="B2" s="8" t="s">
        <v>209</v>
      </c>
      <c r="C2" s="9" t="s">
        <v>210</v>
      </c>
      <c r="D2" s="9" t="s">
        <v>211</v>
      </c>
      <c r="E2" t="s">
        <v>57</v>
      </c>
      <c r="F2" t="s">
        <v>117</v>
      </c>
      <c r="G2" t="s">
        <v>367</v>
      </c>
      <c r="H2" s="8" t="s">
        <v>208</v>
      </c>
      <c r="I2" s="8" t="s">
        <v>455</v>
      </c>
      <c r="J2" s="4" t="s">
        <v>59</v>
      </c>
      <c r="K2" t="s">
        <v>58</v>
      </c>
      <c r="L2" t="s">
        <v>60</v>
      </c>
      <c r="M2" s="8" t="s">
        <v>326</v>
      </c>
      <c r="N2" s="8" t="s">
        <v>327</v>
      </c>
      <c r="O2" s="8" t="s">
        <v>332</v>
      </c>
      <c r="P2" s="22" t="s">
        <v>330</v>
      </c>
      <c r="Q2" s="8" t="s">
        <v>310</v>
      </c>
      <c r="R2" s="21" t="s">
        <v>329</v>
      </c>
      <c r="S2" s="21" t="s">
        <v>331</v>
      </c>
    </row>
    <row r="3" spans="2:19">
      <c r="B3" s="6"/>
      <c r="C3" s="6" t="str">
        <f>INDEX(ItemTable[Name],MATCH(ItemEffectTable[[#This Row],[Index]],ItemTable[ItemEffectDataId],0))</f>
        <v>메탈유니콘 키링</v>
      </c>
      <c r="D3" s="6" t="str">
        <f>INDEX(ItemTable[GradeType],MATCH(ItemEffectTable[[#This Row],[Index]],ItemTable[ItemEffectDataId],0))</f>
        <v>Normal</v>
      </c>
      <c r="E3">
        <v>7000</v>
      </c>
      <c r="F3" t="s">
        <v>435</v>
      </c>
      <c r="G3" s="17" t="s">
        <v>275</v>
      </c>
      <c r="H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3" s="7" t="s">
        <v>479</v>
      </c>
      <c r="J3">
        <v>0.7</v>
      </c>
      <c r="K3" t="s">
        <v>431</v>
      </c>
      <c r="L3" t="s">
        <v>432</v>
      </c>
      <c r="M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3" s="7" cm="1">
        <f t="array" ref="N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3" s="24" t="s">
        <v>323</v>
      </c>
      <c r="P3" s="7" cm="1">
        <f t="array" ref="P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1.0499999999999998</v>
      </c>
      <c r="Q3" s="7" cm="1">
        <f t="array" ref="Q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30.000000000000014</v>
      </c>
      <c r="R3" s="7" cm="1">
        <f t="array" ref="R3">SUM(IF($E$3:$E$56=E3,$Q$3:$Q$56))</f>
        <v>30.000000000000014</v>
      </c>
      <c r="S3" s="7">
        <f>INDEX(표9[],MATCH(ItemEffectTable[[#This Row],['#Grade]],표9[#Headers],0))-ItemEffectTable[[#This Row],['#총 효력가치]]</f>
        <v>0</v>
      </c>
    </row>
    <row r="4" spans="2:19">
      <c r="B4" s="6"/>
      <c r="C4" s="6" t="str">
        <f>INDEX(ItemTable[Name],MATCH(ItemEffectTable[[#This Row],[Index]],ItemTable[ItemEffectDataId],0))</f>
        <v>챔피언 모자</v>
      </c>
      <c r="D4" s="6" t="str">
        <f>INDEX(ItemTable[GradeType],MATCH(ItemEffectTable[[#This Row],[Index]],ItemTable[ItemEffectDataId],0))</f>
        <v>Normal</v>
      </c>
      <c r="E4">
        <v>7001</v>
      </c>
      <c r="F4" t="s">
        <v>435</v>
      </c>
      <c r="G4" s="18" t="s">
        <v>229</v>
      </c>
      <c r="H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공격 범위 반지름 변경</v>
      </c>
      <c r="I4" s="7" t="s">
        <v>478</v>
      </c>
      <c r="J4">
        <v>1.2</v>
      </c>
      <c r="K4" s="18" t="s">
        <v>431</v>
      </c>
      <c r="L4" t="s">
        <v>432</v>
      </c>
      <c r="M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4" s="7" cm="1">
        <f t="array" ref="N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2.2999999999999998</v>
      </c>
      <c r="O4" s="24"/>
      <c r="P4" s="7" cm="1">
        <f t="array" ref="P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2.76</v>
      </c>
      <c r="Q4" s="7" cm="1">
        <f t="array" ref="Q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4" s="7" cm="1">
        <f t="array" ref="R4">SUM(IF($E$3:$E$56=E4,$Q$3:$Q$56))</f>
        <v>30</v>
      </c>
      <c r="S4" s="7">
        <f>INDEX(표9[],MATCH(ItemEffectTable[[#This Row],['#Grade]],표9[#Headers],0))-ItemEffectTable[[#This Row],['#총 효력가치]]</f>
        <v>0</v>
      </c>
    </row>
    <row r="5" spans="2:19">
      <c r="B5" s="6"/>
      <c r="C5" s="6" t="str">
        <f>INDEX(ItemTable[Name],MATCH(ItemEffectTable[[#This Row],[Index]],ItemTable[ItemEffectDataId],0))</f>
        <v>쿨 - 도그</v>
      </c>
      <c r="D5" s="6" t="str">
        <f>INDEX(ItemTable[GradeType],MATCH(ItemEffectTable[[#This Row],[Index]],ItemTable[ItemEffectDataId],0))</f>
        <v>Normal</v>
      </c>
      <c r="E5">
        <v>7002</v>
      </c>
      <c r="F5" t="s">
        <v>435</v>
      </c>
      <c r="G5" s="18" t="s">
        <v>394</v>
      </c>
      <c r="H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5" s="7" t="s">
        <v>477</v>
      </c>
      <c r="J5">
        <v>0.8</v>
      </c>
      <c r="K5" t="s">
        <v>431</v>
      </c>
      <c r="L5" t="s">
        <v>432</v>
      </c>
      <c r="M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5" s="7" cm="1">
        <f t="array" ref="N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5" s="24"/>
      <c r="P5" s="7" cm="1">
        <f t="array" ref="P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</v>
      </c>
      <c r="Q5" s="7" cm="1">
        <f t="array" ref="Q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29.999999999999993</v>
      </c>
      <c r="R5" s="7" cm="1">
        <f t="array" ref="R5">SUM(IF($E$3:$E$56=E5,$Q$3:$Q$56))</f>
        <v>29.999999999999993</v>
      </c>
      <c r="S5" s="7">
        <f>INDEX(표9[],MATCH(ItemEffectTable[[#This Row],['#Grade]],표9[#Headers],0))-ItemEffectTable[[#This Row],['#총 효력가치]]</f>
        <v>0</v>
      </c>
    </row>
    <row r="6" spans="2:19">
      <c r="B6" s="6"/>
      <c r="C6" s="6" t="str">
        <f>INDEX(ItemTable[Name],MATCH(ItemEffectTable[[#This Row],[Index]],ItemTable[ItemEffectDataId],0))</f>
        <v>QT 파우더</v>
      </c>
      <c r="D6" s="6" t="str">
        <f>INDEX(ItemTable[GradeType],MATCH(ItemEffectTable[[#This Row],[Index]],ItemTable[ItemEffectDataId],0))</f>
        <v>Normal</v>
      </c>
      <c r="E6">
        <v>7003</v>
      </c>
      <c r="F6" t="s">
        <v>435</v>
      </c>
      <c r="G6" s="18" t="s">
        <v>282</v>
      </c>
      <c r="H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6" s="7" t="s">
        <v>476</v>
      </c>
      <c r="J6">
        <v>1</v>
      </c>
      <c r="K6" t="s">
        <v>433</v>
      </c>
      <c r="L6" t="s">
        <v>432</v>
      </c>
      <c r="M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6" s="7" cm="1">
        <f t="array" ref="N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6" s="24"/>
      <c r="P6" s="7" cm="1">
        <f t="array" ref="P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6" s="7" cm="1">
        <f t="array" ref="Q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6" s="7" cm="1">
        <f t="array" ref="R6">SUM(IF($E$3:$E$56=E6,$Q$3:$Q$56))</f>
        <v>30</v>
      </c>
      <c r="S6" s="7">
        <f>INDEX(표9[],MATCH(ItemEffectTable[[#This Row],['#Grade]],표9[#Headers],0))-ItemEffectTable[[#This Row],['#총 효력가치]]</f>
        <v>0</v>
      </c>
    </row>
    <row r="7" spans="2:19">
      <c r="B7" s="6"/>
      <c r="C7" s="6" t="str">
        <f>INDEX(ItemTable[Name],MATCH(ItemEffectTable[[#This Row],[Index]],ItemTable[ItemEffectDataId],0))</f>
        <v>QT 파우더</v>
      </c>
      <c r="D7" s="6" t="str">
        <f>INDEX(ItemTable[GradeType],MATCH(ItemEffectTable[[#This Row],[Index]],ItemTable[ItemEffectDataId],0))</f>
        <v>Normal</v>
      </c>
      <c r="E7">
        <v>7003</v>
      </c>
      <c r="F7" t="s">
        <v>435</v>
      </c>
      <c r="G7" s="18" t="s">
        <v>260</v>
      </c>
      <c r="H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7" s="7" t="s">
        <v>476</v>
      </c>
      <c r="J7">
        <v>1</v>
      </c>
      <c r="K7" t="s">
        <v>433</v>
      </c>
      <c r="L7" t="s">
        <v>432</v>
      </c>
      <c r="M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7" s="7" cm="1">
        <f t="array" ref="N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7" s="24"/>
      <c r="P7" s="7" cm="1">
        <f t="array" ref="P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</v>
      </c>
      <c r="Q7" s="7" cm="1">
        <f t="array" ref="Q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7" s="7" cm="1">
        <f t="array" ref="R7">SUM(IF($E$3:$E$56=E7,$Q$3:$Q$56))</f>
        <v>30</v>
      </c>
      <c r="S7" s="7">
        <f>INDEX(표9[],MATCH(ItemEffectTable[[#This Row],['#Grade]],표9[#Headers],0))-ItemEffectTable[[#This Row],['#총 효력가치]]</f>
        <v>0</v>
      </c>
    </row>
    <row r="8" spans="2:19">
      <c r="B8" s="6"/>
      <c r="C8" s="6" t="str">
        <f>INDEX(ItemTable[Name],MATCH(ItemEffectTable[[#This Row],[Index]],ItemTable[ItemEffectDataId],0))</f>
        <v>적토목마</v>
      </c>
      <c r="D8" s="6" t="str">
        <f>INDEX(ItemTable[GradeType],MATCH(ItemEffectTable[[#This Row],[Index]],ItemTable[ItemEffectDataId],0))</f>
        <v>Normal</v>
      </c>
      <c r="E8">
        <v>7004</v>
      </c>
      <c r="F8" t="s">
        <v>435</v>
      </c>
      <c r="G8" s="17" t="s">
        <v>28</v>
      </c>
      <c r="H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 s="7" t="s">
        <v>475</v>
      </c>
      <c r="J8">
        <v>1.1000000000000001</v>
      </c>
      <c r="K8" s="18" t="s">
        <v>431</v>
      </c>
      <c r="L8" t="s">
        <v>432</v>
      </c>
      <c r="M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8" s="7" cm="1">
        <f t="array" ref="N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8" s="24"/>
      <c r="P8" s="7" cm="1">
        <f t="array" ref="P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6.6000000000000005</v>
      </c>
      <c r="Q8" s="7" cm="1">
        <f t="array" ref="Q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30.000000000000028</v>
      </c>
      <c r="R8" s="7" cm="1">
        <f t="array" ref="R8">SUM(IF($E$3:$E$56=E8,$Q$3:$Q$56))</f>
        <v>30.000000000000028</v>
      </c>
      <c r="S8" s="26">
        <f>INDEX(표9[],MATCH(ItemEffectTable[[#This Row],['#Grade]],표9[#Headers],0))-ItemEffectTable[[#This Row],['#총 효력가치]]</f>
        <v>-2.8421709430404007E-14</v>
      </c>
    </row>
    <row r="9" spans="2:19">
      <c r="B9" s="6"/>
      <c r="C9" s="6" t="str">
        <f>INDEX(ItemTable[Name],MATCH(ItemEffectTable[[#This Row],[Index]],ItemTable[ItemEffectDataId],0))</f>
        <v>삼각김곰</v>
      </c>
      <c r="D9" s="6" t="str">
        <f>INDEX(ItemTable[GradeType],MATCH(ItemEffectTable[[#This Row],[Index]],ItemTable[ItemEffectDataId],0))</f>
        <v>Normal</v>
      </c>
      <c r="E9" s="4">
        <v>7005</v>
      </c>
      <c r="F9" t="s">
        <v>435</v>
      </c>
      <c r="G9" s="17" t="s">
        <v>457</v>
      </c>
      <c r="H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9" s="7" t="s">
        <v>474</v>
      </c>
      <c r="J9">
        <v>50</v>
      </c>
      <c r="K9" t="s">
        <v>433</v>
      </c>
      <c r="L9" t="s">
        <v>432</v>
      </c>
      <c r="M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9" s="7" cm="1">
        <f t="array" ref="N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9" s="24"/>
      <c r="P9" s="7" cm="1">
        <f t="array" ref="P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125</v>
      </c>
      <c r="Q9" s="7" cm="1">
        <f t="array" ref="Q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9" s="7" cm="1">
        <f t="array" ref="R9">SUM(IF($E$3:$E$56=E9,$Q$3:$Q$56))</f>
        <v>30</v>
      </c>
      <c r="S9" s="7">
        <f>INDEX(표9[],MATCH(ItemEffectTable[[#This Row],['#Grade]],표9[#Headers],0))-ItemEffectTable[[#This Row],['#총 효력가치]]</f>
        <v>0</v>
      </c>
    </row>
    <row r="10" spans="2:19">
      <c r="B10" s="6"/>
      <c r="C10" s="6" t="str">
        <f>INDEX(ItemTable[Name],MATCH(ItemEffectTable[[#This Row],[Index]],ItemTable[ItemEffectDataId],0))</f>
        <v>데빌불</v>
      </c>
      <c r="D10" s="6" t="str">
        <f>INDEX(ItemTable[GradeType],MATCH(ItemEffectTable[[#This Row],[Index]],ItemTable[ItemEffectDataId],0))</f>
        <v>Rare</v>
      </c>
      <c r="E10">
        <v>8000</v>
      </c>
      <c r="F10" t="s">
        <v>435</v>
      </c>
      <c r="G10" s="18" t="s">
        <v>242</v>
      </c>
      <c r="H1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0" s="7" t="s">
        <v>473</v>
      </c>
      <c r="J10" t="s">
        <v>436</v>
      </c>
      <c r="K10" t="s">
        <v>433</v>
      </c>
      <c r="L10" t="s">
        <v>468</v>
      </c>
      <c r="M1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0" s="7" cm="1">
        <f t="array" ref="N1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0" s="24">
        <f>2*0.1</f>
        <v>0.2</v>
      </c>
      <c r="P10" s="7" cm="1">
        <f t="array" ref="P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0" s="7" cm="1">
        <f t="array" ref="Q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0" s="7" cm="1">
        <f t="array" ref="R10">SUM(IF($E$3:$E$56=E10,$Q$3:$Q$56))</f>
        <v>33.333333333333329</v>
      </c>
      <c r="S10" s="7">
        <f>INDEX(표9[],MATCH(ItemEffectTable[[#This Row],['#Grade]],표9[#Headers],0))-ItemEffectTable[[#This Row],['#총 효력가치]]</f>
        <v>16.666666666666671</v>
      </c>
    </row>
    <row r="11" spans="2:19">
      <c r="B11" s="6"/>
      <c r="C11" s="6" t="str">
        <f>INDEX(ItemTable[Name],MATCH(ItemEffectTable[[#This Row],[Index]],ItemTable[ItemEffectDataId],0))</f>
        <v>공룡블록</v>
      </c>
      <c r="D11" s="6" t="str">
        <f>INDEX(ItemTable[GradeType],MATCH(ItemEffectTable[[#This Row],[Index]],ItemTable[ItemEffectDataId],0))</f>
        <v>Rare</v>
      </c>
      <c r="E11">
        <v>8001</v>
      </c>
      <c r="F11" t="s">
        <v>435</v>
      </c>
      <c r="G11" s="18" t="s">
        <v>242</v>
      </c>
      <c r="H1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1" s="7" t="s">
        <v>472</v>
      </c>
      <c r="J11" t="s">
        <v>459</v>
      </c>
      <c r="K11" t="s">
        <v>433</v>
      </c>
      <c r="L11" t="s">
        <v>466</v>
      </c>
      <c r="M1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1" s="7" cm="1">
        <f t="array" ref="N1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1" s="24">
        <f>((6*25)-(2*25))*0.002</f>
        <v>0.2</v>
      </c>
      <c r="P11" s="7" cm="1">
        <f t="array" ref="P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1" s="7" cm="1">
        <f t="array" ref="Q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1" s="7" cm="1">
        <f t="array" ref="R11">SUM(IF($E$3:$E$56=E11,$Q$3:$Q$56))</f>
        <v>33.333333333333329</v>
      </c>
      <c r="S11" s="7">
        <f>INDEX(표9[],MATCH(ItemEffectTable[[#This Row],['#Grade]],표9[#Headers],0))-ItemEffectTable[[#This Row],['#총 효력가치]]</f>
        <v>16.666666666666671</v>
      </c>
    </row>
    <row r="12" spans="2:19">
      <c r="B12" s="6"/>
      <c r="C12" s="6" t="str">
        <f>INDEX(ItemTable[Name],MATCH(ItemEffectTable[[#This Row],[Index]],ItemTable[ItemEffectDataId],0))</f>
        <v>돌가면</v>
      </c>
      <c r="D12" s="6" t="str">
        <f>INDEX(ItemTable[GradeType],MATCH(ItemEffectTable[[#This Row],[Index]],ItemTable[ItemEffectDataId],0))</f>
        <v>Rare</v>
      </c>
      <c r="E12">
        <v>8002</v>
      </c>
      <c r="F12" t="s">
        <v>435</v>
      </c>
      <c r="G12" t="s">
        <v>242</v>
      </c>
      <c r="H1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2" s="7" t="s">
        <v>471</v>
      </c>
      <c r="J12">
        <v>0.1</v>
      </c>
      <c r="K12" t="s">
        <v>433</v>
      </c>
      <c r="L12" t="s">
        <v>432</v>
      </c>
      <c r="M1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2" s="7" cm="1">
        <f t="array" ref="N1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2" s="24"/>
      <c r="P12" s="7" cm="1">
        <f t="array" ref="P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1.1000000000000001</v>
      </c>
      <c r="Q12" s="7" cm="1">
        <f t="array" ref="Q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16.666666666666682</v>
      </c>
      <c r="R12" s="7" cm="1">
        <f t="array" ref="R12">SUM(IF($E$3:$E$56=E12,$Q$3:$Q$56))</f>
        <v>48.333333333333357</v>
      </c>
      <c r="S12" s="7">
        <f>INDEX(표9[],MATCH(ItemEffectTable[[#This Row],['#Grade]],표9[#Headers],0))-ItemEffectTable[[#This Row],['#총 효력가치]]</f>
        <v>1.666666666666643</v>
      </c>
    </row>
    <row r="13" spans="2:19">
      <c r="B13" s="6"/>
      <c r="C13" s="6" t="str">
        <f>INDEX(ItemTable[Name],MATCH(ItemEffectTable[[#This Row],[Index]],ItemTable[ItemEffectDataId],0))</f>
        <v>돌가면</v>
      </c>
      <c r="D13" s="6" t="str">
        <f>INDEX(ItemTable[GradeType],MATCH(ItemEffectTable[[#This Row],[Index]],ItemTable[ItemEffectDataId],0))</f>
        <v>Rare</v>
      </c>
      <c r="E13">
        <v>8002</v>
      </c>
      <c r="F13" t="s">
        <v>435</v>
      </c>
      <c r="G13" t="s">
        <v>102</v>
      </c>
      <c r="H1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13" s="7" t="s">
        <v>471</v>
      </c>
      <c r="J13">
        <v>0.5</v>
      </c>
      <c r="K13" t="s">
        <v>433</v>
      </c>
      <c r="L13" t="s">
        <v>432</v>
      </c>
      <c r="M1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3" s="7" cm="1">
        <f t="array" ref="N1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13" s="24"/>
      <c r="P13" s="7" cm="1">
        <f t="array" ref="P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6.5</v>
      </c>
      <c r="Q13" s="7" cm="1">
        <f t="array" ref="Q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25</v>
      </c>
      <c r="R13" s="7" cm="1">
        <f t="array" ref="R13">SUM(IF($E$3:$E$56=E13,$Q$3:$Q$56))</f>
        <v>48.333333333333357</v>
      </c>
      <c r="S13" s="7">
        <f>INDEX(표9[],MATCH(ItemEffectTable[[#This Row],['#Grade]],표9[#Headers],0))-ItemEffectTable[[#This Row],['#총 효력가치]]</f>
        <v>1.666666666666643</v>
      </c>
    </row>
    <row r="14" spans="2:19">
      <c r="B14" s="6"/>
      <c r="C14" s="6" t="str">
        <f>INDEX(ItemTable[Name],MATCH(ItemEffectTable[[#This Row],[Index]],ItemTable[ItemEffectDataId],0))</f>
        <v>돌가면</v>
      </c>
      <c r="D14" s="6" t="str">
        <f>INDEX(ItemTable[GradeType],MATCH(ItemEffectTable[[#This Row],[Index]],ItemTable[ItemEffectDataId],0))</f>
        <v>Rare</v>
      </c>
      <c r="E14">
        <v>8002</v>
      </c>
      <c r="F14" t="s">
        <v>435</v>
      </c>
      <c r="G14" t="s">
        <v>228</v>
      </c>
      <c r="H1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4" s="7" t="s">
        <v>471</v>
      </c>
      <c r="J14">
        <v>-0.1</v>
      </c>
      <c r="K14" t="s">
        <v>433</v>
      </c>
      <c r="L14" t="s">
        <v>432</v>
      </c>
      <c r="M1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4" s="7" cm="1">
        <f t="array" ref="N1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4" s="24"/>
      <c r="P14" s="7" cm="1">
        <f t="array" ref="P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1.4</v>
      </c>
      <c r="Q14" s="7" cm="1">
        <f t="array" ref="Q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6.6666666666666732</v>
      </c>
      <c r="R14" s="7" cm="1">
        <f t="array" ref="R14">SUM(IF($E$3:$E$56=E14,$Q$3:$Q$56))</f>
        <v>48.333333333333357</v>
      </c>
      <c r="S14" s="7">
        <f>INDEX(표9[],MATCH(ItemEffectTable[[#This Row],['#Grade]],표9[#Headers],0))-ItemEffectTable[[#This Row],['#총 효력가치]]</f>
        <v>1.666666666666643</v>
      </c>
    </row>
    <row r="15" spans="2:19">
      <c r="B15" s="6"/>
      <c r="C15" s="6" t="str">
        <f>INDEX(ItemTable[Name],MATCH(ItemEffectTable[[#This Row],[Index]],ItemTable[ItemEffectDataId],0))</f>
        <v>사나운 돼지저금통</v>
      </c>
      <c r="D15" s="6" t="str">
        <f>INDEX(ItemTable[GradeType],MATCH(ItemEffectTable[[#This Row],[Index]],ItemTable[ItemEffectDataId],0))</f>
        <v>Rare</v>
      </c>
      <c r="E15">
        <v>8003</v>
      </c>
      <c r="F15" t="s">
        <v>435</v>
      </c>
      <c r="G15" t="s">
        <v>118</v>
      </c>
      <c r="H1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15" s="7" t="s">
        <v>470</v>
      </c>
      <c r="J15">
        <v>0.5</v>
      </c>
      <c r="K15" t="s">
        <v>433</v>
      </c>
      <c r="L15" t="s">
        <v>432</v>
      </c>
      <c r="M1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5" s="7" cm="1">
        <f t="array" ref="N1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5" s="24"/>
      <c r="P15" s="7" cm="1">
        <f t="array" ref="P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15" s="7" cm="1">
        <f t="array" ref="Q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R15" s="7" cm="1">
        <f t="array" ref="R15">SUM(IF($E$3:$E$56=E15,$Q$3:$Q$56))</f>
        <v>50</v>
      </c>
      <c r="S15" s="7">
        <f>INDEX(표9[],MATCH(ItemEffectTable[[#This Row],['#Grade]],표9[#Headers],0))-ItemEffectTable[[#This Row],['#총 효력가치]]</f>
        <v>0</v>
      </c>
    </row>
    <row r="16" spans="2:19">
      <c r="B16" s="6"/>
      <c r="C16" s="6" t="str">
        <f>INDEX(ItemTable[Name],MATCH(ItemEffectTable[[#This Row],[Index]],ItemTable[ItemEffectDataId],0))</f>
        <v>성배 속 작은 젤리</v>
      </c>
      <c r="D16" s="6" t="str">
        <f>INDEX(ItemTable[GradeType],MATCH(ItemEffectTable[[#This Row],[Index]],ItemTable[ItemEffectDataId],0))</f>
        <v>Rare</v>
      </c>
      <c r="E16">
        <v>8004</v>
      </c>
      <c r="F16" t="s">
        <v>435</v>
      </c>
      <c r="G16" s="18" t="s">
        <v>261</v>
      </c>
      <c r="H1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16" s="7" t="s">
        <v>469</v>
      </c>
      <c r="J16">
        <v>2</v>
      </c>
      <c r="K16" t="s">
        <v>433</v>
      </c>
      <c r="L16" t="s">
        <v>432</v>
      </c>
      <c r="M1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6" s="7" cm="1">
        <f t="array" ref="N1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6" s="24"/>
      <c r="P16" s="7" cm="1">
        <f t="array" ref="P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Q16" s="7" cm="1">
        <f t="array" ref="Q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6" s="7" cm="1">
        <f t="array" ref="R16">SUM(IF($E$3:$E$56=E16,$Q$3:$Q$56))</f>
        <v>60</v>
      </c>
      <c r="S16" s="7">
        <f>INDEX(표9[],MATCH(ItemEffectTable[[#This Row],['#Grade]],표9[#Headers],0))-ItemEffectTable[[#This Row],['#총 효력가치]]</f>
        <v>-10</v>
      </c>
    </row>
    <row r="17" spans="2:19">
      <c r="B17" s="6"/>
      <c r="C17" s="6" t="str">
        <f>INDEX(ItemTable[Name],MATCH(ItemEffectTable[[#This Row],[Index]],ItemTable[ItemEffectDataId],0))</f>
        <v>성배 속 작은 젤리</v>
      </c>
      <c r="D17" s="6" t="str">
        <f>INDEX(ItemTable[GradeType],MATCH(ItemEffectTable[[#This Row],[Index]],ItemTable[ItemEffectDataId],0))</f>
        <v>Rare</v>
      </c>
      <c r="E17">
        <v>8004</v>
      </c>
      <c r="F17" t="s">
        <v>435</v>
      </c>
      <c r="G17" s="18" t="s">
        <v>283</v>
      </c>
      <c r="H1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17" s="7" t="s">
        <v>469</v>
      </c>
      <c r="J17">
        <v>2</v>
      </c>
      <c r="K17" t="s">
        <v>433</v>
      </c>
      <c r="L17" t="s">
        <v>432</v>
      </c>
      <c r="M1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7" s="7" cm="1">
        <f t="array" ref="N1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17" s="24"/>
      <c r="P17" s="7" cm="1">
        <f t="array" ref="P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</v>
      </c>
      <c r="Q17" s="7" cm="1">
        <f t="array" ref="Q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7" s="7" cm="1">
        <f t="array" ref="R17">SUM(IF($E$3:$E$56=E17,$Q$3:$Q$56))</f>
        <v>60</v>
      </c>
      <c r="S17" s="7">
        <f>INDEX(표9[],MATCH(ItemEffectTable[[#This Row],['#Grade]],표9[#Headers],0))-ItemEffectTable[[#This Row],['#총 효력가치]]</f>
        <v>-10</v>
      </c>
    </row>
    <row r="18" spans="2:19">
      <c r="B18" s="6"/>
      <c r="C18" s="6" t="str">
        <f>INDEX(ItemTable[Name],MATCH(ItemEffectTable[[#This Row],[Index]],ItemTable[ItemEffectDataId],0))</f>
        <v>심연의 눈깔사탕</v>
      </c>
      <c r="D18" s="6" t="str">
        <f>INDEX(ItemTable[GradeType],MATCH(ItemEffectTable[[#This Row],[Index]],ItemTable[ItemEffectDataId],0))</f>
        <v>Cursed</v>
      </c>
      <c r="E18">
        <v>9000</v>
      </c>
      <c r="F18" t="s">
        <v>435</v>
      </c>
      <c r="G18" s="18" t="s">
        <v>242</v>
      </c>
      <c r="H1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8" s="7" t="s">
        <v>465</v>
      </c>
      <c r="J18" t="s">
        <v>458</v>
      </c>
      <c r="K18" t="s">
        <v>433</v>
      </c>
      <c r="L18" t="s">
        <v>467</v>
      </c>
      <c r="M1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8" s="7" cm="1">
        <f t="array" ref="N1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8" s="24">
        <f>3*0.1</f>
        <v>0.30000000000000004</v>
      </c>
      <c r="P18" s="7" cm="1">
        <f t="array" ref="P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Q18" s="7" cm="1">
        <f t="array" ref="Q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50.000000000000014</v>
      </c>
      <c r="R18" s="7" cm="1">
        <f t="array" ref="R18">SUM(IF($E$3:$E$56=E18,$Q$3:$Q$56))</f>
        <v>50.000000000000014</v>
      </c>
      <c r="S18" s="7">
        <f>INDEX(표9[],MATCH(ItemEffectTable[[#This Row],['#Grade]],표9[#Headers],0))-ItemEffectTable[[#This Row],['#총 효력가치]]</f>
        <v>0</v>
      </c>
    </row>
    <row r="19" spans="2:19">
      <c r="B19" s="6"/>
      <c r="C19" s="6" t="str">
        <f>INDEX(ItemTable[Name],MATCH(ItemEffectTable[[#This Row],[Index]],ItemTable[ItemEffectDataId],0))</f>
        <v>코코아 한통</v>
      </c>
      <c r="D19" s="6" t="str">
        <f>INDEX(ItemTable[GradeType],MATCH(ItemEffectTable[[#This Row],[Index]],ItemTable[ItemEffectDataId],0))</f>
        <v>Cursed</v>
      </c>
      <c r="E19">
        <v>9001</v>
      </c>
      <c r="F19" t="s">
        <v>435</v>
      </c>
      <c r="G19" s="17" t="s">
        <v>275</v>
      </c>
      <c r="H1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9" s="7" t="s">
        <v>463</v>
      </c>
      <c r="J19">
        <v>1.2</v>
      </c>
      <c r="K19" t="s">
        <v>431</v>
      </c>
      <c r="L19" t="s">
        <v>432</v>
      </c>
      <c r="M1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9" s="7" cm="1">
        <f t="array" ref="N1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9" s="24"/>
      <c r="P19" s="7" cm="1">
        <f t="array" ref="P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1.7999999999999998</v>
      </c>
      <c r="Q19" s="7" cm="1">
        <f t="array" ref="Q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-19.999999999999989</v>
      </c>
      <c r="R19" s="7" cm="1">
        <f t="array" ref="R19">SUM(IF($E$3:$E$56=E19,$Q$3:$Q$56))</f>
        <v>47.500000000000014</v>
      </c>
      <c r="S19" s="7">
        <f>INDEX(표9[],MATCH(ItemEffectTable[[#This Row],['#Grade]],표9[#Headers],0))-ItemEffectTable[[#This Row],['#총 효력가치]]</f>
        <v>2.4999999999999858</v>
      </c>
    </row>
    <row r="20" spans="2:19">
      <c r="B20" s="6"/>
      <c r="C20" s="6" t="str">
        <f>INDEX(ItemTable[Name],MATCH(ItemEffectTable[[#This Row],[Index]],ItemTable[ItemEffectDataId],0))</f>
        <v>코코아 한통</v>
      </c>
      <c r="D20" s="6" t="str">
        <f>INDEX(ItemTable[GradeType],MATCH(ItemEffectTable[[#This Row],[Index]],ItemTable[ItemEffectDataId],0))</f>
        <v>Cursed</v>
      </c>
      <c r="E20">
        <v>9001</v>
      </c>
      <c r="F20" t="s">
        <v>435</v>
      </c>
      <c r="G20" s="18" t="s">
        <v>394</v>
      </c>
      <c r="H2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20" s="7" t="s">
        <v>463</v>
      </c>
      <c r="J20">
        <v>0.55000000000000004</v>
      </c>
      <c r="K20" t="s">
        <v>431</v>
      </c>
      <c r="L20" t="s">
        <v>432</v>
      </c>
      <c r="M2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0" s="7" cm="1">
        <f t="array" ref="N2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0" s="24"/>
      <c r="P20" s="7" cm="1">
        <f t="array" ref="P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0.55000000000000004</v>
      </c>
      <c r="Q20" s="7" cm="1">
        <f t="array" ref="Q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67.5</v>
      </c>
      <c r="R20" s="7" cm="1">
        <f t="array" ref="R20">SUM(IF($E$3:$E$56=E20,$Q$3:$Q$56))</f>
        <v>47.500000000000014</v>
      </c>
      <c r="S20" s="7">
        <f>INDEX(표9[],MATCH(ItemEffectTable[[#This Row],['#Grade]],표9[#Headers],0))-ItemEffectTable[[#This Row],['#총 효력가치]]</f>
        <v>2.4999999999999858</v>
      </c>
    </row>
    <row r="21" spans="2:19">
      <c r="B21" s="6"/>
      <c r="C21" s="6" t="str">
        <f>INDEX(ItemTable[Name],MATCH(ItemEffectTable[[#This Row],[Index]],ItemTable[ItemEffectDataId],0))</f>
        <v>슬픈 캔리오</v>
      </c>
      <c r="D21" s="6" t="str">
        <f>INDEX(ItemTable[GradeType],MATCH(ItemEffectTable[[#This Row],[Index]],ItemTable[ItemEffectDataId],0))</f>
        <v>Cursed</v>
      </c>
      <c r="E21">
        <v>9002</v>
      </c>
      <c r="F21" t="s">
        <v>435</v>
      </c>
      <c r="G21" t="s">
        <v>102</v>
      </c>
      <c r="H2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21" s="7" t="s">
        <v>464</v>
      </c>
      <c r="J21">
        <v>0.75</v>
      </c>
      <c r="K21" t="s">
        <v>431</v>
      </c>
      <c r="L21" t="s">
        <v>432</v>
      </c>
      <c r="M2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1" s="7" cm="1">
        <f t="array" ref="N2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21" s="24"/>
      <c r="P21" s="7" cm="1">
        <f t="array" ref="P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4.5</v>
      </c>
      <c r="Q21" s="7" cm="1">
        <f t="array" ref="Q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-75</v>
      </c>
      <c r="R21" s="7" cm="1">
        <f t="array" ref="R21">SUM(IF($E$3:$E$56=E21,$Q$3:$Q$56))</f>
        <v>45</v>
      </c>
      <c r="S21" s="7">
        <f>INDEX(표9[],MATCH(ItemEffectTable[[#This Row],['#Grade]],표9[#Headers],0))-ItemEffectTable[[#This Row],['#총 효력가치]]</f>
        <v>5</v>
      </c>
    </row>
    <row r="22" spans="2:19">
      <c r="B22" s="6"/>
      <c r="C22" s="6" t="str">
        <f>INDEX(ItemTable[Name],MATCH(ItemEffectTable[[#This Row],[Index]],ItemTable[ItemEffectDataId],0))</f>
        <v>슬픈 캔리오</v>
      </c>
      <c r="D22" s="6" t="str">
        <f>INDEX(ItemTable[GradeType],MATCH(ItemEffectTable[[#This Row],[Index]],ItemTable[ItemEffectDataId],0))</f>
        <v>Cursed</v>
      </c>
      <c r="E22">
        <v>9002</v>
      </c>
      <c r="F22" t="s">
        <v>435</v>
      </c>
      <c r="G22" s="17" t="s">
        <v>457</v>
      </c>
      <c r="H2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2" s="7" t="s">
        <v>464</v>
      </c>
      <c r="J22">
        <v>200</v>
      </c>
      <c r="K22" t="s">
        <v>433</v>
      </c>
      <c r="L22" t="s">
        <v>432</v>
      </c>
      <c r="M2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2" s="7" cm="1">
        <f t="array" ref="N2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2" s="24"/>
      <c r="P22" s="7" cm="1">
        <f t="array" ref="P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275</v>
      </c>
      <c r="Q22" s="7" cm="1">
        <f t="array" ref="Q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120</v>
      </c>
      <c r="R22" s="7" cm="1">
        <f t="array" ref="R22">SUM(IF($E$3:$E$56=E22,$Q$3:$Q$56))</f>
        <v>45</v>
      </c>
      <c r="S22" s="7">
        <f>INDEX(표9[],MATCH(ItemEffectTable[[#This Row],['#Grade]],표9[#Headers],0))-ItemEffectTable[[#This Row],['#총 효력가치]]</f>
        <v>5</v>
      </c>
    </row>
    <row r="23" spans="2:19">
      <c r="B23" s="6"/>
      <c r="C23" s="6" t="str">
        <f>INDEX(ItemTable[Name],MATCH(ItemEffectTable[[#This Row],[Index]],ItemTable[ItemEffectDataId],0))</f>
        <v>청개굴 버섯구이</v>
      </c>
      <c r="D23" s="6" t="str">
        <f>INDEX(ItemTable[GradeType],MATCH(ItemEffectTable[[#This Row],[Index]],ItemTable[ItemEffectDataId],0))</f>
        <v>Cursed</v>
      </c>
      <c r="E23">
        <v>9003</v>
      </c>
      <c r="F23" t="s">
        <v>435</v>
      </c>
      <c r="G23" t="s">
        <v>242</v>
      </c>
      <c r="H2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3" s="7" t="s">
        <v>461</v>
      </c>
      <c r="J23">
        <v>0.5</v>
      </c>
      <c r="K23" t="s">
        <v>433</v>
      </c>
      <c r="L23" t="s">
        <v>432</v>
      </c>
      <c r="M2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3" s="7" cm="1">
        <f t="array" ref="N2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3" s="24"/>
      <c r="P23" s="7" cm="1">
        <f t="array" ref="P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23" s="7" cm="1">
        <f t="array" ref="Q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83.333333333333343</v>
      </c>
      <c r="R23" s="7" t="e" cm="1">
        <f t="array" ref="R23">SUM(IF($E$3:$E$56=E23,$Q$3:$Q$56))</f>
        <v>#VALUE!</v>
      </c>
      <c r="S23" s="7" t="e">
        <f>INDEX(표9[],MATCH(ItemEffectTable[[#This Row],['#Grade]],표9[#Headers],0))-ItemEffectTable[[#This Row],['#총 효력가치]]</f>
        <v>#VALUE!</v>
      </c>
    </row>
    <row r="24" spans="2:19">
      <c r="B24" s="6"/>
      <c r="C24" s="6" t="str">
        <f>INDEX(ItemTable[Name],MATCH(ItemEffectTable[[#This Row],[Index]],ItemTable[ItemEffectDataId],0))</f>
        <v>청개굴 버섯구이</v>
      </c>
      <c r="D24" s="6" t="str">
        <f>INDEX(ItemTable[GradeType],MATCH(ItemEffectTable[[#This Row],[Index]],ItemTable[ItemEffectDataId],0))</f>
        <v>Cursed</v>
      </c>
      <c r="E24">
        <v>9003</v>
      </c>
      <c r="F24" t="s">
        <v>324</v>
      </c>
      <c r="G24" t="s">
        <v>462</v>
      </c>
      <c r="H2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 방향이 반대 방향이 됨.</v>
      </c>
      <c r="I24" s="7" t="s">
        <v>461</v>
      </c>
      <c r="J24">
        <v>0</v>
      </c>
      <c r="K24" t="s">
        <v>434</v>
      </c>
      <c r="L24" t="s">
        <v>432</v>
      </c>
      <c r="M2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-</v>
      </c>
      <c r="N24" s="7" t="str" cm="1">
        <f t="array" ref="N2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O24" s="24"/>
      <c r="P24" s="7" cm="1">
        <f t="array" ref="P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Q24" s="7" t="e" cm="1">
        <f t="array" ref="Q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#VALUE!</v>
      </c>
      <c r="R24" s="7" t="e" cm="1">
        <f t="array" ref="R24">SUM(IF($E$3:$E$56=E24,$Q$3:$Q$56))</f>
        <v>#VALUE!</v>
      </c>
      <c r="S24" s="7" t="e">
        <f>INDEX(표9[],MATCH(ItemEffectTable[[#This Row],['#Grade]],표9[#Headers],0))-ItemEffectTable[[#This Row],['#총 효력가치]]</f>
        <v>#VALUE!</v>
      </c>
    </row>
    <row r="25" spans="2:19">
      <c r="B25" s="6"/>
      <c r="C25" s="6" t="str">
        <f>INDEX(ItemTable[Name],MATCH(ItemEffectTable[[#This Row],[Index]],ItemTable[ItemEffectDataId],0))</f>
        <v>누군가의 일기장</v>
      </c>
      <c r="D25" s="6" t="str">
        <f>INDEX(ItemTable[GradeType],MATCH(ItemEffectTable[[#This Row],[Index]],ItemTable[ItemEffectDataId],0))</f>
        <v>Cursed</v>
      </c>
      <c r="E25">
        <v>9004</v>
      </c>
      <c r="F25" t="s">
        <v>435</v>
      </c>
      <c r="G25" s="18" t="s">
        <v>457</v>
      </c>
      <c r="H2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5" s="7" t="s">
        <v>460</v>
      </c>
      <c r="J25">
        <v>-100</v>
      </c>
      <c r="K25" t="s">
        <v>433</v>
      </c>
      <c r="L25" t="s">
        <v>432</v>
      </c>
      <c r="M2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5" s="7" cm="1">
        <f t="array" ref="N2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5" s="24"/>
      <c r="P25" s="7" cm="1">
        <f t="array" ref="P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-25</v>
      </c>
      <c r="Q25" s="7" cm="1">
        <f t="array" ref="Q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-60</v>
      </c>
      <c r="R25" s="7" cm="1">
        <f t="array" ref="R25">SUM(IF($E$3:$E$56=E25,$Q$3:$Q$56))</f>
        <v>40.000000000000028</v>
      </c>
      <c r="S25" s="7">
        <f>INDEX(표9[],MATCH(ItemEffectTable[[#This Row],['#Grade]],표9[#Headers],0))-ItemEffectTable[[#This Row],['#총 효력가치]]</f>
        <v>9.9999999999999716</v>
      </c>
    </row>
    <row r="26" spans="2:19">
      <c r="B26" s="6"/>
      <c r="C26" s="6" t="str">
        <f>INDEX(ItemTable[Name],MATCH(ItemEffectTable[[#This Row],[Index]],ItemTable[ItemEffectDataId],0))</f>
        <v>누군가의 일기장</v>
      </c>
      <c r="D26" s="6" t="str">
        <f>INDEX(ItemTable[GradeType],MATCH(ItemEffectTable[[#This Row],[Index]],ItemTable[ItemEffectDataId],0))</f>
        <v>Cursed</v>
      </c>
      <c r="E26">
        <v>9004</v>
      </c>
      <c r="F26" t="s">
        <v>435</v>
      </c>
      <c r="G26" t="s">
        <v>242</v>
      </c>
      <c r="H2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6" s="7" t="s">
        <v>460</v>
      </c>
      <c r="J26">
        <v>0.6</v>
      </c>
      <c r="K26" t="s">
        <v>433</v>
      </c>
      <c r="L26" t="s">
        <v>432</v>
      </c>
      <c r="M2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6" s="7" cm="1">
        <f t="array" ref="N2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6" s="24"/>
      <c r="P26" s="7" cm="1">
        <f t="array" ref="P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1.6</v>
      </c>
      <c r="Q26" s="7" cm="1">
        <f t="array" ref="Q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100.00000000000003</v>
      </c>
      <c r="R26" s="7" cm="1">
        <f t="array" ref="R26">SUM(IF($E$3:$E$56=E26,$Q$3:$Q$56))</f>
        <v>40.000000000000028</v>
      </c>
      <c r="S26" s="7">
        <f>INDEX(표9[],MATCH(ItemEffectTable[[#This Row],['#Grade]],표9[#Headers],0))-ItemEffectTable[[#This Row],['#총 효력가치]]</f>
        <v>9.9999999999999716</v>
      </c>
    </row>
    <row r="27" spans="2:19">
      <c r="B27" s="6"/>
      <c r="C27" s="6" t="str">
        <f>INDEX(ItemTable[Name],MATCH(ItemEffectTable[[#This Row],[Index]],ItemTable[ItemEffectDataId],0))</f>
        <v>태양</v>
      </c>
      <c r="D27" s="6" t="str">
        <f>INDEX(ItemTable[GradeType],MATCH(ItemEffectTable[[#This Row],[Index]],ItemTable[ItemEffectDataId],0))</f>
        <v>Cursed</v>
      </c>
      <c r="E27">
        <v>9005</v>
      </c>
      <c r="F27" t="s">
        <v>435</v>
      </c>
      <c r="G27" s="18" t="s">
        <v>261</v>
      </c>
      <c r="H2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27" s="7" t="s">
        <v>456</v>
      </c>
      <c r="J27">
        <v>-1</v>
      </c>
      <c r="K27" t="s">
        <v>433</v>
      </c>
      <c r="L27" t="s">
        <v>432</v>
      </c>
      <c r="M2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7" s="7" cm="1">
        <f t="array" ref="N2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7" s="24"/>
      <c r="P27" s="7" cm="1">
        <f t="array" ref="P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Q27" s="7" cm="1">
        <f t="array" ref="Q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7" s="7" cm="1">
        <f t="array" ref="R27">SUM(IF($E$3:$E$56=E27,$Q$3:$Q$56))</f>
        <v>50</v>
      </c>
      <c r="S27" s="7">
        <f>INDEX(표9[],MATCH(ItemEffectTable[[#This Row],['#Grade]],표9[#Headers],0))-ItemEffectTable[[#This Row],['#총 효력가치]]</f>
        <v>0</v>
      </c>
    </row>
    <row r="28" spans="2:19">
      <c r="B28" s="6"/>
      <c r="C28" s="6" t="str">
        <f>INDEX(ItemTable[Name],MATCH(ItemEffectTable[[#This Row],[Index]],ItemTable[ItemEffectDataId],0))</f>
        <v>태양</v>
      </c>
      <c r="D28" s="6" t="str">
        <f>INDEX(ItemTable[GradeType],MATCH(ItemEffectTable[[#This Row],[Index]],ItemTable[ItemEffectDataId],0))</f>
        <v>Cursed</v>
      </c>
      <c r="E28">
        <v>9005</v>
      </c>
      <c r="F28" t="s">
        <v>435</v>
      </c>
      <c r="G28" s="18" t="s">
        <v>283</v>
      </c>
      <c r="H2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28" s="7" t="s">
        <v>456</v>
      </c>
      <c r="J28">
        <v>-1</v>
      </c>
      <c r="K28" t="s">
        <v>433</v>
      </c>
      <c r="L28" t="s">
        <v>432</v>
      </c>
      <c r="M2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8" s="7" cm="1">
        <f t="array" ref="N2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28" s="24"/>
      <c r="P28" s="7" cm="1">
        <f t="array" ref="P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8" s="7" cm="1">
        <f t="array" ref="Q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8" s="7" cm="1">
        <f t="array" ref="R28">SUM(IF($E$3:$E$56=E28,$Q$3:$Q$56))</f>
        <v>50</v>
      </c>
      <c r="S28" s="7">
        <f>INDEX(표9[],MATCH(ItemEffectTable[[#This Row],['#Grade]],표9[#Headers],0))-ItemEffectTable[[#This Row],['#총 효력가치]]</f>
        <v>0</v>
      </c>
    </row>
    <row r="29" spans="2:19">
      <c r="B29" s="6"/>
      <c r="C29" s="6" t="str">
        <f>INDEX(ItemTable[Name],MATCH(ItemEffectTable[[#This Row],[Index]],ItemTable[ItemEffectDataId],0))</f>
        <v>태양</v>
      </c>
      <c r="D29" s="6" t="str">
        <f>INDEX(ItemTable[GradeType],MATCH(ItemEffectTable[[#This Row],[Index]],ItemTable[ItemEffectDataId],0))</f>
        <v>Cursed</v>
      </c>
      <c r="E29">
        <v>9005</v>
      </c>
      <c r="F29" t="s">
        <v>435</v>
      </c>
      <c r="G29" t="s">
        <v>26</v>
      </c>
      <c r="H2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29" s="7" t="s">
        <v>456</v>
      </c>
      <c r="J29">
        <v>2</v>
      </c>
      <c r="K29" t="s">
        <v>434</v>
      </c>
      <c r="L29" t="s">
        <v>432</v>
      </c>
      <c r="M2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9" s="7" cm="1">
        <f t="array" ref="N2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O29" s="24"/>
      <c r="P29" s="7" cm="1">
        <f t="array" ref="P2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9" s="7" cm="1">
        <f t="array" ref="Q2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80</v>
      </c>
      <c r="R29" s="7" cm="1">
        <f t="array" ref="R29">SUM(IF($E$3:$E$56=E29,$Q$3:$Q$56))</f>
        <v>50</v>
      </c>
      <c r="S29" s="7">
        <f>INDEX(표9[],MATCH(ItemEffectTable[[#This Row],['#Grade]],표9[#Headers],0))-ItemEffectTable[[#This Row],['#총 효력가치]]</f>
        <v>0</v>
      </c>
    </row>
  </sheetData>
  <phoneticPr fontId="1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7" right="0.7" top="0.75" bottom="0.75" header="0.3" footer="0.3"/>
  <pageSetup paperSize="9" orientation="portrait" horizontalDpi="150" verticalDpi="150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65</v>
      </c>
      <c r="C1" t="s">
        <v>64</v>
      </c>
      <c r="D1" t="s">
        <v>64</v>
      </c>
      <c r="E1" t="s">
        <v>62</v>
      </c>
      <c r="F1" t="s">
        <v>61</v>
      </c>
    </row>
    <row r="2" spans="2:6">
      <c r="B2" t="s">
        <v>57</v>
      </c>
      <c r="C2" s="8" t="s">
        <v>166</v>
      </c>
      <c r="D2" s="9" t="s">
        <v>167</v>
      </c>
      <c r="E2" t="s">
        <v>164</v>
      </c>
      <c r="F2" t="s">
        <v>165</v>
      </c>
    </row>
    <row r="3" spans="2:6">
      <c r="B3">
        <v>900</v>
      </c>
      <c r="C3" s="15" t="e">
        <f>INDEX(#REF!,MATCH(ItemResourceTable[[#This Row],[Index]],ItemEffectTable[ApplyValue],0))</f>
        <v>#REF!</v>
      </c>
      <c r="D3" s="6" t="s">
        <v>264</v>
      </c>
      <c r="E3" t="s">
        <v>265</v>
      </c>
      <c r="F3" t="s">
        <v>266</v>
      </c>
    </row>
    <row r="4" spans="2:6">
      <c r="B4">
        <v>900</v>
      </c>
      <c r="C4" s="15" t="e">
        <f>INDEX(#REF!,MATCH(ItemResourceTable[[#This Row],[Index]],ItemEffectTable[ApplyValue],0))</f>
        <v>#REF!</v>
      </c>
      <c r="D4" s="6" t="s">
        <v>168</v>
      </c>
      <c r="E4" t="s">
        <v>171</v>
      </c>
      <c r="F4" t="s">
        <v>270</v>
      </c>
    </row>
    <row r="5" spans="2:6">
      <c r="B5">
        <v>901</v>
      </c>
      <c r="C5" s="15" t="e">
        <f>INDEX(#REF!,MATCH(ItemResourceTable[[#This Row],[Index]],ItemEffectTable[ApplyValue],0))</f>
        <v>#REF!</v>
      </c>
      <c r="D5" s="6" t="s">
        <v>264</v>
      </c>
      <c r="E5" t="s">
        <v>265</v>
      </c>
      <c r="F5" t="s">
        <v>272</v>
      </c>
    </row>
    <row r="6" spans="2:6">
      <c r="B6">
        <v>901</v>
      </c>
      <c r="C6" s="15" t="e">
        <f>INDEX(#REF!,MATCH(ItemResourceTable[[#This Row],[Index]],ItemEffectTable[ApplyValue],0))</f>
        <v>#REF!</v>
      </c>
      <c r="D6" s="6" t="s">
        <v>169</v>
      </c>
      <c r="E6" t="s">
        <v>172</v>
      </c>
      <c r="F6" t="s">
        <v>271</v>
      </c>
    </row>
    <row r="7" spans="2:6">
      <c r="B7">
        <v>901</v>
      </c>
      <c r="C7" s="15" t="e">
        <f>INDEX(#REF!,MATCH(ItemResourceTable[[#This Row],[Index]],ItemEffectTable[ApplyValue],0))</f>
        <v>#REF!</v>
      </c>
      <c r="D7" s="6" t="s">
        <v>267</v>
      </c>
      <c r="E7" t="s">
        <v>173</v>
      </c>
      <c r="F7" t="s">
        <v>273</v>
      </c>
    </row>
    <row r="8" spans="2:6">
      <c r="B8">
        <v>902</v>
      </c>
      <c r="C8" s="15" t="e">
        <f>INDEX(#REF!,MATCH(ItemResourceTable[[#This Row],[Index]],ItemEffectTable[ApplyValue],0))</f>
        <v>#REF!</v>
      </c>
      <c r="D8" s="6" t="s">
        <v>264</v>
      </c>
      <c r="E8" t="s">
        <v>265</v>
      </c>
      <c r="F8" t="s">
        <v>269</v>
      </c>
    </row>
    <row r="9" spans="2:6">
      <c r="B9">
        <v>902</v>
      </c>
      <c r="C9" s="15" t="e">
        <f>INDEX(#REF!,MATCH(ItemResourceTable[[#This Row],[Index]],ItemEffectTable[ApplyValue],0))</f>
        <v>#REF!</v>
      </c>
      <c r="D9" s="6" t="s">
        <v>267</v>
      </c>
      <c r="E9" t="s">
        <v>173</v>
      </c>
      <c r="F9" t="s">
        <v>268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topLeftCell="A37"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65</v>
      </c>
      <c r="B1" t="s">
        <v>61</v>
      </c>
      <c r="C1" t="s">
        <v>61</v>
      </c>
      <c r="D1" t="s">
        <v>64</v>
      </c>
    </row>
    <row r="2" spans="1:4">
      <c r="A2" t="s">
        <v>57</v>
      </c>
      <c r="B2" t="s">
        <v>94</v>
      </c>
      <c r="C2" t="s">
        <v>95</v>
      </c>
      <c r="D2" s="8" t="s">
        <v>159</v>
      </c>
    </row>
    <row r="3" spans="1:4">
      <c r="A3">
        <f>ItemTable[[#This Row],[Index]]+10000</f>
        <v>10010</v>
      </c>
      <c r="B3" t="s">
        <v>74</v>
      </c>
      <c r="C3" t="s">
        <v>96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75</v>
      </c>
      <c r="C4" t="s">
        <v>97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76</v>
      </c>
      <c r="C5" t="s">
        <v>98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77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85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86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262</v>
      </c>
      <c r="C9" t="s">
        <v>263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204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170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1</v>
      </c>
      <c r="C12" t="s">
        <v>100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120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2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121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3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4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122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5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6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123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7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8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9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10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11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12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13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14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15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124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16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17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18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19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20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21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22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23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6" spans="1:4">
      <c r="A46">
        <v>21000</v>
      </c>
      <c r="B46" t="s">
        <v>205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7" spans="1:4">
      <c r="A47">
        <v>21001</v>
      </c>
      <c r="B47" t="s">
        <v>206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8" spans="1:4">
      <c r="A48">
        <v>21002</v>
      </c>
      <c r="B48" t="s">
        <v>207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27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371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29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30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32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33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34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35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99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37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38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39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40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42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43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44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45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47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48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50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53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128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54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55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125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56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126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127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dcterms:created xsi:type="dcterms:W3CDTF">2023-03-25T04:43:38Z</dcterms:created>
  <dcterms:modified xsi:type="dcterms:W3CDTF">2023-06-04T09:32:44Z</dcterms:modified>
</cp:coreProperties>
</file>