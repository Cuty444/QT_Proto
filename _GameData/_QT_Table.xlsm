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C7F4F1E-C3F1-664F-8160-82D1C1930AD7}" xr6:coauthVersionLast="47" xr6:coauthVersionMax="47" xr10:uidLastSave="{00000000-0000-0000-0000-000000000000}"/>
  <bookViews>
    <workbookView xWindow="-30240" yWindow="2060" windowWidth="30240" windowHeight="18880" firstSheet="4" activeTab="10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9" i="10" l="1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T17" i="19" l="1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<sst xmlns="http://schemas.openxmlformats.org/spreadsheetml/2006/main" count="1954" uniqueCount="976">
  <si>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</si>
  <si>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</si>
  <si>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</si>
  <si>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</si>
  <si>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</si>
  <si>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</si>
  <si>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</si>
  <si>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</si>
  <si>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</si>
  <si>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</si>
  <si>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</si>
  <si>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</si>
  <si>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</si>
  <si>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</si>
  <si>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</si>
  <si>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</si>
  <si>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</si>
  <si>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</si>
  <si>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</si>
  <si>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</si>
  <si>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</si>
  <si>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</si>
  <si>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</si>
  <si>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</si>
  <si>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</si>
  <si>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</si>
  <si>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</si>
  <si>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</si>
  <si>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</si>
  <si>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</si>
  <si>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</si>
  <si>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</si>
  <si>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</si>
  <si>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</si>
  <si>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</si>
  <si>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</si>
  <si>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</si>
  <si>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</si>
  <si>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</si>
  <si>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</si>
  <si>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</si>
  <si>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</si>
  <si>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</si>
  <si>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</si>
  <si>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</si>
  <si>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</si>
  <si>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</si>
  <si>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</si>
  <si>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</si>
  <si>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</si>
  <si>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</si>
  <si>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</si>
  <si>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</si>
  <si>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</si>
  <si>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</si>
  <si>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</si>
  <si>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</si>
  <si>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</si>
  <si>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</si>
  <si>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</si>
  <si>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</si>
  <si>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</si>
  <si>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</si>
  <si>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</si>
  <si>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</si>
  <si>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</si>
  <si>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</si>
  <si>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</si>
  <si>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</si>
  <si>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</si>
  <si>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</si>
  <si>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</si>
  <si>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</si>
  <si>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</si>
  <si>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</si>
  <si>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</si>
  <si>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</si>
  <si>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</si>
  <si>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</si>
  <si>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</si>
  <si>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</si>
  <si>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</si>
  <si>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</si>
  <si>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</si>
  <si>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</si>
  <si>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</si>
  <si>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</si>
  <si>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</si>
  <si>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</si>
  <si>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</si>
  <si>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</si>
  <si>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</si>
  <si>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</si>
  <si>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</si>
  <si>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</si>
  <si>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</si>
  <si>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</si>
  <si>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</si>
  <si>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</si>
  <si>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</si>
  <si>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</si>
  <si>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</si>
  <si>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</si>
  <si>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</si>
  <si>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</si>
  <si>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</si>
  <si>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</si>
  <si>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</si>
  <si>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</si>
  <si>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</si>
  <si>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</si>
  <si>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</si>
  <si>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</si>
  <si>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</si>
  <si>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</si>
  <si>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</si>
  <si>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</si>
  <si>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</si>
  <si>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</si>
  <si>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</si>
  <si>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</si>
  <si>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</si>
  <si>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</si>
  <si>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</si>
  <si>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</si>
  <si>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</si>
  <si>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</si>
  <si>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</si>
  <si>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</si>
  <si>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</si>
  <si>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</si>
  <si>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</si>
  <si>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</si>
  <si>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</si>
  <si>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</si>
  <si>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</si>
  <si>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</si>
  <si>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</si>
  <si>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</si>
  <si>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</si>
  <si>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</si>
  <si>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</si>
  <si>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</si>
  <si>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</si>
  <si>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</si>
  <si>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</si>
  <si>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</si>
  <si>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</si>
  <si>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</si>
  <si>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</si>
  <si>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</si>
  <si>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</si>
  <si>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</si>
  <si>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</si>
  <si>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</si>
  <si>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</si>
  <si>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</si>
  <si>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</si>
  <si>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</si>
  <si>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</si>
  <si>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</si>
  <si>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</si>
  <si>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</si>
  <si>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</si>
  <si>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</si>
  <si>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</si>
  <si>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</si>
  <si>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</si>
  <si>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</si>
  <si>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</si>
  <si>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</si>
  <si>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</si>
  <si>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</si>
  <si>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</si>
  <si>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</si>
  <si>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</si>
  <si>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</si>
  <si>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</si>
  <si>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</si>
  <si>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</si>
  <si>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</si>
  <si>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</si>
  <si>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</si>
  <si>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</si>
  <si>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</si>
  <si>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</si>
  <si>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</si>
  <si>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</si>
  <si>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</si>
  <si>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</si>
  <si>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</si>
  <si>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</si>
  <si>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</si>
  <si>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</si>
  <si>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</si>
  <si>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</si>
  <si>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</si>
  <si>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</si>
  <si>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</si>
  <si>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</si>
  <si>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</si>
  <si>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</si>
  <si>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</si>
  <si>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</si>
  <si>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</si>
  <si>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</si>
  <si>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</si>
  <si>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</si>
  <si>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</si>
  <si>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</si>
  <si>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</si>
  <si>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</si>
  <si>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</si>
  <si>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</si>
  <si>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</si>
  <si>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</si>
  <si>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</si>
  <si>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</si>
  <si>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</si>
  <si>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</si>
  <si>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</si>
  <si>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</si>
  <si>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</si>
  <si>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</si>
  <si>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</si>
  <si>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</si>
  <si>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</si>
  <si>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</si>
  <si>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</si>
  <si>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</si>
  <si>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</si>
  <si>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</si>
  <si>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</si>
  <si>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</si>
  <si>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</si>
  <si>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</si>
  <si>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</si>
  <si>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</si>
  <si>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</si>
  <si>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</si>
  <si>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</si>
  <si>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</si>
  <si>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</si>
  <si>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</si>
  <si>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</si>
  <si>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</si>
  <si>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</si>
  <si>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</si>
  <si>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</si>
  <si>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</si>
  <si>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</si>
  <si>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</si>
  <si>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</si>
  <si>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</si>
  <si>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</si>
  <si>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</si>
  <si>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</si>
  <si>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</si>
  <si>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</si>
  <si>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</si>
  <si>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</si>
  <si>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</si>
  <si>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</si>
  <si>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</si>
  <si>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</si>
  <si>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</si>
  <si>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</si>
  <si>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</si>
  <si>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</si>
  <si>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</si>
  <si>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</si>
  <si>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</si>
  <si>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</si>
  <si>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</si>
  <si>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</si>
  <si>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</si>
  <si>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</si>
  <si>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</si>
  <si>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</si>
  <si>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</si>
  <si>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</si>
  <si>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</si>
  <si>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</si>
  <si>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</si>
  <si>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</si>
  <si>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</si>
  <si>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</si>
  <si>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</si>
  <si>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</si>
  <si>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</si>
  <si>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</si>
  <si>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</si>
  <si>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</si>
  <si>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</si>
  <si>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</si>
  <si>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</si>
  <si>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</si>
  <si>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</si>
  <si>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</si>
  <si>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</si>
  <si>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</si>
  <si>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</si>
  <si>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</si>
  <si>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</si>
  <si>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</si>
  <si>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</si>
  <si>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</si>
  <si>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</si>
  <si>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</si>
  <si>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</si>
  <si>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</si>
  <si>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</si>
  <si>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</si>
  <si>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</si>
  <si>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</si>
  <si>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</si>
  <si>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</si>
  <si>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</si>
  <si>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</si>
  <si>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</si>
  <si>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</si>
  <si>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</si>
  <si>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</si>
  <si>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</si>
  <si>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</si>
  <si>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</si>
  <si>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</si>
  <si>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</si>
  <si>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</si>
  <si>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</si>
  <si>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</si>
  <si>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</si>
  <si>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</si>
  <si>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</si>
  <si>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</si>
  <si>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</si>
  <si>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</si>
  <si>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</si>
  <si>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</si>
  <si>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</si>
  <si>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</si>
  <si>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</si>
  <si>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</si>
  <si>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</si>
  <si>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</si>
  <si>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</si>
  <si>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</si>
  <si>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</si>
  <si>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</si>
  <si>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</si>
  <si>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</si>
  <si>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</si>
  <si>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</si>
  <si>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</si>
  <si>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</si>
  <si>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</si>
  <si>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</si>
  <si>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</si>
  <si>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</si>
  <si>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</si>
  <si>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</si>
  <si>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</si>
  <si>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</si>
  <si>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</si>
  <si>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</si>
  <si>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</si>
  <si>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</si>
  <si>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</si>
  <si>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</si>
  <si>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</si>
  <si>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</si>
  <si>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</si>
  <si>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</si>
  <si>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</si>
  <si>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</si>
  <si>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</si>
  <si>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</si>
  <si>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</si>
  <si>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</si>
  <si>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</si>
  <si>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</si>
  <si>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</si>
  <si>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</si>
  <si>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</si>
  <si>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</si>
  <si>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</si>
  <si>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</si>
  <si>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</si>
  <si>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</si>
  <si>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</si>
  <si>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</si>
  <si>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</si>
  <si>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</si>
  <si>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</si>
  <si>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</si>
  <si>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</si>
  <si>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</si>
  <si>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</si>
  <si>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</si>
  <si>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</si>
  <si>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</si>
  <si>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</si>
  <si>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</si>
  <si>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</si>
  <si>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</si>
  <si>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</si>
  <si>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</si>
  <si>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</si>
  <si>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</si>
  <si>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</si>
  <si>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</si>
  <si>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</si>
  <si>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</si>
  <si>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</si>
  <si>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</si>
  <si>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</si>
  <si>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</si>
  <si>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</si>
  <si>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</si>
  <si>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</si>
  <si>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</si>
  <si>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</si>
  <si>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</si>
  <si>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</si>
  <si>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</si>
  <si>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</si>
  <si>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</si>
  <si>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</si>
  <si>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</si>
  <si>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</si>
  <si>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</si>
  <si>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</si>
  <si>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</si>
  <si>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</si>
  <si>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</si>
  <si>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</si>
  <si>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</si>
  <si>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</si>
  <si>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</si>
  <si>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</si>
  <si>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</si>
  <si>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</si>
  <si>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</si>
  <si>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</si>
  <si>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</si>
  <si>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</si>
  <si>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</si>
  <si>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</si>
  <si>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</si>
  <si>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</si>
  <si>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</si>
  <si>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</si>
  <si>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</si>
  <si>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</si>
  <si>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</si>
  <si>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</si>
  <si>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</si>
  <si>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</si>
  <si>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</si>
  <si>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</si>
  <si>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</si>
  <si>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</si>
  <si>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</si>
  <si>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</si>
  <si>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</si>
  <si>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</si>
  <si>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</si>
  <si>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</si>
  <si>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</si>
  <si>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</si>
  <si>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</si>
  <si>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</si>
  <si>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</si>
  <si>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</si>
  <si>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</si>
  <si>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</si>
  <si>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</si>
  <si>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</si>
  <si>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</si>
  <si>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</si>
  <si>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</si>
  <si>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</si>
  <si>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</si>
  <si>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</si>
  <si>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</si>
  <si>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</si>
  <si>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</si>
  <si>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</si>
  <si>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</si>
  <si>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</si>
  <si>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</si>
  <si>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</si>
  <si>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</si>
  <si>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</si>
  <si>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</si>
  <si>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</si>
  <si>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</si>
  <si>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</si>
  <si>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</si>
  <si>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</si>
  <si>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</si>
  <si>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</si>
  <si>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</si>
  <si>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</si>
  <si>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</si>
  <si>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</si>
  <si>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</si>
  <si>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</si>
  <si>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</si>
  <si>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</si>
  <si>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</si>
  <si>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</si>
  <si>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</si>
  <si>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</si>
  <si>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</si>
  <si>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</si>
  <si>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</si>
  <si>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</si>
  <si>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</si>
  <si>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</si>
  <si>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</si>
  <si>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</si>
  <si>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</si>
  <si>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</si>
  <si>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</si>
  <si>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</si>
  <si>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</si>
  <si>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</si>
  <si>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</si>
  <si>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</si>
  <si>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</si>
  <si>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</si>
  <si>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</si>
  <si>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</si>
  <si>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</si>
  <si>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</si>
  <si>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</si>
  <si>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</si>
  <si>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</si>
  <si>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</si>
  <si>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</si>
  <si>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</si>
  <si>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</si>
  <si>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</si>
  <si>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</si>
  <si>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</si>
  <si>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</si>
  <si>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</si>
  <si>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</si>
  <si>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</si>
  <si>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</si>
  <si>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</si>
  <si>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</si>
  <si>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</si>
  <si>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</si>
  <si>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</si>
  <si>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</si>
  <si>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</si>
  <si>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</si>
  <si>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</si>
  <si>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</si>
  <si>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</si>
  <si>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</si>
  <si>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</si>
  <si>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</si>
  <si>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</si>
  <si>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</si>
  <si>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</si>
  <si>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</si>
  <si>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</si>
  <si>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</si>
  <si>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</si>
  <si>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</si>
  <si>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</si>
  <si>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</si>
  <si>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</si>
  <si>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</si>
  <si>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</si>
  <si>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</si>
  <si>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</si>
  <si>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</si>
  <si>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</si>
  <si>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</si>
  <si>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</si>
  <si>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</si>
  <si>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</si>
  <si>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</si>
  <si>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</si>
  <si>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</si>
  <si>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</si>
  <si>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</si>
  <si>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</si>
  <si>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</si>
  <si>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</si>
  <si>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</si>
  <si>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</si>
  <si>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</si>
  <si>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</si>
  <si>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</si>
  <si>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</si>
  <si>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</si>
  <si>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</si>
  <si>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</si>
  <si>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</si>
  <si>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</si>
  <si>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</si>
  <si>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</si>
  <si>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</si>
  <si>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</si>
  <si>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</si>
  <si>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</si>
  <si>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</si>
  <si>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</si>
  <si>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</si>
  <si>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</si>
  <si>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</si>
  <si>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</si>
  <si>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</si>
  <si>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</si>
  <si>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</si>
  <si>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</si>
  <si>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</si>
  <si>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</si>
  <si>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</si>
  <si>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</si>
  <si>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</si>
  <si>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</si>
  <si>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</si>
  <si>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</si>
  <si>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</si>
  <si>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</si>
  <si>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</si>
  <si>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</si>
  <si>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</si>
  <si>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</si>
  <si>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</si>
  <si>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</si>
  <si>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</si>
  <si>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</si>
  <si>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</si>
  <si>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</si>
  <si>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</si>
  <si>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</si>
  <si>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</si>
  <si>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</si>
  <si>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</si>
  <si>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</si>
  <si>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</si>
  <si>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</si>
  <si>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</si>
  <si>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</si>
  <si>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</si>
  <si>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</si>
  <si>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</si>
  <si>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</si>
  <si>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</si>
  <si>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</si>
  <si>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</si>
  <si>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</si>
  <si>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</si>
  <si>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</si>
  <si>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</si>
  <si>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</si>
  <si>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</si>
  <si>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</si>
  <si>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</si>
  <si>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</si>
  <si>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</si>
  <si>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</si>
  <si>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</si>
  <si>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</si>
  <si>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</si>
  <si>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</si>
  <si>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</si>
  <si>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</si>
  <si>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</si>
  <si>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</si>
  <si>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</si>
  <si>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</si>
  <si>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</si>
  <si>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</si>
  <si>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</si>
  <si>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</si>
  <si>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</si>
  <si>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</si>
  <si>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</si>
  <si>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</si>
  <si>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</si>
  <si>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</si>
  <si>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</si>
  <si>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</si>
  <si>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</si>
  <si>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</si>
  <si>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</si>
  <si>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</si>
  <si>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</si>
  <si>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</si>
  <si>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</si>
  <si>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</si>
  <si>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</si>
  <si>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</si>
  <si>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</si>
  <si>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</si>
  <si>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</si>
  <si>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</si>
  <si>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</si>
  <si>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</si>
  <si>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</si>
  <si>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</si>
  <si>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</si>
  <si>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</si>
  <si>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</si>
  <si>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</si>
  <si>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</si>
  <si>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</si>
  <si>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</si>
  <si>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</si>
  <si>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</si>
  <si>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</si>
  <si>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</si>
  <si>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</si>
  <si>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</si>
  <si>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</si>
  <si>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</si>
  <si>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</si>
  <si>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</si>
  <si>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</si>
  <si>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</si>
  <si>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</si>
  <si>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</si>
  <si>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</si>
  <si>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</si>
  <si>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</si>
  <si>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</si>
  <si>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</si>
  <si>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</si>
  <si>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</si>
  <si>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</si>
  <si>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</si>
  <si>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</si>
  <si>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</si>
  <si>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</si>
  <si>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</si>
  <si>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</si>
  <si>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</si>
  <si>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</si>
  <si>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</si>
  <si>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</si>
  <si>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</si>
  <si>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</si>
  <si>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</si>
  <si>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</si>
  <si>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</si>
  <si>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</si>
  <si>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</si>
  <si>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</si>
  <si>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</si>
  <si>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</si>
  <si>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</si>
  <si>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</si>
  <si>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</si>
  <si>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</si>
  <si>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</si>
  <si>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</si>
  <si>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</si>
  <si>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</si>
  <si>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</si>
  <si>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</si>
  <si>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</si>
  <si>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</si>
  <si>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</si>
  <si>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</si>
  <si>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</si>
  <si>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</si>
  <si>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</si>
  <si>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</si>
  <si>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</si>
  <si>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</si>
  <si>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</si>
  <si>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</si>
  <si>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</si>
  <si>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</si>
  <si>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</si>
  <si>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</si>
  <si>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</si>
  <si>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</si>
  <si>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</si>
  <si>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</si>
  <si>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</si>
  <si>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</si>
  <si>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</si>
  <si>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</si>
  <si>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</si>
  <si>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</si>
  <si>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</si>
  <si>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</si>
  <si>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</si>
  <si>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</si>
  <si>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</si>
  <si>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</si>
  <si>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</si>
  <si>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</si>
  <si>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</si>
  <si>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</si>
  <si>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</si>
  <si>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</si>
  <si>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</si>
  <si>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</si>
  <si>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</si>
  <si>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</si>
  <si>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</si>
  <si>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</si>
  <si>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</si>
  <si>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</si>
  <si>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</si>
  <si>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</si>
  <si>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</si>
  <si>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</si>
  <si>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</si>
  <si>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</si>
  <si>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</si>
  <si>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</si>
  <si>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</si>
  <si>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</si>
  <si>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</si>
  <si>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</si>
  <si>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</si>
  <si>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</si>
  <si>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</si>
  <si>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</si>
  <si>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</si>
  <si>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</si>
  <si>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</si>
  <si>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</si>
  <si>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</si>
  <si>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</si>
  <si>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</si>
  <si>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</si>
  <si>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</si>
  <si>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</si>
  <si>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</si>
  <si>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</si>
  <si>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</si>
  <si>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</si>
  <si>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</si>
  <si>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</si>
  <si>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</si>
  <si>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</si>
  <si>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</si>
  <si>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</si>
  <si>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</si>
  <si>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</si>
  <si>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</si>
  <si>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</si>
  <si>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</si>
  <si>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</si>
  <si>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</si>
  <si>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</si>
  <si>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</si>
  <si>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</si>
  <si>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</si>
  <si>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</si>
  <si>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</si>
  <si>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</si>
  <si>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</si>
  <si>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</si>
  <si>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</si>
  <si>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</si>
  <si>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</si>
  <si>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</si>
  <si>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</si>
  <si>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</si>
  <si>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</si>
  <si>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</si>
  <si>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</si>
  <si>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</si>
  <si>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</si>
  <si>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</si>
  <si>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</si>
  <si>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</si>
  <si>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</si>
  <si>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</si>
  <si>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</si>
  <si>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</si>
  <si>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</si>
  <si>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</si>
  <si>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</si>
  <si>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</si>
  <si>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</si>
  <si>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</si>
  <si>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</si>
  <si>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</si>
  <si>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</si>
  <si>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</si>
  <si>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</si>
  <si>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</si>
  <si>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</si>
  <si>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</si>
  <si>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</si>
  <si>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</si>
  <si>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</si>
  <si>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</si>
  <si>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</si>
  <si>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</si>
  <si>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</si>
  <si>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</si>
  <si>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</si>
  <si>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</si>
  <si>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</si>
  <si>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</si>
  <si>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</si>
  <si>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</si>
  <si>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</si>
  <si>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</si>
  <si>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</si>
  <si>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</si>
  <si>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</si>
  <si>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</si>
  <si>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</si>
  <si>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</si>
  <si>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</si>
  <si>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</si>
  <si>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</si>
  <si>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</si>
  <si>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</si>
  <si>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</si>
  <si>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</si>
  <si>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</si>
  <si>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</si>
  <si>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</si>
  <si>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</si>
  <si>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</si>
  <si>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</si>
  <si>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</si>
  <si>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</si>
  <si>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</si>
  <si>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</si>
  <si>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</si>
  <si>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</si>
  <si>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</si>
  <si>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</si>
  <si>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</si>
  <si>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</si>
  <si>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</si>
  <si>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</si>
  <si>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</si>
  <si>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</si>
  <si>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</si>
  <si>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</si>
  <si>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</si>
  <si>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</si>
  <si>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</si>
  <si>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</si>
  <si>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</si>
  <si>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</si>
  <si>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</si>
  <si>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</si>
  <si>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</si>
  <si>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</si>
  <si>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</si>
  <si>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</si>
  <si>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</si>
  <si>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</si>
  <si>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</si>
  <si>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</si>
  <si>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</si>
  <si>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</si>
  <si>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</si>
  <si>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</si>
  <si>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</si>
  <si>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</si>
  <si>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</si>
  <si>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새디 공</t>
    <phoneticPr fontId="6" type="noConversion"/>
  </si>
  <si>
    <t>새디 공 던지기</t>
    <phoneticPr fontId="6" type="noConversion"/>
  </si>
  <si>
    <t>Prefabs/SaddyProjectile.prefab</t>
    <phoneticPr fontId="6" type="noConversion"/>
  </si>
  <si>
    <t>새디 던지기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</si>
</sst>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18" fillId="0" borderId="0" xfId="0" applyNumberFormat="1" applyFont="1">
      <alignment vertical="center"/>
    </xf>
    <xf numFmtId="0" fontId="8" fillId="0" borderId="0" xfId="0" applyNumberFormat="1" applyFont="1" applyFill="1">
      <alignment vertical="center"/>
    </xf>
    <xf numFmtId="0" fontId="8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5" totalsRowShown="0">
  <autoFilter ref="B2:G185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5" totalsRowShown="0" headerRowDxfId="70">
  <autoFilter ref="B2:G15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303</v>
      </c>
      <c r="K5" s="2"/>
      <c r="O5" s="31" t="s">
        <v>632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608</v>
      </c>
      <c r="K6" s="11" t="s">
        <v>302</v>
      </c>
      <c r="L6" s="11" t="s">
        <v>299</v>
      </c>
      <c r="M6" s="11" t="s">
        <v>300</v>
      </c>
      <c r="O6" s="16" t="s">
        <v>394</v>
      </c>
      <c r="P6" s="16" t="s">
        <v>302</v>
      </c>
      <c r="Q6" s="16" t="s">
        <v>299</v>
      </c>
      <c r="R6" s="16" t="s">
        <v>300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304</v>
      </c>
      <c r="K7">
        <v>0</v>
      </c>
      <c r="L7">
        <v>4</v>
      </c>
      <c r="M7">
        <v>7</v>
      </c>
      <c r="O7" s="16" t="s">
        <v>396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305</v>
      </c>
      <c r="K8">
        <v>0</v>
      </c>
      <c r="L8">
        <v>6</v>
      </c>
      <c r="M8">
        <v>12</v>
      </c>
      <c r="O8" s="16" t="s">
        <v>397</v>
      </c>
      <c r="P8">
        <v>20</v>
      </c>
      <c r="Q8">
        <v>80</v>
      </c>
      <c r="R8">
        <v>150</v>
      </c>
    </row>
    <row r="9" spans="2:18">
      <c r="J9" t="s">
        <v>306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399</v>
      </c>
      <c r="P9">
        <v>20</v>
      </c>
      <c r="Q9">
        <v>80</v>
      </c>
      <c r="R9">
        <v>150</v>
      </c>
    </row>
    <row r="11" spans="2:18">
      <c r="B11" s="2" t="s">
        <v>625</v>
      </c>
      <c r="C11" s="2"/>
      <c r="D11" s="2"/>
      <c r="J11" s="2" t="s">
        <v>395</v>
      </c>
    </row>
    <row r="12" spans="2:18">
      <c r="B12" s="11" t="s">
        <v>394</v>
      </c>
      <c r="C12" s="11" t="s">
        <v>301</v>
      </c>
      <c r="D12" s="11" t="s">
        <v>302</v>
      </c>
      <c r="E12" s="11" t="s">
        <v>299</v>
      </c>
      <c r="F12" s="11" t="s">
        <v>300</v>
      </c>
      <c r="G12" s="11" t="s">
        <v>401</v>
      </c>
      <c r="H12" s="16"/>
      <c r="J12" s="11" t="s">
        <v>394</v>
      </c>
      <c r="K12" s="11" t="s">
        <v>400</v>
      </c>
      <c r="L12" s="11" t="s">
        <v>606</v>
      </c>
      <c r="M12" s="11" t="s">
        <v>607</v>
      </c>
    </row>
    <row r="13" spans="2:18">
      <c r="B13" s="11" t="s">
        <v>396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402</v>
      </c>
      <c r="P13" s="11">
        <f>FloorInfo[[#Totals],[층 완료 획득 골드]]/30</f>
        <v>19.716666666666665</v>
      </c>
    </row>
    <row r="14" spans="2:18">
      <c r="B14" s="11" t="s">
        <v>397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403</v>
      </c>
      <c r="P14" s="11">
        <f>FloorInfo[[#Totals],[층 완료 획득 골드]]/50</f>
        <v>11.83</v>
      </c>
    </row>
    <row r="15" spans="2:18">
      <c r="B15" s="11" t="s">
        <v>398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399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623</v>
      </c>
      <c r="K18" s="5"/>
    </row>
    <row r="19" spans="2:17">
      <c r="B19" s="11"/>
      <c r="J19" s="16" t="s">
        <v>394</v>
      </c>
      <c r="K19" s="16" t="s">
        <v>628</v>
      </c>
      <c r="L19" s="16" t="s">
        <v>627</v>
      </c>
      <c r="M19" s="16" t="s">
        <v>629</v>
      </c>
      <c r="N19" s="16" t="s">
        <v>626</v>
      </c>
      <c r="O19" s="16" t="s">
        <v>630</v>
      </c>
      <c r="P19" s="16" t="s">
        <v>631</v>
      </c>
      <c r="Q19" s="16" t="s">
        <v>624</v>
      </c>
    </row>
    <row r="20" spans="2:17">
      <c r="B20" s="11"/>
      <c r="J20" s="16" t="s">
        <v>396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399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687</v>
      </c>
      <c r="C5" s="8" t="s">
        <v>688</v>
      </c>
      <c r="H5" s="2" t="s">
        <v>633</v>
      </c>
      <c r="N5" s="2" t="s">
        <v>59</v>
      </c>
    </row>
    <row r="6" spans="1:17">
      <c r="B6" s="11" t="s">
        <v>696</v>
      </c>
      <c r="C6" s="11" t="s">
        <v>697</v>
      </c>
      <c r="D6" s="11" t="s">
        <v>770</v>
      </c>
      <c r="H6" t="s">
        <v>23</v>
      </c>
      <c r="I6" t="s">
        <v>210</v>
      </c>
      <c r="J6" t="s">
        <v>177</v>
      </c>
      <c r="N6" t="s">
        <v>55</v>
      </c>
      <c r="O6" s="11" t="s">
        <v>307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399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698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685</v>
      </c>
      <c r="H11" s="61" t="s">
        <v>605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679</v>
      </c>
      <c r="I12" s="11" t="s">
        <v>680</v>
      </c>
      <c r="J12" s="11" t="s">
        <v>681</v>
      </c>
      <c r="K12" t="s">
        <v>673</v>
      </c>
      <c r="L12" t="s">
        <v>674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804</v>
      </c>
      <c r="I15" t="s">
        <v>675</v>
      </c>
      <c r="J15" t="s">
        <v>676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355</v>
      </c>
      <c r="C17" s="9" t="s">
        <v>151</v>
      </c>
      <c r="D17" s="11" t="s">
        <v>662</v>
      </c>
      <c r="E17" s="14">
        <f>50/0.8</f>
        <v>62.5</v>
      </c>
      <c r="F17" s="66">
        <v>0</v>
      </c>
    </row>
    <row r="18" spans="1:15" ht="18">
      <c r="A18" s="9"/>
      <c r="B18" s="63" t="s">
        <v>664</v>
      </c>
      <c r="C18" s="9" t="s">
        <v>151</v>
      </c>
      <c r="D18" s="11" t="s">
        <v>665</v>
      </c>
      <c r="E18" s="19">
        <v>100</v>
      </c>
      <c r="F18" s="66">
        <v>0</v>
      </c>
      <c r="H18" t="s">
        <v>677</v>
      </c>
      <c r="I18" t="s">
        <v>678</v>
      </c>
      <c r="J18" s="11" t="s">
        <v>686</v>
      </c>
    </row>
    <row r="19" spans="1:15" ht="18">
      <c r="A19" s="9"/>
      <c r="B19" t="s">
        <v>143</v>
      </c>
      <c r="C19" s="9" t="s">
        <v>140</v>
      </c>
      <c r="D19" s="11" t="s">
        <v>666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683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667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377</v>
      </c>
      <c r="C27" s="9" t="s">
        <v>10</v>
      </c>
      <c r="D27" s="11" t="s">
        <v>668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408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232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759</v>
      </c>
    </row>
    <row r="43" spans="1:6">
      <c r="B43" s="11" t="s">
        <v>769</v>
      </c>
      <c r="C43" s="11" t="s">
        <v>771</v>
      </c>
      <c r="D43" s="11" t="s">
        <v>772</v>
      </c>
      <c r="E43" s="11" t="s">
        <v>759</v>
      </c>
      <c r="F43" s="11" t="s">
        <v>685</v>
      </c>
    </row>
    <row r="44" spans="1:6" ht="18">
      <c r="B44" s="9" t="s">
        <v>760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759</v>
      </c>
    </row>
    <row r="55" spans="2:6">
      <c r="B55" s="11" t="s">
        <v>786</v>
      </c>
      <c r="C55" t="s">
        <v>788</v>
      </c>
      <c r="D55" s="11" t="s">
        <v>789</v>
      </c>
      <c r="E55" s="11" t="s">
        <v>787</v>
      </c>
      <c r="F55" s="11" t="s">
        <v>685</v>
      </c>
    </row>
    <row r="56" spans="2:6">
      <c r="B56" s="16" t="s">
        <v>444</v>
      </c>
      <c r="E56" s="19" cm="1">
        <f t="array" ref="E56">밸런스시트31[체력 상승량]</f>
        <v>1.2</v>
      </c>
    </row>
    <row r="57" spans="2:6">
      <c r="B57" s="16" t="s">
        <v>359</v>
      </c>
      <c r="E57" s="19"/>
    </row>
    <row r="58" spans="2:6">
      <c r="B58" s="16" t="s">
        <v>346</v>
      </c>
      <c r="E58" s="19"/>
    </row>
    <row r="59" spans="2:6">
      <c r="B59" s="48" t="s">
        <v>471</v>
      </c>
      <c r="E59" s="57">
        <v>1</v>
      </c>
    </row>
    <row r="60" spans="2:6">
      <c r="B60" s="16" t="s">
        <v>331</v>
      </c>
      <c r="E60" s="19"/>
    </row>
    <row r="61" spans="2:6">
      <c r="B61" s="16" t="s">
        <v>352</v>
      </c>
      <c r="E61" s="19"/>
    </row>
    <row r="62" spans="2:6">
      <c r="B62" s="16" t="s">
        <v>347</v>
      </c>
      <c r="E62" s="19"/>
    </row>
    <row r="63" spans="2:6">
      <c r="B63" s="16" t="s">
        <v>357</v>
      </c>
      <c r="E63" s="19"/>
    </row>
    <row r="64" spans="2:6">
      <c r="B64" s="20" t="s">
        <v>460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231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230</v>
      </c>
      <c r="C9">
        <v>10</v>
      </c>
      <c r="D9" s="4" t="s">
        <v>229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377</v>
      </c>
      <c r="H2" t="s">
        <v>5</v>
      </c>
      <c r="I2" s="16" t="s">
        <v>355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356</v>
      </c>
      <c r="E2" s="6" t="s">
        <v>199</v>
      </c>
      <c r="F2" s="37" t="s">
        <v>470</v>
      </c>
      <c r="G2" s="6" t="s">
        <v>217</v>
      </c>
      <c r="H2" s="6" t="s">
        <v>114</v>
      </c>
      <c r="I2" s="33" t="s">
        <v>423</v>
      </c>
      <c r="J2" s="37" t="s">
        <v>415</v>
      </c>
      <c r="K2" s="6" t="s">
        <v>16</v>
      </c>
      <c r="L2" s="7" t="s">
        <v>139</v>
      </c>
      <c r="M2" s="7" t="s">
        <v>145</v>
      </c>
      <c r="N2" s="38" t="s">
        <v>421</v>
      </c>
      <c r="O2" s="28" t="s">
        <v>422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399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360</v>
      </c>
      <c r="H2" t="s">
        <v>27</v>
      </c>
      <c r="I2" t="s">
        <v>52</v>
      </c>
    </row>
    <row r="3" spans="1:11">
      <c r="B3" s="23">
        <v>9001</v>
      </c>
      <c r="C3" s="25" t="s">
        <v>316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247</v>
      </c>
      <c r="B6">
        <v>9100</v>
      </c>
      <c r="C6" s="13" t="s">
        <v>313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zoomScaleNormal="75" zoomScaleSheetLayoutView="100" workbookViewId="0">
      <selection activeCell="I16" sqref="I16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335</v>
      </c>
      <c r="D1" s="11" t="s">
        <v>247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319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334</v>
      </c>
      <c r="D2" s="12" t="s">
        <v>247</v>
      </c>
      <c r="E2" t="s">
        <v>71</v>
      </c>
      <c r="F2" s="16" t="s">
        <v>311</v>
      </c>
      <c r="G2" t="s">
        <v>183</v>
      </c>
      <c r="H2" t="s">
        <v>185</v>
      </c>
      <c r="I2" s="16" t="s">
        <v>339</v>
      </c>
      <c r="J2" t="s">
        <v>0</v>
      </c>
      <c r="K2" s="16" t="s">
        <v>320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248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435</v>
      </c>
      <c r="D4" s="13" t="s">
        <v>250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349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436</v>
      </c>
      <c r="D5" s="13" t="s">
        <v>251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437</v>
      </c>
      <c r="D6" s="13" t="s">
        <v>270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428</v>
      </c>
      <c r="C7" s="21" t="s">
        <v>149</v>
      </c>
      <c r="D7" s="21" t="s">
        <v>274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429</v>
      </c>
      <c r="C8" s="21" t="s">
        <v>150</v>
      </c>
      <c r="D8" s="21" t="s">
        <v>274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438</v>
      </c>
      <c r="D9" s="13" t="s">
        <v>273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439</v>
      </c>
      <c r="D10" s="13" t="s">
        <v>276</v>
      </c>
      <c r="E10">
        <f>표14[적 기준 체력]*EnemyGameData[[#This Row],['#기준 적 체력 비율]]</f>
        <v>80</v>
      </c>
      <c r="F10">
        <v>50</v>
      </c>
      <c r="G10" t="s">
        <v>192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134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433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440</v>
      </c>
      <c r="D11" s="13" t="s">
        <v>249</v>
      </c>
      <c r="E11">
        <f>표14[적 기준 체력]*EnemyGameData[[#This Row],['#기준 적 체력 비율]]</f>
        <v>140</v>
      </c>
      <c r="F11">
        <v>50</v>
      </c>
      <c r="G11" s="16" t="s">
        <v>420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134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434</v>
      </c>
      <c r="U11">
        <v>1.4</v>
      </c>
      <c r="V11">
        <v>7</v>
      </c>
    </row>
    <row r="12" spans="2:22">
      <c r="B12" s="39">
        <v>551</v>
      </c>
      <c r="C12" s="40" t="s">
        <v>441</v>
      </c>
      <c r="D12" s="40" t="s">
        <v>252</v>
      </c>
      <c r="E12" s="39">
        <f>표14[적 기준 체력]*EnemyGameData[[#This Row],['#기준 적 체력 비율]]</f>
        <v>160</v>
      </c>
      <c r="F12">
        <v>16</v>
      </c>
      <c r="G12" s="39" t="s">
        <v>66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67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426</v>
      </c>
      <c r="U12" s="39">
        <v>1.6</v>
      </c>
      <c r="V12" s="39">
        <v>7</v>
      </c>
    </row>
    <row r="13" spans="2:22">
      <c r="B13">
        <v>552</v>
      </c>
      <c r="C13" s="13" t="s">
        <v>442</v>
      </c>
      <c r="D13" s="13" t="s">
        <v>271</v>
      </c>
      <c r="E13">
        <f>표14[적 기준 체력]*EnemyGameData[[#This Row],['#기준 적 체력 비율]]</f>
        <v>140</v>
      </c>
      <c r="F13">
        <v>16</v>
      </c>
      <c r="G13" t="s">
        <v>192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67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432</v>
      </c>
      <c r="U13">
        <v>1.4</v>
      </c>
      <c r="V13">
        <v>7</v>
      </c>
    </row>
    <row r="14" spans="2:22">
      <c r="B14">
        <v>553</v>
      </c>
      <c r="C14" s="14" t="s">
        <v>443</v>
      </c>
      <c r="D14" s="13" t="s">
        <v>272</v>
      </c>
      <c r="E14">
        <f>표14[적 기준 체력]*EnemyGameData[[#This Row],['#기준 적 체력 비율]]</f>
        <v>160</v>
      </c>
      <c r="F14">
        <v>16</v>
      </c>
      <c r="G14" t="s">
        <v>192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67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431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424</v>
      </c>
      <c r="C15" s="22" t="s">
        <v>275</v>
      </c>
      <c r="D15" s="21" t="s">
        <v>274</v>
      </c>
      <c r="E15" s="20">
        <f>표14[적 기준 체력]*EnemyGameData[[#This Row],['#기준 적 체력 비율]]</f>
        <v>20</v>
      </c>
      <c r="F15">
        <v>16</v>
      </c>
      <c r="G15" s="20" t="s">
        <v>66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40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332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969</v>
      </c>
      <c r="D16" s="40"/>
      <c r="E16" s="39">
        <v>3000</v>
      </c>
      <c r="F16" s="39">
        <v>16</v>
      </c>
      <c r="G16" s="39" t="s">
        <v>192</v>
      </c>
      <c r="H16" s="39">
        <v>0.5</v>
      </c>
      <c r="I16" s="20">
        <v>0.3</v>
      </c>
      <c r="J16" s="39">
        <v>3</v>
      </c>
      <c r="K16" s="39">
        <v>0</v>
      </c>
      <c r="L16" s="39">
        <v>3</v>
      </c>
      <c r="M16" s="39" t="s">
        <v>67</v>
      </c>
      <c r="N16" s="81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970</v>
      </c>
      <c r="D17" s="40"/>
      <c r="E17" s="39">
        <v>3000</v>
      </c>
      <c r="F17" s="39">
        <v>16</v>
      </c>
      <c r="G17" s="39" t="s">
        <v>192</v>
      </c>
      <c r="H17" s="39">
        <v>0.5</v>
      </c>
      <c r="I17" s="20">
        <v>0.3</v>
      </c>
      <c r="J17" s="39">
        <v>3</v>
      </c>
      <c r="K17" s="39">
        <v>0</v>
      </c>
      <c r="L17" s="39">
        <v>3</v>
      </c>
      <c r="M17" s="39" t="s">
        <v>67</v>
      </c>
      <c r="N17" s="81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968</v>
      </c>
      <c r="D18" s="40"/>
      <c r="E18" s="39">
        <v>3000</v>
      </c>
      <c r="F18" s="39">
        <v>16</v>
      </c>
      <c r="G18" s="39" t="s">
        <v>192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67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496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29" zoomScaleNormal="75" zoomScaleSheetLayoutView="100" workbookViewId="0">
      <selection activeCell="O42" sqref="O4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247</v>
      </c>
      <c r="I1" s="11" t="s">
        <v>247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247</v>
      </c>
      <c r="I2" s="11" t="s">
        <v>298</v>
      </c>
    </row>
    <row r="3" spans="2:9">
      <c r="B3">
        <v>600</v>
      </c>
      <c r="C3" s="15" t="s">
        <v>290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253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253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253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253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253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253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253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253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253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286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294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294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294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285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284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291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292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293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309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309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309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309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309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309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309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309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309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309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309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309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309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309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309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309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295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296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297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279</v>
      </c>
      <c r="D45">
        <v>1000</v>
      </c>
      <c r="E45" s="16" t="s">
        <v>277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279</v>
      </c>
      <c r="D46">
        <v>1001</v>
      </c>
      <c r="E46" s="16" t="s">
        <v>277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279</v>
      </c>
      <c r="D47">
        <v>1002</v>
      </c>
      <c r="E47" s="16" t="s">
        <v>277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279</v>
      </c>
      <c r="D48">
        <v>1003</v>
      </c>
      <c r="E48" s="16" t="s">
        <v>277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279</v>
      </c>
      <c r="D49">
        <v>1004</v>
      </c>
      <c r="E49" s="16" t="s">
        <v>277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279</v>
      </c>
      <c r="D50">
        <v>1005</v>
      </c>
      <c r="E50" s="16" t="s">
        <v>277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279</v>
      </c>
      <c r="D51">
        <v>1006</v>
      </c>
      <c r="E51" s="16" t="s">
        <v>277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279</v>
      </c>
      <c r="D52">
        <v>1007</v>
      </c>
      <c r="E52" s="16" t="s">
        <v>277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279</v>
      </c>
      <c r="D53">
        <v>1008</v>
      </c>
      <c r="E53" s="16" t="s">
        <v>277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279</v>
      </c>
      <c r="D54">
        <v>1009</v>
      </c>
      <c r="E54" s="16" t="s">
        <v>277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279</v>
      </c>
      <c r="D55">
        <v>1010</v>
      </c>
      <c r="E55" s="16" t="s">
        <v>277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279</v>
      </c>
      <c r="D56">
        <v>727</v>
      </c>
      <c r="E56" s="16" t="s">
        <v>277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280</v>
      </c>
      <c r="D57">
        <v>727</v>
      </c>
      <c r="E57" s="16" t="s">
        <v>277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281</v>
      </c>
      <c r="D58">
        <v>999</v>
      </c>
      <c r="E58" s="16" t="s">
        <v>278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20000</v>
      </c>
      <c r="C59" s="82" t="s">
        <v>975</v>
      </c>
      <c r="D59" s="80">
        <v>2000</v>
      </c>
      <c r="E59" s="16" t="s">
        <v>278</v>
      </c>
      <c r="F59">
        <v>0.1</v>
      </c>
      <c r="G59">
        <v>0</v>
      </c>
      <c r="H59" s="79" t="str">
        <f>INDEX(ShootTable['#설명],MATCH(EnemyAtkTable[[#This Row],[ShootDataId]],ShootTable[Index],0))</f>
        <v>새디 공 던지기</v>
      </c>
      <c r="I59" s="79">
        <f>SUMIF(EnemyAtkTable[Index],EnemyAtkTable[[#This Row],[Index]],EnemyAtkTable[BeforeDelay])+SUMIF(EnemyAtkTable[Index],EnemyAtkTable[[#This Row],[Index]],EnemyAtkTable[AfterDelay])</f>
        <v>0.1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5"/>
  <sheetViews>
    <sheetView tabSelected="1" topLeftCell="A159" zoomScaleNormal="75" zoomScaleSheetLayoutView="100" workbookViewId="0">
      <selection activeCell="M190" sqref="M190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259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269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2000</v>
      </c>
      <c r="C185" s="78" t="s">
        <v>973</v>
      </c>
      <c r="D185">
        <v>0</v>
      </c>
      <c r="E185">
        <v>2000</v>
      </c>
      <c r="F185">
        <v>1</v>
      </c>
      <c r="G185">
        <v>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5"/>
  <sheetViews>
    <sheetView zoomScaleNormal="75" zoomScaleSheetLayoutView="100" workbookViewId="0">
      <selection activeCell="E17" sqref="E1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228</v>
      </c>
    </row>
    <row r="4" spans="2:7">
      <c r="B4">
        <v>201</v>
      </c>
      <c r="C4" s="14" t="s">
        <v>375</v>
      </c>
      <c r="D4" t="b">
        <v>1</v>
      </c>
      <c r="E4">
        <v>0.8</v>
      </c>
      <c r="F4">
        <v>15</v>
      </c>
      <c r="G4" s="11" t="s">
        <v>406</v>
      </c>
    </row>
    <row r="5" spans="2:7">
      <c r="B5">
        <v>204</v>
      </c>
      <c r="C5" s="14" t="s">
        <v>405</v>
      </c>
      <c r="D5" t="b">
        <v>1</v>
      </c>
      <c r="E5">
        <v>1.5</v>
      </c>
      <c r="F5">
        <v>15</v>
      </c>
      <c r="G5" s="11" t="s">
        <v>880</v>
      </c>
    </row>
    <row r="6" spans="2:7">
      <c r="B6">
        <v>205</v>
      </c>
      <c r="C6" s="14" t="s">
        <v>451</v>
      </c>
      <c r="D6" t="b">
        <v>1</v>
      </c>
      <c r="E6">
        <v>1.2</v>
      </c>
      <c r="F6">
        <v>15</v>
      </c>
      <c r="G6" s="11" t="s">
        <v>417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227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227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227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227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227</v>
      </c>
    </row>
    <row r="12" spans="2:7">
      <c r="B12">
        <v>403</v>
      </c>
      <c r="C12" s="13" t="s">
        <v>288</v>
      </c>
      <c r="D12" s="3" t="b">
        <v>0</v>
      </c>
      <c r="E12">
        <v>0.8</v>
      </c>
      <c r="F12">
        <v>25</v>
      </c>
      <c r="G12" t="s">
        <v>227</v>
      </c>
    </row>
    <row r="13" spans="2:7">
      <c r="B13">
        <v>404</v>
      </c>
      <c r="C13" s="13" t="s">
        <v>289</v>
      </c>
      <c r="D13" s="3" t="b">
        <v>1</v>
      </c>
      <c r="E13">
        <v>0.8</v>
      </c>
      <c r="F13">
        <v>25</v>
      </c>
      <c r="G13" t="s">
        <v>227</v>
      </c>
    </row>
    <row r="14" spans="2:7">
      <c r="B14">
        <v>999</v>
      </c>
      <c r="C14" s="18" t="s">
        <v>283</v>
      </c>
      <c r="D14" t="b">
        <v>1</v>
      </c>
      <c r="E14">
        <v>1</v>
      </c>
      <c r="F14">
        <v>25</v>
      </c>
      <c r="G14" s="16" t="s">
        <v>310</v>
      </c>
    </row>
    <row r="15" spans="2:7">
      <c r="B15">
        <v>2000</v>
      </c>
      <c r="C15" s="83" t="s">
        <v>972</v>
      </c>
      <c r="D15" t="b">
        <v>1</v>
      </c>
      <c r="E15">
        <v>2</v>
      </c>
      <c r="F15">
        <v>25</v>
      </c>
      <c r="G15" s="16" t="s">
        <v>974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361</v>
      </c>
      <c r="F2" s="58" t="s">
        <v>362</v>
      </c>
      <c r="G2" s="58" t="s">
        <v>168</v>
      </c>
      <c r="H2" s="58" t="s">
        <v>954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517</v>
      </c>
      <c r="O2" s="59" t="s">
        <v>518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886</v>
      </c>
      <c r="E8" s="42" t="s">
        <v>887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603</v>
      </c>
      <c r="N8" s="57" t="s">
        <v>504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888</v>
      </c>
      <c r="E9" s="42" t="s">
        <v>889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472</v>
      </c>
      <c r="N9" s="57" t="s">
        <v>505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890</v>
      </c>
      <c r="E10" s="42" t="s">
        <v>891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473</v>
      </c>
      <c r="N10" s="57" t="s">
        <v>506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892</v>
      </c>
      <c r="E11" s="42" t="s">
        <v>893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474</v>
      </c>
      <c r="N11" s="57" t="s">
        <v>507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894</v>
      </c>
      <c r="E12" s="42" t="s">
        <v>895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475</v>
      </c>
      <c r="N12" s="57" t="s">
        <v>520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896</v>
      </c>
      <c r="E13" s="42" t="s">
        <v>897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476</v>
      </c>
      <c r="N13" s="57" t="s">
        <v>521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898</v>
      </c>
      <c r="E14" s="42" t="s">
        <v>899</v>
      </c>
      <c r="G14" s="42" t="s">
        <v>445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477</v>
      </c>
      <c r="N14" s="57" t="s">
        <v>508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900</v>
      </c>
      <c r="D15" s="42" t="s">
        <v>901</v>
      </c>
      <c r="E15" s="42" t="s">
        <v>902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478</v>
      </c>
      <c r="N15" s="57" t="s">
        <v>523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903</v>
      </c>
      <c r="E16" s="42" t="s">
        <v>904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479</v>
      </c>
      <c r="N16" s="57" t="s">
        <v>525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905</v>
      </c>
      <c r="E17" s="42" t="s">
        <v>906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480</v>
      </c>
      <c r="N17" s="57" t="s">
        <v>526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907</v>
      </c>
      <c r="E18" s="42" t="s">
        <v>908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481</v>
      </c>
      <c r="N18" s="57" t="s">
        <v>527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909</v>
      </c>
      <c r="E19" s="42" t="s">
        <v>910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482</v>
      </c>
      <c r="N19" s="57" t="s">
        <v>509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911</v>
      </c>
      <c r="D20" s="42" t="s">
        <v>912</v>
      </c>
      <c r="E20" s="42" t="s">
        <v>913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483</v>
      </c>
      <c r="N20" s="57" t="s">
        <v>528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914</v>
      </c>
      <c r="E21" s="42" t="s">
        <v>915</v>
      </c>
      <c r="F21" s="42" t="s">
        <v>916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484</v>
      </c>
      <c r="N21" s="57" t="s">
        <v>510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917</v>
      </c>
      <c r="E22" s="42" t="s">
        <v>918</v>
      </c>
      <c r="F22" s="42" t="s">
        <v>919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485</v>
      </c>
      <c r="N22" s="57" t="s">
        <v>511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920</v>
      </c>
      <c r="E23" s="42" t="s">
        <v>921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486</v>
      </c>
      <c r="N23" s="57" t="s">
        <v>595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922</v>
      </c>
      <c r="E24" s="42" t="s">
        <v>923</v>
      </c>
      <c r="F24" s="42" t="s">
        <v>924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487</v>
      </c>
      <c r="N24" s="57" t="s">
        <v>512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925</v>
      </c>
      <c r="D25" s="42" t="s">
        <v>926</v>
      </c>
      <c r="E25" s="42" t="s">
        <v>927</v>
      </c>
      <c r="F25" s="42" t="s">
        <v>928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488</v>
      </c>
      <c r="N25" s="57" t="s">
        <v>529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929</v>
      </c>
      <c r="D26" s="42" t="s">
        <v>930</v>
      </c>
      <c r="E26" s="42" t="s">
        <v>931</v>
      </c>
      <c r="F26" s="42" t="s">
        <v>932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493</v>
      </c>
      <c r="N26" s="57" t="s">
        <v>530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933</v>
      </c>
      <c r="D27" s="42" t="s">
        <v>934</v>
      </c>
      <c r="E27" s="42" t="s">
        <v>935</v>
      </c>
      <c r="F27" s="42" t="s">
        <v>936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494</v>
      </c>
      <c r="N27" s="57" t="s">
        <v>600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937</v>
      </c>
      <c r="D28" s="42" t="s">
        <v>938</v>
      </c>
      <c r="E28" s="42" t="s">
        <v>939</v>
      </c>
      <c r="G28" s="42" t="s">
        <v>360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489</v>
      </c>
      <c r="N28" s="57" t="s">
        <v>513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940</v>
      </c>
      <c r="D29" s="42" t="s">
        <v>941</v>
      </c>
      <c r="E29" s="42" t="s">
        <v>942</v>
      </c>
      <c r="G29" s="42" t="s">
        <v>360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490</v>
      </c>
      <c r="N29" s="57" t="s">
        <v>531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943</v>
      </c>
      <c r="D30" s="42" t="s">
        <v>944</v>
      </c>
      <c r="E30" s="42" t="s">
        <v>945</v>
      </c>
      <c r="G30" s="42" t="s">
        <v>360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491</v>
      </c>
      <c r="N30" s="57" t="s">
        <v>514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946</v>
      </c>
      <c r="D31" s="42" t="s">
        <v>947</v>
      </c>
      <c r="E31" s="42" t="s">
        <v>948</v>
      </c>
      <c r="G31" s="42" t="s">
        <v>360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492</v>
      </c>
      <c r="N31" s="57" t="s">
        <v>515</v>
      </c>
      <c r="O31" s="57" t="str">
        <f>SUBSTITUTE(PROPER(ItemTable[[#This Row],['#번역본]])," "," ")</f>
        <v>A Missile Backpack</v>
      </c>
    </row>
    <row r="32" spans="2:15">
      <c r="B32" s="42" t="s">
        <v>464</v>
      </c>
      <c r="C32" s="42" t="s">
        <v>952</v>
      </c>
      <c r="G32" s="42" t="s">
        <v>360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492</v>
      </c>
      <c r="N32" s="57" t="s">
        <v>516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949</v>
      </c>
      <c r="D33" s="42" t="s">
        <v>950</v>
      </c>
      <c r="E33" s="42" t="s">
        <v>951</v>
      </c>
      <c r="G33" s="42" t="s">
        <v>360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495</v>
      </c>
      <c r="N33" s="57" t="s">
        <v>532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319</v>
      </c>
      <c r="F1" s="16" t="s">
        <v>319</v>
      </c>
      <c r="G1" s="16" t="s">
        <v>321</v>
      </c>
      <c r="H1" t="s">
        <v>68</v>
      </c>
      <c r="I1" s="16" t="s">
        <v>335</v>
      </c>
      <c r="J1" t="s">
        <v>68</v>
      </c>
      <c r="K1" s="16" t="s">
        <v>321</v>
      </c>
    </row>
    <row r="2" spans="2:19">
      <c r="B2" s="71" t="s">
        <v>953</v>
      </c>
      <c r="C2" s="71" t="s">
        <v>70</v>
      </c>
      <c r="D2" t="s">
        <v>41</v>
      </c>
      <c r="E2" s="16" t="s">
        <v>344</v>
      </c>
      <c r="F2" s="16" t="s">
        <v>345</v>
      </c>
      <c r="G2" s="16" t="s">
        <v>322</v>
      </c>
      <c r="H2" s="16" t="s">
        <v>323</v>
      </c>
      <c r="I2" s="30" t="s">
        <v>325</v>
      </c>
      <c r="J2" s="16" t="s">
        <v>324</v>
      </c>
      <c r="K2" s="30" t="s">
        <v>340</v>
      </c>
      <c r="L2" s="70" t="s">
        <v>700</v>
      </c>
      <c r="M2" s="70" t="s">
        <v>702</v>
      </c>
      <c r="N2" s="70" t="s">
        <v>701</v>
      </c>
      <c r="O2" s="70" t="s">
        <v>773</v>
      </c>
      <c r="P2" s="70" t="s">
        <v>774</v>
      </c>
      <c r="Q2" s="70" t="s">
        <v>775</v>
      </c>
      <c r="R2" s="70" t="s">
        <v>776</v>
      </c>
      <c r="S2" s="70" t="s">
        <v>777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342</v>
      </c>
      <c r="I3" s="16"/>
      <c r="J3" s="16" t="s">
        <v>341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342</v>
      </c>
      <c r="J4" s="16" t="s">
        <v>341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342</v>
      </c>
      <c r="I5" s="16"/>
      <c r="J5" s="16" t="s">
        <v>341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389</v>
      </c>
      <c r="J6" s="16" t="s">
        <v>341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342</v>
      </c>
      <c r="J7" s="16" t="s">
        <v>341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342</v>
      </c>
      <c r="J8" s="16" t="s">
        <v>341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370</v>
      </c>
      <c r="J9" s="16" t="s">
        <v>341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446</v>
      </c>
      <c r="J10" s="16" t="s">
        <v>341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370</v>
      </c>
      <c r="J11" s="16" t="s">
        <v>447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342</v>
      </c>
      <c r="J12" s="16" t="s">
        <v>341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342</v>
      </c>
      <c r="J13" s="16" t="s">
        <v>341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342</v>
      </c>
      <c r="J14" s="16" t="s">
        <v>341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358</v>
      </c>
      <c r="J15" s="16" t="s">
        <v>447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342</v>
      </c>
      <c r="J16" s="16" t="s">
        <v>341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391</v>
      </c>
      <c r="J17" s="16" t="s">
        <v>341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342</v>
      </c>
      <c r="J18" s="16" t="s">
        <v>341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342</v>
      </c>
      <c r="J19" s="16" t="s">
        <v>341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342</v>
      </c>
      <c r="J20" s="16" t="s">
        <v>341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465</v>
      </c>
      <c r="J21" s="16" t="s">
        <v>341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342</v>
      </c>
      <c r="J22" s="16" t="s">
        <v>341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411</v>
      </c>
      <c r="J23" s="16" t="s">
        <v>341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342</v>
      </c>
      <c r="J24" s="16" t="s">
        <v>341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342</v>
      </c>
      <c r="I25" s="39"/>
      <c r="J25" s="16" t="s">
        <v>341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358</v>
      </c>
      <c r="I26" s="39"/>
      <c r="J26" s="16" t="s">
        <v>341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348</v>
      </c>
      <c r="I27" s="16"/>
      <c r="J27" s="16" t="s">
        <v>341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348</v>
      </c>
      <c r="I28" s="16" t="s">
        <v>354</v>
      </c>
      <c r="J28" s="16" t="s">
        <v>353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348</v>
      </c>
      <c r="J29" s="16" t="s">
        <v>341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348</v>
      </c>
      <c r="J30" s="16" t="s">
        <v>341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348</v>
      </c>
      <c r="J31" s="16" t="s">
        <v>341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348</v>
      </c>
      <c r="J32" s="16" t="s">
        <v>341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690</v>
      </c>
      <c r="E1" s="16" t="s">
        <v>691</v>
      </c>
      <c r="F1" s="16" t="s">
        <v>330</v>
      </c>
      <c r="G1" s="16" t="s">
        <v>337</v>
      </c>
      <c r="H1" s="16" t="s">
        <v>330</v>
      </c>
    </row>
    <row r="2" spans="2:21" s="42" customFormat="1">
      <c r="B2" s="68" t="s">
        <v>783</v>
      </c>
      <c r="C2" s="68" t="s">
        <v>669</v>
      </c>
      <c r="D2" s="58" t="s">
        <v>41</v>
      </c>
      <c r="E2" s="58" t="s">
        <v>326</v>
      </c>
      <c r="F2" s="58" t="s">
        <v>336</v>
      </c>
      <c r="G2" s="60" t="s">
        <v>4</v>
      </c>
      <c r="H2" s="60" t="s">
        <v>338</v>
      </c>
      <c r="I2" s="68" t="s">
        <v>671</v>
      </c>
      <c r="J2" s="68" t="s">
        <v>670</v>
      </c>
      <c r="K2" s="69" t="s">
        <v>692</v>
      </c>
      <c r="L2" s="68" t="s">
        <v>689</v>
      </c>
      <c r="M2" s="68" t="s">
        <v>699</v>
      </c>
      <c r="N2" s="68" t="s">
        <v>778</v>
      </c>
      <c r="O2" s="68" t="s">
        <v>779</v>
      </c>
      <c r="P2" s="68" t="s">
        <v>672</v>
      </c>
      <c r="Q2" s="68" t="s">
        <v>782</v>
      </c>
      <c r="R2" s="68" t="s">
        <v>785</v>
      </c>
      <c r="S2" s="74" t="s">
        <v>790</v>
      </c>
      <c r="T2" s="68" t="s">
        <v>781</v>
      </c>
      <c r="U2" s="68" t="s">
        <v>780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350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388</v>
      </c>
      <c r="F6" s="42">
        <v>0.2</v>
      </c>
      <c r="G6" s="42" t="s">
        <v>343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418</v>
      </c>
      <c r="F8" s="42">
        <v>50</v>
      </c>
      <c r="G8" s="42" t="s">
        <v>343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693</v>
      </c>
      <c r="G10" s="42" t="s">
        <v>343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408</v>
      </c>
      <c r="F12" s="42">
        <v>3</v>
      </c>
      <c r="G12" s="42" t="s">
        <v>343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418</v>
      </c>
      <c r="F13" s="42">
        <v>50</v>
      </c>
      <c r="G13" s="42" t="s">
        <v>343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392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392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418</v>
      </c>
      <c r="F19" s="42">
        <v>-100</v>
      </c>
      <c r="G19" s="42" t="s">
        <v>343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388</v>
      </c>
      <c r="F20" s="42">
        <v>0.45</v>
      </c>
      <c r="G20" s="42" t="s">
        <v>343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453</v>
      </c>
      <c r="F21">
        <v>0.95</v>
      </c>
      <c r="G21" s="11" t="s">
        <v>407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416</v>
      </c>
      <c r="F22">
        <v>1.5</v>
      </c>
      <c r="G22" s="11" t="s">
        <v>407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663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469</v>
      </c>
      <c r="F31">
        <v>2.5</v>
      </c>
      <c r="G31" s="11" t="s">
        <v>498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B17" sqref="B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321</v>
      </c>
      <c r="F1" s="16"/>
      <c r="G1" s="16" t="s">
        <v>330</v>
      </c>
      <c r="H1" s="16"/>
      <c r="I1" s="16" t="s">
        <v>330</v>
      </c>
      <c r="J1" s="16"/>
      <c r="K1" s="16" t="s">
        <v>330</v>
      </c>
    </row>
    <row r="2" spans="1:14">
      <c r="B2" t="s">
        <v>41</v>
      </c>
      <c r="C2" s="36" t="s">
        <v>373</v>
      </c>
      <c r="D2" s="16" t="s">
        <v>351</v>
      </c>
      <c r="E2" s="16" t="s">
        <v>327</v>
      </c>
      <c r="F2" s="34" t="s">
        <v>363</v>
      </c>
      <c r="G2" s="30" t="s">
        <v>328</v>
      </c>
      <c r="H2" s="34" t="s">
        <v>364</v>
      </c>
      <c r="I2" s="30" t="s">
        <v>329</v>
      </c>
      <c r="J2" s="34" t="s">
        <v>365</v>
      </c>
      <c r="K2" s="30" t="s">
        <v>379</v>
      </c>
      <c r="L2" s="34" t="s">
        <v>378</v>
      </c>
      <c r="M2" s="68" t="s">
        <v>784</v>
      </c>
      <c r="N2" s="73" t="s">
        <v>791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359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359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359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347</v>
      </c>
      <c r="E14">
        <v>0.5</v>
      </c>
      <c r="F14" s="14" t="s">
        <v>366</v>
      </c>
      <c r="G14">
        <v>3</v>
      </c>
      <c r="H14" s="14" t="s">
        <v>456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460</v>
      </c>
      <c r="E17" s="20">
        <v>70</v>
      </c>
      <c r="F17" s="22" t="s">
        <v>461</v>
      </c>
      <c r="G17" s="20">
        <v>5</v>
      </c>
      <c r="H17" s="22" t="s">
        <v>462</v>
      </c>
      <c r="I17" s="20">
        <v>18</v>
      </c>
      <c r="J17" s="22" t="s">
        <v>463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247</v>
      </c>
      <c r="F1" t="s">
        <v>247</v>
      </c>
      <c r="G1" t="s">
        <v>247</v>
      </c>
      <c r="H1" t="s">
        <v>247</v>
      </c>
      <c r="I1" t="s">
        <v>247</v>
      </c>
    </row>
    <row r="2" spans="2:9" ht="18">
      <c r="B2" s="11" t="s">
        <v>597</v>
      </c>
      <c r="C2" s="9" t="s">
        <v>171</v>
      </c>
      <c r="D2" t="s">
        <v>170</v>
      </c>
      <c r="E2" s="36" t="s">
        <v>534</v>
      </c>
      <c r="F2" s="36" t="s">
        <v>535</v>
      </c>
      <c r="G2" s="36" t="s">
        <v>536</v>
      </c>
      <c r="H2" s="36" t="s">
        <v>537</v>
      </c>
      <c r="I2" s="36" t="s">
        <v>575</v>
      </c>
    </row>
    <row r="3" spans="2:9" ht="18">
      <c r="B3" t="str">
        <f>LocaleTable[[#This Row],['#인덱스제너레이터]]</f>
        <v>UI_Title_Button_Start</v>
      </c>
      <c r="C3" s="53" t="s">
        <v>568</v>
      </c>
      <c r="D3" s="53" t="s">
        <v>561</v>
      </c>
      <c r="E3" s="14" t="s">
        <v>539</v>
      </c>
      <c r="F3" s="14" t="s">
        <v>573</v>
      </c>
      <c r="G3" s="14" t="s">
        <v>565</v>
      </c>
      <c r="H3" s="14" t="s">
        <v>562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569</v>
      </c>
      <c r="D4" s="53" t="s">
        <v>563</v>
      </c>
      <c r="E4" s="14" t="s">
        <v>539</v>
      </c>
      <c r="F4" s="14" t="s">
        <v>573</v>
      </c>
      <c r="G4" s="14" t="s">
        <v>565</v>
      </c>
      <c r="H4" s="14" t="s">
        <v>564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570</v>
      </c>
      <c r="D5" s="53" t="s">
        <v>566</v>
      </c>
      <c r="E5" s="14" t="s">
        <v>539</v>
      </c>
      <c r="F5" s="14" t="s">
        <v>573</v>
      </c>
      <c r="G5" s="56" t="s">
        <v>565</v>
      </c>
      <c r="H5" s="14" t="s">
        <v>567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639</v>
      </c>
      <c r="D6" s="53" t="s">
        <v>634</v>
      </c>
      <c r="E6" s="14" t="s">
        <v>539</v>
      </c>
      <c r="F6" s="14" t="s">
        <v>573</v>
      </c>
      <c r="G6" s="56" t="s">
        <v>565</v>
      </c>
      <c r="H6" s="14" t="s">
        <v>634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730</v>
      </c>
      <c r="D7" s="53" t="s">
        <v>566</v>
      </c>
      <c r="E7" s="14" t="s">
        <v>539</v>
      </c>
      <c r="F7" s="56" t="s">
        <v>564</v>
      </c>
      <c r="G7" s="56" t="s">
        <v>573</v>
      </c>
      <c r="H7" s="14" t="s">
        <v>567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811</v>
      </c>
      <c r="D8" s="53" t="s">
        <v>810</v>
      </c>
      <c r="E8" s="14" t="s">
        <v>539</v>
      </c>
      <c r="F8" s="56" t="s">
        <v>564</v>
      </c>
      <c r="G8" s="56" t="s">
        <v>573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713</v>
      </c>
      <c r="D9" s="53" t="s">
        <v>731</v>
      </c>
      <c r="E9" s="14" t="s">
        <v>539</v>
      </c>
      <c r="F9" s="56" t="s">
        <v>564</v>
      </c>
      <c r="G9" s="56" t="s">
        <v>573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714</v>
      </c>
      <c r="D10" s="53" t="s">
        <v>807</v>
      </c>
      <c r="E10" s="14" t="s">
        <v>539</v>
      </c>
      <c r="F10" s="56" t="s">
        <v>564</v>
      </c>
      <c r="G10" s="56" t="s">
        <v>573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715</v>
      </c>
      <c r="D11" s="53" t="s">
        <v>732</v>
      </c>
      <c r="E11" s="14" t="s">
        <v>539</v>
      </c>
      <c r="F11" s="56" t="s">
        <v>564</v>
      </c>
      <c r="G11" s="56" t="s">
        <v>573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716</v>
      </c>
      <c r="D12" s="53" t="s">
        <v>733</v>
      </c>
      <c r="E12" s="14" t="s">
        <v>539</v>
      </c>
      <c r="F12" s="56" t="s">
        <v>564</v>
      </c>
      <c r="G12" s="56" t="s">
        <v>573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717</v>
      </c>
      <c r="D13" s="53" t="s">
        <v>734</v>
      </c>
      <c r="E13" s="14" t="s">
        <v>539</v>
      </c>
      <c r="F13" s="56" t="s">
        <v>564</v>
      </c>
      <c r="G13" s="56" t="s">
        <v>573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718</v>
      </c>
      <c r="D14" s="53" t="s">
        <v>808</v>
      </c>
      <c r="E14" s="14" t="s">
        <v>539</v>
      </c>
      <c r="F14" s="56" t="s">
        <v>564</v>
      </c>
      <c r="G14" s="56" t="s">
        <v>573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574</v>
      </c>
      <c r="D15" s="53" t="s">
        <v>533</v>
      </c>
      <c r="E15" s="14" t="s">
        <v>539</v>
      </c>
      <c r="F15" s="56" t="s">
        <v>564</v>
      </c>
      <c r="G15" s="56" t="s">
        <v>573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843</v>
      </c>
      <c r="D16" s="53" t="s">
        <v>849</v>
      </c>
      <c r="E16" s="14" t="s">
        <v>856</v>
      </c>
      <c r="F16" s="56" t="s">
        <v>564</v>
      </c>
      <c r="G16" s="56" t="s">
        <v>809</v>
      </c>
      <c r="H16" s="14" t="s">
        <v>849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844</v>
      </c>
      <c r="D17" s="53" t="s">
        <v>850</v>
      </c>
      <c r="E17" s="14" t="s">
        <v>856</v>
      </c>
      <c r="F17" s="56" t="s">
        <v>564</v>
      </c>
      <c r="G17" s="56" t="s">
        <v>809</v>
      </c>
      <c r="H17" s="14" t="s">
        <v>850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845</v>
      </c>
      <c r="D18" s="53" t="s">
        <v>851</v>
      </c>
      <c r="E18" s="14" t="s">
        <v>856</v>
      </c>
      <c r="F18" s="56" t="s">
        <v>564</v>
      </c>
      <c r="G18" s="56" t="s">
        <v>809</v>
      </c>
      <c r="H18" s="14" t="s">
        <v>851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846</v>
      </c>
      <c r="D19" s="53" t="s">
        <v>734</v>
      </c>
      <c r="E19" s="14" t="s">
        <v>856</v>
      </c>
      <c r="F19" s="56" t="s">
        <v>564</v>
      </c>
      <c r="G19" s="56" t="s">
        <v>809</v>
      </c>
      <c r="H19" s="14" t="s">
        <v>857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639</v>
      </c>
      <c r="D20" s="53" t="s">
        <v>634</v>
      </c>
      <c r="E20" s="14" t="s">
        <v>856</v>
      </c>
      <c r="F20" s="56" t="s">
        <v>564</v>
      </c>
      <c r="G20" s="56" t="s">
        <v>809</v>
      </c>
      <c r="H20" s="14" t="s">
        <v>634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847</v>
      </c>
      <c r="D21" s="53" t="s">
        <v>852</v>
      </c>
      <c r="E21" s="14" t="s">
        <v>856</v>
      </c>
      <c r="F21" s="56" t="s">
        <v>564</v>
      </c>
      <c r="G21" s="56" t="s">
        <v>809</v>
      </c>
      <c r="H21" s="14" t="s">
        <v>858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848</v>
      </c>
      <c r="D22" s="53" t="s">
        <v>853</v>
      </c>
      <c r="E22" s="14" t="s">
        <v>856</v>
      </c>
      <c r="F22" s="56" t="s">
        <v>564</v>
      </c>
      <c r="G22" s="56" t="s">
        <v>809</v>
      </c>
      <c r="H22" s="14" t="s">
        <v>360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539</v>
      </c>
      <c r="F23" s="56" t="s">
        <v>564</v>
      </c>
      <c r="G23" s="56" t="s">
        <v>719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720</v>
      </c>
      <c r="D24" s="53" t="s">
        <v>805</v>
      </c>
      <c r="E24" s="14" t="s">
        <v>539</v>
      </c>
      <c r="F24" s="56" t="s">
        <v>564</v>
      </c>
      <c r="G24" s="56" t="s">
        <v>719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721</v>
      </c>
      <c r="D25" s="53" t="s">
        <v>806</v>
      </c>
      <c r="E25" s="14" t="s">
        <v>539</v>
      </c>
      <c r="F25" s="56" t="s">
        <v>564</v>
      </c>
      <c r="G25" s="56" t="s">
        <v>719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854</v>
      </c>
      <c r="D26" s="53" t="s">
        <v>855</v>
      </c>
      <c r="E26" s="14" t="s">
        <v>539</v>
      </c>
      <c r="F26" s="56" t="s">
        <v>564</v>
      </c>
      <c r="G26" s="56" t="s">
        <v>719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722</v>
      </c>
      <c r="D27" s="53" t="s">
        <v>735</v>
      </c>
      <c r="E27" s="14" t="s">
        <v>539</v>
      </c>
      <c r="F27" s="56" t="s">
        <v>564</v>
      </c>
      <c r="G27" s="56" t="s">
        <v>719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723</v>
      </c>
      <c r="D28" s="53" t="s">
        <v>736</v>
      </c>
      <c r="E28" s="14" t="s">
        <v>539</v>
      </c>
      <c r="F28" s="56" t="s">
        <v>564</v>
      </c>
      <c r="G28" s="56" t="s">
        <v>719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724</v>
      </c>
      <c r="D29" s="53" t="s">
        <v>737</v>
      </c>
      <c r="E29" s="14" t="s">
        <v>539</v>
      </c>
      <c r="F29" s="56" t="s">
        <v>564</v>
      </c>
      <c r="G29" s="56" t="s">
        <v>719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725</v>
      </c>
      <c r="D30" s="53" t="s">
        <v>738</v>
      </c>
      <c r="E30" s="14" t="s">
        <v>539</v>
      </c>
      <c r="F30" s="56" t="s">
        <v>564</v>
      </c>
      <c r="G30" s="56" t="s">
        <v>719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539</v>
      </c>
      <c r="F31" s="56" t="s">
        <v>564</v>
      </c>
      <c r="G31" s="56" t="s">
        <v>726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744</v>
      </c>
      <c r="D32" s="53" t="s">
        <v>745</v>
      </c>
      <c r="E32" s="14" t="s">
        <v>539</v>
      </c>
      <c r="F32" s="56" t="s">
        <v>564</v>
      </c>
      <c r="G32" s="56" t="s">
        <v>726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727</v>
      </c>
      <c r="D33" s="53" t="s">
        <v>739</v>
      </c>
      <c r="E33" s="14" t="s">
        <v>539</v>
      </c>
      <c r="F33" s="56" t="s">
        <v>564</v>
      </c>
      <c r="G33" s="56" t="s">
        <v>726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748</v>
      </c>
      <c r="D34" s="53" t="s">
        <v>747</v>
      </c>
      <c r="E34" s="14" t="s">
        <v>539</v>
      </c>
      <c r="F34" s="56" t="s">
        <v>564</v>
      </c>
      <c r="G34" s="56" t="s">
        <v>726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749</v>
      </c>
      <c r="D35" s="53" t="s">
        <v>746</v>
      </c>
      <c r="E35" s="14" t="s">
        <v>539</v>
      </c>
      <c r="F35" s="56" t="s">
        <v>564</v>
      </c>
      <c r="G35" s="56" t="s">
        <v>726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728</v>
      </c>
      <c r="D36" s="53" t="s">
        <v>740</v>
      </c>
      <c r="E36" s="14" t="s">
        <v>539</v>
      </c>
      <c r="F36" s="56" t="s">
        <v>564</v>
      </c>
      <c r="G36" s="56" t="s">
        <v>726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742</v>
      </c>
      <c r="D37" s="53" t="s">
        <v>743</v>
      </c>
      <c r="E37" s="14" t="s">
        <v>539</v>
      </c>
      <c r="F37" s="56" t="s">
        <v>564</v>
      </c>
      <c r="G37" s="56" t="s">
        <v>726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729</v>
      </c>
      <c r="D38" s="53" t="s">
        <v>741</v>
      </c>
      <c r="E38" s="14" t="s">
        <v>539</v>
      </c>
      <c r="F38" s="56" t="s">
        <v>564</v>
      </c>
      <c r="G38" s="56" t="s">
        <v>726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639</v>
      </c>
      <c r="D39" s="53" t="s">
        <v>634</v>
      </c>
      <c r="E39" s="14" t="s">
        <v>539</v>
      </c>
      <c r="F39" s="14" t="s">
        <v>634</v>
      </c>
      <c r="G39" s="56" t="s">
        <v>573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641</v>
      </c>
      <c r="D40" s="53" t="s">
        <v>640</v>
      </c>
      <c r="E40" s="14" t="s">
        <v>539</v>
      </c>
      <c r="F40" s="14" t="s">
        <v>634</v>
      </c>
      <c r="G40" s="56" t="s">
        <v>635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642</v>
      </c>
      <c r="D41" s="53" t="s">
        <v>645</v>
      </c>
      <c r="E41" s="14" t="s">
        <v>539</v>
      </c>
      <c r="F41" s="14" t="s">
        <v>634</v>
      </c>
      <c r="G41" s="56" t="s">
        <v>636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643</v>
      </c>
      <c r="D42" s="53" t="s">
        <v>644</v>
      </c>
      <c r="E42" s="14" t="s">
        <v>539</v>
      </c>
      <c r="F42" s="14" t="s">
        <v>634</v>
      </c>
      <c r="G42" s="56" t="s">
        <v>637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646</v>
      </c>
      <c r="D43" s="53" t="s">
        <v>638</v>
      </c>
      <c r="E43" s="14" t="s">
        <v>539</v>
      </c>
      <c r="F43" s="14" t="s">
        <v>634</v>
      </c>
      <c r="G43" s="56" t="s">
        <v>638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648</v>
      </c>
      <c r="D44" s="53" t="s">
        <v>649</v>
      </c>
      <c r="E44" s="14" t="s">
        <v>539</v>
      </c>
      <c r="F44" s="14" t="s">
        <v>634</v>
      </c>
      <c r="G44" s="56" t="s">
        <v>647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650</v>
      </c>
      <c r="D45" s="53" t="s">
        <v>564</v>
      </c>
      <c r="E45" s="14" t="s">
        <v>539</v>
      </c>
      <c r="F45" s="14" t="s">
        <v>634</v>
      </c>
      <c r="G45" s="56" t="s">
        <v>564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574</v>
      </c>
      <c r="D46" s="53" t="s">
        <v>661</v>
      </c>
      <c r="E46" s="14" t="s">
        <v>539</v>
      </c>
      <c r="F46" s="14" t="s">
        <v>571</v>
      </c>
      <c r="G46" s="14" t="s">
        <v>572</v>
      </c>
      <c r="H46" s="14" t="s">
        <v>661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554</v>
      </c>
      <c r="D47" s="53" t="s">
        <v>540</v>
      </c>
      <c r="E47" s="14" t="s">
        <v>539</v>
      </c>
      <c r="F47" s="14" t="s">
        <v>571</v>
      </c>
      <c r="G47" s="14" t="s">
        <v>572</v>
      </c>
      <c r="H47" s="14" t="s">
        <v>541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861</v>
      </c>
      <c r="D48" s="53" t="s">
        <v>873</v>
      </c>
      <c r="E48" s="14" t="s">
        <v>539</v>
      </c>
      <c r="F48" s="14" t="s">
        <v>571</v>
      </c>
      <c r="G48" s="14" t="s">
        <v>862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866</v>
      </c>
      <c r="D49" s="53" t="s">
        <v>872</v>
      </c>
      <c r="E49" s="14" t="s">
        <v>539</v>
      </c>
      <c r="F49" s="14" t="s">
        <v>571</v>
      </c>
      <c r="G49" s="14" t="s">
        <v>862</v>
      </c>
      <c r="H49" s="14" t="s">
        <v>354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867</v>
      </c>
      <c r="D50" s="53" t="s">
        <v>863</v>
      </c>
      <c r="E50" s="14" t="s">
        <v>539</v>
      </c>
      <c r="F50" s="14" t="s">
        <v>571</v>
      </c>
      <c r="G50" s="14" t="s">
        <v>862</v>
      </c>
      <c r="H50" s="14" t="s">
        <v>863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868</v>
      </c>
      <c r="D51" s="53" t="s">
        <v>864</v>
      </c>
      <c r="E51" s="14" t="s">
        <v>539</v>
      </c>
      <c r="F51" s="14" t="s">
        <v>571</v>
      </c>
      <c r="G51" s="14" t="s">
        <v>862</v>
      </c>
      <c r="H51" s="14" t="s">
        <v>864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869</v>
      </c>
      <c r="D52" s="53" t="s">
        <v>871</v>
      </c>
      <c r="E52" s="14" t="s">
        <v>539</v>
      </c>
      <c r="F52" s="14" t="s">
        <v>571</v>
      </c>
      <c r="G52" s="14" t="s">
        <v>862</v>
      </c>
      <c r="H52" s="14" t="s">
        <v>865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870</v>
      </c>
      <c r="D53" s="53" t="s">
        <v>651</v>
      </c>
      <c r="E53" s="14" t="s">
        <v>539</v>
      </c>
      <c r="F53" s="14" t="s">
        <v>571</v>
      </c>
      <c r="G53" s="14" t="s">
        <v>862</v>
      </c>
      <c r="H53" s="14" t="s">
        <v>651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555</v>
      </c>
      <c r="D54" s="53" t="s">
        <v>543</v>
      </c>
      <c r="E54" s="19" t="s">
        <v>539</v>
      </c>
      <c r="F54" s="14" t="s">
        <v>571</v>
      </c>
      <c r="G54" s="19" t="s">
        <v>542</v>
      </c>
      <c r="H54" s="14" t="s">
        <v>544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556</v>
      </c>
      <c r="D55" s="53" t="s">
        <v>550</v>
      </c>
      <c r="E55" s="19" t="s">
        <v>539</v>
      </c>
      <c r="F55" s="14" t="s">
        <v>571</v>
      </c>
      <c r="G55" s="19" t="s">
        <v>542</v>
      </c>
      <c r="H55" s="14" t="s">
        <v>551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557</v>
      </c>
      <c r="D56" s="53" t="s">
        <v>547</v>
      </c>
      <c r="E56" s="14" t="s">
        <v>539</v>
      </c>
      <c r="F56" s="14" t="s">
        <v>571</v>
      </c>
      <c r="G56" s="14" t="s">
        <v>542</v>
      </c>
      <c r="H56" s="14" t="s">
        <v>548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559</v>
      </c>
      <c r="D57" s="53" t="s">
        <v>545</v>
      </c>
      <c r="E57" s="14" t="s">
        <v>539</v>
      </c>
      <c r="F57" s="14" t="s">
        <v>571</v>
      </c>
      <c r="G57" s="14" t="s">
        <v>542</v>
      </c>
      <c r="H57" s="14" t="s">
        <v>546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558</v>
      </c>
      <c r="D58" s="53" t="s">
        <v>552</v>
      </c>
      <c r="E58" s="14" t="s">
        <v>539</v>
      </c>
      <c r="F58" s="14" t="s">
        <v>571</v>
      </c>
      <c r="G58" s="14" t="s">
        <v>542</v>
      </c>
      <c r="H58" s="14" t="s">
        <v>553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560</v>
      </c>
      <c r="D59" s="53" t="s">
        <v>166</v>
      </c>
      <c r="E59" s="14" t="s">
        <v>539</v>
      </c>
      <c r="F59" s="14" t="s">
        <v>571</v>
      </c>
      <c r="G59" s="14" t="s">
        <v>542</v>
      </c>
      <c r="H59" s="14" t="s">
        <v>549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660</v>
      </c>
      <c r="D60" s="53" t="s">
        <v>573</v>
      </c>
      <c r="E60" s="14" t="s">
        <v>539</v>
      </c>
      <c r="F60" s="14" t="s">
        <v>657</v>
      </c>
      <c r="G60" s="14" t="s">
        <v>573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659</v>
      </c>
      <c r="D61" s="53" t="s">
        <v>658</v>
      </c>
      <c r="E61" s="14" t="s">
        <v>539</v>
      </c>
      <c r="F61" s="14" t="s">
        <v>657</v>
      </c>
      <c r="G61" s="14" t="s">
        <v>658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885</v>
      </c>
      <c r="D62" s="53" t="s">
        <v>883</v>
      </c>
      <c r="E62" s="14" t="s">
        <v>539</v>
      </c>
      <c r="F62" s="14" t="s">
        <v>881</v>
      </c>
      <c r="G62" s="14" t="s">
        <v>883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884</v>
      </c>
      <c r="D63" s="53" t="s">
        <v>882</v>
      </c>
      <c r="E63" s="14" t="s">
        <v>539</v>
      </c>
      <c r="F63" s="14" t="s">
        <v>881</v>
      </c>
      <c r="G63" s="14" t="s">
        <v>882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874</v>
      </c>
      <c r="D64" s="53" t="s">
        <v>875</v>
      </c>
      <c r="E64" s="14" t="s">
        <v>539</v>
      </c>
      <c r="F64" s="14" t="s">
        <v>703</v>
      </c>
      <c r="G64" s="14" t="s">
        <v>704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705</v>
      </c>
      <c r="D65" s="53" t="s">
        <v>836</v>
      </c>
      <c r="E65" s="14" t="s">
        <v>539</v>
      </c>
      <c r="F65" s="14" t="s">
        <v>703</v>
      </c>
      <c r="G65" s="14" t="s">
        <v>704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706</v>
      </c>
      <c r="D66" s="53" t="s">
        <v>835</v>
      </c>
      <c r="E66" s="14" t="s">
        <v>539</v>
      </c>
      <c r="F66" s="14" t="s">
        <v>703</v>
      </c>
      <c r="G66" s="14" t="s">
        <v>704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707</v>
      </c>
      <c r="D67" s="53" t="s">
        <v>837</v>
      </c>
      <c r="E67" s="14" t="s">
        <v>539</v>
      </c>
      <c r="F67" s="14" t="s">
        <v>703</v>
      </c>
      <c r="G67" s="14" t="s">
        <v>704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838</v>
      </c>
      <c r="D68" s="53" t="s">
        <v>839</v>
      </c>
      <c r="E68" s="14" t="s">
        <v>539</v>
      </c>
      <c r="F68" s="14" t="s">
        <v>703</v>
      </c>
      <c r="G68" s="14" t="s">
        <v>704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708</v>
      </c>
      <c r="D69" s="53" t="s">
        <v>711</v>
      </c>
      <c r="E69" s="14" t="s">
        <v>539</v>
      </c>
      <c r="F69" s="14" t="s">
        <v>703</v>
      </c>
      <c r="G69" s="14" t="s">
        <v>704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709</v>
      </c>
      <c r="D70" s="53" t="s">
        <v>840</v>
      </c>
      <c r="E70" s="14" t="s">
        <v>539</v>
      </c>
      <c r="F70" s="14" t="s">
        <v>703</v>
      </c>
      <c r="G70" s="14" t="s">
        <v>704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710</v>
      </c>
      <c r="D71" s="53" t="s">
        <v>712</v>
      </c>
      <c r="E71" s="14" t="s">
        <v>539</v>
      </c>
      <c r="F71" s="14" t="s">
        <v>703</v>
      </c>
      <c r="G71" s="14" t="s">
        <v>704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842</v>
      </c>
      <c r="D72" s="53" t="s">
        <v>841</v>
      </c>
      <c r="E72" s="14" t="s">
        <v>539</v>
      </c>
      <c r="F72" s="14" t="s">
        <v>703</v>
      </c>
      <c r="G72" s="14" t="s">
        <v>704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878</v>
      </c>
      <c r="D73" s="53" t="s">
        <v>879</v>
      </c>
      <c r="E73" s="14" t="s">
        <v>539</v>
      </c>
      <c r="F73" s="14" t="s">
        <v>703</v>
      </c>
      <c r="G73" s="14" t="s">
        <v>704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876</v>
      </c>
      <c r="D74" s="53" t="s">
        <v>877</v>
      </c>
      <c r="E74" s="14" t="s">
        <v>539</v>
      </c>
      <c r="F74" s="14" t="s">
        <v>703</v>
      </c>
      <c r="G74" s="14" t="s">
        <v>704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859</v>
      </c>
      <c r="D75" s="53" t="s">
        <v>860</v>
      </c>
      <c r="E75" s="14" t="s">
        <v>539</v>
      </c>
      <c r="F75" s="14" t="s">
        <v>703</v>
      </c>
      <c r="G75" s="14" t="s">
        <v>704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653</v>
      </c>
      <c r="D76" s="53" t="s">
        <v>656</v>
      </c>
      <c r="E76" s="14" t="s">
        <v>539</v>
      </c>
      <c r="F76" s="14" t="s">
        <v>651</v>
      </c>
      <c r="G76" s="14" t="s">
        <v>652</v>
      </c>
      <c r="H76" s="14" t="s">
        <v>573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654</v>
      </c>
      <c r="D77" s="53" t="s">
        <v>655</v>
      </c>
      <c r="E77" s="14" t="s">
        <v>539</v>
      </c>
      <c r="F77" s="14" t="s">
        <v>651</v>
      </c>
      <c r="G77" s="14" t="s">
        <v>652</v>
      </c>
      <c r="H77" s="14" t="s">
        <v>334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504</v>
      </c>
      <c r="E78" s="14" t="s">
        <v>533</v>
      </c>
      <c r="F78" s="14" t="s">
        <v>334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576</v>
      </c>
      <c r="E79" s="14" t="s">
        <v>533</v>
      </c>
      <c r="F79" s="14" t="s">
        <v>334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506</v>
      </c>
      <c r="E80" s="14" t="s">
        <v>533</v>
      </c>
      <c r="F80" s="14" t="s">
        <v>334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577</v>
      </c>
      <c r="E81" s="14" t="s">
        <v>533</v>
      </c>
      <c r="F81" s="14" t="s">
        <v>334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519</v>
      </c>
      <c r="E82" s="14" t="s">
        <v>533</v>
      </c>
      <c r="F82" s="14" t="s">
        <v>334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588</v>
      </c>
      <c r="E83" s="14" t="s">
        <v>533</v>
      </c>
      <c r="F83" s="14" t="s">
        <v>334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508</v>
      </c>
      <c r="E84" s="14" t="s">
        <v>533</v>
      </c>
      <c r="F84" s="14" t="s">
        <v>334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239</v>
      </c>
      <c r="D85" s="53" t="s">
        <v>522</v>
      </c>
      <c r="E85" s="14" t="s">
        <v>533</v>
      </c>
      <c r="F85" s="14" t="s">
        <v>334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524</v>
      </c>
      <c r="E86" s="14" t="s">
        <v>533</v>
      </c>
      <c r="F86" s="14" t="s">
        <v>334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578</v>
      </c>
      <c r="E87" s="14" t="s">
        <v>533</v>
      </c>
      <c r="F87" s="14" t="s">
        <v>334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579</v>
      </c>
      <c r="E88" s="14" t="s">
        <v>533</v>
      </c>
      <c r="F88" s="14" t="s">
        <v>334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580</v>
      </c>
      <c r="E89" s="14" t="s">
        <v>533</v>
      </c>
      <c r="F89" s="14" t="s">
        <v>334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371</v>
      </c>
      <c r="D90" s="53" t="s">
        <v>581</v>
      </c>
      <c r="E90" s="14" t="s">
        <v>533</v>
      </c>
      <c r="F90" s="14" t="s">
        <v>334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582</v>
      </c>
      <c r="E91" s="14" t="s">
        <v>533</v>
      </c>
      <c r="F91" s="14" t="s">
        <v>334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511</v>
      </c>
      <c r="E92" s="14" t="s">
        <v>533</v>
      </c>
      <c r="F92" s="14" t="s">
        <v>334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596</v>
      </c>
      <c r="E93" s="14" t="s">
        <v>533</v>
      </c>
      <c r="F93" s="14" t="s">
        <v>334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589</v>
      </c>
      <c r="E94" s="14" t="s">
        <v>533</v>
      </c>
      <c r="F94" s="14" t="s">
        <v>334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376</v>
      </c>
      <c r="D95" s="53" t="s">
        <v>583</v>
      </c>
      <c r="E95" s="14" t="s">
        <v>533</v>
      </c>
      <c r="F95" s="14" t="s">
        <v>334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451</v>
      </c>
      <c r="D96" s="53" t="s">
        <v>584</v>
      </c>
      <c r="E96" s="14" t="s">
        <v>533</v>
      </c>
      <c r="F96" s="14" t="s">
        <v>334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455</v>
      </c>
      <c r="D97" s="53" t="s">
        <v>812</v>
      </c>
      <c r="E97" s="14" t="s">
        <v>533</v>
      </c>
      <c r="F97" s="14" t="s">
        <v>334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367</v>
      </c>
      <c r="D98" s="53" t="s">
        <v>585</v>
      </c>
      <c r="E98" s="14" t="s">
        <v>533</v>
      </c>
      <c r="F98" s="14" t="s">
        <v>334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381</v>
      </c>
      <c r="D99" s="53" t="s">
        <v>586</v>
      </c>
      <c r="E99" s="14" t="s">
        <v>533</v>
      </c>
      <c r="F99" s="14" t="s">
        <v>334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502</v>
      </c>
      <c r="D100" s="53" t="s">
        <v>514</v>
      </c>
      <c r="E100" s="14" t="s">
        <v>533</v>
      </c>
      <c r="F100" s="14" t="s">
        <v>334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369</v>
      </c>
      <c r="D101" s="53" t="s">
        <v>587</v>
      </c>
      <c r="E101" s="14" t="s">
        <v>533</v>
      </c>
      <c r="F101" s="14" t="s">
        <v>334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457</v>
      </c>
      <c r="D102" s="53" t="s">
        <v>516</v>
      </c>
      <c r="E102" s="14" t="s">
        <v>533</v>
      </c>
      <c r="F102" s="14" t="s">
        <v>334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467</v>
      </c>
      <c r="D103" s="53" t="s">
        <v>813</v>
      </c>
      <c r="E103" s="14" t="s">
        <v>533</v>
      </c>
      <c r="F103" s="14" t="s">
        <v>334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409</v>
      </c>
      <c r="D104" s="53" t="s">
        <v>591</v>
      </c>
      <c r="E104" s="14" t="s">
        <v>533</v>
      </c>
      <c r="F104" s="14" t="s">
        <v>538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245</v>
      </c>
      <c r="D105" s="53" t="s">
        <v>604</v>
      </c>
      <c r="E105" s="14" t="s">
        <v>533</v>
      </c>
      <c r="F105" s="14" t="s">
        <v>538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237</v>
      </c>
      <c r="D106" s="53" t="s">
        <v>592</v>
      </c>
      <c r="E106" s="14" t="s">
        <v>533</v>
      </c>
      <c r="F106" s="14" t="s">
        <v>538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238</v>
      </c>
      <c r="D107" s="53" t="s">
        <v>750</v>
      </c>
      <c r="E107" s="14" t="s">
        <v>533</v>
      </c>
      <c r="F107" s="14" t="s">
        <v>538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383</v>
      </c>
      <c r="D108" s="53" t="s">
        <v>593</v>
      </c>
      <c r="E108" s="14" t="s">
        <v>533</v>
      </c>
      <c r="F108" s="14" t="s">
        <v>538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244</v>
      </c>
      <c r="D109" s="53" t="s">
        <v>751</v>
      </c>
      <c r="E109" s="14" t="s">
        <v>533</v>
      </c>
      <c r="F109" s="14" t="s">
        <v>538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594</v>
      </c>
      <c r="D110" s="53" t="s">
        <v>752</v>
      </c>
      <c r="E110" s="14" t="s">
        <v>533</v>
      </c>
      <c r="F110" s="14" t="s">
        <v>538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965</v>
      </c>
      <c r="D111" s="53" t="s">
        <v>753</v>
      </c>
      <c r="E111" s="14" t="s">
        <v>533</v>
      </c>
      <c r="F111" s="14" t="s">
        <v>538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384</v>
      </c>
      <c r="D112" s="53" t="s">
        <v>956</v>
      </c>
      <c r="E112" s="14" t="s">
        <v>533</v>
      </c>
      <c r="F112" s="14" t="s">
        <v>538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957</v>
      </c>
      <c r="D113" s="53" t="s">
        <v>754</v>
      </c>
      <c r="E113" s="14" t="s">
        <v>533</v>
      </c>
      <c r="F113" s="14" t="s">
        <v>538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241</v>
      </c>
      <c r="D114" s="53" t="s">
        <v>758</v>
      </c>
      <c r="E114" s="14" t="s">
        <v>533</v>
      </c>
      <c r="F114" s="14" t="s">
        <v>538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590</v>
      </c>
      <c r="D115" s="53" t="s">
        <v>958</v>
      </c>
      <c r="E115" s="14" t="s">
        <v>533</v>
      </c>
      <c r="F115" s="14" t="s">
        <v>538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372</v>
      </c>
      <c r="D116" s="53" t="s">
        <v>959</v>
      </c>
      <c r="E116" s="14" t="s">
        <v>533</v>
      </c>
      <c r="F116" s="14" t="s">
        <v>538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243</v>
      </c>
      <c r="D117" s="53" t="s">
        <v>960</v>
      </c>
      <c r="E117" s="14" t="s">
        <v>533</v>
      </c>
      <c r="F117" s="14" t="s">
        <v>538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387</v>
      </c>
      <c r="D118" s="53" t="s">
        <v>961</v>
      </c>
      <c r="E118" s="14" t="s">
        <v>533</v>
      </c>
      <c r="F118" s="14" t="s">
        <v>538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242</v>
      </c>
      <c r="D119" s="53" t="s">
        <v>962</v>
      </c>
      <c r="E119" s="14" t="s">
        <v>533</v>
      </c>
      <c r="F119" s="14" t="s">
        <v>538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240</v>
      </c>
      <c r="D120" s="53" t="s">
        <v>599</v>
      </c>
      <c r="E120" s="14" t="s">
        <v>533</v>
      </c>
      <c r="F120" s="14" t="s">
        <v>538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246</v>
      </c>
      <c r="D121" s="53" t="s">
        <v>598</v>
      </c>
      <c r="E121" s="14" t="s">
        <v>533</v>
      </c>
      <c r="F121" s="14" t="s">
        <v>538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831</v>
      </c>
      <c r="D122" s="53" t="s">
        <v>755</v>
      </c>
      <c r="E122" s="14" t="s">
        <v>533</v>
      </c>
      <c r="F122" s="14" t="s">
        <v>538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964</v>
      </c>
      <c r="D123" s="53" t="s">
        <v>601</v>
      </c>
      <c r="E123" s="14" t="s">
        <v>533</v>
      </c>
      <c r="F123" s="14" t="s">
        <v>538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967</v>
      </c>
      <c r="D124" s="53" t="s">
        <v>756</v>
      </c>
      <c r="E124" s="14" t="s">
        <v>533</v>
      </c>
      <c r="F124" s="14" t="s">
        <v>538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385</v>
      </c>
      <c r="D125" s="53" t="s">
        <v>602</v>
      </c>
      <c r="E125" s="14" t="s">
        <v>533</v>
      </c>
      <c r="F125" s="14" t="s">
        <v>538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966</v>
      </c>
      <c r="D126" s="55" t="s">
        <v>757</v>
      </c>
      <c r="E126" s="14" t="s">
        <v>533</v>
      </c>
      <c r="F126" s="14" t="s">
        <v>538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382</v>
      </c>
      <c r="D127" s="53" t="s">
        <v>824</v>
      </c>
      <c r="E127" s="14" t="s">
        <v>533</v>
      </c>
      <c r="F127" s="14" t="s">
        <v>538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458</v>
      </c>
      <c r="D128" s="53" t="s">
        <v>609</v>
      </c>
      <c r="E128" s="14" t="s">
        <v>533</v>
      </c>
      <c r="F128" s="14" t="s">
        <v>538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468</v>
      </c>
      <c r="D129" s="53" t="s">
        <v>610</v>
      </c>
      <c r="E129" s="14" t="s">
        <v>533</v>
      </c>
      <c r="F129" s="14" t="s">
        <v>538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414</v>
      </c>
      <c r="D130" s="53" t="s">
        <v>611</v>
      </c>
      <c r="E130" s="14" t="s">
        <v>533</v>
      </c>
      <c r="F130" s="14" t="s">
        <v>361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792</v>
      </c>
      <c r="D131" s="53" t="s">
        <v>802</v>
      </c>
      <c r="E131" s="14" t="s">
        <v>533</v>
      </c>
      <c r="F131" s="14" t="s">
        <v>361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793</v>
      </c>
      <c r="D132" s="53" t="s">
        <v>801</v>
      </c>
      <c r="E132" s="14" t="s">
        <v>533</v>
      </c>
      <c r="F132" s="14" t="s">
        <v>361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410</v>
      </c>
      <c r="D133" s="53" t="s">
        <v>823</v>
      </c>
      <c r="E133" s="14" t="s">
        <v>533</v>
      </c>
      <c r="F133" s="14" t="s">
        <v>361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794</v>
      </c>
      <c r="D134" s="53" t="s">
        <v>800</v>
      </c>
      <c r="E134" s="14" t="s">
        <v>533</v>
      </c>
      <c r="F134" s="14" t="s">
        <v>361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814</v>
      </c>
      <c r="D135" s="53" t="s">
        <v>818</v>
      </c>
      <c r="E135" s="14" t="s">
        <v>533</v>
      </c>
      <c r="F135" s="14" t="s">
        <v>361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448</v>
      </c>
      <c r="D136" s="53" t="s">
        <v>822</v>
      </c>
      <c r="E136" s="14" t="s">
        <v>533</v>
      </c>
      <c r="F136" s="14" t="s">
        <v>361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694</v>
      </c>
      <c r="D137" s="53" t="s">
        <v>695</v>
      </c>
      <c r="E137" s="14" t="s">
        <v>533</v>
      </c>
      <c r="F137" s="14" t="s">
        <v>361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796</v>
      </c>
      <c r="D138" s="53" t="s">
        <v>821</v>
      </c>
      <c r="E138" s="14" t="s">
        <v>533</v>
      </c>
      <c r="F138" s="14" t="s">
        <v>361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380</v>
      </c>
      <c r="D139" s="53" t="s">
        <v>612</v>
      </c>
      <c r="E139" s="14" t="s">
        <v>533</v>
      </c>
      <c r="F139" s="14" t="s">
        <v>361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390</v>
      </c>
      <c r="D140" s="53" t="s">
        <v>819</v>
      </c>
      <c r="E140" s="14" t="s">
        <v>533</v>
      </c>
      <c r="F140" s="14" t="s">
        <v>361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817</v>
      </c>
      <c r="D141" s="53" t="s">
        <v>820</v>
      </c>
      <c r="E141" s="14" t="s">
        <v>533</v>
      </c>
      <c r="F141" s="14" t="s">
        <v>361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449</v>
      </c>
      <c r="D142" s="53" t="s">
        <v>613</v>
      </c>
      <c r="E142" s="14" t="s">
        <v>533</v>
      </c>
      <c r="F142" s="14" t="s">
        <v>361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419</v>
      </c>
      <c r="D143" s="53" t="s">
        <v>614</v>
      </c>
      <c r="E143" s="14" t="s">
        <v>533</v>
      </c>
      <c r="F143" s="14" t="s">
        <v>361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797</v>
      </c>
      <c r="D144" s="53" t="s">
        <v>829</v>
      </c>
      <c r="E144" s="14" t="s">
        <v>533</v>
      </c>
      <c r="F144" s="14" t="s">
        <v>361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308</v>
      </c>
      <c r="D145" s="53" t="s">
        <v>615</v>
      </c>
      <c r="E145" s="14" t="s">
        <v>533</v>
      </c>
      <c r="F145" s="14" t="s">
        <v>361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393</v>
      </c>
      <c r="D146" s="53" t="s">
        <v>616</v>
      </c>
      <c r="E146" s="14" t="s">
        <v>533</v>
      </c>
      <c r="F146" s="14" t="s">
        <v>361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452</v>
      </c>
      <c r="D147" s="53" t="s">
        <v>833</v>
      </c>
      <c r="E147" s="14" t="s">
        <v>533</v>
      </c>
      <c r="F147" s="14" t="s">
        <v>361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412</v>
      </c>
      <c r="D148" s="53" t="s">
        <v>832</v>
      </c>
      <c r="E148" s="14" t="s">
        <v>533</v>
      </c>
      <c r="F148" s="14" t="s">
        <v>361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795</v>
      </c>
      <c r="D149" s="53" t="s">
        <v>803</v>
      </c>
      <c r="E149" s="14" t="s">
        <v>533</v>
      </c>
      <c r="F149" s="14" t="s">
        <v>361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368</v>
      </c>
      <c r="D150" s="53" t="s">
        <v>617</v>
      </c>
      <c r="E150" s="14" t="s">
        <v>533</v>
      </c>
      <c r="F150" s="14" t="s">
        <v>361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501</v>
      </c>
      <c r="D151" s="53" t="s">
        <v>828</v>
      </c>
      <c r="E151" s="14" t="s">
        <v>533</v>
      </c>
      <c r="F151" s="14" t="s">
        <v>361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503</v>
      </c>
      <c r="D152" s="53" t="s">
        <v>827</v>
      </c>
      <c r="E152" s="14" t="s">
        <v>533</v>
      </c>
      <c r="F152" s="14" t="s">
        <v>361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499</v>
      </c>
      <c r="D153" s="53" t="s">
        <v>826</v>
      </c>
      <c r="E153" s="14" t="s">
        <v>533</v>
      </c>
      <c r="F153" s="14" t="s">
        <v>361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459</v>
      </c>
      <c r="D154" s="53" t="s">
        <v>618</v>
      </c>
      <c r="E154" s="14" t="s">
        <v>533</v>
      </c>
      <c r="F154" s="14" t="s">
        <v>361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500</v>
      </c>
      <c r="D155" s="53" t="s">
        <v>825</v>
      </c>
      <c r="E155" s="14" t="s">
        <v>533</v>
      </c>
      <c r="F155" s="14" t="s">
        <v>361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798</v>
      </c>
      <c r="D156" s="63" t="s">
        <v>799</v>
      </c>
      <c r="E156" s="14" t="s">
        <v>533</v>
      </c>
      <c r="F156" s="14" t="s">
        <v>362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386</v>
      </c>
      <c r="D157" s="63" t="s">
        <v>619</v>
      </c>
      <c r="E157" s="14" t="s">
        <v>533</v>
      </c>
      <c r="F157" s="14" t="s">
        <v>362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620</v>
      </c>
      <c r="E158" s="14" t="s">
        <v>533</v>
      </c>
      <c r="F158" s="14" t="s">
        <v>362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815</v>
      </c>
      <c r="D159" s="53" t="s">
        <v>816</v>
      </c>
      <c r="E159" s="14" t="s">
        <v>533</v>
      </c>
      <c r="F159" s="14" t="s">
        <v>362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497</v>
      </c>
      <c r="D160" s="53" t="s">
        <v>621</v>
      </c>
      <c r="E160" s="14" t="s">
        <v>533</v>
      </c>
      <c r="F160" s="14" t="s">
        <v>362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454</v>
      </c>
      <c r="D161" s="53" t="s">
        <v>622</v>
      </c>
      <c r="E161" s="14" t="s">
        <v>533</v>
      </c>
      <c r="F161" s="14" t="s">
        <v>362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830</v>
      </c>
      <c r="D162" s="53" t="s">
        <v>834</v>
      </c>
      <c r="E162" s="14" t="s">
        <v>533</v>
      </c>
      <c r="F162" s="14" t="s">
        <v>362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2023-10-27T16:07:47Z</dcterms:modified>
  <cp:version>1200.0100.01</cp:version>
</cp:coreProperties>
</file>