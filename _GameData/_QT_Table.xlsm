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ocuments\QT_Proto\_GameData\"/>
    </mc:Choice>
  </mc:AlternateContent>
  <bookViews>
    <workbookView xWindow="25485" yWindow="-13815" windowWidth="21825" windowHeight="38625" firstSheet="13" activeTab="17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1" l="1"/>
  <c r="P30" i="2" l="1"/>
  <c r="P31" i="2" s="1"/>
  <c r="P32" i="2" s="1"/>
  <c r="P33" i="2" s="1"/>
  <c r="P34" i="2" s="1"/>
  <c r="P35" i="2" s="1"/>
  <c r="P36" i="2" s="1"/>
  <c r="P37" i="2" s="1"/>
  <c r="P38" i="2" s="1"/>
  <c r="K31" i="2"/>
  <c r="M30" i="2"/>
  <c r="M31" i="2"/>
  <c r="M32" i="2"/>
  <c r="M29" i="2"/>
  <c r="M33" i="2" s="1"/>
  <c r="O19" i="9"/>
  <c r="O20" i="9"/>
  <c r="O5" i="9"/>
  <c r="O6" i="9"/>
  <c r="O7" i="9"/>
  <c r="O8" i="9"/>
  <c r="O9" i="9"/>
  <c r="O12" i="9"/>
  <c r="O13" i="9"/>
  <c r="O14" i="9"/>
  <c r="I19" i="16"/>
  <c r="B19" i="16" s="1"/>
  <c r="I14" i="10"/>
  <c r="H14" i="10"/>
  <c r="I13" i="10"/>
  <c r="H13" i="10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3" i="9"/>
  <c r="E22" i="9"/>
  <c r="E21" i="9"/>
  <c r="E20" i="9"/>
  <c r="E19" i="9"/>
  <c r="K13" i="2"/>
  <c r="M20" i="2" s="1"/>
  <c r="N20" i="2" s="1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K14" i="2"/>
  <c r="K21" i="2" s="1"/>
  <c r="L21" i="2" s="1"/>
  <c r="K15" i="2"/>
  <c r="O22" i="2" s="1"/>
  <c r="P22" i="2" s="1"/>
  <c r="M21" i="2" l="1"/>
  <c r="N21" i="2" s="1"/>
  <c r="O21" i="2"/>
  <c r="P21" i="2" s="1"/>
  <c r="Q21" i="2" s="1"/>
  <c r="O20" i="2"/>
  <c r="P20" i="2" s="1"/>
  <c r="L32" i="19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O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36" i="14"/>
  <c r="R21" i="14"/>
  <c r="R22" i="14"/>
  <c r="R30" i="14"/>
  <c r="R19" i="14"/>
  <c r="R34" i="14"/>
  <c r="R38" i="14"/>
  <c r="R33" i="14"/>
  <c r="R10" i="14"/>
  <c r="R16" i="14"/>
  <c r="R17" i="14"/>
  <c r="R35" i="14"/>
  <c r="R37" i="14"/>
  <c r="R23" i="14"/>
  <c r="R6" i="14"/>
  <c r="R20" i="14"/>
  <c r="R28" i="14"/>
  <c r="R18" i="14"/>
  <c r="R13" i="14"/>
  <c r="R39" i="14"/>
  <c r="R12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0" i="14"/>
  <c r="R41" i="14"/>
  <c r="R24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5" i="2" l="1"/>
  <c r="P14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>
  <authors>
    <author>Bang</author>
  </authors>
  <commentList>
    <comment ref="K31" authorId="0" shapeId="0">
      <text>
        <r>
          <rPr>
            <b/>
            <sz val="9"/>
            <color indexed="81"/>
            <rFont val="돋움"/>
            <family val="3"/>
            <charset val="129"/>
          </rPr>
          <t>기본템</t>
        </r>
        <r>
          <rPr>
            <b/>
            <sz val="9"/>
            <color indexed="81"/>
            <rFont val="Tahoma"/>
            <family val="2"/>
          </rPr>
          <t xml:space="preserve"> 30
</t>
        </r>
        <r>
          <rPr>
            <b/>
            <sz val="9"/>
            <color indexed="81"/>
            <rFont val="돋움"/>
            <family val="3"/>
            <charset val="129"/>
          </rPr>
          <t>희귀템</t>
        </r>
        <r>
          <rPr>
            <b/>
            <sz val="9"/>
            <color indexed="81"/>
            <rFont val="Tahoma"/>
            <family val="2"/>
          </rPr>
          <t xml:space="preserve"> 50
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</text>
    </comment>
    <comment ref="K32" authorId="0" shapeId="0">
      <text>
        <r>
          <rPr>
            <sz val="9"/>
            <color indexed="81"/>
            <rFont val="돋움"/>
            <family val="3"/>
            <charset val="129"/>
          </rPr>
          <t>삼각김곰이</t>
        </r>
        <r>
          <rPr>
            <sz val="9"/>
            <color indexed="81"/>
            <rFont val="Tahoma"/>
            <family val="2"/>
          </rPr>
          <t xml:space="preserve"> 30</t>
        </r>
        <r>
          <rPr>
            <sz val="9"/>
            <color indexed="81"/>
            <rFont val="돋움"/>
            <family val="3"/>
            <charset val="129"/>
          </rPr>
          <t>골드이므로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생각함</t>
        </r>
      </text>
    </comment>
  </commentList>
</comments>
</file>

<file path=xl/comments2.xml><?xml version="1.0" encoding="utf-8"?>
<comments xmlns="http://schemas.openxmlformats.org/spreadsheetml/2006/main">
  <authors>
    <author>김동주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김동주</author>
    <author>Kim_Dongju</author>
  </authors>
  <commentList>
    <comment ref="F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<sst xmlns="http://schemas.openxmlformats.org/spreadsheetml/2006/main" count="2829" uniqueCount="1179">
  <si>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</si>
  <si>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</si>
  <si>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</si>
  <si>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</si>
  <si>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</si>
  <si>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</si>
  <si>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</si>
  <si>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</si>
  <si>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</si>
  <si>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</si>
  <si>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</si>
  <si>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</si>
  <si>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</si>
  <si>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</si>
  <si>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</si>
  <si>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</si>
  <si>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</si>
  <si>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</si>
  <si>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</si>
  <si>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</si>
  <si>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</si>
  <si>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</si>
  <si>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</si>
  <si>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</si>
  <si>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</si>
  <si>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</si>
  <si>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</si>
  <si>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</si>
  <si>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</si>
  <si>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</si>
  <si>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</si>
  <si>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</si>
  <si>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</si>
  <si>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</si>
  <si>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</si>
  <si>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</si>
  <si>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</si>
  <si>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</si>
  <si>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</si>
  <si>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</si>
  <si>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</si>
  <si>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</si>
  <si>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</si>
  <si>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</si>
  <si>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</si>
  <si>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</si>
  <si>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</si>
  <si>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</si>
  <si>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</si>
  <si>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</si>
  <si>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</si>
  <si>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</si>
  <si>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</si>
  <si>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</si>
  <si>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</si>
  <si>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</si>
  <si>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</si>
  <si>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</si>
  <si>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</si>
  <si>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</si>
  <si>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</si>
  <si>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</si>
  <si>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</si>
  <si>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</si>
  <si>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</si>
  <si>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</si>
  <si>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</si>
  <si>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</si>
  <si>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</si>
  <si>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</si>
  <si>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</si>
  <si>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</si>
  <si>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</si>
  <si>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</si>
  <si>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</si>
  <si>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</si>
  <si>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</si>
  <si>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</si>
  <si>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</si>
  <si>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</si>
  <si>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</si>
  <si>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</si>
  <si>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</si>
  <si>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</si>
  <si>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</si>
  <si>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</si>
  <si>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</si>
  <si>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</si>
  <si>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</si>
  <si>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</si>
  <si>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</si>
  <si>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</si>
  <si>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</si>
  <si>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</si>
  <si>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</si>
  <si>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</si>
  <si>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</si>
  <si>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</si>
  <si>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</si>
  <si>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</si>
  <si>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</si>
  <si>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</si>
  <si>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</si>
  <si>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</si>
  <si>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</si>
  <si>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</si>
  <si>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</si>
  <si>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</si>
  <si>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</si>
  <si>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</si>
  <si>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</si>
  <si>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</si>
  <si>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</si>
  <si>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</si>
  <si>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</si>
  <si>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</si>
  <si>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</si>
  <si>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</si>
  <si>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</si>
  <si>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</si>
  <si>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</si>
  <si>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</si>
  <si>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</si>
  <si>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</si>
  <si>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</si>
  <si>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</si>
  <si>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</si>
  <si>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</si>
  <si>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</si>
  <si>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</si>
  <si>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</si>
  <si>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</si>
  <si>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</si>
  <si>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</si>
  <si>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</si>
  <si>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</si>
  <si>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</si>
  <si>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</si>
  <si>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</si>
  <si>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</si>
  <si>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</si>
  <si>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</si>
  <si>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</si>
  <si>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</si>
  <si>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</si>
  <si>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</si>
  <si>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</si>
  <si>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</si>
  <si>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</si>
  <si>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</si>
  <si>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</si>
  <si>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</si>
  <si>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</si>
  <si>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</si>
  <si>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</si>
  <si>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</si>
  <si>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</si>
  <si>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</si>
  <si>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</si>
  <si>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</si>
  <si>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</si>
  <si>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</si>
  <si>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</si>
  <si>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</si>
  <si>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</si>
  <si>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</si>
  <si>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</si>
  <si>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</si>
  <si>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</si>
  <si>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</si>
  <si>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</si>
  <si>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</si>
  <si>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</si>
  <si>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</si>
  <si>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</si>
  <si>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</si>
  <si>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</si>
  <si>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</si>
  <si>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</si>
  <si>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</si>
  <si>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</si>
  <si>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</si>
  <si>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</si>
  <si>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</si>
  <si>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</si>
  <si>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</si>
  <si>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</si>
  <si>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</si>
  <si>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</si>
  <si>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</si>
  <si>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</si>
  <si>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</si>
  <si>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</si>
  <si>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</si>
  <si>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</si>
  <si>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</si>
  <si>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</si>
  <si>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</si>
  <si>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</si>
  <si>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</si>
  <si>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</si>
  <si>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</si>
  <si>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</si>
  <si>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</si>
  <si>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</si>
  <si>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</si>
  <si>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</si>
  <si>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</si>
  <si>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</si>
  <si>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</si>
  <si>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</si>
  <si>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</si>
  <si>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</si>
  <si>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</si>
  <si>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</si>
  <si>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</si>
  <si>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</si>
  <si>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</si>
  <si>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</si>
  <si>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</si>
  <si>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</si>
  <si>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</si>
  <si>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</si>
  <si>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</si>
  <si>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</si>
  <si>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</si>
  <si>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</si>
  <si>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</si>
  <si>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</si>
  <si>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</si>
  <si>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</si>
  <si>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</si>
  <si>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</si>
  <si>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</si>
  <si>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</si>
  <si>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</si>
  <si>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</si>
  <si>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</si>
  <si>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</si>
  <si>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</si>
  <si>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</si>
  <si>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</si>
  <si>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</si>
  <si>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</si>
  <si>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</si>
  <si>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</si>
  <si>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</si>
  <si>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</si>
  <si>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</si>
  <si>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</si>
  <si>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</si>
  <si>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</si>
  <si>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</si>
  <si>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</si>
  <si>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</si>
  <si>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</si>
  <si>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</si>
  <si>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</si>
  <si>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</si>
  <si>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</si>
  <si>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</si>
  <si>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</si>
  <si>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</si>
  <si>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</si>
  <si>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</si>
  <si>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</si>
  <si>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</si>
  <si>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</si>
  <si>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</si>
  <si>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</si>
  <si>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</si>
  <si>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</si>
  <si>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</si>
  <si>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</si>
  <si>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</si>
  <si>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</si>
  <si>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</si>
  <si>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</si>
  <si>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</si>
  <si>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</si>
  <si>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</si>
  <si>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</si>
  <si>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</si>
  <si>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</si>
  <si>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</si>
  <si>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</si>
  <si>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</si>
  <si>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</si>
  <si>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</si>
  <si>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</si>
  <si>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</si>
  <si>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</si>
  <si>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</si>
  <si>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</si>
  <si>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</si>
  <si>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</si>
  <si>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</si>
  <si>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</si>
  <si>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</si>
  <si>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</si>
  <si>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</si>
  <si>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</si>
  <si>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</si>
  <si>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</si>
  <si>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</si>
  <si>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</si>
  <si>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</si>
  <si>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</si>
  <si>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</si>
  <si>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</si>
  <si>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</si>
  <si>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</si>
  <si>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</si>
  <si>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</si>
  <si>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</si>
  <si>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</si>
  <si>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</si>
  <si>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</si>
  <si>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</si>
  <si>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</si>
  <si>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</si>
  <si>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</si>
  <si>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</si>
  <si>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</si>
  <si>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</si>
  <si>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</si>
  <si>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</si>
  <si>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</si>
  <si>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</si>
  <si>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</si>
  <si>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</si>
  <si>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</si>
  <si>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</si>
  <si>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</si>
  <si>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</si>
  <si>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</si>
  <si>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</si>
  <si>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</si>
  <si>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</si>
  <si>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</si>
  <si>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</si>
  <si>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</si>
  <si>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</si>
  <si>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</si>
  <si>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</si>
  <si>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</si>
  <si>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</si>
  <si>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</si>
  <si>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</si>
  <si>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</si>
  <si>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</si>
  <si>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</si>
  <si>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</si>
  <si>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</si>
  <si>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</si>
  <si>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</si>
  <si>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</si>
  <si>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</si>
  <si>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</si>
  <si>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</si>
  <si>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</si>
  <si>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</si>
  <si>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</si>
  <si>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</si>
  <si>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</si>
  <si>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</si>
  <si>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</si>
  <si>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</si>
  <si>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</si>
  <si>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</si>
  <si>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</si>
  <si>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</si>
  <si>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</si>
  <si>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</si>
  <si>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</si>
  <si>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</si>
  <si>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</si>
  <si>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</si>
  <si>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</si>
  <si>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</si>
  <si>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</si>
  <si>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</si>
  <si>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</si>
  <si>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</si>
  <si>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</si>
  <si>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</si>
  <si>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</si>
  <si>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</si>
  <si>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</si>
  <si>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</si>
  <si>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</si>
  <si>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</si>
  <si>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</si>
  <si>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</si>
  <si>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</si>
  <si>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</si>
  <si>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</si>
  <si>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</si>
  <si>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</si>
  <si>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</si>
  <si>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</si>
  <si>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</si>
  <si>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</si>
  <si>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</si>
  <si>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</si>
  <si>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</si>
  <si>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</si>
  <si>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</si>
  <si>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</si>
  <si>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</si>
  <si>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</si>
  <si>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</si>
  <si>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</si>
  <si>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</si>
  <si>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</si>
  <si>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</si>
  <si>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</si>
  <si>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</si>
  <si>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</si>
  <si>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</si>
  <si>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</si>
  <si>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</si>
  <si>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</si>
  <si>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</si>
  <si>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</si>
  <si>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</si>
  <si>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</si>
  <si>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</si>
  <si>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</si>
  <si>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</si>
  <si>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</si>
  <si>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</si>
  <si>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</si>
  <si>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</si>
  <si>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</si>
  <si>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</si>
  <si>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</si>
  <si>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</si>
  <si>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</si>
  <si>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</si>
  <si>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</si>
  <si>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</si>
  <si>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</si>
  <si>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</si>
  <si>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</si>
  <si>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</si>
  <si>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</si>
  <si>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</si>
  <si>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</si>
  <si>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</si>
  <si>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</si>
  <si>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</si>
  <si>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</si>
  <si>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</si>
  <si>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</si>
  <si>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</si>
  <si>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</si>
  <si>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</si>
  <si>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</si>
  <si>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</si>
  <si>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</si>
  <si>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</si>
  <si>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</si>
  <si>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</si>
  <si>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</si>
  <si>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</si>
  <si>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</si>
  <si>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</si>
  <si>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</si>
  <si>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</si>
  <si>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</si>
  <si>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</si>
  <si>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</si>
  <si>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</si>
  <si>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</si>
  <si>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</si>
  <si>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</si>
  <si>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</si>
  <si>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</si>
  <si>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</si>
  <si>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</si>
  <si>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</si>
  <si>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</si>
  <si>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</si>
  <si>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</si>
  <si>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</si>
  <si>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</si>
  <si>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</si>
  <si>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</si>
  <si>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</si>
  <si>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</si>
  <si>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</si>
  <si>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</si>
  <si>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</si>
  <si>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</si>
  <si>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</si>
  <si>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</si>
  <si>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</si>
  <si>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</si>
  <si>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</si>
  <si>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</si>
  <si>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</si>
  <si>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</si>
  <si>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</si>
  <si>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</si>
  <si>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</si>
  <si>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</si>
  <si>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</si>
  <si>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</si>
  <si>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</si>
  <si>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</si>
  <si>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</si>
  <si>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</si>
  <si>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</si>
  <si>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</si>
  <si>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</si>
  <si>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</si>
  <si>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</si>
  <si>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</si>
  <si>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</si>
  <si>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</si>
  <si>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</si>
  <si>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</si>
  <si>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</si>
  <si>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</si>
  <si>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</si>
  <si>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</si>
  <si>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</si>
  <si>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</si>
  <si>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</si>
  <si>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</si>
  <si>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</si>
  <si>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</si>
  <si>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</si>
  <si>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</si>
  <si>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</si>
  <si>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</si>
  <si>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</si>
  <si>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</si>
  <si>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</si>
  <si>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</si>
  <si>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</si>
  <si>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</si>
  <si>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</si>
  <si>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</si>
  <si>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</si>
  <si>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</si>
  <si>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</si>
  <si>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</si>
  <si>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</si>
  <si>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</si>
  <si>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</si>
  <si>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</si>
  <si>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</si>
  <si>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</si>
  <si>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</si>
  <si>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</si>
  <si>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</si>
  <si>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</si>
  <si>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</si>
  <si>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</si>
  <si>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</si>
  <si>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</si>
  <si>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</si>
  <si>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</si>
  <si>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</si>
  <si>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</si>
  <si>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</si>
  <si>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</si>
  <si>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</si>
  <si>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</si>
  <si>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</si>
  <si>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</si>
  <si>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</si>
  <si>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</si>
  <si>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</si>
  <si>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</si>
  <si>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</si>
  <si>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</si>
  <si>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</si>
  <si>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</si>
  <si>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</si>
  <si>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</si>
  <si>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</si>
  <si>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</si>
  <si>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</si>
  <si>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</si>
  <si>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</si>
  <si>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</si>
  <si>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</si>
  <si>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</si>
  <si>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</si>
  <si>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</si>
  <si>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</si>
  <si>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</si>
  <si>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</si>
  <si>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</si>
  <si>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</si>
  <si>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</si>
  <si>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</si>
  <si>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</si>
  <si>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</si>
  <si>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</si>
  <si>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</si>
  <si>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</si>
  <si>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</si>
  <si>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</si>
  <si>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</si>
  <si>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</si>
  <si>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</si>
  <si>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</si>
  <si>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</si>
  <si>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</si>
  <si>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</si>
  <si>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</si>
  <si>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</si>
  <si>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</si>
  <si>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</si>
  <si>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</si>
  <si>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</si>
  <si>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</si>
  <si>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</si>
  <si>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</si>
  <si>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</si>
  <si>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</si>
  <si>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</si>
  <si>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</si>
  <si>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</si>
  <si>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</si>
  <si>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</si>
  <si>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</si>
  <si>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</si>
  <si>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</si>
  <si>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</si>
  <si>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</si>
  <si>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</si>
  <si>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</si>
  <si>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</si>
  <si>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</si>
  <si>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</si>
  <si>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</si>
  <si>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</si>
  <si>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</si>
  <si>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</si>
  <si>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</si>
  <si>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</si>
  <si>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</si>
  <si>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</si>
  <si>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</si>
  <si>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</si>
  <si>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</si>
  <si>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</si>
  <si>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</si>
  <si>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</si>
  <si>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</si>
  <si>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</si>
  <si>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</si>
  <si>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</si>
  <si>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</si>
  <si>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</si>
  <si>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</si>
  <si>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</si>
  <si>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</si>
  <si>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</si>
  <si>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</si>
  <si>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</si>
  <si>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</si>
  <si>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</si>
  <si>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</si>
  <si>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</si>
  <si>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</si>
  <si>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</si>
  <si>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</si>
  <si>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</si>
  <si>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</si>
  <si>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</si>
  <si>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</si>
  <si>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</si>
  <si>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</si>
  <si>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</si>
  <si>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</si>
  <si>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</si>
  <si>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</si>
  <si>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</si>
  <si>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</si>
  <si>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</si>
  <si>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</si>
  <si>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</si>
  <si>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</si>
  <si>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</si>
  <si>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</si>
  <si>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</si>
  <si>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</si>
  <si>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</si>
  <si>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</si>
  <si>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</si>
  <si>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</si>
  <si>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</si>
  <si>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</si>
  <si>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</si>
  <si>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</si>
  <si>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</si>
  <si>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</si>
  <si>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</si>
  <si>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</si>
  <si>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</si>
  <si>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</si>
  <si>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</si>
  <si>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</si>
  <si>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</si>
  <si>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</si>
  <si>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</si>
  <si>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</si>
  <si>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</si>
  <si>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</si>
  <si>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</si>
  <si>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</si>
  <si>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</si>
  <si>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</si>
  <si>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</si>
  <si>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</si>
  <si>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</si>
  <si>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</si>
  <si>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</si>
  <si>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</si>
  <si>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</si>
  <si>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</si>
  <si>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</si>
  <si>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</si>
  <si>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</si>
  <si>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</si>
  <si>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</si>
  <si>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</si>
  <si>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</si>
  <si>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</si>
  <si>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</si>
  <si>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</si>
  <si>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</si>
  <si>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</si>
  <si>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</si>
  <si>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</si>
  <si>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</si>
  <si>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</si>
  <si>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</si>
  <si>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</si>
  <si>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</si>
  <si>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</si>
  <si>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</si>
  <si>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</si>
  <si>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</si>
  <si>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</si>
  <si>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</si>
  <si>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</si>
  <si>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</si>
  <si>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</si>
  <si>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</si>
  <si>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</si>
  <si>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</si>
  <si>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</si>
  <si>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</si>
  <si>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</si>
  <si>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</si>
  <si>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</si>
  <si>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</si>
  <si>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</si>
  <si>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</si>
  <si>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</si>
  <si>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</si>
  <si>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</si>
  <si>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</si>
  <si>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</si>
  <si>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</si>
  <si>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</si>
  <si>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</si>
  <si>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</si>
  <si>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</si>
  <si>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</si>
  <si>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</si>
  <si>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</si>
  <si>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</si>
  <si>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</si>
  <si>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</si>
  <si>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</si>
  <si>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</si>
  <si>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</si>
  <si>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</si>
  <si>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</si>
  <si>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</si>
  <si>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</si>
  <si>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</si>
  <si>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</si>
  <si>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</si>
  <si>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</si>
  <si>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</si>
  <si>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</si>
  <si>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</si>
  <si>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</si>
  <si>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</si>
  <si>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</si>
  <si>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</si>
  <si>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</si>
  <si>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</si>
  <si>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</si>
  <si>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</si>
  <si>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</si>
  <si>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</si>
  <si>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</si>
  <si>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</si>
  <si>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</si>
  <si>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</si>
  <si>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</si>
  <si>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</si>
  <si>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</si>
  <si>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</si>
  <si>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</si>
  <si>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</si>
  <si>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</si>
  <si>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</si>
  <si>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</si>
  <si>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</si>
  <si>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</si>
  <si>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</si>
  <si>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</si>
  <si>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</si>
  <si>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</si>
  <si>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</si>
  <si>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</si>
  <si>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</si>
  <si>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</si>
  <si>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</si>
  <si>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</si>
  <si>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</si>
  <si>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</si>
  <si>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</si>
  <si>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</si>
  <si>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</si>
  <si>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</si>
  <si>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</si>
  <si>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</si>
  <si>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</si>
  <si>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</si>
  <si>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</si>
  <si>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</si>
  <si>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</si>
  <si>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</si>
  <si>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</si>
  <si>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</si>
  <si>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</si>
  <si>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</si>
  <si>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</si>
  <si>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</si>
  <si>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</si>
  <si>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</si>
  <si>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</si>
  <si>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</si>
  <si>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</si>
  <si>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</si>
  <si>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</si>
  <si>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</si>
  <si>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</si>
  <si>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</si>
  <si>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</si>
  <si>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</si>
  <si>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</si>
  <si>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</si>
  <si>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</si>
  <si>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</si>
  <si>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</si>
  <si>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</si>
  <si>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</si>
  <si>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</si>
  <si>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</si>
  <si>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</si>
  <si>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</si>
  <si>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</si>
  <si>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</si>
  <si>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</si>
  <si>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</si>
  <si>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</si>
  <si>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</si>
  <si>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</si>
  <si>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</si>
  <si>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</si>
  <si>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</si>
  <si>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</si>
  <si>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</si>
  <si>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</si>
  <si>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</si>
  <si>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</si>
  <si>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</si>
  <si>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</si>
  <si>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</si>
  <si>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</si>
  <si>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</si>
  <si>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</si>
  <si>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</si>
  <si>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</si>
  <si>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</si>
  <si>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</si>
  <si>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</si>
  <si>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</si>
  <si>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</si>
  <si>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</si>
  <si>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</si>
  <si>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</si>
  <si>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</si>
  <si>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</si>
  <si>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</si>
  <si>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</si>
  <si>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</si>
  <si>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</si>
  <si>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</si>
  <si>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</si>
  <si>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</si>
  <si>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</si>
  <si>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</si>
  <si>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</si>
  <si>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</si>
  <si>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</si>
  <si>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</si>
  <si>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</si>
  <si>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</si>
  <si>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</si>
  <si>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</si>
  <si>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</si>
  <si>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</si>
  <si>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</si>
  <si>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</si>
  <si>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</si>
  <si>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</si>
  <si>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</si>
  <si>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</si>
  <si>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</si>
  <si>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</si>
  <si>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</si>
  <si>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</si>
  <si>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</si>
  <si>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</si>
  <si>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</si>
  <si>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</si>
  <si>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</si>
  <si>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</si>
  <si>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</si>
  <si>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</si>
  <si>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</si>
  <si>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</si>
  <si>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</si>
  <si>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</si>
  <si>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</si>
  <si>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</si>
  <si>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</si>
  <si>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</si>
  <si>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</si>
  <si>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</si>
  <si>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</si>
  <si>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</si>
  <si>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</si>
  <si>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</si>
  <si>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</si>
  <si>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</si>
  <si>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</si>
  <si>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</si>
  <si>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</si>
  <si>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</si>
  <si>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</si>
  <si>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</si>
  <si>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</si>
  <si>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</si>
  <si>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</si>
  <si>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</si>
  <si>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</si>
  <si>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</si>
  <si>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</si>
  <si>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</si>
  <si>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</si>
  <si>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</si>
  <si>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</si>
  <si>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</si>
  <si>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</si>
  <si>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</si>
  <si>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</si>
  <si>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</si>
  <si>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</si>
  <si>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</si>
  <si>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</si>
  <si>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</si>
  <si>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</si>
  <si>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</si>
  <si>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</si>
  <si>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</si>
  <si>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</si>
  <si>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</si>
  <si>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</si>
  <si>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</si>
  <si>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</si>
  <si>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</si>
  <si>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</si>
  <si>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</si>
  <si>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</si>
  <si>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</si>
  <si>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</si>
  <si>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</si>
  <si>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</si>
  <si>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</si>
  <si>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</si>
  <si>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</si>
  <si>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</si>
  <si>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</si>
  <si>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</si>
  <si>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</si>
  <si>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</si>
  <si>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</si>
  <si>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</si>
  <si>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</si>
  <si>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</si>
  <si>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</si>
  <si>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</si>
  <si>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</si>
  <si>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</si>
  <si>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</si>
  <si>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</si>
  <si>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</si>
  <si>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</si>
  <si>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</si>
  <si>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</si>
  <si>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</si>
  <si>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</si>
  <si>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</si>
  <si>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</si>
  <si>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</si>
  <si>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</si>
  <si>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</si>
  <si>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</si>
  <si>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</si>
  <si>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</si>
  <si>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</si>
  <si>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</si>
  <si>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</si>
  <si>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</si>
  <si>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</si>
  <si>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</si>
  <si>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</si>
  <si>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</si>
  <si>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</si>
  <si>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</si>
  <si>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</si>
  <si>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</si>
  <si>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</si>
  <si>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</si>
  <si>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</si>
  <si>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</si>
  <si>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</si>
  <si>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</si>
  <si>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</si>
  <si>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</si>
  <si>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</si>
  <si>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</si>
  <si>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</si>
  <si>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</si>
  <si>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</si>
  <si>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</si>
  <si>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</si>
  <si>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</si>
  <si>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</si>
  <si>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</si>
  <si>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</si>
  <si>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</si>
  <si>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</si>
  <si>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</si>
  <si>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</si>
  <si>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</si>
  <si>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</si>
  <si>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</si>
  <si>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</si>
  <si>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</si>
  <si>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</si>
  <si>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</si>
  <si>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</si>
  <si>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</si>
  <si>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</si>
  <si>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</si>
  <si>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</si>
  <si>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</si>
  <si>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</si>
  <si>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</si>
  <si>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</si>
  <si>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</si>
  <si>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</si>
  <si>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</si>
  <si>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</si>
  <si>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</si>
  <si>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</si>
  <si>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</si>
  <si>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</si>
  <si>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</si>
  <si>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</si>
  <si>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</si>
  <si>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</si>
  <si>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</si>
  <si>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</si>
  <si>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</si>
  <si>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</si>
  <si>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</si>
  <si>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</si>
  <si>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</si>
  <si>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</si>
  <si>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</si>
  <si>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</si>
  <si>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</si>
  <si>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</si>
  <si>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</si>
  <si>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</si>
  <si>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</si>
  <si>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</si>
  <si>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</si>
  <si>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</si>
  <si>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</si>
  <si>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</si>
  <si>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</si>
  <si>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</si>
  <si>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</si>
  <si>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</si>
  <si>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</si>
  <si>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</si>
  <si>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</si>
  <si>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</si>
  <si>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</si>
  <si>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</si>
  <si>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</si>
  <si>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</si>
  <si>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</si>
  <si>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</si>
  <si>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</si>
  <si>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</si>
  <si>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</si>
  <si>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</si>
  <si>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</si>
  <si>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</si>
  <si>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</si>
  <si>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</si>
  <si>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</si>
  <si>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</si>
  <si>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</si>
  <si>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</si>
  <si>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</si>
  <si>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</si>
  <si>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</si>
  <si>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</si>
  <si>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</si>
  <si>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</si>
  <si>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</si>
  <si>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</si>
  <si>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</si>
  <si>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</si>
  <si>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</si>
  <si>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</si>
  <si>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</si>
  <si>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</si>
  <si>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</si>
  <si>
    <t>Reduce 10 Golds instead of Damage</t>
    <phoneticPr fontId="6" type="noConversion"/>
  </si>
  <si>
    <t>피격시 체력 피해 대신 10골드 감소</t>
    <phoneticPr fontId="6" type="noConversion"/>
  </si>
  <si>
    <t>슬롯머신</t>
    <phoneticPr fontId="6" type="noConversion"/>
  </si>
  <si>
    <t>확률</t>
    <phoneticPr fontId="6" type="noConversion"/>
  </si>
  <si>
    <t>기대 가치</t>
    <phoneticPr fontId="6" type="noConversion"/>
  </si>
  <si>
    <t>2코인</t>
    <phoneticPr fontId="6" type="noConversion"/>
  </si>
  <si>
    <t>회복</t>
    <phoneticPr fontId="6" type="noConversion"/>
  </si>
  <si>
    <t>잭팟</t>
    <phoneticPr fontId="6" type="noConversion"/>
  </si>
  <si>
    <t>회차</t>
    <phoneticPr fontId="6" type="noConversion"/>
  </si>
  <si>
    <t>증가 비율</t>
    <phoneticPr fontId="6" type="noConversion"/>
  </si>
  <si>
    <t>슬롯머신 비용</t>
    <phoneticPr fontId="6" type="noConversion"/>
  </si>
  <si>
    <t>가치 (골드)</t>
    <phoneticPr fontId="6" type="noConversion"/>
  </si>
  <si>
    <t>가격</t>
    <phoneticPr fontId="6" type="noConversion"/>
  </si>
  <si>
    <t>공격버튼을 꾹 눌러 차지공격을 발동!\n강력한 데미지와 함께 모두 날려버리세요!</t>
    <phoneticPr fontId="6" type="noConversion"/>
  </si>
  <si>
    <t>기절한 적은 약한 스윙으로도 날려버릴 수 있습니다!\n기절한 적을 날려 다른 적을 맞춰보세요.\n이미 날려져서 사망한 적은 기절하지 않습니다!</t>
    <phoneticPr fontId="6" type="noConversion"/>
  </si>
  <si>
    <t>IsSuperArmor</t>
    <phoneticPr fontId="6" type="noConversion"/>
  </si>
  <si>
    <t>어려울 땐 튜토리얼을 꼭 읽어주시길!\n그럼 즐거운 야구 되세요!</t>
  </si>
  <si>
    <t>If you get stuck, be sure to read our tutorials,\nand happy baseball!</t>
  </si>
  <si>
    <t>안녕하십니까 배쉬!\n데빌리쉬 리그에 온 것을 환영합니다!</t>
  </si>
  <si>
    <t>Hello Bash!\nWelcome to the Devilish League!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</si>
</sst>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64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9" fontId="1" fillId="0" borderId="0" xfId="0" applyNumberFormat="1" applyFont="1">
      <alignment vertical="center"/>
    </xf>
    <xf numFmtId="9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90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>
      <tableStyleElement type="wholeTable" dxfId="189"/>
      <tableStyleElement type="headerRow" dxfId="188"/>
      <tableStyleElement type="totalRow" dxfId="187"/>
      <tableStyleElement type="firstColumn" dxfId="186"/>
      <tableStyleElement type="lastColumn" dxfId="185"/>
      <tableStyleElement type="firstRowStripe" dxfId="184"/>
      <tableStyleElement type="firstColumnStripe" dxfId="183"/>
    </tableStyle>
    <tableStyle name="Light Style 1 - Accent 1" table="0" count="7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표 스타일 1" pivot="0" count="4">
      <tableStyleElement type="wholeTable" dxfId="175"/>
      <tableStyleElement type="headerRow" dxfId="174"/>
      <tableStyleElement type="firstRowStripe" dxfId="173"/>
      <tableStyleElement type="secondRowStripe" dxfId="172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아이템가격" displayName="아이템가격" ref="B6:H8" totalsRowShown="0" headerRowDxfId="171">
  <autoFilter ref="B6:H8"/>
  <tableColumns count="7">
    <tableColumn id="1" name="재화"/>
    <tableColumn id="2" name="Hp"/>
    <tableColumn id="3" name="Gold"/>
    <tableColumn id="4" name="Normal"/>
    <tableColumn id="5" name="Rare"/>
    <tableColumn id="6" name="Cursed"/>
    <tableColumn id="7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1" name="StageEnemyInfo" displayName="StageEnemyInfo" ref="B12:G42" headerRowDxfId="170">
  <autoFilter ref="B12:G42"/>
  <tableColumns count="6">
    <tableColumn id="11" name="층" dataDxfId="169"/>
    <tableColumn id="1" name="스테이지" totalsRowLabel="요약"/>
    <tableColumn id="3" name="박쥐"/>
    <tableColumn id="4" name="일반"/>
    <tableColumn id="5" name="정예" dataDxfId="168"/>
    <tableColumn id="6" name="평균획득골드" totalsRowFunction="average" dataDxfId="167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0" name="표20" displayName="표20" ref="J6:M9" totalsRowCount="1" headerRowDxfId="166">
  <autoFilter ref="J6:M8"/>
  <tableColumns count="4">
    <tableColumn id="4" name=" " totalsRowLabel="요약"/>
    <tableColumn id="1" name="박쥐" totalsRowFunction="average"/>
    <tableColumn id="2" name="일반" totalsRowFunction="average"/>
    <tableColumn id="3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24" name="FloorInfo" displayName="FloorInfo" ref="J12:M16" totalsRowCount="1">
  <autoFilter ref="J12:M15"/>
  <tableColumns count="4">
    <tableColumn id="1" name="층" totalsRowLabel="요약" dataDxfId="165" totalsRowDxfId="164"/>
    <tableColumn id="2" name="개수" dataDxfId="163">
      <calculatedColumnFormula>INDEX(ProductialTable[MaxRoomValue],MATCH(FloorInfo[[#This Row],[층]],ProductialTable['#이름],0))-3</calculatedColumnFormula>
    </tableColumn>
    <tableColumn id="4" name="방당 획득 골드" dataDxfId="162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name="층 완료 획득 골드" totalsRowFunction="sum" dataDxfId="161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2" name="FloorEnemyHPInfo" displayName="FloorEnemyHPInfo" ref="J19:Q22" totalsRowShown="0">
  <autoFilter ref="J19:Q22"/>
  <tableColumns count="8">
    <tableColumn id="1" name="층"/>
    <tableColumn id="2" name="박쥐 평균 개수" dataDxfId="160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name="박쥐 총 HP" dataDxfId="159">
      <calculatedColumnFormula>FloorEnemyHPInfo[[#This Row],[박쥐 평균 개수]]*INDEX(EnemyHPInfo[박쥐],MATCH(FloorEnemyHPInfo[[#This Row],[층]],EnemyHPInfo[층]))</calculatedColumnFormula>
    </tableColumn>
    <tableColumn id="4" name="일반 평균 개수" dataDxfId="158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name="일반 총 HP" dataDxfId="157">
      <calculatedColumnFormula>FloorEnemyHPInfo[[#This Row],[일반 평균 개수]]*INDEX(EnemyHPInfo[일반],MATCH(FloorEnemyHPInfo[[#This Row],[층]],EnemyHPInfo[층]))</calculatedColumnFormula>
    </tableColumn>
    <tableColumn id="6" name="정예 평균 개수" dataDxfId="156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name="정예 총 HP" dataDxfId="155">
      <calculatedColumnFormula>FloorEnemyHPInfo[[#This Row],[정예 평균 개수]]*INDEX(EnemyHPInfo[박쥐],MATCH(FloorEnemyHPInfo[[#This Row],[층]],EnemyHPInfo[층]))</calculatedColumnFormula>
    </tableColumn>
    <tableColumn id="8" name="총합" dataDxfId="154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33" name="EnemyHPInfo" displayName="EnemyHPInfo" ref="O6:R9" totalsRowShown="0">
  <autoFilter ref="O6:R9"/>
  <tableColumns count="4">
    <tableColumn id="1" name="층"/>
    <tableColumn id="2" name="박쥐"/>
    <tableColumn id="3" name="일반"/>
    <tableColumn id="4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34" name="표34" displayName="표34" ref="J28:M33" totalsRowShown="0" headerRowDxfId="153">
  <autoFilter ref="J28:M33"/>
  <tableColumns count="4">
    <tableColumn id="1" name="설명" dataDxfId="152"/>
    <tableColumn id="2" name="가치 (골드)"/>
    <tableColumn id="3" name="확률" dataDxfId="151"/>
    <tableColumn id="4" name="기대 가치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35" name="표35" displayName="표35" ref="O28:Q38" totalsRowShown="0">
  <autoFilter ref="O28:Q38"/>
  <tableColumns count="3">
    <tableColumn id="1" name="회차"/>
    <tableColumn id="2" name="가격">
      <calculatedColumnFormula>P28*$Q$29</calculatedColumnFormula>
    </tableColumn>
    <tableColumn id="3" name="증가 비율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8" name="스텟별가치" displayName="스텟별가치" ref="B11:F42" totalsRowShown="0" headerRowDxfId="150" dataDxfId="149">
  <autoFilter ref="B11:F42"/>
  <tableColumns count="5">
    <tableColumn id="1" name="스텟" dataDxfId="148"/>
    <tableColumn id="2" name="참조 테이블" dataDxfId="147"/>
    <tableColumn id="3" name="설명" dataDxfId="146"/>
    <tableColumn id="4" name="Value 1당 가치" dataDxfId="145"/>
    <tableColumn id="5" name="OP계수" dataDxfId="144" dataCellStyle="백분율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id="10" name="표10" displayName="표10" ref="N6:O7" totalsRowShown="0" headerRowDxfId="143">
  <autoFilter ref="N6:O7"/>
  <tableColumns count="2">
    <tableColumn id="1" name="골드 가치"/>
    <tableColumn id="2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id="14" name="표14" displayName="표14" ref="N14:O15" totalsRowShown="0" headerRowDxfId="142">
  <autoFilter ref="N14:O15"/>
  <tableColumns count="2">
    <tableColumn id="1" name="적 기준 체력"/>
    <tableColumn id="2" name="적 체력 상승량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id="15" name="밸런스시트" displayName="밸런스시트" ref="H6:J9" totalsRowShown="0" headerRowDxfId="141">
  <autoFilter ref="H6:J9"/>
  <tableColumns count="3">
    <tableColumn id="1" name="층"/>
    <tableColumn id="9" name="PC 최대 DPS" dataDxfId="140">
      <calculatedColumnFormula array="1">표27[최종 DPS]</calculatedColumnFormula>
    </tableColumn>
    <tableColumn id="10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id="9" name="표9" displayName="표9" ref="N10:Q11" totalsRowShown="0" headerRowDxfId="138">
  <autoFilter ref="N10:Q11"/>
  <tableColumns count="4">
    <tableColumn id="1" name="Normal"/>
    <tableColumn id="2" name="Rare"/>
    <tableColumn id="3" name="Cursed"/>
    <tableColumn id="4" name="active" dataDxfId="137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id="25" name="표25" displayName="표25" ref="H12:L13" totalsRowShown="0" dataDxfId="136">
  <autoFilter ref="H12:L13"/>
  <tableColumns count="5">
    <tableColumn id="1" name="직접 공격 DPS" dataDxfId="135">
      <calculatedColumnFormula array="1">CharacterAtkTable[ChargeRigidDmg1]/CharacterAtkTable[SwingCooldown]</calculatedColumnFormula>
    </tableColumn>
    <tableColumn id="2" name="직접 차징 DPS" dataDxfId="134">
      <calculatedColumnFormula array="1">CharacterAtkTable[ChargeRigidDmg2]/(CharacterAtkTable[SwingCooldown]+CharacterAtkTable[ChargeTime])</calculatedColumnFormula>
    </tableColumn>
    <tableColumn id="3" name="차징 튕김 데미지 추가" dataDxfId="133">
      <calculatedColumnFormula array="1">CharacterAtkTable[ChargeShootSpd]*표26[튕김 기댓값]*표26[튕김 속도 데미지 감쇄]</calculatedColumnFormula>
    </tableColumn>
    <tableColumn id="4" name="차징 공격 적 맞춤 데미지 추가" dataDxfId="132">
      <calculatedColumnFormula array="1">CharacterAtkTable[EnemyProjectileDmg]*표26[적에게 튕김 기댓값]</calculatedColumnFormula>
    </tableColumn>
    <tableColumn id="5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id="26" name="표26" displayName="표26" ref="H15:J16" totalsRowShown="0">
  <autoFilter ref="H15:J16"/>
  <tableColumns count="3">
    <tableColumn id="1" name="튕김 기댓값"/>
    <tableColumn id="2" name="적에게 튕김 기댓값"/>
    <tableColumn id="3" name="튕김 속도 데미지 감쇄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id="27" name="표27" displayName="표27" ref="H18:J19" totalsRowShown="0">
  <autoFilter ref="H18:J19"/>
  <tableColumns count="3">
    <tableColumn id="1" name="차징 공격 사용 비율" dataDxfId="130"/>
    <tableColumn id="2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name="가정" dataDxfId="128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id="30" name="밸런스시트31" displayName="밸런스시트31" ref="B6:D7" totalsRowShown="0" headerRowDxfId="127">
  <autoFilter ref="B6:D7"/>
  <tableColumns count="3">
    <tableColumn id="1" name="DPS 상승량">
      <calculatedColumnFormula>30/0.12</calculatedColumnFormula>
    </tableColumn>
    <tableColumn id="2" name="체력 상승량">
      <calculatedColumnFormula>30/25</calculatedColumnFormula>
    </tableColumn>
    <tableColumn id="3" name="기준 전투 시간(초)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id="28" name="스텟별가치29" displayName="스텟별가치29" ref="B45:F54" totalsRowShown="0" headerRowDxfId="126" dataDxfId="125">
  <autoFilter ref="B45:F54"/>
  <tableColumns count="5">
    <tableColumn id="1" name="트리거" dataDxfId="124"/>
    <tableColumn id="2" name="발동 여부" dataDxfId="123"/>
    <tableColumn id="3" name="발동에 걸리는 시간" dataDxfId="122"/>
    <tableColumn id="4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name="OP계수" dataDxfId="120" dataCellStyle="백분율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id="29" name="표29" displayName="표29" ref="B57:F66" totalsRowShown="0" dataDxfId="119">
  <autoFilter ref="B57:F66"/>
  <tableColumns count="5">
    <tableColumn id="1" name="특수 이펙트 명칭" dataDxfId="118"/>
    <tableColumn id="2" name="열1" dataDxfId="117"/>
    <tableColumn id="3" name="설명" dataDxfId="116"/>
    <tableColumn id="4" name="1당 가치" dataDxfId="115">
      <calculatedColumnFormula>E14</calculatedColumnFormula>
    </tableColumn>
    <tableColumn id="5" name="OP계수" dataDxfId="114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id="2" name="표2" displayName="표2" ref="A2:D10" totalsRowShown="0" headerRowDxfId="113">
  <autoFilter ref="A2:D10"/>
  <tableColumns count="4">
    <tableColumn id="1" name="Index"/>
    <tableColumn id="2" name="#변수명" dataDxfId="112"/>
    <tableColumn id="3" name="value"/>
    <tableColumn id="4" name="#설명" dataDxfId="111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id="6" name="CharacterTable" displayName="CharacterTable" ref="B2:M3" totalsRowShown="0" headerRowDxfId="110">
  <autoFilter ref="B2:M3"/>
  <tableColumns count="12">
    <tableColumn id="1" name="Index"/>
    <tableColumn id="2" name="#설명" dataDxfId="109"/>
    <tableColumn id="3" name="MaxHP"/>
    <tableColumn id="4" name="PCHitboxRad"/>
    <tableColumn id="5" name="MovementSpd"/>
    <tableColumn id="6" name="ChargeMovementSpd"/>
    <tableColumn id="7" name="MercyInvincibleTime"/>
    <tableColumn id="8" name="DodgeCooldown"/>
    <tableColumn id="9" name="DodgeInvincibleTime"/>
    <tableColumn id="10" name="DodgeDurationTime"/>
    <tableColumn id="11" name="DodgeAddForce"/>
    <tableColumn id="14" name="GoldGain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id="7" name="CharacterAtkTable" displayName="CharacterAtkTable" ref="B2:R3" totalsRowShown="0" headerRowDxfId="108">
  <autoFilter ref="B2:R3"/>
  <tableColumns count="17">
    <tableColumn id="1" name="Index"/>
    <tableColumn id="2" name="#설명" dataDxfId="107"/>
    <tableColumn id="7" name="SwingCooldown" dataDxfId="106"/>
    <tableColumn id="9" name="SwingRad"/>
    <tableColumn id="10" name="SwingCentralAngle"/>
    <tableColumn id="11" name="ChargeTime"/>
    <tableColumn id="5" name="ProjectileExplosion"/>
    <tableColumn id="4" name="ProjectileGuide" dataDxfId="105"/>
    <tableColumn id="12" name="ProjectilePierce"/>
    <tableColumn id="14" name="ChargeShootSpd"/>
    <tableColumn id="15" name="ChargeBounceCount"/>
    <tableColumn id="17" name="ReflectCorrection"/>
    <tableColumn id="18" name="ChargeRigidDmg1"/>
    <tableColumn id="19" name="ChargeRigidDmg2"/>
    <tableColumn id="21" name="ChargeProjectileDmg"/>
    <tableColumn id="32" name="EnemyProjectileDmg"/>
    <tableColumn id="22" name="AtkDmgPer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id="13" name="ProductialTable" displayName="ProductialTable" ref="B2:S5" totalsRowShown="0" headerRowDxfId="104">
  <autoFilter ref="B2:S5"/>
  <tableColumns count="18">
    <tableColumn id="1" name="Index"/>
    <tableColumn id="2" name="#이름" dataDxfId="103"/>
    <tableColumn id="3" name="MaxRoomValue"/>
    <tableColumn id="4" name="GoldShopProb"/>
    <tableColumn id="5" name="HpShopProb"/>
    <tableColumn id="6" name="EnemyHpIncreasePer"/>
    <tableColumn id="7" name="ItemDropId"/>
    <tableColumn id="8" name="HpShopDropId"/>
    <tableColumn id="9" name="GoldShopDropId"/>
    <tableColumn id="10" name="BossDropId"/>
    <tableColumn id="11" name="ChoiceDropId"/>
    <tableColumn id="12" name="WeaponDropId"/>
    <tableColumn id="13" name="#드랍테이블1" dataDxfId="102"/>
    <tableColumn id="14" name="#드랍테이블2" dataDxfId="101"/>
    <tableColumn id="15" name="#드랍테이블3" dataDxfId="100"/>
    <tableColumn id="16" name="#드랍테이블4" dataDxfId="99"/>
    <tableColumn id="17" name="#드랍테이블5" dataDxfId="98"/>
    <tableColumn id="18" name="#드랍테이블6" dataDxfId="97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id="12" name="DropTable" displayName="DropTable" ref="B2:I11" totalsRowShown="0" headerRowDxfId="96">
  <autoFilter ref="B2:I11"/>
  <tableColumns count="8">
    <tableColumn id="1" name="Index"/>
    <tableColumn id="2" name="#메모" dataDxfId="95"/>
    <tableColumn id="3" name="Normal"/>
    <tableColumn id="4" name="Rare"/>
    <tableColumn id="5" name="Cursed"/>
    <tableColumn id="6" name="Active"/>
    <tableColumn id="7" name="Hp"/>
    <tableColumn id="8" name="Gold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id="18" name="EnemyGameData" displayName="EnemyGameData" ref="B2:W27" totalsRowShown="0">
  <autoFilter ref="B2:W27"/>
  <tableColumns count="22">
    <tableColumn id="1" name="Index"/>
    <tableColumn id="2" name="Name" dataDxfId="94"/>
    <tableColumn id="19" name="#desc" dataDxfId="93"/>
    <tableColumn id="3" name="MaxHp"/>
    <tableColumn id="21" name="AgroRange"/>
    <tableColumn id="4" name="MoveType"/>
    <tableColumn id="5" name="SpacingRad"/>
    <tableColumn id="6" name="MoveTargetUpdatePeroid"/>
    <tableColumn id="7" name="MovementSpd"/>
    <tableColumn id="20" name="IsSuperArmor" dataDxfId="92"/>
    <tableColumn id="22" name="BodyContactDmg"/>
    <tableColumn id="8" name="AtkCheckDelay"/>
    <tableColumn id="9" name="AtkStartType"/>
    <tableColumn id="10" name="AtkStartParam" dataDxfId="91">
      <calculatedColumnFormula>IF(EnemyGameData[[#This Row],[SpacingRad]]&lt;3,5,EnemyGameData[[#This Row],[SpacingRad]]+1)</calculatedColumnFormula>
    </tableColumn>
    <tableColumn id="11" name="AtkDataId"/>
    <tableColumn id="12" name="DeadAtkDataId"/>
    <tableColumn id="13" name="GoldDropMin"/>
    <tableColumn id="14" name="GoldDropMax"/>
    <tableColumn id="15" name="ProjectileDataId"/>
    <tableColumn id="16" name="PrefabPath" dataDxfId="90"/>
    <tableColumn id="17" name="#기준 적 체력 비율"/>
    <tableColumn id="18" name="#평균 드랍 골드" dataDxfId="89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id="21" name="EnemyAtkTable" displayName="EnemyAtkTable" ref="B2:I140" totalsRowShown="0">
  <autoFilter ref="B2:I140"/>
  <sortState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name="Index"/>
    <tableColumn id="2" name="#설명" dataDxfId="88"/>
    <tableColumn id="3" name="ShootDataId" dataDxfId="87"/>
    <tableColumn id="4" name="AimType"/>
    <tableColumn id="5" name="BeforeDelay"/>
    <tableColumn id="6" name="AfterDelay"/>
    <tableColumn id="7" name="#" dataDxfId="86">
      <calculatedColumnFormula>INDEX(ShootTable['#설명],MATCH(EnemyAtkTable[[#This Row],[ShootDataId]],ShootTable[Index],0))</calculatedColumnFormula>
    </tableColumn>
    <tableColumn id="9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id="19" name="ShootTable" displayName="ShootTable" ref="B2:H239" totalsRowShown="0">
  <autoFilter ref="B2:H239"/>
  <sortState ref="B3:H238">
    <sortCondition ref="B232:B238"/>
  </sortState>
  <tableColumns count="7">
    <tableColumn id="1" name="Index"/>
    <tableColumn id="2" name="#설명" dataDxfId="84"/>
    <tableColumn id="3" name="ShootAngle"/>
    <tableColumn id="4" name="ProjectileDataId"/>
    <tableColumn id="5" name="MaxBounceCount"/>
    <tableColumn id="6" name="InitalSpd"/>
    <tableColumn id="7" name="Properties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id="17" name="ProjectileTable" displayName="ProjectileTable" ref="B2:G21" totalsRowShown="0" headerRowDxfId="83">
  <autoFilter ref="B2:G21"/>
  <tableColumns count="6">
    <tableColumn id="1" name="Index"/>
    <tableColumn id="2" name="#설명" dataDxfId="82"/>
    <tableColumn id="3" name="IsBounce"/>
    <tableColumn id="4" name="ColliderRad"/>
    <tableColumn id="5" name="DirectDmg"/>
    <tableColumn id="6" name="PrefabPath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id="4" name="ItemTable" displayName="ItemTable" ref="B2:R33" totalsRowShown="0" headerRowDxfId="74" dataDxfId="73">
  <autoFilter ref="B2:R33"/>
  <tableColumns count="17">
    <tableColumn id="1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name="#이름" dataDxfId="71">
      <calculatedColumnFormula>INDEX(LocaleTable[LocaleKR],MATCH(ItemTable[[#This Row],[Name]],LocaleTable[StringKey],0))</calculatedColumnFormula>
    </tableColumn>
    <tableColumn id="13" name="#설명" dataDxfId="70">
      <calculatedColumnFormula>INDEX(LocaleTable[LocaleKR],MATCH(ItemTable[[#This Row],[Desc]],LocaleTable[StringKey],0))</calculatedColumnFormula>
    </tableColumn>
    <tableColumn id="12" name="#이로운효과" dataDxfId="69">
      <calculatedColumnFormula>INDEX(LocaleTable[LocaleKR],MATCH(ItemTable[[#This Row],[PlusDesc]],LocaleTable[StringKey],0))</calculatedColumnFormula>
    </tableColumn>
    <tableColumn id="16" name="#해로운효과" dataDxfId="68">
      <calculatedColumnFormula>IFERROR(INDEX(LocaleTable[LocaleKR],MATCH(ItemTable[[#This Row],[MinusDesc]],LocaleTable[StringKey],0)),"-")</calculatedColumnFormula>
    </tableColumn>
    <tableColumn id="14" name="Index" dataDxfId="67">
      <calculatedColumnFormula>ItemTable[[#This Row],['#Index 참조용]]</calculatedColumnFormula>
    </tableColumn>
    <tableColumn id="2" name="Name" dataDxfId="66"/>
    <tableColumn id="3" name="Desc" dataDxfId="65"/>
    <tableColumn id="18" name="PlusDesc" dataDxfId="64"/>
    <tableColumn id="19" name="MinusDesc" dataDxfId="63"/>
    <tableColumn id="4" name="GradeType" dataDxfId="62"/>
    <tableColumn id="10" name="MaxStack" dataDxfId="61"/>
    <tableColumn id="5" name="Value" dataDxfId="60"/>
    <tableColumn id="6" name="CostHp" dataDxfId="59"/>
    <tableColumn id="7" name="CostGold" dataDxfId="58"/>
    <tableColumn id="8" name="ItemEffectDataId" dataDxfId="57"/>
    <tableColumn id="9" name="ItemIconPath" dataDxfId="56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id="1" name="ItemEffectTable" displayName="ItemEffectTable" ref="B2:S41" totalsRowShown="0" headerRowDxfId="55">
  <autoFilter ref="B2:S41"/>
  <tableColumns count="18">
    <tableColumn id="2" name="#이름" dataDxfId="54">
      <calculatedColumnFormula>INDEX(ItemTable['#이름],MATCH(ItemEffectTable[[#This Row],[Index]],ItemTable[ItemEffectDataId],0))</calculatedColumnFormula>
    </tableColumn>
    <tableColumn id="3" name="#Grade" dataDxfId="53">
      <calculatedColumnFormula>INDEX(ItemTable[GradeType],MATCH(ItemEffectTable[[#This Row],[Index]],ItemTable[ItemEffectDataId],0))</calculatedColumnFormula>
    </tableColumn>
    <tableColumn id="4" name="Index" dataDxfId="52"/>
    <tableColumn id="5" name="ApplyBuffId"/>
    <tableColumn id="6" name="ApplySpecialEffectId"/>
    <tableColumn id="15" name="CoolTime"/>
    <tableColumn id="10" name="TriggerType"/>
    <tableColumn id="9" name="ConditionTarget"/>
    <tableColumn id="11" name="Condition" dataDxfId="51"/>
    <tableColumn id="12" name="ConditionValue"/>
    <tableColumn id="1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id="22" name="ItemEffectTable23" displayName="ItemEffectTable23" ref="B2:U35" totalsRowShown="0" headerRowDxfId="42">
  <autoFilter ref="B2:U35"/>
  <tableColumns count="20">
    <tableColumn id="3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name="Index" dataDxfId="39"/>
    <tableColumn id="5" name="ApplyStat"/>
    <tableColumn id="6" name="ApplyValue"/>
    <tableColumn id="13" name="ValueOperatorType"/>
    <tableColumn id="14" name="Duration"/>
    <tableColumn id="9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name="#변화 후 값 예외처리" dataDxfId="36"/>
    <tableColumn id="8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name="#쿨타임" dataDxfId="33">
      <calculatedColumnFormula>INDEX(ItemEffectTable[CoolTime],MATCH(ItemEffectTable23[[#This Row],[Index]],ItemEffectTable[ApplyBuffId],0))</calculatedColumnFormula>
    </tableColumn>
    <tableColumn id="2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id="23" name="ItemEffectTable2324" displayName="ItemEffectTable2324" ref="B2:N25" totalsRowShown="0" headerRowDxfId="25">
  <autoFilter ref="B2:N25"/>
  <tableColumns count="13">
    <tableColumn id="4" name="Index" dataDxfId="24"/>
    <tableColumn id="7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name="EffectType"/>
    <tableColumn id="6" name="Param1"/>
    <tableColumn id="1" name="#Param1설명" dataDxfId="22"/>
    <tableColumn id="13" name="Param2"/>
    <tableColumn id="2" name="#Param2설명" dataDxfId="21"/>
    <tableColumn id="14" name="Param3"/>
    <tableColumn id="3" name="#Param3설명" dataDxfId="20"/>
    <tableColumn id="8" name="Param4" dataDxfId="19"/>
    <tableColumn id="9" name="#Param3설명3" dataDxfId="18"/>
    <tableColumn id="10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3.xml><?xml version="1.0" encoding="utf-8"?>
<table xmlns="http://schemas.openxmlformats.org/spreadsheetml/2006/main" id="16" name="ItemResourceTable" displayName="ItemResourceTable" ref="B2:F9" totalsRowShown="0" headerRowDxfId="15">
  <autoFilter ref="B2:F9"/>
  <tableColumns count="5">
    <tableColumn id="1" name="Index"/>
    <tableColumn id="2" name="#대상 아이템" dataDxfId="14"/>
    <tableColumn id="3" name="#리소스 유형" dataDxfId="13"/>
    <tableColumn id="4" name="ResourceType"/>
    <tableColumn id="5" name="ResourcePath"/>
  </tableColumns>
  <tableStyleInfo name="표 스타일 1" showFirstColumn="0" showLastColumn="0" showRowStripes="1" showColumnStripes="0"/>
</table>
</file>

<file path=xl/tables/table34.xml><?xml version="1.0" encoding="utf-8"?>
<table xmlns="http://schemas.openxmlformats.org/spreadsheetml/2006/main" id="31" name="표31" displayName="표31" ref="B2:F40" totalsRowShown="0">
  <autoFilter ref="B2:F40"/>
  <tableColumns count="5">
    <tableColumn id="1" name="Index"/>
    <tableColumn id="2" name="LocaleId" dataDxfId="12"/>
    <tableColumn id="3" name="Duration"/>
    <tableColumn id="4" name="#한국어" dataDxfId="11">
      <calculatedColumnFormula>INDEX(LocaleTable[LocaleKR],MATCH(표31[[#This Row],[LocaleId]],LocaleTable[StringKey],0))</calculatedColumnFormula>
    </tableColumn>
    <tableColumn id="5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id="3" name="LocaleTable" displayName="LocaleTable" ref="B2:I238" totalsRowShown="0" headerRowDxfId="9" dataDxfId="8">
  <autoFilter ref="B2:I238"/>
  <tableColumns count="8">
    <tableColumn id="1" name="StringKey" dataDxfId="7"/>
    <tableColumn id="2" name="LocaleKR" dataDxfId="6"/>
    <tableColumn id="3" name="LocaleUS" dataDxfId="5"/>
    <tableColumn id="6" name="#컴포넌트1" dataDxfId="4"/>
    <tableColumn id="7" name="#컴포넌트2" dataDxfId="3"/>
    <tableColumn id="8" name="#컴포넌트3" dataDxfId="2"/>
    <tableColumn id="9" name="#컴포넌트4" dataDxfId="1"/>
    <tableColumn id="5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92" t="s">
        <v>184</v>
      </c>
      <c r="C1" s="93"/>
      <c r="D1" s="93"/>
      <c r="E1" s="93"/>
    </row>
    <row r="2" spans="2:5" s="1" customFormat="1">
      <c r="B2" s="93"/>
      <c r="C2" s="93"/>
      <c r="D2" s="93"/>
      <c r="E2" s="93"/>
    </row>
    <row r="3" spans="2:5" s="1" customFormat="1">
      <c r="B3" s="93"/>
      <c r="C3" s="93"/>
      <c r="D3" s="93"/>
      <c r="E3" s="9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1:R42"/>
  <sheetViews>
    <sheetView zoomScaleNormal="75" zoomScaleSheetLayoutView="100" workbookViewId="0">
      <selection activeCell="N15" sqref="N15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1" width="16" customWidth="1"/>
    <col min="12" max="12" width="15.125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92" t="s">
        <v>117</v>
      </c>
      <c r="C1" s="93"/>
      <c r="D1" s="93"/>
      <c r="E1" s="93"/>
    </row>
    <row r="2" spans="2:18" s="1" customFormat="1">
      <c r="B2" s="93"/>
      <c r="C2" s="93"/>
      <c r="D2" s="93"/>
      <c r="E2" s="93"/>
    </row>
    <row r="3" spans="2:18" s="1" customFormat="1">
      <c r="B3" s="93"/>
      <c r="C3" s="93"/>
      <c r="D3" s="93"/>
      <c r="E3" s="93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0</v>
      </c>
      <c r="M7">
        <v>0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5</v>
      </c>
      <c r="M8">
        <v>5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2.5</v>
      </c>
      <c r="M9">
        <f>SUBTOTAL(101,표20[정예])</f>
        <v>2.5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12.5</v>
      </c>
      <c r="J13" s="11" t="s">
        <v>373</v>
      </c>
      <c r="K13">
        <f>INDEX(ProductialTable[MaxRoomValue],MATCH(FloorInfo[[#This Row],[층]],ProductialTable['#이름],0))-3</f>
        <v>6</v>
      </c>
      <c r="L13">
        <f>(SUMIFS(StageEnemyInfo[평균획득골드],StageEnemyInfo[층],FloorInfo[[#This Row],[층]])/_xlfn.MAXIFS(StageEnemyInfo[스테이지],StageEnemyInfo[층],FloorInfo[[#This Row],[층]]))</f>
        <v>12.5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75</v>
      </c>
      <c r="O13" s="11" t="s">
        <v>379</v>
      </c>
      <c r="P13" s="11">
        <f>FloorInfo[[#Totals],[층 완료 획득 골드]]/30</f>
        <v>10.166666666666666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15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90</v>
      </c>
      <c r="O14" s="11" t="s">
        <v>380</v>
      </c>
      <c r="P14" s="11">
        <f>FloorInfo[[#Totals],[층 완료 획득 골드]]/((50+60)/2)</f>
        <v>5.5454545454545459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20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20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140</v>
      </c>
      <c r="O15" s="11" t="s">
        <v>1143</v>
      </c>
      <c r="P15">
        <f>FloorInfo[[#Totals],[층 완료 획득 골드]]/((30+((50+60)/2))/2)</f>
        <v>7.1764705882352944</v>
      </c>
    </row>
    <row r="16" spans="2:18">
      <c r="B16" s="11"/>
      <c r="J16" s="11" t="s">
        <v>287</v>
      </c>
      <c r="M16">
        <f>SUBTOTAL(109,FloorInfo[층 완료 획득 골드])</f>
        <v>305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0">
        <f>FloorEnemyHPInfo[[#This Row],[박쥐 평균 개수]]*INDEX(EnemyHPInfo[박쥐],MATCH(FloorEnemyHPInfo[[#This Row],[층]],EnemyHPInfo[층]))</f>
        <v>240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30</v>
      </c>
      <c r="N20">
        <f>FloorEnemyHPInfo[[#This Row],[일반 평균 개수]]*INDEX(EnemyHPInfo[일반],MATCH(FloorEnemyHPInfo[[#This Row],[층]],EnemyHPInfo[층]))</f>
        <v>2400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2640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  <c r="J27" s="36" t="s">
        <v>1161</v>
      </c>
      <c r="K27" s="91"/>
      <c r="O27" s="36" t="s">
        <v>1169</v>
      </c>
      <c r="P27" s="91"/>
    </row>
    <row r="28" spans="2:17">
      <c r="B28" s="11"/>
      <c r="J28" s="11" t="s">
        <v>699</v>
      </c>
      <c r="K28" s="11" t="s">
        <v>1170</v>
      </c>
      <c r="L28" s="11" t="s">
        <v>1162</v>
      </c>
      <c r="M28" s="11" t="s">
        <v>1163</v>
      </c>
      <c r="O28" s="11" t="s">
        <v>1167</v>
      </c>
      <c r="P28" s="11" t="s">
        <v>1171</v>
      </c>
      <c r="Q28" s="11" t="s">
        <v>1168</v>
      </c>
    </row>
    <row r="29" spans="2:17">
      <c r="B29" s="11"/>
      <c r="J29" s="11" t="s">
        <v>1164</v>
      </c>
      <c r="K29" s="11">
        <v>2</v>
      </c>
      <c r="L29" s="90">
        <v>0.55000000000000004</v>
      </c>
      <c r="M29">
        <f>K29*L29</f>
        <v>1.1000000000000001</v>
      </c>
      <c r="O29" s="11">
        <v>1</v>
      </c>
      <c r="P29">
        <v>10</v>
      </c>
      <c r="Q29">
        <v>1.2</v>
      </c>
    </row>
    <row r="30" spans="2:17">
      <c r="B30" s="11"/>
      <c r="J30" s="11" t="s">
        <v>1166</v>
      </c>
      <c r="K30">
        <v>50</v>
      </c>
      <c r="L30" s="90">
        <v>0.15</v>
      </c>
      <c r="M30">
        <f t="shared" ref="M30:M32" si="0">K30*L30</f>
        <v>7.5</v>
      </c>
      <c r="O30">
        <v>2</v>
      </c>
      <c r="P30">
        <f>ROUND(P29*$Q$29,0)</f>
        <v>12</v>
      </c>
    </row>
    <row r="31" spans="2:17">
      <c r="B31" s="11"/>
      <c r="J31" s="11" t="s">
        <v>506</v>
      </c>
      <c r="K31" s="11">
        <f>(30+50)/2</f>
        <v>40</v>
      </c>
      <c r="L31" s="90">
        <v>0.1</v>
      </c>
      <c r="M31">
        <f t="shared" si="0"/>
        <v>4</v>
      </c>
      <c r="O31">
        <v>3</v>
      </c>
      <c r="P31">
        <f t="shared" ref="P31:P38" si="1">ROUND(P30*$Q$29,0)</f>
        <v>14</v>
      </c>
    </row>
    <row r="32" spans="2:17">
      <c r="B32" s="11"/>
      <c r="J32" s="11" t="s">
        <v>1165</v>
      </c>
      <c r="K32">
        <v>15</v>
      </c>
      <c r="L32" s="89">
        <v>0.2</v>
      </c>
      <c r="M32">
        <f t="shared" si="0"/>
        <v>3</v>
      </c>
      <c r="O32">
        <v>4</v>
      </c>
      <c r="P32">
        <f t="shared" si="1"/>
        <v>17</v>
      </c>
    </row>
    <row r="33" spans="2:16">
      <c r="B33" s="11"/>
      <c r="M33">
        <f>SUM(M29:M32)</f>
        <v>15.6</v>
      </c>
      <c r="O33">
        <v>5</v>
      </c>
      <c r="P33">
        <f t="shared" si="1"/>
        <v>20</v>
      </c>
    </row>
    <row r="34" spans="2:16">
      <c r="B34" s="11"/>
      <c r="O34">
        <v>6</v>
      </c>
      <c r="P34">
        <f t="shared" si="1"/>
        <v>24</v>
      </c>
    </row>
    <row r="35" spans="2:16">
      <c r="B35" s="11"/>
      <c r="O35">
        <v>7</v>
      </c>
      <c r="P35">
        <f t="shared" si="1"/>
        <v>29</v>
      </c>
    </row>
    <row r="36" spans="2:16">
      <c r="B36" s="11"/>
      <c r="O36">
        <v>8</v>
      </c>
      <c r="P36">
        <f t="shared" si="1"/>
        <v>35</v>
      </c>
    </row>
    <row r="37" spans="2:16">
      <c r="B37" s="11"/>
      <c r="O37">
        <v>9</v>
      </c>
      <c r="P37">
        <f t="shared" si="1"/>
        <v>42</v>
      </c>
    </row>
    <row r="38" spans="2:16">
      <c r="B38" s="11"/>
      <c r="O38">
        <v>10</v>
      </c>
      <c r="P38">
        <f t="shared" si="1"/>
        <v>50</v>
      </c>
    </row>
    <row r="39" spans="2:16">
      <c r="B39" s="11"/>
    </row>
    <row r="40" spans="2:16">
      <c r="B40" s="11"/>
    </row>
    <row r="41" spans="2:16">
      <c r="B41" s="11"/>
    </row>
    <row r="42" spans="2:16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Q66"/>
  <sheetViews>
    <sheetView topLeftCell="A44"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92" t="s">
        <v>164</v>
      </c>
      <c r="C1" s="93"/>
      <c r="D1" s="93"/>
      <c r="E1" s="93"/>
      <c r="F1" s="93"/>
      <c r="G1" s="93"/>
    </row>
    <row r="2" spans="1:17" s="1" customFormat="1">
      <c r="B2" s="93"/>
      <c r="C2" s="93"/>
      <c r="D2" s="93"/>
      <c r="E2" s="93"/>
      <c r="F2" s="93"/>
      <c r="G2" s="93"/>
    </row>
    <row r="3" spans="1:17" s="1" customFormat="1">
      <c r="B3" s="93"/>
      <c r="C3" s="93"/>
      <c r="D3" s="93"/>
      <c r="E3" s="93"/>
      <c r="F3" s="93"/>
      <c r="G3" s="93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680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40.843881856540094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707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800</v>
      </c>
      <c r="C25" s="9" t="s">
        <v>9</v>
      </c>
      <c r="D25" s="16" t="s">
        <v>804</v>
      </c>
      <c r="E25" s="19">
        <v>50</v>
      </c>
      <c r="F25" s="61">
        <v>0</v>
      </c>
    </row>
    <row r="26" spans="1:15">
      <c r="A26" s="9"/>
      <c r="B26" s="71" t="s">
        <v>801</v>
      </c>
      <c r="C26" s="9" t="s">
        <v>9</v>
      </c>
      <c r="D26" s="16" t="s">
        <v>803</v>
      </c>
      <c r="E26" s="19">
        <v>30</v>
      </c>
      <c r="F26" s="61">
        <v>0</v>
      </c>
    </row>
    <row r="27" spans="1:15">
      <c r="A27" s="9"/>
      <c r="B27" s="71" t="s">
        <v>797</v>
      </c>
      <c r="C27" s="9" t="s">
        <v>9</v>
      </c>
      <c r="D27" s="16" t="s">
        <v>802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669</v>
      </c>
    </row>
    <row r="45" spans="1:6">
      <c r="B45" s="11" t="s">
        <v>679</v>
      </c>
      <c r="C45" s="11" t="s">
        <v>681</v>
      </c>
      <c r="D45" s="11" t="s">
        <v>682</v>
      </c>
      <c r="E45" s="11" t="s">
        <v>669</v>
      </c>
      <c r="F45" s="11" t="s">
        <v>603</v>
      </c>
    </row>
    <row r="46" spans="1:6">
      <c r="B46" s="9" t="s">
        <v>670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671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672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673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674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675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676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677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678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669</v>
      </c>
    </row>
    <row r="57" spans="2:6">
      <c r="B57" s="11" t="s">
        <v>696</v>
      </c>
      <c r="C57" t="s">
        <v>698</v>
      </c>
      <c r="D57" s="11" t="s">
        <v>699</v>
      </c>
      <c r="E57" s="11" t="s">
        <v>697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0"/>
  <sheetViews>
    <sheetView zoomScaleNormal="75" zoomScaleSheetLayoutView="100" workbookViewId="0">
      <selection activeCell="D93" sqref="D93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BE5D7"/>
  </sheetPr>
  <dimension ref="B1:X15"/>
  <sheetViews>
    <sheetView topLeftCell="J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799</v>
      </c>
      <c r="I2" s="33" t="s">
        <v>801</v>
      </c>
      <c r="J2" s="33" t="s">
        <v>797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2CC"/>
  </sheetPr>
  <dimension ref="B1:S5"/>
  <sheetViews>
    <sheetView zoomScaleNormal="75" zoomScaleSheetLayoutView="100" workbookViewId="0">
      <selection activeCell="F19" sqref="F19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9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AE3F3"/>
  </sheetPr>
  <dimension ref="B1:W31"/>
  <sheetViews>
    <sheetView topLeftCell="D1" zoomScaleNormal="75" zoomScaleSheetLayoutView="100" workbookViewId="0">
      <selection activeCell="G39" sqref="G39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1" width="17" customWidth="1"/>
    <col min="12" max="12" width="19.125" customWidth="1"/>
    <col min="13" max="13" width="17.5" customWidth="1"/>
    <col min="14" max="14" width="15.625" customWidth="1"/>
    <col min="15" max="15" width="17.125" customWidth="1"/>
    <col min="16" max="16" width="12.625" customWidth="1"/>
    <col min="17" max="17" width="17.625" customWidth="1"/>
    <col min="18" max="18" width="16" customWidth="1"/>
    <col min="19" max="19" width="16.125" bestFit="1" customWidth="1"/>
    <col min="20" max="20" width="18.125" bestFit="1" customWidth="1"/>
    <col min="21" max="21" width="47.125" customWidth="1"/>
    <col min="22" max="22" width="20.625" bestFit="1" customWidth="1"/>
    <col min="23" max="23" width="17.625" bestFit="1" customWidth="1"/>
  </cols>
  <sheetData>
    <row r="1" spans="2:23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L1" s="16" t="s">
        <v>300</v>
      </c>
      <c r="M1" t="s">
        <v>51</v>
      </c>
      <c r="N1" t="s">
        <v>65</v>
      </c>
      <c r="O1" t="s">
        <v>51</v>
      </c>
      <c r="P1" t="s">
        <v>24</v>
      </c>
      <c r="Q1" t="s">
        <v>24</v>
      </c>
      <c r="R1" t="s">
        <v>24</v>
      </c>
      <c r="S1" t="s">
        <v>24</v>
      </c>
      <c r="T1" t="s">
        <v>24</v>
      </c>
      <c r="U1" t="s">
        <v>50</v>
      </c>
      <c r="V1" t="s">
        <v>26</v>
      </c>
      <c r="W1" t="s">
        <v>26</v>
      </c>
    </row>
    <row r="2" spans="2:23">
      <c r="B2" t="s">
        <v>38</v>
      </c>
      <c r="C2" s="31" t="s">
        <v>315</v>
      </c>
      <c r="D2" s="12" t="s">
        <v>999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1" t="s">
        <v>1174</v>
      </c>
      <c r="L2" s="16" t="s">
        <v>301</v>
      </c>
      <c r="M2" t="s">
        <v>116</v>
      </c>
      <c r="N2" t="s">
        <v>112</v>
      </c>
      <c r="O2" t="s">
        <v>114</v>
      </c>
      <c r="P2" t="s">
        <v>171</v>
      </c>
      <c r="Q2" t="s">
        <v>121</v>
      </c>
      <c r="R2" t="s">
        <v>177</v>
      </c>
      <c r="S2" t="s">
        <v>175</v>
      </c>
      <c r="T2" t="s">
        <v>2</v>
      </c>
      <c r="U2" t="s">
        <v>180</v>
      </c>
      <c r="V2" s="5" t="s">
        <v>182</v>
      </c>
      <c r="W2" s="5" t="s">
        <v>198</v>
      </c>
    </row>
    <row r="3" spans="2:23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 t="b">
        <v>0</v>
      </c>
      <c r="L3">
        <v>0</v>
      </c>
      <c r="M3">
        <v>0</v>
      </c>
      <c r="N3" t="s">
        <v>37</v>
      </c>
      <c r="O3">
        <v>0</v>
      </c>
      <c r="P3">
        <v>0</v>
      </c>
      <c r="Q3">
        <v>0</v>
      </c>
      <c r="R3">
        <v>0</v>
      </c>
      <c r="S3">
        <v>0</v>
      </c>
      <c r="T3">
        <v>501</v>
      </c>
      <c r="U3" s="16" t="s">
        <v>313</v>
      </c>
      <c r="V3">
        <v>0.2</v>
      </c>
      <c r="W3">
        <f>AVERAGE(EnemyGameData[[#This Row],[GoldDropMin]],EnemyGameData[[#This Row],[GoldDropMax]])</f>
        <v>0</v>
      </c>
    </row>
    <row r="4" spans="2:23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 t="b">
        <v>0</v>
      </c>
      <c r="L4">
        <v>0</v>
      </c>
      <c r="M4">
        <v>1.8</v>
      </c>
      <c r="N4" s="16" t="s">
        <v>330</v>
      </c>
      <c r="O4">
        <v>1.8</v>
      </c>
      <c r="P4">
        <v>600</v>
      </c>
      <c r="Q4">
        <v>0</v>
      </c>
      <c r="R4">
        <v>0</v>
      </c>
      <c r="S4">
        <v>5</v>
      </c>
      <c r="T4">
        <v>501</v>
      </c>
      <c r="U4" s="16" t="s">
        <v>400</v>
      </c>
      <c r="V4">
        <v>0.8</v>
      </c>
      <c r="W4">
        <f>AVERAGE(EnemyGameData[[#This Row],[GoldDropMin]],EnemyGameData[[#This Row],[GoldDropMax]])</f>
        <v>2.5</v>
      </c>
    </row>
    <row r="5" spans="2:23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 t="b">
        <v>0</v>
      </c>
      <c r="L5">
        <v>0</v>
      </c>
      <c r="M5">
        <v>1.5</v>
      </c>
      <c r="N5" t="s">
        <v>64</v>
      </c>
      <c r="O5">
        <f>IF(EnemyGameData[[#This Row],[SpacingRad]]&lt;3,5,EnemyGameData[[#This Row],[SpacingRad]]+5)</f>
        <v>10</v>
      </c>
      <c r="P5">
        <v>601</v>
      </c>
      <c r="Q5">
        <v>0</v>
      </c>
      <c r="R5">
        <v>0</v>
      </c>
      <c r="S5">
        <v>5</v>
      </c>
      <c r="T5">
        <v>501</v>
      </c>
      <c r="U5" s="16" t="s">
        <v>401</v>
      </c>
      <c r="V5">
        <v>1</v>
      </c>
      <c r="W5">
        <f>AVERAGE(EnemyGameData[[#This Row],[GoldDropMin]],EnemyGameData[[#This Row],[GoldDropMax]])</f>
        <v>2.5</v>
      </c>
    </row>
    <row r="6" spans="2:23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 t="b">
        <v>0</v>
      </c>
      <c r="L6">
        <v>0</v>
      </c>
      <c r="M6">
        <v>1.4</v>
      </c>
      <c r="N6" t="s">
        <v>64</v>
      </c>
      <c r="O6">
        <f>IF(EnemyGameData[[#This Row],[SpacingRad]]&lt;3,5,EnemyGameData[[#This Row],[SpacingRad]]+5)</f>
        <v>14</v>
      </c>
      <c r="P6">
        <v>602</v>
      </c>
      <c r="Q6">
        <v>0</v>
      </c>
      <c r="R6">
        <v>0</v>
      </c>
      <c r="S6">
        <v>5</v>
      </c>
      <c r="T6">
        <v>501</v>
      </c>
      <c r="U6" s="16" t="s">
        <v>402</v>
      </c>
      <c r="V6">
        <v>0.8</v>
      </c>
      <c r="W6">
        <f>AVERAGE(EnemyGameData[[#This Row],[GoldDropMin]],EnemyGameData[[#This Row],[GoldDropMax]])</f>
        <v>2.5</v>
      </c>
    </row>
    <row r="7" spans="2:23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 t="b">
        <v>0</v>
      </c>
      <c r="L7">
        <v>0</v>
      </c>
      <c r="M7" s="20">
        <v>3</v>
      </c>
      <c r="N7" s="20" t="s">
        <v>64</v>
      </c>
      <c r="O7">
        <f>IF(EnemyGameData[[#This Row],[SpacingRad]]&lt;3,5,EnemyGameData[[#This Row],[SpacingRad]]+5)</f>
        <v>9</v>
      </c>
      <c r="P7" s="20">
        <v>603</v>
      </c>
      <c r="Q7" s="20">
        <v>0</v>
      </c>
      <c r="R7">
        <v>0</v>
      </c>
      <c r="S7" s="20">
        <v>0</v>
      </c>
      <c r="T7" s="20">
        <v>501</v>
      </c>
      <c r="U7" s="20" t="s">
        <v>314</v>
      </c>
      <c r="V7" s="20">
        <v>0.8</v>
      </c>
      <c r="W7">
        <f>AVERAGE(EnemyGameData[[#This Row],[GoldDropMin]],EnemyGameData[[#This Row],[GoldDropMax]])</f>
        <v>0</v>
      </c>
    </row>
    <row r="8" spans="2:23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 t="b">
        <v>0</v>
      </c>
      <c r="L8">
        <v>0</v>
      </c>
      <c r="M8" s="20">
        <v>3</v>
      </c>
      <c r="N8" s="20" t="s">
        <v>64</v>
      </c>
      <c r="O8">
        <f>IF(EnemyGameData[[#This Row],[SpacingRad]]&lt;3,5,EnemyGameData[[#This Row],[SpacingRad]]+5)</f>
        <v>9</v>
      </c>
      <c r="P8" s="20">
        <v>604</v>
      </c>
      <c r="Q8" s="20">
        <v>0</v>
      </c>
      <c r="R8">
        <v>0</v>
      </c>
      <c r="S8" s="20">
        <v>0</v>
      </c>
      <c r="T8" s="20">
        <v>501</v>
      </c>
      <c r="U8" s="20" t="s">
        <v>314</v>
      </c>
      <c r="V8" s="20">
        <v>1</v>
      </c>
      <c r="W8">
        <f>AVERAGE(EnemyGameData[[#This Row],[GoldDropMin]],EnemyGameData[[#This Row],[GoldDropMax]])</f>
        <v>0</v>
      </c>
    </row>
    <row r="9" spans="2:23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 t="b">
        <v>0</v>
      </c>
      <c r="L9">
        <v>0</v>
      </c>
      <c r="M9">
        <v>1</v>
      </c>
      <c r="N9" t="s">
        <v>64</v>
      </c>
      <c r="O9">
        <f>IF(EnemyGameData[[#This Row],[SpacingRad]]&lt;3,5,EnemyGameData[[#This Row],[SpacingRad]]+5)</f>
        <v>9</v>
      </c>
      <c r="P9">
        <v>605</v>
      </c>
      <c r="Q9">
        <v>0</v>
      </c>
      <c r="R9">
        <v>0</v>
      </c>
      <c r="S9">
        <v>5</v>
      </c>
      <c r="T9">
        <v>501</v>
      </c>
      <c r="U9" s="16" t="s">
        <v>405</v>
      </c>
      <c r="V9">
        <v>1</v>
      </c>
      <c r="W9">
        <f>AVERAGE(EnemyGameData[[#This Row],[GoldDropMin]],EnemyGameData[[#This Row],[GoldDropMax]])</f>
        <v>2.5</v>
      </c>
    </row>
    <row r="10" spans="2:23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 t="b">
        <v>0</v>
      </c>
      <c r="L10">
        <v>0</v>
      </c>
      <c r="M10">
        <v>1.8</v>
      </c>
      <c r="N10" t="s">
        <v>127</v>
      </c>
      <c r="O10">
        <v>1.8</v>
      </c>
      <c r="P10">
        <v>607</v>
      </c>
      <c r="Q10">
        <v>0</v>
      </c>
      <c r="R10">
        <v>0</v>
      </c>
      <c r="S10">
        <v>5</v>
      </c>
      <c r="T10">
        <v>501</v>
      </c>
      <c r="U10" s="16" t="s">
        <v>408</v>
      </c>
      <c r="V10">
        <v>0.8</v>
      </c>
      <c r="W10">
        <f>AVERAGE(EnemyGameData[[#This Row],[GoldDropMin]],EnemyGameData[[#This Row],[GoldDropMax]])</f>
        <v>2.5</v>
      </c>
    </row>
    <row r="11" spans="2:23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 t="b">
        <v>1</v>
      </c>
      <c r="L11">
        <v>0</v>
      </c>
      <c r="M11">
        <v>1.3</v>
      </c>
      <c r="N11" t="s">
        <v>127</v>
      </c>
      <c r="O11">
        <v>1.3</v>
      </c>
      <c r="P11">
        <v>650</v>
      </c>
      <c r="Q11">
        <v>0</v>
      </c>
      <c r="R11">
        <v>0</v>
      </c>
      <c r="S11">
        <v>5</v>
      </c>
      <c r="T11">
        <v>501</v>
      </c>
      <c r="U11" s="16" t="s">
        <v>409</v>
      </c>
      <c r="V11">
        <v>1.4</v>
      </c>
      <c r="W11">
        <f>AVERAGE(EnemyGameData[[#This Row],[GoldDropMin]],EnemyGameData[[#This Row],[GoldDropMax]])</f>
        <v>2.5</v>
      </c>
    </row>
    <row r="12" spans="2:23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t="b">
        <v>0</v>
      </c>
      <c r="L12" s="39">
        <v>0</v>
      </c>
      <c r="M12" s="39">
        <v>1.5</v>
      </c>
      <c r="N12" s="39" t="s">
        <v>64</v>
      </c>
      <c r="O12">
        <f>IF(EnemyGameData[[#This Row],[SpacingRad]]&lt;3,5,EnemyGameData[[#This Row],[SpacingRad]]+5)</f>
        <v>10</v>
      </c>
      <c r="P12" s="39">
        <v>651</v>
      </c>
      <c r="Q12" s="39">
        <v>0</v>
      </c>
      <c r="R12">
        <v>0</v>
      </c>
      <c r="S12" s="39">
        <v>5</v>
      </c>
      <c r="T12" s="39">
        <v>501</v>
      </c>
      <c r="U12" s="39" t="s">
        <v>401</v>
      </c>
      <c r="V12" s="39">
        <v>1.6</v>
      </c>
      <c r="W12">
        <f>AVERAGE(EnemyGameData[[#This Row],[GoldDropMin]],EnemyGameData[[#This Row],[GoldDropMax]])</f>
        <v>2.5</v>
      </c>
    </row>
    <row r="13" spans="2:23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 t="b">
        <v>1</v>
      </c>
      <c r="L13">
        <v>0</v>
      </c>
      <c r="M13">
        <v>1.2</v>
      </c>
      <c r="N13" t="s">
        <v>64</v>
      </c>
      <c r="O13">
        <f>IF(EnemyGameData[[#This Row],[SpacingRad]]&lt;3,5,EnemyGameData[[#This Row],[SpacingRad]]+5)</f>
        <v>13</v>
      </c>
      <c r="P13">
        <v>652</v>
      </c>
      <c r="Q13">
        <v>0</v>
      </c>
      <c r="R13">
        <v>0</v>
      </c>
      <c r="S13" s="11">
        <v>5</v>
      </c>
      <c r="T13">
        <v>501</v>
      </c>
      <c r="U13" s="16" t="s">
        <v>407</v>
      </c>
      <c r="V13">
        <v>1.4</v>
      </c>
      <c r="W13">
        <f>AVERAGE(EnemyGameData[[#This Row],[GoldDropMin]],EnemyGameData[[#This Row],[GoldDropMax]])</f>
        <v>2.5</v>
      </c>
    </row>
    <row r="14" spans="2:23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 t="b">
        <v>1</v>
      </c>
      <c r="L14">
        <v>0</v>
      </c>
      <c r="M14">
        <v>1.6</v>
      </c>
      <c r="N14" t="s">
        <v>64</v>
      </c>
      <c r="O14">
        <f>IF(EnemyGameData[[#This Row],[SpacingRad]]&lt;3,5,EnemyGameData[[#This Row],[SpacingRad]]+5)</f>
        <v>9</v>
      </c>
      <c r="P14">
        <v>604</v>
      </c>
      <c r="Q14">
        <v>0</v>
      </c>
      <c r="R14">
        <v>0</v>
      </c>
      <c r="S14">
        <v>5</v>
      </c>
      <c r="T14">
        <v>501</v>
      </c>
      <c r="U14" s="16" t="s">
        <v>406</v>
      </c>
      <c r="V14">
        <v>1.6</v>
      </c>
      <c r="W14">
        <f>AVERAGE(EnemyGameData[[#This Row],[GoldDropMin]],EnemyGameData[[#This Row],[GoldDropMax]])</f>
        <v>2.5</v>
      </c>
    </row>
    <row r="15" spans="2:23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 t="b">
        <v>0</v>
      </c>
      <c r="L15">
        <v>0</v>
      </c>
      <c r="M15" s="20">
        <v>0</v>
      </c>
      <c r="N15" s="20" t="s">
        <v>37</v>
      </c>
      <c r="O15">
        <v>0</v>
      </c>
      <c r="P15" s="20">
        <v>0</v>
      </c>
      <c r="Q15" s="20">
        <v>0</v>
      </c>
      <c r="R15">
        <v>0</v>
      </c>
      <c r="S15" s="20">
        <v>0</v>
      </c>
      <c r="T15" s="20">
        <v>501</v>
      </c>
      <c r="U15" s="20" t="s">
        <v>313</v>
      </c>
      <c r="V15" s="20">
        <v>0.2</v>
      </c>
      <c r="W15">
        <f>AVERAGE(EnemyGameData[[#This Row],[GoldDropMin]],EnemyGameData[[#This Row],[GoldDropMax]])</f>
        <v>0</v>
      </c>
    </row>
    <row r="16" spans="2:23">
      <c r="B16" s="84">
        <v>600</v>
      </c>
      <c r="C16" s="53" t="s">
        <v>997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t="b">
        <v>0</v>
      </c>
      <c r="L16" s="84">
        <v>0</v>
      </c>
      <c r="M16" s="84">
        <v>0</v>
      </c>
      <c r="N16" s="84" t="s">
        <v>37</v>
      </c>
      <c r="O16" s="86">
        <v>0</v>
      </c>
      <c r="P16" s="84">
        <v>0</v>
      </c>
      <c r="Q16" s="84">
        <v>0</v>
      </c>
      <c r="R16" s="84">
        <v>0</v>
      </c>
      <c r="S16" s="84">
        <v>0</v>
      </c>
      <c r="T16" s="84">
        <v>0</v>
      </c>
      <c r="U16" s="85" t="s">
        <v>402</v>
      </c>
      <c r="V16" s="84"/>
      <c r="W16">
        <f>AVERAGE(EnemyGameData[[#This Row],[GoldDropMin]],EnemyGameData[[#This Row],[GoldDropMax]])</f>
        <v>0</v>
      </c>
    </row>
    <row r="17" spans="2:23">
      <c r="B17" s="84">
        <v>601</v>
      </c>
      <c r="C17" s="53" t="s">
        <v>998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t="b">
        <v>0</v>
      </c>
      <c r="L17" s="84">
        <v>0</v>
      </c>
      <c r="M17" s="84">
        <v>0</v>
      </c>
      <c r="N17" s="84" t="s">
        <v>37</v>
      </c>
      <c r="O17" s="86">
        <v>0</v>
      </c>
      <c r="P17" s="84">
        <v>0</v>
      </c>
      <c r="Q17" s="84">
        <v>0</v>
      </c>
      <c r="R17" s="84">
        <v>0</v>
      </c>
      <c r="S17" s="84">
        <v>0</v>
      </c>
      <c r="T17" s="84">
        <v>501</v>
      </c>
      <c r="U17" s="85" t="s">
        <v>402</v>
      </c>
      <c r="V17" s="84"/>
      <c r="W17">
        <f>AVERAGE(EnemyGameData[[#This Row],[GoldDropMin]],EnemyGameData[[#This Row],[GoldDropMax]])</f>
        <v>0</v>
      </c>
    </row>
    <row r="18" spans="2:23">
      <c r="B18" s="84">
        <v>602</v>
      </c>
      <c r="C18" s="53" t="s">
        <v>996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t="b">
        <v>0</v>
      </c>
      <c r="L18" s="84">
        <v>0</v>
      </c>
      <c r="M18" s="84">
        <v>2</v>
      </c>
      <c r="N18" s="86" t="s">
        <v>127</v>
      </c>
      <c r="O18" s="84">
        <v>1</v>
      </c>
      <c r="P18" s="84">
        <v>0</v>
      </c>
      <c r="Q18" s="84">
        <v>0</v>
      </c>
      <c r="R18" s="84">
        <v>0</v>
      </c>
      <c r="S18" s="84">
        <v>0</v>
      </c>
      <c r="T18" s="84">
        <v>501</v>
      </c>
      <c r="U18" s="85" t="s">
        <v>402</v>
      </c>
      <c r="V18" s="84"/>
      <c r="W18">
        <f>AVERAGE(EnemyGameData[[#This Row],[GoldDropMin]],EnemyGameData[[#This Row],[GoldDropMax]])</f>
        <v>0</v>
      </c>
    </row>
    <row r="19" spans="2:23">
      <c r="B19" s="84">
        <v>701</v>
      </c>
      <c r="C19" s="53" t="s">
        <v>1144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 t="b">
        <v>0</v>
      </c>
      <c r="L19">
        <v>0</v>
      </c>
      <c r="M19">
        <v>1</v>
      </c>
      <c r="N19" t="s">
        <v>64</v>
      </c>
      <c r="O19">
        <f>IF(EnemyGameData[[#This Row],[SpacingRad]]&lt;3,5,EnemyGameData[[#This Row],[SpacingRad]]+2)</f>
        <v>6</v>
      </c>
      <c r="P19">
        <v>605</v>
      </c>
      <c r="Q19">
        <v>0</v>
      </c>
      <c r="R19">
        <v>0</v>
      </c>
      <c r="S19">
        <v>0</v>
      </c>
      <c r="T19">
        <v>501</v>
      </c>
      <c r="U19" s="16" t="s">
        <v>405</v>
      </c>
      <c r="V19">
        <v>1</v>
      </c>
      <c r="W19">
        <f>AVERAGE(EnemyGameData[[#This Row],[GoldDropMin]],EnemyGameData[[#This Row],[GoldDropMax]])</f>
        <v>0</v>
      </c>
    </row>
    <row r="20" spans="2:23">
      <c r="B20" s="84">
        <v>702</v>
      </c>
      <c r="C20" s="53" t="s">
        <v>1145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 t="b">
        <v>0</v>
      </c>
      <c r="L20">
        <v>0</v>
      </c>
      <c r="M20">
        <v>1.4</v>
      </c>
      <c r="N20" t="s">
        <v>64</v>
      </c>
      <c r="O20">
        <f>IF(EnemyGameData[[#This Row],[SpacingRad]]&lt;3,5,EnemyGameData[[#This Row],[SpacingRad]]+3)</f>
        <v>12</v>
      </c>
      <c r="P20">
        <v>602</v>
      </c>
      <c r="Q20">
        <v>0</v>
      </c>
      <c r="R20">
        <v>0</v>
      </c>
      <c r="S20">
        <v>0</v>
      </c>
      <c r="T20">
        <v>501</v>
      </c>
      <c r="U20" s="16" t="s">
        <v>402</v>
      </c>
      <c r="V20">
        <v>0.8</v>
      </c>
      <c r="W20">
        <f>AVERAGE(EnemyGameData[[#This Row],[GoldDropMin]],EnemyGameData[[#This Row],[GoldDropMax]])</f>
        <v>0</v>
      </c>
    </row>
    <row r="21" spans="2:23">
      <c r="B21" s="84">
        <v>703</v>
      </c>
      <c r="C21" s="53" t="s">
        <v>1146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 t="b">
        <v>0</v>
      </c>
      <c r="L21">
        <v>0</v>
      </c>
      <c r="M21">
        <v>1.8</v>
      </c>
      <c r="N21" s="16" t="s">
        <v>330</v>
      </c>
      <c r="O21">
        <v>1.8</v>
      </c>
      <c r="P21">
        <v>600</v>
      </c>
      <c r="Q21">
        <v>0</v>
      </c>
      <c r="R21">
        <v>0</v>
      </c>
      <c r="S21">
        <v>0</v>
      </c>
      <c r="T21">
        <v>501</v>
      </c>
      <c r="U21" s="16" t="s">
        <v>400</v>
      </c>
      <c r="V21">
        <v>0.8</v>
      </c>
      <c r="W21">
        <f>AVERAGE(EnemyGameData[[#This Row],[GoldDropMin]],EnemyGameData[[#This Row],[GoldDropMax]])</f>
        <v>0</v>
      </c>
    </row>
    <row r="22" spans="2:23">
      <c r="B22" s="84">
        <v>704</v>
      </c>
      <c r="C22" s="53" t="s">
        <v>1147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 t="b">
        <v>0</v>
      </c>
      <c r="L22">
        <v>0</v>
      </c>
      <c r="M22">
        <v>1.8</v>
      </c>
      <c r="N22" t="s">
        <v>127</v>
      </c>
      <c r="O22">
        <v>1.8</v>
      </c>
      <c r="P22">
        <v>607</v>
      </c>
      <c r="Q22">
        <v>0</v>
      </c>
      <c r="R22">
        <v>0</v>
      </c>
      <c r="S22">
        <v>0</v>
      </c>
      <c r="T22">
        <v>501</v>
      </c>
      <c r="U22" s="16" t="s">
        <v>408</v>
      </c>
      <c r="V22">
        <v>0.8</v>
      </c>
      <c r="W22">
        <f>AVERAGE(EnemyGameData[[#This Row],[GoldDropMin]],EnemyGameData[[#This Row],[GoldDropMax]])</f>
        <v>0</v>
      </c>
    </row>
    <row r="23" spans="2:23" s="39" customFormat="1">
      <c r="B23" s="39">
        <v>1001</v>
      </c>
      <c r="C23" s="45" t="s">
        <v>786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t="b">
        <v>1</v>
      </c>
      <c r="L23" s="39">
        <v>0</v>
      </c>
      <c r="R23" s="39">
        <v>25</v>
      </c>
      <c r="S23" s="39">
        <v>25</v>
      </c>
      <c r="U23" s="39" t="s">
        <v>825</v>
      </c>
      <c r="W23">
        <f>AVERAGE(EnemyGameData[[#This Row],[GoldDropMin]],EnemyGameData[[#This Row],[GoldDropMax]])</f>
        <v>25</v>
      </c>
    </row>
    <row r="24" spans="2:23" s="39" customFormat="1">
      <c r="B24" s="39">
        <v>1101</v>
      </c>
      <c r="C24" s="45" t="s">
        <v>787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t="b">
        <v>1</v>
      </c>
      <c r="L24" s="39">
        <v>0</v>
      </c>
      <c r="R24" s="39">
        <v>25</v>
      </c>
      <c r="S24" s="39">
        <v>25</v>
      </c>
      <c r="U24" s="39" t="s">
        <v>826</v>
      </c>
      <c r="W24">
        <f>AVERAGE(EnemyGameData[[#This Row],[GoldDropMin]],EnemyGameData[[#This Row],[GoldDropMax]])</f>
        <v>25</v>
      </c>
    </row>
    <row r="25" spans="2:23" s="39" customFormat="1">
      <c r="B25" s="39">
        <v>1102</v>
      </c>
      <c r="C25" s="45" t="s">
        <v>823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t="b">
        <v>1</v>
      </c>
      <c r="L25" s="39">
        <v>0</v>
      </c>
      <c r="R25" s="39">
        <v>0</v>
      </c>
      <c r="S25" s="39">
        <v>0</v>
      </c>
      <c r="T25"/>
      <c r="U25" s="39" t="s">
        <v>828</v>
      </c>
      <c r="W25">
        <f>AVERAGE(EnemyGameData[[#This Row],[GoldDropMin]],EnemyGameData[[#This Row],[GoldDropMax]])</f>
        <v>0</v>
      </c>
    </row>
    <row r="26" spans="2:23" s="39" customFormat="1">
      <c r="B26" s="39">
        <v>1103</v>
      </c>
      <c r="C26" s="45" t="s">
        <v>824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t="b">
        <v>1</v>
      </c>
      <c r="L26" s="39">
        <v>0</v>
      </c>
      <c r="R26" s="39">
        <v>0</v>
      </c>
      <c r="S26" s="39">
        <v>0</v>
      </c>
      <c r="T26"/>
      <c r="U26" s="39" t="s">
        <v>829</v>
      </c>
      <c r="W26">
        <f>AVERAGE(EnemyGameData[[#This Row],[GoldDropMin]],EnemyGameData[[#This Row],[GoldDropMax]])</f>
        <v>0</v>
      </c>
    </row>
    <row r="27" spans="2:23" s="39" customFormat="1">
      <c r="B27" s="39">
        <v>1003</v>
      </c>
      <c r="C27" s="40" t="s">
        <v>785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t="b">
        <v>1</v>
      </c>
      <c r="L27" s="39">
        <v>0</v>
      </c>
      <c r="M27" s="39">
        <v>3</v>
      </c>
      <c r="N27" s="39" t="s">
        <v>64</v>
      </c>
      <c r="O27" s="39">
        <f>IF(EnemyGameData[[#This Row],[SpacingRad]]&lt;3,5,EnemyGameData[[#This Row],[SpacingRad]]+1)</f>
        <v>5</v>
      </c>
      <c r="P27" s="39">
        <v>0</v>
      </c>
      <c r="Q27" s="39">
        <v>0</v>
      </c>
      <c r="R27" s="39">
        <v>25</v>
      </c>
      <c r="S27" s="39">
        <v>25</v>
      </c>
      <c r="U27" s="39" t="s">
        <v>827</v>
      </c>
      <c r="W27">
        <f>AVERAGE(EnemyGameData[[#This Row],[GoldDropMin]],EnemyGameData[[#This Row],[GoldDropMax]])</f>
        <v>25</v>
      </c>
    </row>
    <row r="31" spans="2:23">
      <c r="T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AE3F3"/>
  </sheetPr>
  <dimension ref="B1:Q140"/>
  <sheetViews>
    <sheetView topLeftCell="A37" zoomScaleNormal="75" zoomScaleSheetLayoutView="100" workbookViewId="0">
      <selection activeCell="E50" sqref="E50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1150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1150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1150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789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793</v>
      </c>
      <c r="D62">
        <v>2002</v>
      </c>
      <c r="E62" s="16" t="s">
        <v>796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794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795</v>
      </c>
      <c r="D64">
        <v>2002</v>
      </c>
      <c r="E64" s="16" t="s">
        <v>796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805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805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805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805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805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805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805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805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805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822</v>
      </c>
      <c r="D74">
        <v>3104</v>
      </c>
      <c r="E74" s="16" t="s">
        <v>796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822</v>
      </c>
      <c r="D75">
        <v>3114</v>
      </c>
      <c r="E75" s="16" t="s">
        <v>796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822</v>
      </c>
      <c r="D76">
        <v>3109</v>
      </c>
      <c r="E76" s="16" t="s">
        <v>796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822</v>
      </c>
      <c r="D77">
        <v>3101</v>
      </c>
      <c r="E77" s="16" t="s">
        <v>796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822</v>
      </c>
      <c r="D78">
        <v>3102</v>
      </c>
      <c r="E78" s="16" t="s">
        <v>796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822</v>
      </c>
      <c r="D79">
        <v>3108</v>
      </c>
      <c r="E79" s="16" t="s">
        <v>796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822</v>
      </c>
      <c r="D80">
        <v>3111</v>
      </c>
      <c r="E80" s="16" t="s">
        <v>796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822</v>
      </c>
      <c r="D81">
        <v>3116</v>
      </c>
      <c r="E81" s="16" t="s">
        <v>796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822</v>
      </c>
      <c r="D82">
        <v>3115</v>
      </c>
      <c r="E82" s="16" t="s">
        <v>796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822</v>
      </c>
      <c r="D83">
        <v>3106</v>
      </c>
      <c r="E83" s="16" t="s">
        <v>796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822</v>
      </c>
      <c r="D84">
        <v>3103</v>
      </c>
      <c r="E84" s="16" t="s">
        <v>796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822</v>
      </c>
      <c r="D85">
        <v>3105</v>
      </c>
      <c r="E85" s="16" t="s">
        <v>796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822</v>
      </c>
      <c r="D86">
        <v>3113</v>
      </c>
      <c r="E86" s="16" t="s">
        <v>796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822</v>
      </c>
      <c r="D87">
        <v>3112</v>
      </c>
      <c r="E87" s="16" t="s">
        <v>796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822</v>
      </c>
      <c r="D88">
        <v>3110</v>
      </c>
      <c r="E88" s="16" t="s">
        <v>796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822</v>
      </c>
      <c r="D89">
        <v>3107</v>
      </c>
      <c r="E89" s="16" t="s">
        <v>796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822</v>
      </c>
      <c r="D90">
        <v>3110</v>
      </c>
      <c r="E90" s="16" t="s">
        <v>796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822</v>
      </c>
      <c r="D91">
        <v>3101</v>
      </c>
      <c r="E91" s="16" t="s">
        <v>796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822</v>
      </c>
      <c r="D92">
        <v>3116</v>
      </c>
      <c r="E92" s="16" t="s">
        <v>796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822</v>
      </c>
      <c r="D93">
        <v>3105</v>
      </c>
      <c r="E93" s="16" t="s">
        <v>796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822</v>
      </c>
      <c r="D94">
        <v>3115</v>
      </c>
      <c r="E94" s="16" t="s">
        <v>796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822</v>
      </c>
      <c r="D95">
        <v>3111</v>
      </c>
      <c r="E95" s="16" t="s">
        <v>796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822</v>
      </c>
      <c r="D96">
        <v>3112</v>
      </c>
      <c r="E96" s="16" t="s">
        <v>796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822</v>
      </c>
      <c r="D97">
        <v>3108</v>
      </c>
      <c r="E97" s="16" t="s">
        <v>796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822</v>
      </c>
      <c r="D98">
        <v>3107</v>
      </c>
      <c r="E98" s="16" t="s">
        <v>796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822</v>
      </c>
      <c r="D99">
        <v>3102</v>
      </c>
      <c r="E99" s="16" t="s">
        <v>796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822</v>
      </c>
      <c r="D100">
        <v>3106</v>
      </c>
      <c r="E100" s="16" t="s">
        <v>796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822</v>
      </c>
      <c r="D101">
        <v>3114</v>
      </c>
      <c r="E101" s="16" t="s">
        <v>796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822</v>
      </c>
      <c r="D102">
        <v>3103</v>
      </c>
      <c r="E102" s="16" t="s">
        <v>796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822</v>
      </c>
      <c r="D103">
        <v>3113</v>
      </c>
      <c r="E103" s="16" t="s">
        <v>796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822</v>
      </c>
      <c r="D104">
        <v>3104</v>
      </c>
      <c r="E104" s="16" t="s">
        <v>796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822</v>
      </c>
      <c r="D105">
        <v>3109</v>
      </c>
      <c r="E105" s="16" t="s">
        <v>796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822</v>
      </c>
      <c r="D106">
        <v>3110</v>
      </c>
      <c r="E106" s="16" t="s">
        <v>796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822</v>
      </c>
      <c r="D107">
        <v>3116</v>
      </c>
      <c r="E107" s="16" t="s">
        <v>796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822</v>
      </c>
      <c r="D108">
        <v>3108</v>
      </c>
      <c r="E108" s="16" t="s">
        <v>796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822</v>
      </c>
      <c r="D109">
        <v>3115</v>
      </c>
      <c r="E109" s="16" t="s">
        <v>796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822</v>
      </c>
      <c r="D110">
        <v>3103</v>
      </c>
      <c r="E110" s="16" t="s">
        <v>796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822</v>
      </c>
      <c r="D111">
        <v>3102</v>
      </c>
      <c r="E111" s="16" t="s">
        <v>796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822</v>
      </c>
      <c r="D112">
        <v>3114</v>
      </c>
      <c r="E112" s="16" t="s">
        <v>796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822</v>
      </c>
      <c r="D113">
        <v>3113</v>
      </c>
      <c r="E113" s="16" t="s">
        <v>796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822</v>
      </c>
      <c r="D114">
        <v>3111</v>
      </c>
      <c r="E114" s="16" t="s">
        <v>796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822</v>
      </c>
      <c r="D115">
        <v>3107</v>
      </c>
      <c r="E115" s="16" t="s">
        <v>796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822</v>
      </c>
      <c r="D116">
        <v>3106</v>
      </c>
      <c r="E116" s="16" t="s">
        <v>796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822</v>
      </c>
      <c r="D117">
        <v>3104</v>
      </c>
      <c r="E117" s="16" t="s">
        <v>796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822</v>
      </c>
      <c r="D118">
        <v>3112</v>
      </c>
      <c r="E118" s="16" t="s">
        <v>796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822</v>
      </c>
      <c r="D119">
        <v>3101</v>
      </c>
      <c r="E119" s="16" t="s">
        <v>796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822</v>
      </c>
      <c r="D120">
        <v>3105</v>
      </c>
      <c r="E120" s="16" t="s">
        <v>796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822</v>
      </c>
      <c r="D121">
        <v>3109</v>
      </c>
      <c r="E121" s="16" t="s">
        <v>796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822</v>
      </c>
      <c r="D122">
        <v>3101</v>
      </c>
      <c r="E122" s="16" t="s">
        <v>796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822</v>
      </c>
      <c r="D123">
        <v>3110</v>
      </c>
      <c r="E123" s="16" t="s">
        <v>796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822</v>
      </c>
      <c r="D124">
        <v>3103</v>
      </c>
      <c r="E124" s="16" t="s">
        <v>796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822</v>
      </c>
      <c r="D125">
        <v>3116</v>
      </c>
      <c r="E125" s="16" t="s">
        <v>796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822</v>
      </c>
      <c r="D126">
        <v>3109</v>
      </c>
      <c r="E126" s="16" t="s">
        <v>796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822</v>
      </c>
      <c r="D127">
        <v>3107</v>
      </c>
      <c r="E127" s="16" t="s">
        <v>796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822</v>
      </c>
      <c r="D128">
        <v>3113</v>
      </c>
      <c r="E128" s="16" t="s">
        <v>796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822</v>
      </c>
      <c r="D129">
        <v>3106</v>
      </c>
      <c r="E129" s="16" t="s">
        <v>796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822</v>
      </c>
      <c r="D130">
        <v>3102</v>
      </c>
      <c r="E130" s="16" t="s">
        <v>796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822</v>
      </c>
      <c r="D131">
        <v>3111</v>
      </c>
      <c r="E131" s="16" t="s">
        <v>796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822</v>
      </c>
      <c r="D132">
        <v>3115</v>
      </c>
      <c r="E132" s="16" t="s">
        <v>796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822</v>
      </c>
      <c r="D133">
        <v>3112</v>
      </c>
      <c r="E133" s="16" t="s">
        <v>796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822</v>
      </c>
      <c r="D134">
        <v>3114</v>
      </c>
      <c r="E134" s="16" t="s">
        <v>796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822</v>
      </c>
      <c r="D135">
        <v>3105</v>
      </c>
      <c r="E135" s="16" t="s">
        <v>796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822</v>
      </c>
      <c r="D136">
        <v>3104</v>
      </c>
      <c r="E136" s="16" t="s">
        <v>796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822</v>
      </c>
      <c r="D137">
        <v>3108</v>
      </c>
      <c r="E137" s="16" t="s">
        <v>796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856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856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856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AE3F3"/>
  </sheetPr>
  <dimension ref="B1:H239"/>
  <sheetViews>
    <sheetView topLeftCell="A142" zoomScaleNormal="75" zoomScaleSheetLayoutView="100" workbookViewId="0">
      <selection activeCell="E94" sqref="E94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815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7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7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7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7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7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7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7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7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7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6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6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6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6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6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6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6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6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6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6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6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6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6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6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6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6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7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6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6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6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6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6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6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6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6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6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6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6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6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6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6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6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6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6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6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6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6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6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6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6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6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6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6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6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6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6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6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6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6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7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7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7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7</v>
      </c>
      <c r="H64" s="11" t="s">
        <v>820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7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7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7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7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7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7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7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7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7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7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7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7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7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7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7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7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7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7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7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820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820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820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820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820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820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873</v>
      </c>
      <c r="D94">
        <v>0</v>
      </c>
      <c r="E94">
        <v>206</v>
      </c>
      <c r="F94">
        <v>0</v>
      </c>
      <c r="G94">
        <v>10</v>
      </c>
      <c r="H94" s="11" t="s">
        <v>952</v>
      </c>
    </row>
    <row r="95" spans="2:8">
      <c r="B95">
        <v>806</v>
      </c>
      <c r="C95" s="11" t="s">
        <v>873</v>
      </c>
      <c r="D95">
        <v>15</v>
      </c>
      <c r="E95">
        <v>206</v>
      </c>
      <c r="F95">
        <v>0</v>
      </c>
      <c r="G95">
        <v>10</v>
      </c>
      <c r="H95" s="11" t="s">
        <v>952</v>
      </c>
    </row>
    <row r="96" spans="2:8">
      <c r="B96">
        <v>806</v>
      </c>
      <c r="C96" s="11" t="s">
        <v>873</v>
      </c>
      <c r="D96">
        <v>-15</v>
      </c>
      <c r="E96">
        <v>206</v>
      </c>
      <c r="F96">
        <v>0</v>
      </c>
      <c r="G96">
        <v>10</v>
      </c>
      <c r="H96" s="11" t="s">
        <v>952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7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7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7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7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7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7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7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7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7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7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7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7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7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7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7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7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7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7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7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7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7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7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7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7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7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7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7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7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7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7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7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7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7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7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7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7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7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7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7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7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7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7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7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7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7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7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7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7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7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7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7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7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7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7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7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7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7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7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7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7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7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7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7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7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7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7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7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7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7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7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7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7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7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7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7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7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7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7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7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7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7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7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7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7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7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7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7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7</v>
      </c>
      <c r="H185" s="11" t="s">
        <v>322</v>
      </c>
    </row>
    <row r="186" spans="2:8">
      <c r="B186">
        <v>2001</v>
      </c>
      <c r="C186" s="16" t="s">
        <v>789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790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790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790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806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806</v>
      </c>
      <c r="D191">
        <v>213</v>
      </c>
      <c r="E191">
        <v>2001</v>
      </c>
      <c r="F191">
        <v>0</v>
      </c>
      <c r="G191">
        <v>5.5</v>
      </c>
      <c r="H191" s="11" t="s">
        <v>322</v>
      </c>
    </row>
    <row r="192" spans="2:8">
      <c r="B192">
        <v>2003</v>
      </c>
      <c r="C192" s="11" t="s">
        <v>806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807</v>
      </c>
      <c r="D193">
        <v>264</v>
      </c>
      <c r="E193">
        <v>2001</v>
      </c>
      <c r="F193">
        <v>0</v>
      </c>
      <c r="G193">
        <v>5.5</v>
      </c>
      <c r="H193" s="11" t="s">
        <v>322</v>
      </c>
    </row>
    <row r="194" spans="2:8">
      <c r="B194">
        <v>2004</v>
      </c>
      <c r="C194" s="11" t="s">
        <v>807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807</v>
      </c>
      <c r="D195">
        <v>188</v>
      </c>
      <c r="E195">
        <v>2001</v>
      </c>
      <c r="F195">
        <v>0</v>
      </c>
      <c r="G195">
        <v>5.5</v>
      </c>
      <c r="H195" s="11" t="s">
        <v>322</v>
      </c>
    </row>
    <row r="196" spans="2:8">
      <c r="B196">
        <v>2005</v>
      </c>
      <c r="C196" s="11" t="s">
        <v>808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808</v>
      </c>
      <c r="D197">
        <v>30</v>
      </c>
      <c r="E197">
        <v>2001</v>
      </c>
      <c r="F197">
        <v>0</v>
      </c>
      <c r="G197">
        <v>5.5</v>
      </c>
      <c r="H197" s="11" t="s">
        <v>322</v>
      </c>
    </row>
    <row r="198" spans="2:8">
      <c r="B198">
        <v>2005</v>
      </c>
      <c r="C198" s="11" t="s">
        <v>808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809</v>
      </c>
      <c r="D199">
        <v>90</v>
      </c>
      <c r="E199">
        <v>2001</v>
      </c>
      <c r="F199">
        <v>0</v>
      </c>
      <c r="G199">
        <v>5.5</v>
      </c>
      <c r="H199" s="11" t="s">
        <v>322</v>
      </c>
    </row>
    <row r="200" spans="2:8">
      <c r="B200">
        <v>2006</v>
      </c>
      <c r="C200" s="11" t="s">
        <v>809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809</v>
      </c>
      <c r="D201">
        <v>72</v>
      </c>
      <c r="E201">
        <v>2001</v>
      </c>
      <c r="F201">
        <v>0</v>
      </c>
      <c r="G201">
        <v>5.5</v>
      </c>
      <c r="H201" s="11" t="s">
        <v>322</v>
      </c>
    </row>
    <row r="202" spans="2:8">
      <c r="B202">
        <v>2007</v>
      </c>
      <c r="C202" s="11" t="s">
        <v>810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810</v>
      </c>
      <c r="D203">
        <v>25</v>
      </c>
      <c r="E203">
        <v>2001</v>
      </c>
      <c r="F203">
        <v>0</v>
      </c>
      <c r="G203">
        <v>5.5</v>
      </c>
      <c r="H203" s="11" t="s">
        <v>322</v>
      </c>
    </row>
    <row r="204" spans="2:8">
      <c r="B204">
        <v>2007</v>
      </c>
      <c r="C204" s="11" t="s">
        <v>810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817</v>
      </c>
      <c r="D205">
        <v>-90</v>
      </c>
      <c r="E205">
        <v>3001</v>
      </c>
      <c r="F205">
        <v>1</v>
      </c>
      <c r="G205">
        <v>6</v>
      </c>
      <c r="H205" s="11" t="s">
        <v>820</v>
      </c>
    </row>
    <row r="206" spans="2:8">
      <c r="B206">
        <v>3002</v>
      </c>
      <c r="C206" s="11" t="s">
        <v>816</v>
      </c>
      <c r="D206">
        <v>-90</v>
      </c>
      <c r="E206">
        <v>3002</v>
      </c>
      <c r="F206">
        <v>1</v>
      </c>
      <c r="G206">
        <v>5.5</v>
      </c>
      <c r="H206" s="11" t="s">
        <v>820</v>
      </c>
    </row>
    <row r="207" spans="2:8">
      <c r="B207">
        <v>3101</v>
      </c>
      <c r="C207" s="11" t="s">
        <v>822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822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822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822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822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822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822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822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822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822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822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822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822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822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822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822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821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821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821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821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821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821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821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821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821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821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821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821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821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821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821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821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863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AE3F3"/>
  </sheetPr>
  <dimension ref="B1:G21"/>
  <sheetViews>
    <sheetView zoomScaleNormal="75" zoomScaleSheetLayoutView="100" workbookViewId="0">
      <selection activeCell="E31" sqref="E31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767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873</v>
      </c>
      <c r="D7" t="b">
        <v>0</v>
      </c>
      <c r="E7">
        <v>0.25</v>
      </c>
      <c r="F7">
        <v>30</v>
      </c>
      <c r="G7" s="11" t="s">
        <v>767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792</v>
      </c>
      <c r="D16" t="b">
        <v>1</v>
      </c>
      <c r="E16">
        <v>2</v>
      </c>
      <c r="F16">
        <v>25</v>
      </c>
      <c r="G16" s="16" t="s">
        <v>788</v>
      </c>
    </row>
    <row r="17" spans="2:7">
      <c r="B17">
        <v>2001</v>
      </c>
      <c r="C17" s="18" t="s">
        <v>791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819</v>
      </c>
      <c r="D18" t="b">
        <v>1</v>
      </c>
      <c r="E18">
        <v>2</v>
      </c>
      <c r="F18">
        <v>25</v>
      </c>
      <c r="G18" s="16" t="s">
        <v>861</v>
      </c>
    </row>
    <row r="19" spans="2:7">
      <c r="B19">
        <v>3002</v>
      </c>
      <c r="C19" s="14" t="s">
        <v>818</v>
      </c>
      <c r="D19" t="b">
        <v>1</v>
      </c>
      <c r="E19">
        <v>2</v>
      </c>
      <c r="F19">
        <v>25</v>
      </c>
      <c r="G19" s="16" t="s">
        <v>862</v>
      </c>
    </row>
    <row r="20" spans="2:7">
      <c r="B20">
        <v>3003</v>
      </c>
      <c r="C20" s="14" t="s">
        <v>858</v>
      </c>
      <c r="D20" t="b">
        <v>1</v>
      </c>
      <c r="E20">
        <v>1</v>
      </c>
      <c r="F20">
        <v>25</v>
      </c>
      <c r="G20" s="16" t="s">
        <v>859</v>
      </c>
    </row>
    <row r="21" spans="2:7">
      <c r="B21">
        <v>3004</v>
      </c>
      <c r="C21" s="14" t="s">
        <v>857</v>
      </c>
      <c r="D21" t="b">
        <v>1</v>
      </c>
      <c r="E21">
        <v>1</v>
      </c>
      <c r="F21">
        <v>25</v>
      </c>
      <c r="G21" s="16" t="s">
        <v>860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0" sqref="E20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854</v>
      </c>
      <c r="C2" s="73" t="s">
        <v>773</v>
      </c>
      <c r="D2" s="73" t="s">
        <v>832</v>
      </c>
      <c r="E2" s="73" t="s">
        <v>833</v>
      </c>
      <c r="F2" s="73" t="s">
        <v>834</v>
      </c>
      <c r="G2" s="75" t="s">
        <v>855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774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835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864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1142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1009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1070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981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1010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1071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1011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1069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1072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1073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953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773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683</v>
      </c>
      <c r="P2" s="65" t="s">
        <v>684</v>
      </c>
      <c r="Q2" s="65" t="s">
        <v>685</v>
      </c>
      <c r="R2" s="65" t="s">
        <v>686</v>
      </c>
      <c r="S2" s="65" t="s">
        <v>687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967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962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812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811</v>
      </c>
      <c r="J16" s="16" t="s">
        <v>958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811</v>
      </c>
      <c r="J17" s="11" t="s">
        <v>959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868</v>
      </c>
      <c r="I18" s="11" t="s">
        <v>811</v>
      </c>
      <c r="J18" s="11" t="s">
        <v>850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868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972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980</v>
      </c>
      <c r="I21" s="11" t="s">
        <v>811</v>
      </c>
      <c r="J21" s="16" t="s">
        <v>958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980</v>
      </c>
      <c r="I22" s="16" t="s">
        <v>811</v>
      </c>
      <c r="J22" s="11" t="s">
        <v>959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991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954</v>
      </c>
      <c r="J33" s="11" t="s">
        <v>850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962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954</v>
      </c>
      <c r="J35" s="11" t="s">
        <v>850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BE5D7"/>
  </sheetPr>
  <dimension ref="B1:U54"/>
  <sheetViews>
    <sheetView topLeftCell="A7"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693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688</v>
      </c>
      <c r="O2" s="63" t="s">
        <v>689</v>
      </c>
      <c r="P2" s="63" t="s">
        <v>590</v>
      </c>
      <c r="Q2" s="63" t="s">
        <v>692</v>
      </c>
      <c r="R2" s="63" t="s">
        <v>695</v>
      </c>
      <c r="S2" s="69" t="s">
        <v>700</v>
      </c>
      <c r="T2" s="63" t="s">
        <v>691</v>
      </c>
      <c r="U2" s="63" t="s">
        <v>690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798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6" s="19">
        <f>INDEX(ItemEffectTable[CoolTime],MATCH(ItemEffectTable23[[#This Row],[Index]],ItemEffectTable[ApplyBuffId],0))</f>
        <v>5</v>
      </c>
      <c r="O6" s="19" t="e">
        <f ca="1">IF(ItemEffectTable23[[#This Row],['#발동율]]=-1,-1,(ItemEffectTable23[[#This Row],['#발동율]]+ItemEffectTable23[[#This Row],['#쿨타임]])/ItemEffectTable23[[#This Row],[Duration]])</f>
        <v>#NAME?</v>
      </c>
      <c r="P6" s="19" t="e">
        <f ca="1">ItemEffectTable23[[#This Row],['#효력 가치 판단]]/IF(ItemEffectTable23[[#This Row],['#발동량]]=-1,1,ItemEffectTable23[[#This Row],['#발동량]])</f>
        <v>#NAME?</v>
      </c>
      <c r="Q6" s="19" t="e">
        <f ca="1">SUMIF(ItemEffectTable23['#아이템 명칭],ItemEffectTable23[[#This Row],['#아이템 명칭]],ItemEffectTable23['#총 가치판단])</f>
        <v>#NAME?</v>
      </c>
      <c r="R6" s="19">
        <f>IFERROR(INDEX(ItemEffectTable2324['#가치판단],MATCH(ItemEffectTable23[[#This Row],['#아이템 명칭]],ItemEffectTable2324['#명칭],0)),0)</f>
        <v>0</v>
      </c>
      <c r="S6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 t="e">
        <f ca="1">ItemEffectTable23[[#This Row],['#종합 효력]]/ItemEffectTable23[[#This Row],['#기준 효력]]</f>
        <v>#NAME?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979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0" s="19">
        <f>INDEX(ItemEffectTable[CoolTime],MATCH(ItemEffectTable23[[#This Row],[Index]],ItemEffectTable[ApplyBuffId],0))</f>
        <v>4</v>
      </c>
      <c r="O10" s="19" t="e">
        <f ca="1">IF(ItemEffectTable23[[#This Row],['#발동율]]=-1,-1,(ItemEffectTable23[[#This Row],['#발동율]]+ItemEffectTable23[[#This Row],['#쿨타임]])/ItemEffectTable23[[#This Row],[Duration]])</f>
        <v>#NAME?</v>
      </c>
      <c r="P10" s="19" t="e">
        <f ca="1">ItemEffectTable23[[#This Row],['#효력 가치 판단]]/IF(ItemEffectTable23[[#This Row],['#발동량]]=-1,1,ItemEffectTable23[[#This Row],['#발동량]])</f>
        <v>#NAME?</v>
      </c>
      <c r="Q10" s="19" t="e">
        <f ca="1">SUMIF(ItemEffectTable23['#아이템 명칭],ItemEffectTable23[[#This Row],['#아이템 명칭]],ItemEffectTable23['#총 가치판단])</f>
        <v>#NAME?</v>
      </c>
      <c r="R10" s="19">
        <f>IFERROR(INDEX(ItemEffectTable2324['#가치판단],MATCH(ItemEffectTable23[[#This Row],['#아이템 명칭]],ItemEffectTable2324['#명칭],0)),0)</f>
        <v>0</v>
      </c>
      <c r="S1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 t="e">
        <f ca="1">ItemEffectTable23[[#This Row],['#종합 효력]]/ItemEffectTable23[[#This Row],['#기준 효력]]</f>
        <v>#NAME?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867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4" s="19">
        <f>INDEX(ItemEffectTable[CoolTime],MATCH(ItemEffectTable23[[#This Row],[Index]],ItemEffectTable[ApplyBuffId],0))</f>
        <v>0</v>
      </c>
      <c r="O14" s="19" t="e">
        <f ca="1">IF(ItemEffectTable23[[#This Row],['#발동율]]=-1,-1,(ItemEffectTable23[[#This Row],['#발동율]]+ItemEffectTable23[[#This Row],['#쿨타임]])/ItemEffectTable23[[#This Row],[Duration]])</f>
        <v>#NAME?</v>
      </c>
      <c r="P14" s="19" t="e">
        <f ca="1">ItemEffectTable23[[#This Row],['#효력 가치 판단]]/IF(ItemEffectTable23[[#This Row],['#발동량]]=-1,1,ItemEffectTable23[[#This Row],['#발동량]])</f>
        <v>#NAME?</v>
      </c>
      <c r="Q14" s="19" t="e">
        <f ca="1">SUMIF(ItemEffectTable23['#아이템 명칭],ItemEffectTable23[[#This Row],['#아이템 명칭]],ItemEffectTable23['#총 가치판단])</f>
        <v>#NAME?</v>
      </c>
      <c r="R14" s="19">
        <f>IFERROR(INDEX(ItemEffectTable2324['#가치판단],MATCH(ItemEffectTable23[[#This Row],['#아이템 명칭]],ItemEffectTable2324['#명칭],0)),0)</f>
        <v>0</v>
      </c>
      <c r="S14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 ca="1">ItemEffectTable23[[#This Row],['#종합 효력]]/ItemEffectTable23[[#This Row],['#기준 효력]]</f>
        <v>#NAME?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5" s="19">
        <f>INDEX(ItemEffectTable[CoolTime],MATCH(ItemEffectTable23[[#This Row],[Index]],ItemEffectTable[ApplyBuffId],0))</f>
        <v>0</v>
      </c>
      <c r="O15" s="19" t="e">
        <f ca="1">IF(ItemEffectTable23[[#This Row],['#발동율]]=-1,-1,(ItemEffectTable23[[#This Row],['#발동율]]+ItemEffectTable23[[#This Row],['#쿨타임]])/ItemEffectTable23[[#This Row],[Duration]])</f>
        <v>#NAME?</v>
      </c>
      <c r="P15" s="19" t="e">
        <f ca="1">ItemEffectTable23[[#This Row],['#효력 가치 판단]]/IF(ItemEffectTable23[[#This Row],['#발동량]]=-1,1,ItemEffectTable23[[#This Row],['#발동량]])</f>
        <v>#NAME?</v>
      </c>
      <c r="Q15" s="19" t="e">
        <f ca="1">SUMIF(ItemEffectTable23['#아이템 명칭],ItemEffectTable23[[#This Row],['#아이템 명칭]],ItemEffectTable23['#총 가치판단])</f>
        <v>#NAME?</v>
      </c>
      <c r="R15" s="19">
        <f>IFERROR(INDEX(ItemEffectTable2324['#가치판단],MATCH(ItemEffectTable23[[#This Row],['#아이템 명칭]],ItemEffectTable2324['#명칭],0)),0)</f>
        <v>0</v>
      </c>
      <c r="S1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 ca="1">ItemEffectTable23[[#This Row],['#종합 효력]]/ItemEffectTable23[[#This Row],['#기준 효력]]</f>
        <v>#NAME?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989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6" s="19">
        <f>INDEX(ItemEffectTable[CoolTime],MATCH(ItemEffectTable23[[#This Row],[Index]],ItemEffectTable[ApplyBuffId],0))</f>
        <v>1</v>
      </c>
      <c r="O16" s="19" t="e">
        <f ca="1">IF(ItemEffectTable23[[#This Row],['#발동율]]=-1,-1,(ItemEffectTable23[[#This Row],['#발동율]]+ItemEffectTable23[[#This Row],['#쿨타임]])/ItemEffectTable23[[#This Row],[Duration]])</f>
        <v>#NAME?</v>
      </c>
      <c r="P16" s="19" t="e">
        <f ca="1">ItemEffectTable23[[#This Row],['#효력 가치 판단]]/IF(ItemEffectTable23[[#This Row],['#발동량]]=-1,1,ItemEffectTable23[[#This Row],['#발동량]])</f>
        <v>#N/A</v>
      </c>
      <c r="Q16" s="19" t="e">
        <f ca="1"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 ca="1"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990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7" s="19">
        <f>INDEX(ItemEffectTable[CoolTime],MATCH(ItemEffectTable23[[#This Row],[Index]],ItemEffectTable[ApplyBuffId],0))</f>
        <v>1</v>
      </c>
      <c r="O17" s="19" t="e">
        <f ca="1">IF(ItemEffectTable23[[#This Row],['#발동율]]=-1,-1,(ItemEffectTable23[[#This Row],['#발동율]]+ItemEffectTable23[[#This Row],['#쿨타임]])/ItemEffectTable23[[#This Row],[Duration]])</f>
        <v>#NAME?</v>
      </c>
      <c r="P17" s="19" t="e">
        <f ca="1">ItemEffectTable23[[#This Row],['#효력 가치 판단]]/IF(ItemEffectTable23[[#This Row],['#발동량]]=-1,1,ItemEffectTable23[[#This Row],['#발동량]])</f>
        <v>#N/A</v>
      </c>
      <c r="Q17" s="19" t="e">
        <f ca="1"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 ca="1"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988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8" s="19">
        <f>INDEX(ItemEffectTable[CoolTime],MATCH(ItemEffectTable23[[#This Row],[Index]],ItemEffectTable[ApplyBuffId],0))</f>
        <v>1</v>
      </c>
      <c r="O18" s="19" t="e">
        <f ca="1">IF(ItemEffectTable23[[#This Row],['#발동율]]=-1,-1,(ItemEffectTable23[[#This Row],['#발동율]]+ItemEffectTable23[[#This Row],['#쿨타임]])/ItemEffectTable23[[#This Row],[Duration]])</f>
        <v>#NAME?</v>
      </c>
      <c r="P18" s="19" t="e">
        <f ca="1">ItemEffectTable23[[#This Row],['#효력 가치 판단]]/IF(ItemEffectTable23[[#This Row],['#발동량]]=-1,1,ItemEffectTable23[[#This Row],['#발동량]])</f>
        <v>#N/A</v>
      </c>
      <c r="Q18" s="19" t="e">
        <f ca="1"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 ca="1"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9" s="19">
        <f>INDEX(ItemEffectTable[CoolTime],MATCH(ItemEffectTable23[[#This Row],[Index]],ItemEffectTable[ApplyBuffId],0))</f>
        <v>0.4</v>
      </c>
      <c r="O19" s="19" t="e">
        <f ca="1">IF(ItemEffectTable23[[#This Row],['#발동율]]=-1,-1,(ItemEffectTable23[[#This Row],['#발동율]]+ItemEffectTable23[[#This Row],['#쿨타임]])/ItemEffectTable23[[#This Row],[Duration]])</f>
        <v>#NAME?</v>
      </c>
      <c r="P19" s="19" t="e">
        <f ca="1">ItemEffectTable23[[#This Row],['#효력 가치 판단]]/IF(ItemEffectTable23[[#This Row],['#발동량]]=-1,1,ItemEffectTable23[[#This Row],['#발동량]])</f>
        <v>#NAME?</v>
      </c>
      <c r="Q19" s="19" t="e">
        <f ca="1">SUMIF(ItemEffectTable23['#아이템 명칭],ItemEffectTable23[[#This Row],['#아이템 명칭]],ItemEffectTable23['#총 가치판단])</f>
        <v>#NAME?</v>
      </c>
      <c r="R19" s="19">
        <f>IFERROR(INDEX(ItemEffectTable2324['#가치판단],MATCH(ItemEffectTable23[[#This Row],['#아이템 명칭]],ItemEffectTable2324['#명칭],0)),0)</f>
        <v>0</v>
      </c>
      <c r="S1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 t="e">
        <f ca="1">ItemEffectTable23[[#This Row],['#종합 효력]]/ItemEffectTable23[[#This Row],['#기준 효력]]</f>
        <v>#NAME?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 t="e">
        <f ca="1">SUMIF(ItemEffectTable23['#아이템 명칭],ItemEffectTable23[[#This Row],['#아이템 명칭]],ItemEffectTable23['#총 가치판단])</f>
        <v>#NAME?</v>
      </c>
      <c r="R20" s="19">
        <f>IFERROR(INDEX(ItemEffectTable2324['#가치판단],MATCH(ItemEffectTable23[[#This Row],['#아이템 명칭]],ItemEffectTable2324['#명칭],0)),0)</f>
        <v>0</v>
      </c>
      <c r="S2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 t="e">
        <f ca="1">ItemEffectTable23[[#This Row],['#종합 효력]]/ItemEffectTable23[[#This Row],['#기준 효력]]</f>
        <v>#NAME?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 ca="1">IF(ItemEffectTable23[[#This Row],['#발동율]]=-1,-1,(ItemEffectTable23[[#This Row],['#발동율]]+ItemEffectTable23[[#This Row],['#쿨타임]])/ItemEffectTable23[[#This Row],[Duration]])</f>
        <v>-1</v>
      </c>
      <c r="P26" s="19">
        <f ca="1">ItemEffectTable23[[#This Row],['#효력 가치 판단]]/IF(ItemEffectTable23[[#This Row],['#발동량]]=-1,1,ItemEffectTable23[[#This Row],['#발동량]])</f>
        <v>75</v>
      </c>
      <c r="Q26" s="19">
        <f ca="1">SUMIF(ItemEffectTable23['#아이템 명칭],ItemEffectTable23[[#This Row],['#아이템 명칭]],ItemEffectTable23['#총 가치판단])</f>
        <v>75</v>
      </c>
      <c r="R26" s="19">
        <f>IFERROR(INDEX(ItemEffectTable2324['#가치판단],MATCH(ItemEffectTable23[[#This Row],['#아이템 명칭]],ItemEffectTable2324['#명칭],0)),0)</f>
        <v>-61</v>
      </c>
      <c r="S26" s="19">
        <f ca="1">ItemEffectTable23[[#This Row],['#아이템 효력 합산]]+ItemEffectTable23[[#This Row],['#특수 효력]]/COUNTIF(ItemEffectTable23['#특수 효력],ItemEffectTable23[[#This Row],['#특수 효력]])</f>
        <v>14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 ca="1">ItemEffectTable23[[#This Row],['#종합 효력]]/ItemEffectTable23[[#This Row],['#기준 효력]]</f>
        <v>0.28000000000000003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7" s="19">
        <f>INDEX(ItemEffectTable[CoolTime],MATCH(ItemEffectTable23[[#This Row],[Index]],ItemEffectTable[ApplyBuffId],0))</f>
        <v>15</v>
      </c>
      <c r="O27" s="19" t="e">
        <f ca="1">IF(ItemEffectTable23[[#This Row],['#발동율]]=-1,-1,(ItemEffectTable23[[#This Row],['#발동율]]+ItemEffectTable23[[#This Row],['#쿨타임]])/ItemEffectTable23[[#This Row],[Duration]])</f>
        <v>#NAME?</v>
      </c>
      <c r="P27" s="19" t="e">
        <f ca="1">ItemEffectTable23[[#This Row],['#효력 가치 판단]]/IF(ItemEffectTable23[[#This Row],['#발동량]]=-1,1,ItemEffectTable23[[#This Row],['#발동량]])</f>
        <v>#NAME?</v>
      </c>
      <c r="Q27" s="19" t="e">
        <f ca="1">SUMIF(ItemEffectTable23['#아이템 명칭],ItemEffectTable23[[#This Row],['#아이템 명칭]],ItemEffectTable23['#총 가치판단])</f>
        <v>#NAME?</v>
      </c>
      <c r="R27" s="19">
        <f>IFERROR(INDEX(ItemEffectTable2324['#가치판단],MATCH(ItemEffectTable23[[#This Row],['#아이템 명칭]],ItemEffectTable2324['#명칭],0)),0)</f>
        <v>0</v>
      </c>
      <c r="S27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 t="e">
        <f ca="1">ItemEffectTable23[[#This Row],['#종합 효력]]/ItemEffectTable23[[#This Row],['#기준 효력]]</f>
        <v>#NAME?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8" s="19">
        <f>INDEX(ItemEffectTable[CoolTime],MATCH(ItemEffectTable23[[#This Row],[Index]],ItemEffectTable[ApplyBuffId],0))</f>
        <v>15</v>
      </c>
      <c r="O28" s="19" t="e">
        <f ca="1">IF(ItemEffectTable23[[#This Row],['#발동율]]=-1,-1,(ItemEffectTable23[[#This Row],['#발동율]]+ItemEffectTable23[[#This Row],['#쿨타임]])/ItemEffectTable23[[#This Row],[Duration]])</f>
        <v>#NAME?</v>
      </c>
      <c r="P28" s="19" t="e">
        <f ca="1">ItemEffectTable23[[#This Row],['#효력 가치 판단]]/IF(ItemEffectTable23[[#This Row],['#발동량]]=-1,1,ItemEffectTable23[[#This Row],['#발동량]])</f>
        <v>#NAME?</v>
      </c>
      <c r="Q28" s="19" t="e">
        <f ca="1">SUMIF(ItemEffectTable23['#아이템 명칭],ItemEffectTable23[[#This Row],['#아이템 명칭]],ItemEffectTable23['#총 가치판단])</f>
        <v>#NAME?</v>
      </c>
      <c r="R28" s="19">
        <f>IFERROR(INDEX(ItemEffectTable2324['#가치판단],MATCH(ItemEffectTable23[[#This Row],['#아이템 명칭]],ItemEffectTable2324['#명칭],0)),0)</f>
        <v>0</v>
      </c>
      <c r="S28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 t="e">
        <f ca="1">ItemEffectTable23[[#This Row],['#종합 효력]]/ItemEffectTable23[[#This Row],['#기준 효력]]</f>
        <v>#NAME?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9" s="19">
        <f>INDEX(ItemEffectTable[CoolTime],MATCH(ItemEffectTable23[[#This Row],[Index]],ItemEffectTable[ApplyBuffId],0))</f>
        <v>15</v>
      </c>
      <c r="O29" s="19" t="e">
        <f ca="1">IF(ItemEffectTable23[[#This Row],['#발동율]]=-1,-1,(ItemEffectTable23[[#This Row],['#발동율]]+ItemEffectTable23[[#This Row],['#쿨타임]])/ItemEffectTable23[[#This Row],[Duration]])</f>
        <v>#NAME?</v>
      </c>
      <c r="P29" s="19" t="e">
        <f ca="1">ItemEffectTable23[[#This Row],['#효력 가치 판단]]/IF(ItemEffectTable23[[#This Row],['#발동량]]=-1,1,ItemEffectTable23[[#This Row],['#발동량]])</f>
        <v>#NAME?</v>
      </c>
      <c r="Q29" s="19" t="e">
        <f ca="1">SUMIF(ItemEffectTable23['#아이템 명칭],ItemEffectTable23[[#This Row],['#아이템 명칭]],ItemEffectTable23['#총 가치판단])</f>
        <v>#NAME?</v>
      </c>
      <c r="R29" s="19">
        <f>IFERROR(INDEX(ItemEffectTable2324['#가치판단],MATCH(ItemEffectTable23[[#This Row],['#아이템 명칭]],ItemEffectTable2324['#명칭],0)),0)</f>
        <v>0</v>
      </c>
      <c r="S2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 t="e">
        <f ca="1">ItemEffectTable23[[#This Row],['#종합 효력]]/ItemEffectTable23[[#This Row],['#기준 효력]]</f>
        <v>#NAME?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0" s="19">
        <f>INDEX(ItemEffectTable[CoolTime],MATCH(ItemEffectTable23[[#This Row],[Index]],ItemEffectTable[ApplyBuffId],0))</f>
        <v>15</v>
      </c>
      <c r="O30" s="19" t="e">
        <f ca="1">IF(ItemEffectTable23[[#This Row],['#발동율]]=-1,-1,(ItemEffectTable23[[#This Row],['#발동율]]+ItemEffectTable23[[#This Row],['#쿨타임]])/ItemEffectTable23[[#This Row],[Duration]])</f>
        <v>#NAME?</v>
      </c>
      <c r="P30" s="19" t="e">
        <f ca="1">ItemEffectTable23[[#This Row],['#효력 가치 판단]]/IF(ItemEffectTable23[[#This Row],['#발동량]]=-1,1,ItemEffectTable23[[#This Row],['#발동량]])</f>
        <v>#NAME?</v>
      </c>
      <c r="Q30" s="19" t="e">
        <f ca="1">SUMIF(ItemEffectTable23['#아이템 명칭],ItemEffectTable23[[#This Row],['#아이템 명칭]],ItemEffectTable23['#총 가치판단])</f>
        <v>#NAME?</v>
      </c>
      <c r="R30" s="19">
        <f>IFERROR(INDEX(ItemEffectTable2324['#가치판단],MATCH(ItemEffectTable23[[#This Row],['#아이템 명칭]],ItemEffectTable2324['#명칭],0)),0)</f>
        <v>0</v>
      </c>
      <c r="S3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 t="e">
        <f ca="1">ItemEffectTable23[[#This Row],['#종합 효력]]/ItemEffectTable23[[#This Row],['#기준 효력]]</f>
        <v>#NAME?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1" s="19">
        <f>INDEX(ItemEffectTable[CoolTime],MATCH(ItemEffectTable23[[#This Row],[Index]],ItemEffectTable[ApplyBuffId],0))</f>
        <v>15</v>
      </c>
      <c r="O31" s="19" t="e">
        <f ca="1">IF(ItemEffectTable23[[#This Row],['#발동율]]=-1,-1,(ItemEffectTable23[[#This Row],['#발동율]]+ItemEffectTable23[[#This Row],['#쿨타임]])/ItemEffectTable23[[#This Row],[Duration]])</f>
        <v>#NAME?</v>
      </c>
      <c r="P31" s="19" t="e">
        <f ca="1">ItemEffectTable23[[#This Row],['#효력 가치 판단]]/IF(ItemEffectTable23[[#This Row],['#발동량]]=-1,1,ItemEffectTable23[[#This Row],['#발동량]])</f>
        <v>#NAME?</v>
      </c>
      <c r="Q31" s="19" t="e">
        <f ca="1">SUMIF(ItemEffectTable23['#아이템 명칭],ItemEffectTable23[[#This Row],['#아이템 명칭]],ItemEffectTable23['#총 가치판단])</f>
        <v>#NAME?</v>
      </c>
      <c r="R31" s="19">
        <f>IFERROR(INDEX(ItemEffectTable2324['#가치판단],MATCH(ItemEffectTable23[[#This Row],['#아이템 명칭]],ItemEffectTable2324['#명칭],0)),0)</f>
        <v>0</v>
      </c>
      <c r="S31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 t="e">
        <f ca="1">ItemEffectTable23[[#This Row],['#종합 효력]]/ItemEffectTable23[[#This Row],['#기준 효력]]</f>
        <v>#NAME?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2" s="19">
        <f>INDEX(ItemEffectTable[CoolTime],MATCH(ItemEffectTable23[[#This Row],[Index]],ItemEffectTable[ApplyBuffId],0))</f>
        <v>15</v>
      </c>
      <c r="O32" s="19" t="e">
        <f ca="1">IF(ItemEffectTable23[[#This Row],['#발동율]]=-1,-1,(ItemEffectTable23[[#This Row],['#발동율]]+ItemEffectTable23[[#This Row],['#쿨타임]])/ItemEffectTable23[[#This Row],[Duration]])</f>
        <v>#NAME?</v>
      </c>
      <c r="P32" s="19" t="e">
        <f ca="1">ItemEffectTable23[[#This Row],['#효력 가치 판단]]/IF(ItemEffectTable23[[#This Row],['#발동량]]=-1,1,ItemEffectTable23[[#This Row],['#발동량]])</f>
        <v>#NAME?</v>
      </c>
      <c r="Q32" s="19" t="e">
        <f ca="1">SUMIF(ItemEffectTable23['#아이템 명칭],ItemEffectTable23[[#This Row],['#아이템 명칭]],ItemEffectTable23['#총 가치판단])</f>
        <v>#NAME?</v>
      </c>
      <c r="R32" s="19">
        <f>IFERROR(INDEX(ItemEffectTable2324['#가치판단],MATCH(ItemEffectTable23[[#This Row],['#아이템 명칭]],ItemEffectTable2324['#명칭],0)),0)</f>
        <v>0</v>
      </c>
      <c r="S32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 t="e">
        <f ca="1">ItemEffectTable23[[#This Row],['#종합 효력]]/ItemEffectTable23[[#This Row],['#기준 효력]]</f>
        <v>#NAME?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#N/A</v>
      </c>
      <c r="N33" s="19" t="e">
        <f>INDEX(ItemEffectTable[CoolTime],MATCH(ItemEffectTable23[[#This Row],[Index]],ItemEffectTable[ApplyBuffId],0))</f>
        <v>#N/A</v>
      </c>
      <c r="O33" s="19" t="e">
        <f ca="1">IF(ItemEffectTable23[[#This Row],['#발동율]]=-1,-1,(ItemEffectTable23[[#This Row],['#발동율]]+ItemEffectTable23[[#This Row],['#쿨타임]])/ItemEffectTable23[[#This Row],[Duration]])</f>
        <v>#N/A</v>
      </c>
      <c r="P33" s="19" t="e">
        <f ca="1">ItemEffectTable23[[#This Row],['#효력 가치 판단]]/IF(ItemEffectTable23[[#This Row],['#발동량]]=-1,1,ItemEffectTable23[[#This Row],['#발동량]])</f>
        <v>#N/A</v>
      </c>
      <c r="Q33" s="19" t="e">
        <f ca="1"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 ca="1"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798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#N/A</v>
      </c>
      <c r="N34" s="19" t="e">
        <f>INDEX(ItemEffectTable[CoolTime],MATCH(ItemEffectTable23[[#This Row],[Index]],ItemEffectTable[ApplyBuffId],0))</f>
        <v>#N/A</v>
      </c>
      <c r="O34" s="19" t="e">
        <f ca="1">IF(ItemEffectTable23[[#This Row],['#발동율]]=-1,-1,(ItemEffectTable23[[#This Row],['#발동율]]+ItemEffectTable23[[#This Row],['#쿨타임]])/ItemEffectTable23[[#This Row],[Duration]])</f>
        <v>#N/A</v>
      </c>
      <c r="P34" s="19" t="e">
        <f ca="1">ItemEffectTable23[[#This Row],['#효력 가치 판단]]/IF(ItemEffectTable23[[#This Row],['#발동량]]=-1,1,ItemEffectTable23[[#This Row],['#발동량]])</f>
        <v>#N/A</v>
      </c>
      <c r="Q34" s="19" t="e">
        <f ca="1"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 ca="1"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5" s="19">
        <f>INDEX(ItemEffectTable[CoolTime],MATCH(ItemEffectTable23[[#This Row],[Index]],ItemEffectTable[ApplyBuffId],0))</f>
        <v>18</v>
      </c>
      <c r="O35" s="19" t="e">
        <f ca="1">IF(ItemEffectTable23[[#This Row],['#발동율]]=-1,-1,(ItemEffectTable23[[#This Row],['#발동율]]+ItemEffectTable23[[#This Row],['#쿨타임]])/ItemEffectTable23[[#This Row],[Duration]])</f>
        <v>#NAME?</v>
      </c>
      <c r="P35" s="19" t="e">
        <f ca="1">ItemEffectTable23[[#This Row],['#효력 가치 판단]]/IF(ItemEffectTable23[[#This Row],['#발동량]]=-1,1,ItemEffectTable23[[#This Row],['#발동량]])</f>
        <v>#NAME?</v>
      </c>
      <c r="Q35" s="19" t="e">
        <f ca="1">SUMIF(ItemEffectTable23['#아이템 명칭],ItemEffectTable23[[#This Row],['#아이템 명칭]],ItemEffectTable23['#총 가치판단])</f>
        <v>#NAME?</v>
      </c>
      <c r="R35" s="19">
        <f>IFERROR(INDEX(ItemEffectTable2324['#가치판단],MATCH(ItemEffectTable23[[#This Row],['#아이템 명칭]],ItemEffectTable2324['#명칭],0)),0)</f>
        <v>0</v>
      </c>
      <c r="S3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 t="e">
        <f ca="1">ItemEffectTable23[[#This Row],['#종합 효력]]/ItemEffectTable23[[#This Row],['#기준 효력]]</f>
        <v>#NAME?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BE5D7"/>
  </sheetPr>
  <dimension ref="A1:N25"/>
  <sheetViews>
    <sheetView zoomScaleNormal="100" zoomScaleSheetLayoutView="100" workbookViewId="0">
      <selection activeCell="E6" sqref="E6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694</v>
      </c>
      <c r="N2" s="68" t="s">
        <v>701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775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957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775</v>
      </c>
      <c r="E10">
        <v>1</v>
      </c>
      <c r="F10" s="14" t="s">
        <v>853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1068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775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957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1068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1:F40"/>
  <sheetViews>
    <sheetView tabSelected="1" workbookViewId="0">
      <selection activeCell="E15" sqref="E15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1018</v>
      </c>
      <c r="D1" s="16" t="s">
        <v>311</v>
      </c>
      <c r="E1" s="16"/>
      <c r="F1" s="16"/>
    </row>
    <row r="2" spans="2:6">
      <c r="B2" s="16" t="s">
        <v>1016</v>
      </c>
      <c r="C2" s="16" t="s">
        <v>1017</v>
      </c>
      <c r="D2" s="16" t="s">
        <v>319</v>
      </c>
      <c r="E2" s="87" t="s">
        <v>1019</v>
      </c>
      <c r="F2" s="87" t="s">
        <v>1020</v>
      </c>
    </row>
    <row r="3" spans="2:6">
      <c r="B3">
        <v>1000</v>
      </c>
      <c r="C3" s="16" t="s">
        <v>1021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1022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1023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1024</v>
      </c>
      <c r="D6">
        <v>1</v>
      </c>
      <c r="E6" s="88" t="str">
        <f>INDEX(LocaleTable[LocaleKR],MATCH(표31[[#This Row],[LocaleId]],LocaleTable[StringKey],0))</f>
        <v>안녕하십니까 배쉬!\n데빌리쉬 리그에 온 것을 환영합니다!</v>
      </c>
      <c r="F6" s="88" t="str">
        <f>INDEX(LocaleTable[LocaleUS],MATCH(표31[[#This Row],[LocaleId]],LocaleTable[StringKey],0))</f>
        <v>Hello Bash!\nWelcome to the Devilish League!</v>
      </c>
    </row>
    <row r="7" spans="2:6">
      <c r="B7">
        <v>1001</v>
      </c>
      <c r="C7" t="s">
        <v>1025</v>
      </c>
      <c r="D7">
        <v>1</v>
      </c>
      <c r="E7" s="88" t="str">
        <f>INDEX(LocaleTable[LocaleKR],MATCH(표31[[#This Row],[LocaleId]],LocaleTable[StringKey],0))</f>
        <v>어려울 땐 튜토리얼을 꼭 읽어주시길!\n그럼 즐거운 야구 되세요!</v>
      </c>
      <c r="F7" s="88" t="str">
        <f>INDEX(LocaleTable[LocaleUS],MATCH(표31[[#This Row],[LocaleId]],LocaleTable[StringKey],0))</f>
        <v>If you get stuck, be sure to read our tutorials,\nand happy baseball!</v>
      </c>
    </row>
    <row r="8" spans="2:6">
      <c r="B8">
        <v>1002</v>
      </c>
      <c r="C8" s="11" t="s">
        <v>1158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1026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1027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1028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1029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1030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1031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1032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1033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1034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1035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1036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1037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1038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1039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1040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1041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1042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1043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1044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1045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1046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1047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1048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1049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1050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1051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1052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1053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1054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1056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1055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1056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E2F0D9"/>
  </sheetPr>
  <dimension ref="B1:J238"/>
  <sheetViews>
    <sheetView topLeftCell="A92" zoomScale="85" zoomScaleNormal="85" zoomScaleSheetLayoutView="100" workbookViewId="0">
      <selection activeCell="D112" sqref="D111:D112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644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714</v>
      </c>
      <c r="D8" s="51" t="s">
        <v>713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645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710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646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647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1153</v>
      </c>
      <c r="D13" s="51" t="s">
        <v>1154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711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732</v>
      </c>
      <c r="D16" s="51" t="s">
        <v>737</v>
      </c>
      <c r="E16" s="81" t="s">
        <v>744</v>
      </c>
      <c r="F16" s="82" t="s">
        <v>496</v>
      </c>
      <c r="G16" s="82" t="s">
        <v>712</v>
      </c>
      <c r="H16" s="81" t="s">
        <v>737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733</v>
      </c>
      <c r="D17" s="51" t="s">
        <v>738</v>
      </c>
      <c r="E17" s="81" t="s">
        <v>744</v>
      </c>
      <c r="F17" s="82" t="s">
        <v>496</v>
      </c>
      <c r="G17" s="82" t="s">
        <v>712</v>
      </c>
      <c r="H17" s="81" t="s">
        <v>738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734</v>
      </c>
      <c r="D18" s="51" t="s">
        <v>739</v>
      </c>
      <c r="E18" s="81" t="s">
        <v>744</v>
      </c>
      <c r="F18" s="82" t="s">
        <v>496</v>
      </c>
      <c r="G18" s="82" t="s">
        <v>712</v>
      </c>
      <c r="H18" s="81" t="s">
        <v>739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1157</v>
      </c>
      <c r="D19" s="51" t="s">
        <v>579</v>
      </c>
      <c r="E19" s="81" t="s">
        <v>744</v>
      </c>
      <c r="F19" s="82" t="s">
        <v>496</v>
      </c>
      <c r="G19" s="82" t="s">
        <v>712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744</v>
      </c>
      <c r="F20" s="82" t="s">
        <v>496</v>
      </c>
      <c r="G20" s="82" t="s">
        <v>712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744</v>
      </c>
      <c r="F21" s="82" t="s">
        <v>496</v>
      </c>
      <c r="G21" s="82" t="s">
        <v>712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735</v>
      </c>
      <c r="D22" s="51" t="s">
        <v>740</v>
      </c>
      <c r="E22" s="81" t="s">
        <v>744</v>
      </c>
      <c r="F22" s="82" t="s">
        <v>496</v>
      </c>
      <c r="G22" s="82" t="s">
        <v>712</v>
      </c>
      <c r="H22" s="81" t="s">
        <v>745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736</v>
      </c>
      <c r="D23" s="51" t="s">
        <v>741</v>
      </c>
      <c r="E23" s="81" t="s">
        <v>744</v>
      </c>
      <c r="F23" s="82" t="s">
        <v>496</v>
      </c>
      <c r="G23" s="82" t="s">
        <v>712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708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709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742</v>
      </c>
      <c r="D27" s="51" t="s">
        <v>743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648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649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650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651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656</v>
      </c>
      <c r="D33" s="51" t="s">
        <v>657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1172</v>
      </c>
      <c r="D34" s="51" t="s">
        <v>652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660</v>
      </c>
      <c r="D35" s="51" t="s">
        <v>659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1173</v>
      </c>
      <c r="D36" s="51" t="s">
        <v>658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1155</v>
      </c>
      <c r="D37" s="51" t="s">
        <v>1156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654</v>
      </c>
      <c r="D38" s="51" t="s">
        <v>655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643</v>
      </c>
      <c r="D39" s="51" t="s">
        <v>653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1139</v>
      </c>
      <c r="D47" s="51" t="s">
        <v>1140</v>
      </c>
      <c r="E47" s="81" t="s">
        <v>471</v>
      </c>
      <c r="F47" s="81" t="s">
        <v>552</v>
      </c>
      <c r="G47" s="82" t="s">
        <v>1140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748</v>
      </c>
      <c r="D50" s="51" t="s">
        <v>760</v>
      </c>
      <c r="E50" s="81" t="s">
        <v>471</v>
      </c>
      <c r="F50" s="81" t="s">
        <v>503</v>
      </c>
      <c r="G50" s="81" t="s">
        <v>749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753</v>
      </c>
      <c r="D51" s="51" t="s">
        <v>759</v>
      </c>
      <c r="E51" s="81" t="s">
        <v>471</v>
      </c>
      <c r="F51" s="81" t="s">
        <v>503</v>
      </c>
      <c r="G51" s="81" t="s">
        <v>749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754</v>
      </c>
      <c r="D52" s="51" t="s">
        <v>750</v>
      </c>
      <c r="E52" s="81" t="s">
        <v>471</v>
      </c>
      <c r="F52" s="81" t="s">
        <v>503</v>
      </c>
      <c r="G52" s="81" t="s">
        <v>749</v>
      </c>
      <c r="H52" s="81" t="s">
        <v>750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755</v>
      </c>
      <c r="D53" s="51" t="s">
        <v>751</v>
      </c>
      <c r="E53" s="81" t="s">
        <v>471</v>
      </c>
      <c r="F53" s="81" t="s">
        <v>503</v>
      </c>
      <c r="G53" s="81" t="s">
        <v>749</v>
      </c>
      <c r="H53" s="81" t="s">
        <v>751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756</v>
      </c>
      <c r="D54" s="51" t="s">
        <v>758</v>
      </c>
      <c r="E54" s="81" t="s">
        <v>471</v>
      </c>
      <c r="F54" s="81" t="s">
        <v>503</v>
      </c>
      <c r="G54" s="81" t="s">
        <v>749</v>
      </c>
      <c r="H54" s="81" t="s">
        <v>752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757</v>
      </c>
      <c r="D55" s="51" t="s">
        <v>569</v>
      </c>
      <c r="E55" s="81" t="s">
        <v>471</v>
      </c>
      <c r="F55" s="81" t="s">
        <v>503</v>
      </c>
      <c r="G55" s="81" t="s">
        <v>749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772</v>
      </c>
      <c r="D64" s="51" t="s">
        <v>770</v>
      </c>
      <c r="E64" s="81" t="s">
        <v>471</v>
      </c>
      <c r="F64" s="81" t="s">
        <v>768</v>
      </c>
      <c r="G64" s="81" t="s">
        <v>770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771</v>
      </c>
      <c r="D65" s="51" t="s">
        <v>769</v>
      </c>
      <c r="E65" s="81" t="s">
        <v>471</v>
      </c>
      <c r="F65" s="81" t="s">
        <v>768</v>
      </c>
      <c r="G65" s="81" t="s">
        <v>769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761</v>
      </c>
      <c r="D66" s="51" t="s">
        <v>762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725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724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726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727</v>
      </c>
      <c r="D70" s="51" t="s">
        <v>728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729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731</v>
      </c>
      <c r="D74" s="51" t="s">
        <v>730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765</v>
      </c>
      <c r="D75" s="51" t="s">
        <v>766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763</v>
      </c>
      <c r="D76" s="51" t="s">
        <v>764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746</v>
      </c>
      <c r="D77" s="51" t="s">
        <v>747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1123</v>
      </c>
      <c r="D80" s="51" t="s">
        <v>1121</v>
      </c>
      <c r="E80" s="81" t="s">
        <v>471</v>
      </c>
      <c r="F80" s="81" t="s">
        <v>569</v>
      </c>
      <c r="G80" s="81" t="s">
        <v>1121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1124</v>
      </c>
      <c r="D81" s="51" t="s">
        <v>1122</v>
      </c>
      <c r="E81" s="81" t="s">
        <v>471</v>
      </c>
      <c r="F81" s="81" t="s">
        <v>569</v>
      </c>
      <c r="G81" s="81" t="s">
        <v>1122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1102</v>
      </c>
      <c r="D82" s="51" t="s">
        <v>1138</v>
      </c>
      <c r="E82" s="81" t="s">
        <v>471</v>
      </c>
      <c r="F82" s="81" t="s">
        <v>1082</v>
      </c>
      <c r="G82" s="81" t="s">
        <v>1083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1103</v>
      </c>
      <c r="D83" s="51" t="s">
        <v>1136</v>
      </c>
      <c r="E83" s="81" t="s">
        <v>471</v>
      </c>
      <c r="F83" s="81" t="s">
        <v>1082</v>
      </c>
      <c r="G83" s="81" t="s">
        <v>1083</v>
      </c>
      <c r="H83" s="81" t="s">
        <v>1084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1104</v>
      </c>
      <c r="D84" s="51" t="s">
        <v>1137</v>
      </c>
      <c r="E84" s="81" t="s">
        <v>471</v>
      </c>
      <c r="F84" s="81" t="s">
        <v>1082</v>
      </c>
      <c r="G84" s="81" t="s">
        <v>1083</v>
      </c>
      <c r="H84" s="81" t="s">
        <v>1085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1105</v>
      </c>
      <c r="D85" s="51" t="s">
        <v>1135</v>
      </c>
      <c r="E85" s="81" t="s">
        <v>471</v>
      </c>
      <c r="F85" s="81" t="s">
        <v>1082</v>
      </c>
      <c r="G85" s="81" t="s">
        <v>1083</v>
      </c>
      <c r="H85" s="81" t="s">
        <v>1086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1106</v>
      </c>
      <c r="D86" s="51" t="s">
        <v>1089</v>
      </c>
      <c r="E86" s="81" t="s">
        <v>471</v>
      </c>
      <c r="F86" s="81" t="s">
        <v>1082</v>
      </c>
      <c r="G86" s="81" t="s">
        <v>1089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1107</v>
      </c>
      <c r="D87" s="51" t="s">
        <v>1091</v>
      </c>
      <c r="E87" s="81" t="s">
        <v>471</v>
      </c>
      <c r="F87" s="81" t="s">
        <v>1082</v>
      </c>
      <c r="G87" s="81" t="s">
        <v>1089</v>
      </c>
      <c r="H87" s="81" t="s">
        <v>1090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1107</v>
      </c>
      <c r="D88" s="51" t="s">
        <v>1091</v>
      </c>
      <c r="E88" s="81" t="s">
        <v>471</v>
      </c>
      <c r="F88" s="81" t="s">
        <v>1082</v>
      </c>
      <c r="G88" s="81" t="s">
        <v>1089</v>
      </c>
      <c r="H88" s="81" t="s">
        <v>1091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1108</v>
      </c>
      <c r="D89" s="51" t="s">
        <v>1087</v>
      </c>
      <c r="E89" s="81" t="s">
        <v>471</v>
      </c>
      <c r="F89" s="81" t="s">
        <v>1082</v>
      </c>
      <c r="G89" s="81" t="s">
        <v>1087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1109</v>
      </c>
      <c r="D90" s="51" t="s">
        <v>1134</v>
      </c>
      <c r="E90" s="81" t="s">
        <v>471</v>
      </c>
      <c r="F90" s="81" t="s">
        <v>1082</v>
      </c>
      <c r="G90" s="81" t="s">
        <v>1087</v>
      </c>
      <c r="H90" s="81" t="s">
        <v>1088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1110</v>
      </c>
      <c r="D91" s="51" t="s">
        <v>1133</v>
      </c>
      <c r="E91" s="81" t="s">
        <v>471</v>
      </c>
      <c r="F91" s="81" t="s">
        <v>1082</v>
      </c>
      <c r="G91" s="81" t="s">
        <v>1087</v>
      </c>
      <c r="H91" s="81" t="s">
        <v>1092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1111</v>
      </c>
      <c r="D92" s="51" t="s">
        <v>1132</v>
      </c>
      <c r="E92" s="81" t="s">
        <v>471</v>
      </c>
      <c r="F92" s="81" t="s">
        <v>1082</v>
      </c>
      <c r="G92" s="81" t="s">
        <v>1087</v>
      </c>
      <c r="H92" s="81" t="s">
        <v>1093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1112</v>
      </c>
      <c r="D93" s="51" t="s">
        <v>1131</v>
      </c>
      <c r="E93" s="81" t="s">
        <v>471</v>
      </c>
      <c r="F93" s="81" t="s">
        <v>1082</v>
      </c>
      <c r="G93" s="81" t="s">
        <v>1087</v>
      </c>
      <c r="H93" s="81" t="s">
        <v>1141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1113</v>
      </c>
      <c r="D94" s="51" t="s">
        <v>1130</v>
      </c>
      <c r="E94" s="81" t="s">
        <v>471</v>
      </c>
      <c r="F94" s="81" t="s">
        <v>1082</v>
      </c>
      <c r="G94" s="81" t="s">
        <v>1087</v>
      </c>
      <c r="H94" s="81" t="s">
        <v>1094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1114</v>
      </c>
      <c r="D95" s="51" t="s">
        <v>1129</v>
      </c>
      <c r="E95" s="81" t="s">
        <v>471</v>
      </c>
      <c r="F95" s="81" t="s">
        <v>1082</v>
      </c>
      <c r="G95" s="81" t="s">
        <v>1087</v>
      </c>
      <c r="H95" s="81" t="s">
        <v>1095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1115</v>
      </c>
      <c r="D96" s="51" t="s">
        <v>1128</v>
      </c>
      <c r="E96" s="81" t="s">
        <v>471</v>
      </c>
      <c r="F96" s="81" t="s">
        <v>1082</v>
      </c>
      <c r="G96" s="81" t="s">
        <v>1087</v>
      </c>
      <c r="H96" s="81" t="s">
        <v>1096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1120</v>
      </c>
      <c r="D97" s="51" t="s">
        <v>1097</v>
      </c>
      <c r="E97" s="81" t="s">
        <v>471</v>
      </c>
      <c r="F97" s="81" t="s">
        <v>1082</v>
      </c>
      <c r="G97" s="81" t="s">
        <v>1087</v>
      </c>
      <c r="H97" s="81" t="s">
        <v>1097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1116</v>
      </c>
      <c r="D98" s="51" t="s">
        <v>1099</v>
      </c>
      <c r="E98" s="81" t="s">
        <v>471</v>
      </c>
      <c r="F98" s="81" t="s">
        <v>1082</v>
      </c>
      <c r="G98" s="81" t="s">
        <v>1099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1117</v>
      </c>
      <c r="D99" s="51" t="s">
        <v>1127</v>
      </c>
      <c r="E99" s="81" t="s">
        <v>471</v>
      </c>
      <c r="F99" s="81" t="s">
        <v>1082</v>
      </c>
      <c r="G99" s="81" t="s">
        <v>1099</v>
      </c>
      <c r="H99" s="81" t="s">
        <v>1098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1118</v>
      </c>
      <c r="D100" s="51" t="s">
        <v>1126</v>
      </c>
      <c r="E100" s="81" t="s">
        <v>471</v>
      </c>
      <c r="F100" s="81" t="s">
        <v>1082</v>
      </c>
      <c r="G100" s="81" t="s">
        <v>1100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1119</v>
      </c>
      <c r="D101" s="51" t="s">
        <v>1125</v>
      </c>
      <c r="E101" s="81" t="s">
        <v>471</v>
      </c>
      <c r="F101" s="81" t="s">
        <v>1082</v>
      </c>
      <c r="G101" s="81" t="s">
        <v>1101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899</v>
      </c>
      <c r="D102" s="51" t="s">
        <v>900</v>
      </c>
      <c r="E102" s="81" t="s">
        <v>884</v>
      </c>
      <c r="F102" s="81" t="s">
        <v>885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901</v>
      </c>
      <c r="D103" s="51" t="s">
        <v>902</v>
      </c>
      <c r="E103" s="83" t="s">
        <v>884</v>
      </c>
      <c r="F103" s="83" t="s">
        <v>885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903</v>
      </c>
      <c r="D104" s="51" t="s">
        <v>904</v>
      </c>
      <c r="E104" s="83" t="s">
        <v>884</v>
      </c>
      <c r="F104" s="83" t="s">
        <v>885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51" t="s">
        <v>1177</v>
      </c>
      <c r="D105" s="51" t="s">
        <v>1178</v>
      </c>
      <c r="E105" s="83" t="s">
        <v>884</v>
      </c>
      <c r="F105" s="83" t="s">
        <v>885</v>
      </c>
      <c r="G105" s="83" t="s">
        <v>886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58" t="s">
        <v>1175</v>
      </c>
      <c r="D106" s="51" t="s">
        <v>1176</v>
      </c>
      <c r="E106" s="83" t="s">
        <v>884</v>
      </c>
      <c r="F106" s="83" t="s">
        <v>885</v>
      </c>
      <c r="G106" s="83" t="s">
        <v>886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905</v>
      </c>
      <c r="D107" s="51" t="s">
        <v>906</v>
      </c>
      <c r="E107" s="83" t="s">
        <v>884</v>
      </c>
      <c r="F107" s="83" t="s">
        <v>885</v>
      </c>
      <c r="G107" s="83" t="s">
        <v>887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907</v>
      </c>
      <c r="D108" t="s">
        <v>1074</v>
      </c>
      <c r="E108" s="83" t="s">
        <v>884</v>
      </c>
      <c r="F108" s="83" t="s">
        <v>885</v>
      </c>
      <c r="G108" s="83" t="s">
        <v>887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908</v>
      </c>
      <c r="D109" t="s">
        <v>1075</v>
      </c>
      <c r="E109" s="83" t="s">
        <v>884</v>
      </c>
      <c r="F109" s="83" t="s">
        <v>885</v>
      </c>
      <c r="G109" s="83" t="s">
        <v>887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909</v>
      </c>
      <c r="D110" t="s">
        <v>1076</v>
      </c>
      <c r="E110" s="83" t="s">
        <v>884</v>
      </c>
      <c r="F110" s="83" t="s">
        <v>885</v>
      </c>
      <c r="G110" s="83" t="s">
        <v>888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910</v>
      </c>
      <c r="D111" t="s">
        <v>1077</v>
      </c>
      <c r="E111" s="83" t="s">
        <v>884</v>
      </c>
      <c r="F111" s="83" t="s">
        <v>885</v>
      </c>
      <c r="G111" s="83" t="s">
        <v>889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911</v>
      </c>
      <c r="D112" t="s">
        <v>1078</v>
      </c>
      <c r="E112" s="83" t="s">
        <v>884</v>
      </c>
      <c r="F112" s="83" t="s">
        <v>885</v>
      </c>
      <c r="G112" s="83" t="s">
        <v>890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 ht="33">
      <c r="B113" t="str">
        <f>LocaleTable[[#This Row],['#인덱스제너레이터]]</f>
        <v>Caster_Lobby_GameClear_1</v>
      </c>
      <c r="C113" s="9" t="s">
        <v>912</v>
      </c>
      <c r="D113" s="51" t="s">
        <v>913</v>
      </c>
      <c r="E113" s="83" t="s">
        <v>884</v>
      </c>
      <c r="F113" s="83" t="s">
        <v>885</v>
      </c>
      <c r="G113" s="83" t="s">
        <v>891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914</v>
      </c>
      <c r="D114" s="51" t="s">
        <v>915</v>
      </c>
      <c r="E114" s="83" t="s">
        <v>884</v>
      </c>
      <c r="F114" s="83" t="s">
        <v>885</v>
      </c>
      <c r="G114" s="83" t="s">
        <v>891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916</v>
      </c>
      <c r="D115" s="51" t="s">
        <v>917</v>
      </c>
      <c r="E115" s="83" t="s">
        <v>884</v>
      </c>
      <c r="F115" s="83" t="s">
        <v>885</v>
      </c>
      <c r="G115" s="83" t="s">
        <v>891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918</v>
      </c>
      <c r="D116" s="51" t="s">
        <v>919</v>
      </c>
      <c r="E116" s="83" t="s">
        <v>884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920</v>
      </c>
      <c r="D117" s="51" t="s">
        <v>921</v>
      </c>
      <c r="E117" s="83" t="s">
        <v>884</v>
      </c>
      <c r="F117" s="83" t="s">
        <v>495</v>
      </c>
      <c r="G117" s="83" t="s">
        <v>892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922</v>
      </c>
      <c r="D118" s="51" t="s">
        <v>1005</v>
      </c>
      <c r="E118" s="83" t="s">
        <v>884</v>
      </c>
      <c r="F118" s="83" t="s">
        <v>495</v>
      </c>
      <c r="G118" s="83" t="s">
        <v>892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923</v>
      </c>
      <c r="D119" s="51" t="s">
        <v>924</v>
      </c>
      <c r="E119" s="83" t="s">
        <v>884</v>
      </c>
      <c r="F119" s="83" t="s">
        <v>495</v>
      </c>
      <c r="G119" s="83" t="s">
        <v>892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925</v>
      </c>
      <c r="D120" s="51" t="s">
        <v>1006</v>
      </c>
      <c r="E120" s="83" t="s">
        <v>884</v>
      </c>
      <c r="F120" s="83" t="s">
        <v>495</v>
      </c>
      <c r="G120" s="83" t="s">
        <v>892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926</v>
      </c>
      <c r="D121" s="51" t="s">
        <v>927</v>
      </c>
      <c r="E121" s="83" t="s">
        <v>884</v>
      </c>
      <c r="F121" s="83" t="s">
        <v>495</v>
      </c>
      <c r="G121" s="83" t="s">
        <v>892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928</v>
      </c>
      <c r="D122" s="51" t="s">
        <v>929</v>
      </c>
      <c r="E122" s="83" t="s">
        <v>884</v>
      </c>
      <c r="F122" s="83" t="s">
        <v>495</v>
      </c>
      <c r="G122" s="83" t="s">
        <v>892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1007</v>
      </c>
      <c r="D123" s="51" t="s">
        <v>1008</v>
      </c>
      <c r="E123" s="83" t="s">
        <v>884</v>
      </c>
      <c r="F123" s="83" t="s">
        <v>495</v>
      </c>
      <c r="G123" s="83" t="s">
        <v>892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930</v>
      </c>
      <c r="D124" s="51" t="s">
        <v>931</v>
      </c>
      <c r="E124" s="83" t="s">
        <v>884</v>
      </c>
      <c r="F124" s="83" t="s">
        <v>495</v>
      </c>
      <c r="G124" s="83" t="s">
        <v>892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932</v>
      </c>
      <c r="D125" s="51" t="s">
        <v>933</v>
      </c>
      <c r="E125" s="83" t="s">
        <v>884</v>
      </c>
      <c r="F125" s="83" t="s">
        <v>495</v>
      </c>
      <c r="G125" s="83" t="s">
        <v>892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1065</v>
      </c>
      <c r="D126" s="51" t="s">
        <v>934</v>
      </c>
      <c r="E126" s="83" t="s">
        <v>884</v>
      </c>
      <c r="F126" s="83" t="s">
        <v>495</v>
      </c>
      <c r="G126" s="83" t="s">
        <v>892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935</v>
      </c>
      <c r="D127" s="51" t="s">
        <v>936</v>
      </c>
      <c r="E127" s="83" t="s">
        <v>884</v>
      </c>
      <c r="F127" s="83" t="s">
        <v>495</v>
      </c>
      <c r="G127" s="83" t="s">
        <v>893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937</v>
      </c>
      <c r="D128" s="51" t="s">
        <v>938</v>
      </c>
      <c r="E128" s="83" t="s">
        <v>884</v>
      </c>
      <c r="F128" s="83" t="s">
        <v>495</v>
      </c>
      <c r="G128" s="83" t="s">
        <v>893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939</v>
      </c>
      <c r="D129" t="s">
        <v>1079</v>
      </c>
      <c r="E129" s="83" t="s">
        <v>884</v>
      </c>
      <c r="F129" s="83" t="s">
        <v>495</v>
      </c>
      <c r="G129" s="83" t="s">
        <v>894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 ht="33">
      <c r="B130" t="str">
        <f>LocaleTable[[#This Row],['#인덱스제너레이터]]</f>
        <v>Caster_Tutorial_Active_2</v>
      </c>
      <c r="C130" s="9" t="s">
        <v>940</v>
      </c>
      <c r="D130" s="51" t="s">
        <v>941</v>
      </c>
      <c r="E130" s="83" t="s">
        <v>884</v>
      </c>
      <c r="F130" s="83" t="s">
        <v>495</v>
      </c>
      <c r="G130" s="83" t="s">
        <v>894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942</v>
      </c>
      <c r="D131" s="51" t="s">
        <v>943</v>
      </c>
      <c r="E131" s="83" t="s">
        <v>884</v>
      </c>
      <c r="F131" s="83" t="s">
        <v>495</v>
      </c>
      <c r="G131" s="83" t="s">
        <v>894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944</v>
      </c>
      <c r="D132" s="51" t="s">
        <v>945</v>
      </c>
      <c r="E132" s="83" t="s">
        <v>884</v>
      </c>
      <c r="F132" s="83" t="s">
        <v>495</v>
      </c>
      <c r="G132" s="83" t="s">
        <v>894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946</v>
      </c>
      <c r="D133" s="51" t="s">
        <v>947</v>
      </c>
      <c r="E133" s="83" t="s">
        <v>884</v>
      </c>
      <c r="F133" s="83" t="s">
        <v>495</v>
      </c>
      <c r="G133" s="83" t="s">
        <v>895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948</v>
      </c>
      <c r="D134" s="51" t="s">
        <v>949</v>
      </c>
      <c r="E134" s="83" t="s">
        <v>884</v>
      </c>
      <c r="F134" s="83" t="s">
        <v>495</v>
      </c>
      <c r="G134" s="83" t="s">
        <v>895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950</v>
      </c>
      <c r="D135" s="51" t="s">
        <v>951</v>
      </c>
      <c r="E135" s="83" t="s">
        <v>884</v>
      </c>
      <c r="F135" s="83" t="s">
        <v>495</v>
      </c>
      <c r="G135" s="83" t="s">
        <v>895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1063</v>
      </c>
      <c r="D136" s="11" t="s">
        <v>1081</v>
      </c>
      <c r="E136" s="83" t="s">
        <v>884</v>
      </c>
      <c r="F136" s="83" t="s">
        <v>896</v>
      </c>
      <c r="G136" s="83" t="s">
        <v>897</v>
      </c>
      <c r="H136" s="83" t="s">
        <v>888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1064</v>
      </c>
      <c r="D137" s="11" t="s">
        <v>1080</v>
      </c>
      <c r="E137" s="83" t="s">
        <v>884</v>
      </c>
      <c r="F137" s="83" t="s">
        <v>896</v>
      </c>
      <c r="G137" s="83" t="s">
        <v>897</v>
      </c>
      <c r="H137" s="83" t="s">
        <v>889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1066</v>
      </c>
      <c r="D138" s="51" t="s">
        <v>1067</v>
      </c>
      <c r="E138" s="83" t="s">
        <v>884</v>
      </c>
      <c r="F138" s="83" t="s">
        <v>896</v>
      </c>
      <c r="G138" s="83" t="s">
        <v>897</v>
      </c>
      <c r="H138" s="83" t="s">
        <v>898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830</v>
      </c>
      <c r="D140" s="51" t="s">
        <v>831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973</v>
      </c>
      <c r="D145" s="51" t="s">
        <v>974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836</v>
      </c>
      <c r="D147" s="51" t="s">
        <v>837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851</v>
      </c>
      <c r="D153" s="51" t="s">
        <v>852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982</v>
      </c>
      <c r="D155" s="51" t="s">
        <v>983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994</v>
      </c>
      <c r="D156" s="51" t="s">
        <v>995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841</v>
      </c>
      <c r="D158" s="51" t="s">
        <v>838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1012</v>
      </c>
      <c r="D159" s="51" t="s">
        <v>1013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715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847</v>
      </c>
      <c r="D163" s="51" t="s">
        <v>846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716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842</v>
      </c>
      <c r="D171" s="51" t="s">
        <v>843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661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662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975</v>
      </c>
      <c r="D176" s="51" t="s">
        <v>976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663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844</v>
      </c>
      <c r="D178" s="77" t="s">
        <v>845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776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777</v>
      </c>
      <c r="D180" s="51" t="s">
        <v>664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668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778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779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865</v>
      </c>
      <c r="D184" s="51" t="s">
        <v>866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780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984</v>
      </c>
      <c r="D186" s="51" t="s">
        <v>985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992</v>
      </c>
      <c r="D187" s="51" t="s">
        <v>993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781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839</v>
      </c>
      <c r="D189" s="51" t="s">
        <v>840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1015</v>
      </c>
      <c r="D190" s="51" t="s">
        <v>1014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722</v>
      </c>
      <c r="D192" s="51" t="s">
        <v>665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782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869</v>
      </c>
      <c r="D194" s="77" t="s">
        <v>870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784</v>
      </c>
      <c r="D195" s="51" t="s">
        <v>666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783</v>
      </c>
      <c r="D197" s="77" t="s">
        <v>667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720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702</v>
      </c>
      <c r="D202" s="51" t="s">
        <v>706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703</v>
      </c>
      <c r="D203" s="51" t="s">
        <v>705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1057</v>
      </c>
      <c r="D204" s="51" t="s">
        <v>1059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1058</v>
      </c>
      <c r="D205" s="51" t="s">
        <v>1060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717</v>
      </c>
      <c r="D206" s="51" t="s">
        <v>848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977</v>
      </c>
      <c r="D207" s="51" t="s">
        <v>978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968</v>
      </c>
      <c r="D208" s="51" t="s">
        <v>969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1002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1148</v>
      </c>
      <c r="D210" s="51" t="s">
        <v>1149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871</v>
      </c>
      <c r="D211" s="51" t="s">
        <v>872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719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1061</v>
      </c>
      <c r="D213" s="51" t="s">
        <v>1062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955</v>
      </c>
      <c r="D214" s="51" t="s">
        <v>956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1000</v>
      </c>
      <c r="D215" s="51" t="s">
        <v>1001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970</v>
      </c>
      <c r="D216" s="51" t="s">
        <v>971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986</v>
      </c>
      <c r="D217" s="51" t="s">
        <v>987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1003</v>
      </c>
      <c r="D218" s="51" t="s">
        <v>1004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704</v>
      </c>
      <c r="D219" s="51" t="s">
        <v>721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965</v>
      </c>
      <c r="D222" s="51" t="s">
        <v>966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723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963</v>
      </c>
      <c r="D224" s="51" t="s">
        <v>964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1160</v>
      </c>
      <c r="D225" s="51" t="s">
        <v>1159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882</v>
      </c>
      <c r="D226" s="51" t="s">
        <v>881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878</v>
      </c>
      <c r="D227" s="51" t="s">
        <v>874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879</v>
      </c>
      <c r="D228" s="51" t="s">
        <v>875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876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883</v>
      </c>
      <c r="D230" s="51" t="s">
        <v>880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877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718</v>
      </c>
      <c r="D234" s="51" t="s">
        <v>849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813</v>
      </c>
      <c r="D235" s="51" t="s">
        <v>814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1151</v>
      </c>
      <c r="D236" s="51" t="s">
        <v>1152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960</v>
      </c>
      <c r="D237" s="51" t="s">
        <v>961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admin</cp:lastModifiedBy>
  <cp:revision>2</cp:revision>
  <dcterms:created xsi:type="dcterms:W3CDTF">2023-03-25T04:43:38Z</dcterms:created>
  <dcterms:modified xsi:type="dcterms:W3CDTF">2024-01-19T04:41:55Z</dcterms:modified>
  <cp:version>1200.0100.01</cp:version>
</cp:coreProperties>
</file>