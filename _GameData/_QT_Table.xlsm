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33DA10E2-577A-4044-ACAA-8442D69754BD}" xr6:coauthVersionLast="47" xr6:coauthVersionMax="47" xr10:uidLastSave="{00000000-0000-0000-0000-000000000000}"/>
  <bookViews>
    <workbookView xWindow="6420" yWindow="7260" windowWidth="43740" windowHeight="17060" firstSheet="2" activeTab="1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7" i="13" l="1"/>
  <c r="Q29" i="13"/>
  <c r="Q28" i="13"/>
  <c r="Q26" i="13"/>
  <c r="Q25" i="13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F3" i="6"/>
  <c r="O7" i="3" s="1" a="1"/>
  <c r="O7" i="3" s="1"/>
  <c r="AE3" i="6"/>
  <c r="AD3" i="6"/>
  <c r="AC3" i="6"/>
  <c r="AB3" i="6"/>
  <c r="AA3" i="6"/>
  <c r="Z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C24" i="14" s="1"/>
  <c r="B19" i="13" a="1"/>
  <c r="B19" i="13" s="1"/>
  <c r="I19" i="13" s="1" a="1"/>
  <c r="I19" i="13" s="1"/>
  <c r="C19" i="14" s="1"/>
  <c r="B24" i="14" l="1"/>
  <c r="B21" i="14"/>
  <c r="B10" i="14"/>
  <c r="C11" i="14"/>
  <c r="C13" i="14"/>
  <c r="B20" i="14"/>
  <c r="C8" i="14"/>
  <c r="B12" i="14"/>
  <c r="C10" i="14"/>
  <c r="C14" i="14"/>
  <c r="B18" i="14"/>
  <c r="C15" i="14"/>
  <c r="C22" i="14"/>
  <c r="C18" i="14"/>
  <c r="C17" i="14"/>
  <c r="C21" i="14"/>
  <c r="B15" i="14"/>
  <c r="B13" i="14"/>
  <c r="C20" i="14"/>
  <c r="B19" i="14"/>
  <c r="B17" i="14"/>
  <c r="B14" i="14"/>
  <c r="B11" i="14"/>
  <c r="B22" i="14"/>
  <c r="C12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<sst xmlns="http://schemas.openxmlformats.org/spreadsheetml/2006/main" count="1080" uniqueCount="561">
  <si>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</si>
  <si>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</si>
  <si>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</si>
  <si>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</si>
  <si>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</si>
  <si>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</si>
  <si>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</si>
  <si>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</si>
  <si>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</si>
  <si>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</si>
  <si>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</si>
  <si>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</si>
  <si>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</si>
  <si>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</si>
  <si>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</si>
  <si>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</si>
  <si>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</si>
  <si>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</si>
  <si>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</si>
  <si>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</si>
  <si>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</si>
  <si>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</si>
  <si>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</si>
  <si>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</si>
  <si>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</si>
  <si>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</si>
  <si>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</si>
  <si>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</si>
  <si>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</si>
  <si>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</si>
  <si>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</si>
  <si>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</si>
  <si>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</si>
  <si>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</si>
  <si>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</si>
  <si>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</si>
  <si>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</si>
  <si>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</si>
  <si>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</si>
  <si>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</si>
  <si>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</si>
  <si>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</si>
  <si>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</si>
  <si>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</si>
  <si>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</si>
  <si>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</si>
  <si>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</si>
  <si>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</si>
  <si>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</si>
  <si>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</si>
  <si>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</si>
  <si>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</si>
  <si>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</si>
  <si>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</si>
  <si>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</si>
  <si>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</si>
  <si>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</si>
  <si>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</si>
  <si>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</si>
  <si>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</si>
  <si>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</si>
  <si>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</si>
  <si>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</si>
  <si>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</si>
  <si>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</si>
  <si>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</si>
  <si>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</si>
  <si>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</si>
  <si>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</si>
  <si>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</si>
  <si>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</si>
  <si>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</si>
  <si>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</si>
  <si>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</si>
  <si>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</si>
  <si>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</si>
  <si>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</si>
  <si>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</si>
  <si>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</si>
  <si>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</si>
  <si>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</si>
  <si>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</si>
  <si>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</si>
  <si>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</si>
  <si>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</si>
  <si>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</si>
  <si>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</si>
  <si>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</si>
  <si>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</si>
  <si>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</si>
  <si>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</si>
  <si>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</si>
  <si>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</si>
  <si>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</si>
  <si>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</si>
  <si>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</si>
  <si>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</si>
  <si>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</si>
  <si>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</si>
  <si>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</si>
  <si>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</si>
  <si>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</si>
  <si>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</si>
  <si>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</si>
  <si>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</si>
  <si>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</si>
  <si>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</si>
  <si>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</si>
  <si>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</si>
  <si>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</si>
  <si>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</si>
  <si>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</si>
  <si>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</si>
  <si>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</si>
  <si>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</si>
  <si>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</si>
  <si>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</si>
  <si>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</si>
  <si>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</si>
  <si>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</si>
  <si>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</si>
  <si>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</si>
  <si>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</si>
  <si>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</si>
  <si>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</si>
  <si>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</si>
  <si>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</si>
  <si>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</si>
  <si>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</si>
  <si>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</si>
  <si>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</si>
  <si>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</si>
  <si>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</si>
  <si>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</si>
  <si>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</si>
  <si>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</si>
  <si>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</si>
  <si>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</si>
  <si>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</si>
  <si>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</si>
  <si>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</si>
  <si>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</si>
  <si>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</si>
  <si>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</si>
  <si>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</si>
  <si>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</si>
  <si>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</si>
  <si>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</si>
  <si>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</si>
  <si>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</si>
  <si>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</si>
  <si>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</si>
  <si>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</si>
  <si>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</si>
  <si>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</si>
  <si>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</si>
  <si>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</si>
  <si>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</si>
  <si>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</si>
  <si>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</si>
  <si>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</si>
  <si>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</si>
  <si>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</si>
  <si>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</si>
  <si>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</si>
  <si>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</si>
  <si>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</si>
  <si>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</si>
  <si>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</si>
  <si>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</si>
  <si>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</si>
  <si>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</si>
  <si>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</si>
  <si>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</si>
  <si>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</si>
  <si>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</si>
  <si>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</si>
  <si>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</si>
  <si>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</si>
  <si>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</si>
  <si>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</si>
  <si>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</si>
  <si>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</si>
  <si>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</si>
  <si>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</si>
  <si>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</si>
  <si>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</si>
  <si>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</si>
  <si>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</si>
  <si>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</si>
  <si>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</si>
  <si>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</si>
  <si>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</si>
  <si>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</si>
  <si>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</si>
  <si>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</si>
  <si>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</si>
  <si>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</si>
  <si>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</si>
  <si>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</si>
  <si>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</si>
  <si>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</si>
  <si>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</si>
  <si>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</si>
  <si>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</si>
  <si>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</si>
  <si>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</si>
  <si>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</si>
  <si>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</si>
  <si>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</si>
  <si>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</si>
  <si>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</si>
  <si>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</si>
  <si>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</si>
  <si>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</si>
  <si>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</si>
  <si>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</si>
  <si>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</si>
  <si>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</si>
  <si>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</si>
  <si>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</si>
  <si>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</si>
  <si>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</si>
  <si>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</si>
  <si>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</si>
  <si>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</si>
  <si>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</si>
  <si>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</si>
  <si>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</si>
  <si>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</si>
  <si>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</si>
  <si>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</si>
  <si>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</si>
  <si>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</si>
  <si>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</si>
  <si>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</si>
  <si>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</si>
  <si>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</si>
  <si>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</si>
  <si>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</si>
  <si>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</si>
  <si>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</si>
  <si>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</si>
  <si>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</si>
  <si>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</si>
  <si>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</si>
  <si>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</si>
  <si>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</si>
  <si>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</si>
  <si>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</si>
  <si>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</si>
  <si>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</si>
  <si>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</si>
  <si>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</si>
  <si>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</si>
  <si>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</si>
  <si>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</si>
  <si>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</si>
  <si>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</si>
  <si>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</si>
  <si>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</si>
  <si>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</si>
  <si>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</si>
  <si>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</si>
  <si>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</si>
  <si>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</si>
  <si>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</si>
  <si>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</si>
  <si>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</si>
  <si>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</si>
  <si>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</si>
  <si>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</si>
  <si>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</si>
  <si>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</si>
  <si>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</si>
  <si>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</si>
  <si>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</si>
  <si>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</si>
  <si>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</si>
  <si>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</si>
  <si>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</si>
  <si>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</si>
  <si>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</si>
  <si>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</si>
  <si>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</si>
  <si>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</si>
  <si>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</si>
  <si>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</si>
  <si>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</si>
  <si>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</si>
  <si>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</si>
  <si>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</si>
  <si>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</si>
  <si>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</si>
  <si>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</si>
  <si>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</si>
  <si>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</si>
  <si>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</si>
  <si>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</si>
  <si>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</si>
  <si>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</si>
  <si>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</si>
  <si>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</si>
  <si>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</si>
  <si>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</si>
  <si>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</si>
  <si>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</si>
  <si>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</si>
  <si>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</si>
  <si>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</si>
  <si>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</si>
  <si>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</si>
  <si>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</si>
  <si>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</si>
  <si>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</si>
  <si>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</si>
  <si>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</si>
  <si>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</si>
  <si>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</si>
  <si>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</si>
  <si>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</si>
  <si>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</si>
  <si>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</si>
  <si>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</si>
  <si>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</si>
  <si>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</si>
  <si>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</si>
  <si>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</si>
  <si>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</si>
  <si>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</si>
  <si>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</si>
  <si>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</si>
  <si>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</si>
  <si>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</si>
  <si>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</si>
  <si>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</si>
  <si>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</si>
  <si>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</si>
  <si>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</si>
  <si>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</si>
  <si>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</si>
  <si>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</si>
  <si>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</si>
  <si>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</si>
  <si>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</si>
  <si>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</si>
  <si>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</si>
  <si>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</si>
  <si>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</si>
  <si>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</si>
  <si>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</si>
  <si>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</si>
  <si>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</si>
  <si>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</si>
  <si>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</si>
  <si>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</si>
  <si>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</si>
  <si>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</si>
  <si>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</si>
  <si>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</si>
  <si>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</si>
  <si>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</si>
  <si>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</si>
  <si>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</si>
  <si>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</si>
  <si>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</si>
  <si>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</si>
  <si>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</si>
  <si>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</si>
  <si>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</si>
  <si>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</si>
  <si>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</si>
  <si>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</si>
  <si>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</si>
  <si>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</si>
  <si>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</si>
  <si>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</si>
  <si>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</si>
  <si>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</si>
  <si>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</si>
  <si>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</si>
  <si>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</si>
  <si>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</si>
  <si>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</si>
  <si>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</si>
  <si>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</si>
  <si>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</si>
  <si>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</si>
  <si>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</si>
  <si>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</si>
  <si>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</si>
  <si>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</si>
  <si>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</si>
  <si>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</si>
  <si>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</si>
  <si>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</si>
  <si>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</si>
  <si>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</si>
  <si>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</si>
  <si>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</si>
  <si>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</si>
  <si>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</si>
  <si>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</si>
  <si>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</si>
  <si>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</si>
  <si>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</si>
  <si>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</si>
  <si>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</si>
  <si>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</si>
  <si>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</si>
  <si>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</si>
  <si>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</si>
  <si>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</si>
  <si>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</si>
  <si>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</si>
  <si>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</si>
  <si>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</si>
  <si>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</si>
  <si>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</si>
  <si>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</si>
  <si>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</si>
  <si>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</si>
  <si>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</si>
  <si>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</si>
  <si>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</si>
  <si>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</si>
  <si>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</si>
  <si>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</si>
  <si>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</si>
  <si>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</si>
  <si>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</si>
  <si>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</si>
  <si>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</si>
  <si>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</si>
  <si>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</si>
  <si>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</si>
  <si>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</si>
  <si>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</si>
  <si>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</si>
  <si>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</si>
  <si>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</si>
  <si>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</si>
  <si>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</si>
  <si>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</si>
  <si>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</si>
  <si>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</si>
  <si>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</si>
  <si>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</si>
  <si>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</si>
  <si>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</si>
  <si>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</si>
  <si>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</si>
  <si>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</si>
  <si>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</si>
  <si>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</si>
  <si>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</si>
  <si>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</si>
  <si>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</si>
  <si>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</si>
  <si>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</si>
  <si>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</si>
  <si>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</si>
  <si>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</si>
  <si>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</si>
  <si>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</si>
  <si>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</si>
  <si>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</si>
  <si>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</si>
  <si>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</si>
  <si>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</si>
  <si>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</si>
  <si>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</si>
  <si>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</si>
  <si>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</si>
  <si>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</si>
  <si>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</si>
  <si>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</si>
  <si>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</si>
  <si>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</si>
  <si>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</si>
  <si>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</si>
  <si>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</si>
  <si>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</si>
  <si>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</si>
  <si>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</si>
  <si>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</si>
  <si>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</si>
  <si>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</si>
  <si>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</si>
  <si>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</si>
  <si>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</si>
  <si>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</si>
  <si>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</si>
  <si>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</si>
  <si>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</si>
  <si>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</si>
  <si>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</si>
  <si>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</si>
  <si>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</si>
  <si>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</si>
  <si>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</si>
  <si>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</si>
  <si>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</si>
  <si>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</si>
  <si>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</si>
  <si>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</si>
  <si>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</si>
  <si>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</si>
  <si>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</si>
  <si>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</si>
  <si>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</si>
  <si>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</si>
  <si>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</si>
  <si>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</si>
  <si>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</si>
  <si>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</si>
  <si>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</si>
  <si>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</si>
  <si>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</si>
  <si>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</si>
  <si>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</si>
  <si>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</si>
  <si>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ActiveEffectType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</si>
  <si>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</si>
  <si>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</si>
  <si>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</si>
  <si>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</si>
  <si>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</si>
  <si>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</si>
  <si>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</si>
  <si>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</si>
  <si>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</si>
  <si>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</si>
  <si>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</si>
  <si>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</si>
  <si>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</si>
  <si>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</si>
  <si>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</si>
  <si>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</si>
  <si>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</si>
  <si>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</si>
  <si>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</si>
  <si>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</si>
  <si>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</si>
  <si>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</si>
  <si>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</si>
  <si>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테스트</t>
    <phoneticPr fontId="8" type="noConversion"/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</si>
  <si>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</si>
  <si>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</si>
  <si>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</si>
  <si>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</si>
  <si>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</si>
  <si>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</si>
  <si>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</si>
  <si>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</si>
  <si>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액티브 버튼을 누르면 3초 동안 시간이 절반으로 느려지고 이동속도가 1.2배 증가함</t>
    <phoneticPr fontId="8" type="noConversion"/>
  </si>
  <si>
    <t>텔레포트</t>
    <phoneticPr fontId="8" type="noConversion"/>
  </si>
  <si>
    <t>Rare</t>
    <phoneticPr fontId="8" type="noConversion"/>
  </si>
  <si>
    <t>적들이 기절합니다, 기절한 적이 있을 때 액티브 버튼을 사용해 적을 날릴 수 있습니다.</t>
    <phoneticPr fontId="8" type="noConversion"/>
  </si>
  <si>
    <t>AfterIdleSec</t>
    <phoneticPr fontId="8" type="noConversion"/>
  </si>
  <si>
    <t>ChargeTime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</si>
</sst>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sz val="12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12" borderId="2" applyNumberFormat="0" applyFont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12" borderId="2" xfId="2" applyNumberFormat="1" applyFont="1">
      <alignment vertical="center"/>
    </xf>
    <xf numFmtId="0" fontId="0" fillId="12" borderId="2" xfId="2" applyFont="1">
      <alignment vertical="center"/>
    </xf>
    <xf numFmtId="0" fontId="21" fillId="0" borderId="0" xfId="1">
      <alignment vertical="center"/>
    </xf>
    <xf numFmtId="0" fontId="21" fillId="8" borderId="0" xfId="1" applyFill="1">
      <alignment vertical="center"/>
    </xf>
    <xf numFmtId="0" fontId="21" fillId="11" borderId="0" xfId="1" applyFill="1">
      <alignment vertical="center"/>
    </xf>
    <xf numFmtId="0" fontId="14" fillId="12" borderId="2" xfId="2" applyFont="1">
      <alignment vertical="center"/>
    </xf>
    <xf numFmtId="0" fontId="22" fillId="12" borderId="2" xfId="2" applyNumberFormat="1" applyFont="1">
      <alignment vertical="center"/>
    </xf>
  </cellXfs>
  <cellStyles count="3">
    <cellStyle name="경고문" xfId="1" builtinId="11"/>
    <cellStyle name="메모" xfId="2" builtinId="10"/>
    <cellStyle name="표준" xfId="0" builtinId="0"/>
  </cellStyles>
  <dxfs count="101"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57">
  <autoFilter ref="B2:AF3" xr:uid="{00000000-0009-0000-0100-000007000000}"/>
  <tableColumns count="31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9" totalsRowShown="0" headerRowDxfId="31">
  <autoFilter ref="B2:Q29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4">
  <autoFilter ref="B2:K24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1" totalsRowShown="0" headerRowDxfId="1">
  <autoFilter ref="B2:F31" xr:uid="{00000000-0009-0000-0100-000001000000}"/>
  <tableColumns count="5">
    <tableColumn id="4" xr3:uid="{DE2DDF71-E208-9D48-B1BD-ADAF1A04A4E7}" name="Index" dataDxfId="0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7" totalsRowShown="0" headerRowDxfId="9">
  <autoFilter ref="B2:F7" xr:uid="{00000000-0009-0000-0100-000001000000}"/>
  <tableColumns count="5">
    <tableColumn id="4" xr3:uid="{9F0C2145-5739-D948-B51C-59C2F70F8333}" name="Index" dataDxfId="8"/>
    <tableColumn id="5" xr3:uid="{68F4A981-62AA-3A4B-BE01-0227C535B866}" name="Active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7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6"/>
    <tableColumn id="3" xr3:uid="{00000000-0010-0000-1100-000003000000}" name="#리소스 유형" dataDxfId="5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4">
  <autoFilter ref="A2:D76" xr:uid="{00000000-0009-0000-0100-000003000000}"/>
  <tableColumns count="4">
    <tableColumn id="1" xr3:uid="{00000000-0010-0000-1200-000001000000}" name="Index" dataDxfId="3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2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3" t="s">
        <v>315</v>
      </c>
      <c r="C1" s="44"/>
      <c r="D1" s="44"/>
      <c r="E1" s="44"/>
    </row>
    <row r="2" spans="2:5" s="1" customFormat="1">
      <c r="B2" s="44"/>
      <c r="C2" s="44"/>
      <c r="D2" s="44"/>
      <c r="E2" s="44"/>
    </row>
    <row r="3" spans="2:5" s="1" customFormat="1">
      <c r="B3" s="44"/>
      <c r="C3" s="44"/>
      <c r="D3" s="44"/>
      <c r="E3" s="4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3" t="s">
        <v>202</v>
      </c>
      <c r="C1" s="44"/>
      <c r="D1" s="44"/>
      <c r="E1" s="44"/>
    </row>
    <row r="2" spans="2:12" s="1" customFormat="1">
      <c r="B2" s="44"/>
      <c r="C2" s="44"/>
      <c r="D2" s="44"/>
      <c r="E2" s="44"/>
    </row>
    <row r="3" spans="2:12" s="1" customFormat="1">
      <c r="B3" s="44"/>
      <c r="C3" s="44"/>
      <c r="D3" s="44"/>
      <c r="E3" s="44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476</v>
      </c>
      <c r="C10" s="2"/>
      <c r="D10" s="2"/>
      <c r="I10" s="2" t="s">
        <v>477</v>
      </c>
      <c r="J10" s="2"/>
      <c r="K10" s="2"/>
    </row>
    <row r="11" spans="2:12">
      <c r="B11" s="14" t="s">
        <v>474</v>
      </c>
      <c r="C11" s="14" t="s">
        <v>475</v>
      </c>
      <c r="D11" s="14" t="s">
        <v>472</v>
      </c>
      <c r="E11" s="14" t="s">
        <v>473</v>
      </c>
      <c r="F11" s="14" t="s">
        <v>478</v>
      </c>
      <c r="I11" s="14" t="s">
        <v>479</v>
      </c>
      <c r="J11" s="14" t="s">
        <v>475</v>
      </c>
      <c r="K11" s="14" t="s">
        <v>472</v>
      </c>
      <c r="L11" s="14" t="s">
        <v>473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480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481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482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482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3" t="s">
        <v>293</v>
      </c>
      <c r="C1" s="44"/>
      <c r="D1" s="44"/>
      <c r="E1" s="44"/>
      <c r="F1" s="44"/>
    </row>
    <row r="2" spans="1:21" s="1" customFormat="1">
      <c r="B2" s="44"/>
      <c r="C2" s="44"/>
      <c r="D2" s="44"/>
      <c r="E2" s="44"/>
      <c r="F2" s="44"/>
    </row>
    <row r="3" spans="1:21" s="1" customFormat="1">
      <c r="B3" s="44"/>
      <c r="C3" s="44"/>
      <c r="D3" s="44"/>
      <c r="E3" s="44"/>
      <c r="F3" s="44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483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t="s">
        <v>198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F3"/>
  <sheetViews>
    <sheetView topLeftCell="N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17" customWidth="1"/>
    <col min="27" max="27" width="26.6640625" bestFit="1" customWidth="1"/>
    <col min="28" max="28" width="25" bestFit="1" customWidth="1"/>
    <col min="29" max="30" width="26.1640625" bestFit="1" customWidth="1"/>
    <col min="31" max="31" width="26" bestFit="1" customWidth="1"/>
    <col min="32" max="32" width="27.1640625" bestFit="1" customWidth="1"/>
  </cols>
  <sheetData>
    <row r="1" spans="2:32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E1" s="10" t="s">
        <v>167</v>
      </c>
    </row>
    <row r="2" spans="2:32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8" t="s">
        <v>219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508</v>
      </c>
      <c r="X2" s="35" t="s">
        <v>509</v>
      </c>
      <c r="Y2" s="1" t="s">
        <v>320</v>
      </c>
      <c r="Z2" s="5" t="s">
        <v>335</v>
      </c>
      <c r="AA2" s="5" t="s">
        <v>224</v>
      </c>
      <c r="AB2" s="5" t="s">
        <v>247</v>
      </c>
      <c r="AC2" s="5" t="s">
        <v>227</v>
      </c>
      <c r="AD2" s="5" t="s">
        <v>246</v>
      </c>
      <c r="AE2" s="5" t="s">
        <v>238</v>
      </c>
      <c r="AF2" s="5" t="s">
        <v>26</v>
      </c>
    </row>
    <row r="3" spans="2:32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A3">
        <f>CharacterAtkTable[[#This Row],[ChargeRigidDmg1]]/CharacterAtkTable[[#This Row],[SwingCooldown]]</f>
        <v>20</v>
      </c>
      <c r="AB3">
        <f>CharacterAtkTable[[#This Row],[ChargeRigidDmg2]]/(CharacterAtkTable[[#This Row],[SwingCooldown]]+CharacterAtkTable[[#This Row],[ChargeTime]])</f>
        <v>22.222222222222221</v>
      </c>
      <c r="AC3" t="e">
        <f>#REF!/(CharacterAtkTable[[#This Row],[SwingCooldown]]+#REF!)</f>
        <v>#REF!</v>
      </c>
      <c r="AD3" t="e">
        <f>#REF!/(CharacterAtkTable[[#This Row],[SwingCooldown]]+#REF!)</f>
        <v>#REF!</v>
      </c>
      <c r="AE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F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486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487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488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507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505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L10" sqref="L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9.33203125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531</v>
      </c>
      <c r="D1" s="14" t="s">
        <v>412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512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530</v>
      </c>
      <c r="D2" s="17" t="s">
        <v>412</v>
      </c>
      <c r="E2" t="s">
        <v>129</v>
      </c>
      <c r="F2" s="21" t="s">
        <v>502</v>
      </c>
      <c r="G2" t="s">
        <v>302</v>
      </c>
      <c r="H2" t="s">
        <v>304</v>
      </c>
      <c r="I2" s="21" t="s">
        <v>535</v>
      </c>
      <c r="J2" t="s">
        <v>2</v>
      </c>
      <c r="K2" s="21" t="s">
        <v>513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413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447</v>
      </c>
      <c r="D4" s="18" t="s">
        <v>415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s="21" t="s">
        <v>559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529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418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529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437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529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445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529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445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529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443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529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449</v>
      </c>
      <c r="D11" s="18" t="s">
        <v>448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529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441</v>
      </c>
      <c r="D12" s="18" t="s">
        <v>414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529</v>
      </c>
      <c r="U12">
        <v>1.4</v>
      </c>
      <c r="V12">
        <v>7</v>
      </c>
    </row>
    <row r="13" spans="2:22">
      <c r="B13" s="37">
        <v>551</v>
      </c>
      <c r="C13" s="38" t="s">
        <v>439</v>
      </c>
      <c r="D13" s="38" t="s">
        <v>419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529</v>
      </c>
      <c r="U13" s="37">
        <v>1.6</v>
      </c>
      <c r="V13" s="37">
        <v>7</v>
      </c>
    </row>
    <row r="14" spans="2:22">
      <c r="B14">
        <v>552</v>
      </c>
      <c r="C14" s="18" t="s">
        <v>440</v>
      </c>
      <c r="D14" s="18" t="s">
        <v>438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529</v>
      </c>
      <c r="U14">
        <v>1.4</v>
      </c>
      <c r="V14">
        <v>7</v>
      </c>
    </row>
    <row r="15" spans="2:22">
      <c r="B15">
        <v>553</v>
      </c>
      <c r="C15" s="19" t="s">
        <v>444</v>
      </c>
      <c r="D15" s="18" t="s">
        <v>442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529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446</v>
      </c>
      <c r="D16" s="26" t="s">
        <v>445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528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412</v>
      </c>
      <c r="I1" s="14" t="s">
        <v>412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412</v>
      </c>
      <c r="I2" s="14" t="s">
        <v>471</v>
      </c>
    </row>
    <row r="3" spans="2:9">
      <c r="B3">
        <v>600</v>
      </c>
      <c r="C3" s="20" t="s">
        <v>463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420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420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420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420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420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420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420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420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420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459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467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467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467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458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457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464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465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466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493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493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493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493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493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493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493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493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493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493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493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493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493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493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493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493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468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469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470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452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452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452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452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452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452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452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452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452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452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452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452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453</v>
      </c>
      <c r="D57">
        <v>725</v>
      </c>
      <c r="E57" s="21" t="s">
        <v>450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453</v>
      </c>
      <c r="D58">
        <v>725</v>
      </c>
      <c r="E58" s="21" t="s">
        <v>450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454</v>
      </c>
      <c r="D59">
        <v>999</v>
      </c>
      <c r="E59" s="21" t="s">
        <v>451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428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429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510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455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461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462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456</v>
      </c>
      <c r="D11" t="b">
        <v>1</v>
      </c>
      <c r="E11">
        <v>1</v>
      </c>
      <c r="F11">
        <v>25</v>
      </c>
      <c r="G11" s="21" t="s">
        <v>501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9"/>
  <sheetViews>
    <sheetView zoomScaleNormal="75" zoomScaleSheetLayoutView="100" workbookViewId="0">
      <selection activeCell="I9" sqref="I9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394</v>
      </c>
      <c r="N2" s="1" t="s">
        <v>395</v>
      </c>
      <c r="O2" s="1" t="s">
        <v>396</v>
      </c>
      <c r="P2" s="28" t="s">
        <v>494</v>
      </c>
      <c r="Q2" s="28" t="s">
        <v>485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398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381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399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397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400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379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401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380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514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497</v>
      </c>
      <c r="M12" s="16" t="s">
        <v>489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402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393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499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410</v>
      </c>
      <c r="M14" s="16" t="s">
        <v>490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498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382</v>
      </c>
      <c r="D15" t="s">
        <v>411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409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492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392</v>
      </c>
      <c r="M16" s="16" t="s">
        <v>491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403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383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404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387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405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384</v>
      </c>
      <c r="M19" s="16" t="s">
        <v>388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406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391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515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385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495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390</v>
      </c>
      <c r="M22" s="16" t="s">
        <v>484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496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407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386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500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408</v>
      </c>
      <c r="M24" s="16" t="s">
        <v>389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 s="47" customFormat="1" ht="18">
      <c r="B25" s="47">
        <v>5000</v>
      </c>
      <c r="C25" s="47" t="s">
        <v>546</v>
      </c>
      <c r="D25" s="47" t="s">
        <v>555</v>
      </c>
      <c r="E25" s="47" t="s">
        <v>82</v>
      </c>
      <c r="F25" s="47">
        <v>1</v>
      </c>
      <c r="G25" s="47">
        <v>50</v>
      </c>
      <c r="H25" s="47">
        <v>60</v>
      </c>
      <c r="I25" s="47">
        <v>9005</v>
      </c>
      <c r="J25" s="47" t="s">
        <v>262</v>
      </c>
      <c r="K25" s="48"/>
      <c r="L25" s="48"/>
      <c r="M25" s="48"/>
      <c r="N25" s="48"/>
      <c r="O25" s="48"/>
      <c r="P25" s="49"/>
      <c r="Q25" s="48" t="str">
        <f>IF(ItemTable[[#This Row],['#4]]=ItemTable[[#This Row],[Desc]],"T","F")</f>
        <v>F</v>
      </c>
    </row>
    <row r="26" spans="2:17" s="46" customFormat="1">
      <c r="Q26" s="46" t="str">
        <f>IF(ItemTable[[#This Row],['#4]]=ItemTable[[#This Row],[Desc]],"T","F")</f>
        <v>T</v>
      </c>
    </row>
    <row r="27" spans="2:17" s="46" customFormat="1">
      <c r="C27" s="45"/>
      <c r="D27" s="45"/>
      <c r="E27" s="45"/>
      <c r="F27" s="45"/>
      <c r="G27" s="45"/>
      <c r="H27" s="45"/>
      <c r="I27" s="45"/>
      <c r="J27" s="51"/>
      <c r="K27" s="45"/>
      <c r="L27" s="45"/>
      <c r="M27" s="45"/>
      <c r="N27" s="45"/>
      <c r="O27" s="45"/>
      <c r="Q27" s="45" t="str">
        <f>IF(ItemTable[[#This Row],['#4]]=ItemTable[[#This Row],[Desc]],"T","F")</f>
        <v>T</v>
      </c>
    </row>
    <row r="28" spans="2:17" s="46" customFormat="1">
      <c r="Q28" s="46" t="str">
        <f>IF(ItemTable[[#This Row],['#4]]=ItemTable[[#This Row],[Desc]],"T","F")</f>
        <v>T</v>
      </c>
    </row>
    <row r="29" spans="2:17">
      <c r="B29">
        <v>10000</v>
      </c>
      <c r="C29" t="s">
        <v>556</v>
      </c>
      <c r="D29" s="21" t="s">
        <v>558</v>
      </c>
      <c r="E29" s="21" t="s">
        <v>557</v>
      </c>
      <c r="F29">
        <v>1</v>
      </c>
      <c r="G29">
        <v>50</v>
      </c>
      <c r="H29">
        <v>60</v>
      </c>
      <c r="I29">
        <v>10000</v>
      </c>
      <c r="J29" t="s">
        <v>262</v>
      </c>
      <c r="Q29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4"/>
  <sheetViews>
    <sheetView zoomScale="129" zoomScaleNormal="129" zoomScaleSheetLayoutView="100" workbookViewId="0">
      <selection activeCell="D4" sqref="D4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512</v>
      </c>
      <c r="F1" s="21" t="s">
        <v>512</v>
      </c>
      <c r="G1" s="21" t="s">
        <v>516</v>
      </c>
      <c r="H1" t="s">
        <v>125</v>
      </c>
      <c r="I1" s="21" t="s">
        <v>531</v>
      </c>
      <c r="J1" t="s">
        <v>125</v>
      </c>
      <c r="K1" s="21" t="s">
        <v>516</v>
      </c>
    </row>
    <row r="2" spans="2:11">
      <c r="B2" s="5" t="s">
        <v>126</v>
      </c>
      <c r="C2" s="5" t="s">
        <v>128</v>
      </c>
      <c r="D2" t="s">
        <v>76</v>
      </c>
      <c r="E2" s="21" t="s">
        <v>547</v>
      </c>
      <c r="F2" s="21" t="s">
        <v>548</v>
      </c>
      <c r="G2" s="21" t="s">
        <v>517</v>
      </c>
      <c r="H2" s="21" t="s">
        <v>518</v>
      </c>
      <c r="I2" s="39" t="s">
        <v>520</v>
      </c>
      <c r="J2" s="21" t="s">
        <v>519</v>
      </c>
      <c r="K2" s="39" t="s">
        <v>536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538</v>
      </c>
      <c r="I3" s="21"/>
      <c r="J3" s="21" t="s">
        <v>537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538</v>
      </c>
      <c r="J4" s="21" t="s">
        <v>537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538</v>
      </c>
      <c r="I5" s="21"/>
      <c r="J5" s="21" t="s">
        <v>537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538</v>
      </c>
      <c r="J6" s="21" t="s">
        <v>537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538</v>
      </c>
      <c r="J7" s="21" t="s">
        <v>537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538</v>
      </c>
      <c r="J8" s="21" t="s">
        <v>537</v>
      </c>
    </row>
    <row r="9" spans="2:11" s="46" customFormat="1">
      <c r="D9" s="50"/>
      <c r="J9" s="50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554</v>
      </c>
      <c r="J10" s="21" t="s">
        <v>537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553</v>
      </c>
      <c r="J11" s="21" t="s">
        <v>537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538</v>
      </c>
      <c r="J12" s="21" t="s">
        <v>537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538</v>
      </c>
      <c r="J13" s="21" t="s">
        <v>537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538</v>
      </c>
      <c r="J14" s="21" t="s">
        <v>537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552</v>
      </c>
      <c r="J15" s="21" t="s">
        <v>537</v>
      </c>
    </row>
    <row r="16" spans="2:11" s="46" customFormat="1">
      <c r="D16" s="50"/>
      <c r="J16" s="50"/>
    </row>
    <row r="17" spans="2:10">
      <c r="B17" s="4" t="str">
        <f>INDEX(ItemTable[Name],MATCH(ItemEffectTable[[#This Row],[Index]],ItemTable[ItemEffectDataId],0))</f>
        <v>코코아 한통</v>
      </c>
      <c r="C17" s="4" t="str">
        <f>INDEX(ItemTable[GradeType],MATCH(ItemEffectTable[[#This Row],[Index]],ItemTable[ItemEffectDataId],0))</f>
        <v>Cursed</v>
      </c>
      <c r="D17" s="21">
        <v>9000</v>
      </c>
      <c r="E17" s="21">
        <v>9000</v>
      </c>
      <c r="F17" s="21"/>
      <c r="G17">
        <v>0</v>
      </c>
      <c r="H17" s="21" t="s">
        <v>538</v>
      </c>
      <c r="J17" s="21" t="s">
        <v>537</v>
      </c>
    </row>
    <row r="18" spans="2:10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21">
        <v>9001</v>
      </c>
      <c r="E18" s="21">
        <v>9001</v>
      </c>
      <c r="F18" s="21"/>
      <c r="G18">
        <v>0</v>
      </c>
      <c r="H18" s="21" t="s">
        <v>538</v>
      </c>
      <c r="J18" s="21" t="s">
        <v>537</v>
      </c>
    </row>
    <row r="19" spans="2:10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21">
        <v>9002</v>
      </c>
      <c r="E19" s="21">
        <v>9002</v>
      </c>
      <c r="F19" s="21">
        <v>9002</v>
      </c>
      <c r="G19">
        <v>0</v>
      </c>
      <c r="H19" s="21" t="s">
        <v>538</v>
      </c>
      <c r="J19" s="21" t="s">
        <v>537</v>
      </c>
    </row>
    <row r="20" spans="2:10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21">
        <v>9003</v>
      </c>
      <c r="E20" s="21">
        <v>9003</v>
      </c>
      <c r="F20" s="21"/>
      <c r="G20">
        <v>0</v>
      </c>
      <c r="H20" s="21" t="s">
        <v>538</v>
      </c>
      <c r="J20" s="21" t="s">
        <v>537</v>
      </c>
    </row>
    <row r="21" spans="2:10">
      <c r="B21" s="4" t="str">
        <f>INDEX(ItemTable[Name],MATCH(ItemEffectTable[[#This Row],[Index]],ItemTable[ItemEffectDataId],0))</f>
        <v>태양</v>
      </c>
      <c r="C21" s="4" t="str">
        <f>INDEX(ItemTable[GradeType],MATCH(ItemEffectTable[[#This Row],[Index]],ItemTable[ItemEffectDataId],0))</f>
        <v>Cursed</v>
      </c>
      <c r="D21" s="21">
        <v>9004</v>
      </c>
      <c r="E21" s="21">
        <v>9004</v>
      </c>
      <c r="F21" s="21"/>
      <c r="G21">
        <v>0</v>
      </c>
      <c r="H21" s="21" t="s">
        <v>538</v>
      </c>
      <c r="J21" s="21" t="s">
        <v>537</v>
      </c>
    </row>
    <row r="22" spans="2:10">
      <c r="B22" s="4" t="str">
        <f>INDEX(ItemTable[Name],MATCH(ItemEffectTable[[#This Row],[Index]],ItemTable[ItemEffectDataId],0))</f>
        <v>테스트</v>
      </c>
      <c r="C22" s="41" t="str">
        <f>INDEX(ItemTable[GradeType],MATCH(ItemEffectTable[[#This Row],[Index]],ItemTable[ItemEffectDataId],0))</f>
        <v>Rare</v>
      </c>
      <c r="D22" s="21">
        <v>9005</v>
      </c>
      <c r="E22">
        <v>9005</v>
      </c>
      <c r="F22">
        <v>9005</v>
      </c>
      <c r="G22">
        <v>3</v>
      </c>
      <c r="H22" s="21" t="s">
        <v>551</v>
      </c>
      <c r="I22" s="21"/>
      <c r="J22" s="21" t="s">
        <v>537</v>
      </c>
    </row>
    <row r="23" spans="2:10" s="46" customFormat="1">
      <c r="J23" s="50"/>
    </row>
    <row r="24" spans="2:10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Rare</v>
      </c>
      <c r="D24" s="41">
        <v>10000</v>
      </c>
      <c r="J24" s="21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1"/>
  <sheetViews>
    <sheetView tabSelected="1" topLeftCell="A6" zoomScale="129" zoomScaleNormal="129" zoomScaleSheetLayoutView="100" workbookViewId="0">
      <selection activeCell="D14" sqref="D14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531</v>
      </c>
      <c r="E1" s="21" t="s">
        <v>533</v>
      </c>
      <c r="F1" s="21" t="s">
        <v>526</v>
      </c>
    </row>
    <row r="2" spans="2:6">
      <c r="B2" t="s">
        <v>76</v>
      </c>
      <c r="C2" s="21" t="s">
        <v>521</v>
      </c>
      <c r="D2" s="21" t="s">
        <v>532</v>
      </c>
      <c r="E2" s="1" t="s">
        <v>13</v>
      </c>
      <c r="F2" s="39" t="s">
        <v>534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1.2</v>
      </c>
      <c r="E4" t="s">
        <v>349</v>
      </c>
      <c r="F4">
        <v>-1</v>
      </c>
    </row>
    <row r="5" spans="2:6">
      <c r="B5" s="21">
        <v>7002</v>
      </c>
      <c r="C5" s="21" t="s">
        <v>560</v>
      </c>
      <c r="D5" s="11">
        <v>0.8</v>
      </c>
      <c r="E5" t="s">
        <v>349</v>
      </c>
      <c r="F5">
        <v>-1</v>
      </c>
    </row>
    <row r="6" spans="2:6" ht="18">
      <c r="B6" s="21">
        <v>7003</v>
      </c>
      <c r="C6" s="42" t="s">
        <v>539</v>
      </c>
      <c r="D6">
        <v>1</v>
      </c>
      <c r="E6" t="s">
        <v>541</v>
      </c>
      <c r="F6">
        <v>-1</v>
      </c>
    </row>
    <row r="7" spans="2:6" ht="18">
      <c r="B7" s="21">
        <v>7003</v>
      </c>
      <c r="C7" s="42" t="s">
        <v>540</v>
      </c>
      <c r="D7">
        <v>1</v>
      </c>
      <c r="E7" t="s">
        <v>541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541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541</v>
      </c>
      <c r="F9">
        <v>-1</v>
      </c>
    </row>
    <row r="10" spans="2:6" s="46" customFormat="1"/>
    <row r="11" spans="2:6" ht="18">
      <c r="B11" s="21">
        <v>8000</v>
      </c>
      <c r="C11" s="11" t="s">
        <v>320</v>
      </c>
      <c r="D11" s="14" t="s">
        <v>542</v>
      </c>
      <c r="E11" t="s">
        <v>541</v>
      </c>
      <c r="F11">
        <v>-1</v>
      </c>
    </row>
    <row r="12" spans="2:6" ht="18">
      <c r="B12" s="21">
        <v>8001</v>
      </c>
      <c r="C12" s="11" t="s">
        <v>320</v>
      </c>
      <c r="D12" s="14" t="s">
        <v>543</v>
      </c>
      <c r="E12" t="s">
        <v>541</v>
      </c>
      <c r="F12">
        <v>-1</v>
      </c>
    </row>
    <row r="13" spans="2:6">
      <c r="B13" s="21">
        <v>8002</v>
      </c>
      <c r="C13" t="s">
        <v>320</v>
      </c>
      <c r="D13">
        <v>0.1</v>
      </c>
      <c r="E13" t="s">
        <v>541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541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541</v>
      </c>
      <c r="F15">
        <v>-1</v>
      </c>
    </row>
    <row r="16" spans="2:6">
      <c r="B16" s="21">
        <v>8003</v>
      </c>
      <c r="C16" t="s">
        <v>281</v>
      </c>
      <c r="D16">
        <v>0.5</v>
      </c>
      <c r="E16" t="s">
        <v>541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541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541</v>
      </c>
      <c r="F18">
        <v>-1</v>
      </c>
    </row>
    <row r="19" spans="2:6" ht="18">
      <c r="B19" s="21">
        <v>8005</v>
      </c>
      <c r="C19" s="11" t="s">
        <v>320</v>
      </c>
      <c r="D19" t="s">
        <v>544</v>
      </c>
      <c r="E19" t="s">
        <v>541</v>
      </c>
      <c r="F19">
        <v>-1</v>
      </c>
    </row>
    <row r="20" spans="2:6" s="46" customFormat="1"/>
    <row r="21" spans="2:6" ht="18">
      <c r="B21" s="21">
        <v>9000</v>
      </c>
      <c r="C21" s="11" t="s">
        <v>219</v>
      </c>
      <c r="D21">
        <v>1.2</v>
      </c>
      <c r="E21" t="s">
        <v>349</v>
      </c>
      <c r="F21">
        <v>-1</v>
      </c>
    </row>
    <row r="22" spans="2:6" ht="18">
      <c r="B22" s="21">
        <v>9000</v>
      </c>
      <c r="C22" s="11" t="s">
        <v>341</v>
      </c>
      <c r="D22">
        <v>0.55000000000000004</v>
      </c>
      <c r="E22" t="s">
        <v>349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349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541</v>
      </c>
      <c r="F24">
        <v>-1</v>
      </c>
    </row>
    <row r="25" spans="2:6">
      <c r="B25" s="21">
        <v>9002</v>
      </c>
      <c r="C25" t="s">
        <v>320</v>
      </c>
      <c r="D25">
        <v>1</v>
      </c>
      <c r="E25" t="s">
        <v>541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541</v>
      </c>
      <c r="F26">
        <v>-1</v>
      </c>
    </row>
    <row r="27" spans="2:6">
      <c r="B27" s="21">
        <v>9003</v>
      </c>
      <c r="C27" t="s">
        <v>320</v>
      </c>
      <c r="D27">
        <v>0.6</v>
      </c>
      <c r="E27" t="s">
        <v>541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541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541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545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349</v>
      </c>
      <c r="F31">
        <v>2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zoomScale="129" zoomScaleNormal="129" zoomScaleSheetLayoutView="100" workbookViewId="0">
      <selection activeCell="C7" sqref="C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516</v>
      </c>
      <c r="E1" s="21" t="s">
        <v>526</v>
      </c>
      <c r="F1" s="21" t="s">
        <v>526</v>
      </c>
    </row>
    <row r="2" spans="2:6">
      <c r="B2" t="s">
        <v>76</v>
      </c>
      <c r="C2" s="21" t="s">
        <v>522</v>
      </c>
      <c r="D2" s="21" t="s">
        <v>523</v>
      </c>
      <c r="E2" s="39" t="s">
        <v>524</v>
      </c>
      <c r="F2" s="39" t="s">
        <v>525</v>
      </c>
    </row>
    <row r="3" spans="2:6">
      <c r="B3" s="21">
        <v>9002</v>
      </c>
      <c r="C3" s="21" t="s">
        <v>549</v>
      </c>
      <c r="D3" s="11"/>
    </row>
    <row r="4" spans="2:6">
      <c r="B4" s="21">
        <v>9005</v>
      </c>
      <c r="C4" s="21" t="s">
        <v>550</v>
      </c>
      <c r="D4">
        <v>0.5</v>
      </c>
      <c r="E4">
        <v>2</v>
      </c>
    </row>
    <row r="5" spans="2:6">
      <c r="B5" s="21"/>
      <c r="C5" s="21"/>
      <c r="D5" s="11"/>
    </row>
    <row r="6" spans="2:6" s="46" customFormat="1">
      <c r="B6" s="50"/>
      <c r="C6" s="50"/>
    </row>
    <row r="7" spans="2:6">
      <c r="B7" s="21">
        <v>10000</v>
      </c>
      <c r="C7" s="21" t="s">
        <v>527</v>
      </c>
      <c r="D7" s="11">
        <v>8</v>
      </c>
    </row>
    <row r="8" spans="2:6">
      <c r="B8" s="21"/>
      <c r="C8" s="21"/>
    </row>
    <row r="9" spans="2:6">
      <c r="B9" s="21"/>
      <c r="C9" s="21"/>
    </row>
    <row r="10" spans="2:6">
      <c r="B10" s="21"/>
      <c r="C10" s="21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2023-07-31T16:56:05Z</dcterms:modified>
  <cp:version>1200.0100.01</cp:version>
</cp:coreProperties>
</file>