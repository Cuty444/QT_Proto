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224AB3D0-34EB-43D1-BA29-C17B34F0C502}" xr6:coauthVersionLast="47" xr6:coauthVersionMax="47" xr10:uidLastSave="{00000000-0000-0000-0000-000000000000}"/>
  <bookViews>
    <workbookView xWindow="-120" yWindow="-120" windowWidth="29040" windowHeight="15840" firstSheet="4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21" i="13" a="1"/>
  <c r="I21" i="13" s="1"/>
  <c r="B22" i="13" a="1"/>
  <c r="B22" i="13" s="1"/>
  <c r="I15" i="13" a="1"/>
  <c r="I15" i="13" s="1"/>
  <c r="B16" i="13" a="1"/>
  <c r="B16" i="13" s="1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R24" i="14" l="1" a="1"/>
  <c r="R24" i="14" s="1"/>
  <c r="F22" i="2"/>
  <c r="S7" i="3" s="1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<sst xmlns="http://schemas.openxmlformats.org/spreadsheetml/2006/main" count="1101" uniqueCount="554">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</sst>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9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8" borderId="0" xfId="0" applyFont="1" applyFill="1">
      <alignment vertical="center"/>
    </xf>
    <xf numFmtId="0" fontId="17" fillId="10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45" t="s">
        <v>337</v>
      </c>
      <c r="C1" s="46"/>
      <c r="D1" s="46"/>
      <c r="E1" s="46"/>
    </row>
    <row r="2" spans="2:5" s="1" customFormat="1" x14ac:dyDescent="0.3">
      <c r="B2" s="46"/>
      <c r="C2" s="46"/>
      <c r="D2" s="46"/>
      <c r="E2" s="46"/>
    </row>
    <row r="3" spans="2:5" s="1" customFormat="1" x14ac:dyDescent="0.3">
      <c r="B3" s="46"/>
      <c r="C3" s="46"/>
      <c r="D3" s="46"/>
      <c r="E3" s="46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45" t="s">
        <v>216</v>
      </c>
      <c r="C1" s="46"/>
      <c r="D1" s="46"/>
      <c r="E1" s="46"/>
    </row>
    <row r="2" spans="2:12" s="1" customFormat="1" x14ac:dyDescent="0.3">
      <c r="B2" s="46"/>
      <c r="C2" s="46"/>
      <c r="D2" s="46"/>
      <c r="E2" s="46"/>
    </row>
    <row r="3" spans="2:12" s="1" customFormat="1" x14ac:dyDescent="0.3">
      <c r="B3" s="46"/>
      <c r="C3" s="46"/>
      <c r="D3" s="46"/>
      <c r="E3" s="46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512</v>
      </c>
      <c r="C10" s="2"/>
      <c r="D10" s="2"/>
      <c r="I10" s="2" t="s">
        <v>513</v>
      </c>
      <c r="J10" s="2"/>
      <c r="K10" s="2"/>
    </row>
    <row r="11" spans="2:12" x14ac:dyDescent="0.3">
      <c r="B11" s="19" t="s">
        <v>510</v>
      </c>
      <c r="C11" s="19" t="s">
        <v>511</v>
      </c>
      <c r="D11" s="19" t="s">
        <v>508</v>
      </c>
      <c r="E11" s="19" t="s">
        <v>509</v>
      </c>
      <c r="F11" s="19" t="s">
        <v>514</v>
      </c>
      <c r="I11" s="19" t="s">
        <v>515</v>
      </c>
      <c r="J11" s="19" t="s">
        <v>511</v>
      </c>
      <c r="K11" s="19" t="s">
        <v>508</v>
      </c>
      <c r="L11" s="19" t="s">
        <v>509</v>
      </c>
    </row>
    <row r="12" spans="2:12" x14ac:dyDescent="0.3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516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517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518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518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45" t="s">
        <v>315</v>
      </c>
      <c r="C1" s="46"/>
      <c r="D1" s="46"/>
      <c r="E1" s="46"/>
      <c r="F1" s="46"/>
    </row>
    <row r="2" spans="1:21" s="1" customFormat="1" x14ac:dyDescent="0.3">
      <c r="B2" s="46"/>
      <c r="C2" s="46"/>
      <c r="D2" s="46"/>
      <c r="E2" s="46"/>
      <c r="F2" s="46"/>
    </row>
    <row r="3" spans="1:21" s="1" customFormat="1" x14ac:dyDescent="0.3">
      <c r="B3" s="46"/>
      <c r="C3" s="46"/>
      <c r="D3" s="46"/>
      <c r="E3" s="46"/>
      <c r="F3" s="46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519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x14ac:dyDescent="0.3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x14ac:dyDescent="0.3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345</v>
      </c>
      <c r="C7">
        <v>50</v>
      </c>
      <c r="D7" s="4" t="s">
        <v>402</v>
      </c>
    </row>
    <row r="8" spans="1:4" x14ac:dyDescent="0.3">
      <c r="A8">
        <v>6</v>
      </c>
      <c r="B8" s="4" t="s">
        <v>348</v>
      </c>
      <c r="C8">
        <v>1</v>
      </c>
      <c r="D8" s="4" t="s">
        <v>184</v>
      </c>
    </row>
    <row r="9" spans="1:4" x14ac:dyDescent="0.3">
      <c r="A9">
        <v>7</v>
      </c>
      <c r="B9" s="4" t="s">
        <v>399</v>
      </c>
      <c r="C9">
        <v>10</v>
      </c>
      <c r="D9" s="4" t="s">
        <v>396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abSelected="1" zoomScaleNormal="75" zoomScaleSheetLayoutView="100" workbookViewId="0">
      <selection activeCell="E28" sqref="E28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4" width="24.625" customWidth="1"/>
    <col min="25" max="25" width="14.125" bestFit="1" customWidth="1"/>
    <col min="26" max="26" width="28.875" bestFit="1" customWidth="1"/>
    <col min="27" max="27" width="17" customWidth="1"/>
    <col min="28" max="28" width="26.625" bestFit="1" customWidth="1"/>
    <col min="29" max="29" width="25" bestFit="1" customWidth="1"/>
    <col min="30" max="31" width="26.125" bestFit="1" customWidth="1"/>
    <col min="32" max="32" width="26" bestFit="1" customWidth="1"/>
    <col min="33" max="33" width="27.125" bestFit="1" customWidth="1"/>
  </cols>
  <sheetData>
    <row r="1" spans="2:33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550</v>
      </c>
      <c r="X2" s="41" t="s">
        <v>551</v>
      </c>
      <c r="Y2" s="1" t="s">
        <v>342</v>
      </c>
      <c r="Z2" s="1" t="s">
        <v>406</v>
      </c>
      <c r="AA2" s="6" t="s">
        <v>357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 x14ac:dyDescent="0.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3" t="s">
        <v>524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3" t="s">
        <v>525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3" t="s">
        <v>526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1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11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11" x14ac:dyDescent="0.3">
      <c r="B3" s="35">
        <v>9001</v>
      </c>
      <c r="C3" s="38" t="s">
        <v>549</v>
      </c>
      <c r="D3" s="35">
        <v>0</v>
      </c>
      <c r="E3" s="35">
        <v>5000</v>
      </c>
      <c r="F3" s="35">
        <v>5000</v>
      </c>
      <c r="G3" s="35">
        <v>0</v>
      </c>
      <c r="H3" s="35">
        <v>0</v>
      </c>
      <c r="I3" s="35">
        <v>0</v>
      </c>
      <c r="K3">
        <f>SUM(DropTable[[#This Row],[Normal]:[Cursed]])</f>
        <v>10000</v>
      </c>
    </row>
    <row r="4" spans="1:11" x14ac:dyDescent="0.3">
      <c r="B4">
        <v>9002</v>
      </c>
      <c r="C4" s="37" t="s">
        <v>548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 x14ac:dyDescent="0.3">
      <c r="A5" s="19"/>
      <c r="B5">
        <v>9003</v>
      </c>
      <c r="C5" s="37" t="s">
        <v>545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 x14ac:dyDescent="0.3">
      <c r="B6">
        <v>9100</v>
      </c>
      <c r="C6" s="23" t="s">
        <v>546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 x14ac:dyDescent="0.3">
      <c r="A7" t="s">
        <v>51</v>
      </c>
      <c r="B7" s="39">
        <v>9101</v>
      </c>
      <c r="C7" s="40" t="s">
        <v>547</v>
      </c>
      <c r="D7" s="39">
        <v>4000</v>
      </c>
      <c r="E7" s="39">
        <v>2000</v>
      </c>
      <c r="F7" s="39">
        <v>2000</v>
      </c>
      <c r="G7" s="39">
        <v>0</v>
      </c>
      <c r="H7" s="39">
        <v>2000</v>
      </c>
      <c r="I7" s="39">
        <v>0</v>
      </c>
    </row>
    <row r="8" spans="1:11" x14ac:dyDescent="0.3">
      <c r="A8" t="s">
        <v>51</v>
      </c>
      <c r="B8" s="39">
        <v>9102</v>
      </c>
      <c r="C8" s="40" t="s">
        <v>322</v>
      </c>
      <c r="D8" s="39">
        <v>4000</v>
      </c>
      <c r="E8" s="39">
        <v>2000</v>
      </c>
      <c r="F8" s="39">
        <v>2000</v>
      </c>
      <c r="G8" s="39">
        <v>0</v>
      </c>
      <c r="H8" s="39">
        <v>0</v>
      </c>
      <c r="I8" s="39">
        <v>2000</v>
      </c>
    </row>
    <row r="9" spans="1:11" x14ac:dyDescent="0.3">
      <c r="A9" t="s">
        <v>51</v>
      </c>
      <c r="B9" s="39">
        <v>9103</v>
      </c>
      <c r="C9" s="40" t="s">
        <v>124</v>
      </c>
      <c r="D9" s="39">
        <v>4000</v>
      </c>
      <c r="E9" s="39">
        <v>2000</v>
      </c>
      <c r="F9" s="39">
        <v>2000</v>
      </c>
      <c r="G9" s="39">
        <v>0</v>
      </c>
      <c r="H9" s="39">
        <v>2000</v>
      </c>
      <c r="I9" s="39">
        <v>0</v>
      </c>
    </row>
    <row r="10" spans="1:11" x14ac:dyDescent="0.3">
      <c r="A10" t="s">
        <v>51</v>
      </c>
      <c r="B10" s="39">
        <v>9104</v>
      </c>
      <c r="C10" s="40" t="s">
        <v>123</v>
      </c>
      <c r="D10" s="39">
        <v>0</v>
      </c>
      <c r="E10" s="39">
        <v>7000</v>
      </c>
      <c r="F10" s="39">
        <v>3000</v>
      </c>
      <c r="G10" s="39">
        <v>0</v>
      </c>
      <c r="H10" s="39">
        <v>0</v>
      </c>
      <c r="I10" s="39">
        <v>0</v>
      </c>
    </row>
    <row r="11" spans="1:11" x14ac:dyDescent="0.3">
      <c r="A11" t="s">
        <v>51</v>
      </c>
      <c r="B11" s="39">
        <v>9105</v>
      </c>
      <c r="C11" s="40" t="s">
        <v>331</v>
      </c>
      <c r="D11" s="39">
        <v>0</v>
      </c>
      <c r="E11" s="39">
        <v>0</v>
      </c>
      <c r="F11" s="39">
        <v>0</v>
      </c>
      <c r="G11" s="39">
        <v>10000</v>
      </c>
      <c r="H11" s="39">
        <v>0</v>
      </c>
      <c r="I11" s="39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20"/>
  <sheetViews>
    <sheetView topLeftCell="J1" zoomScaleNormal="75" zoomScaleSheetLayoutView="100" workbookViewId="0">
      <selection activeCell="Q19" sqref="Q19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.5" bestFit="1" customWidth="1"/>
    <col min="12" max="12" width="15.625" bestFit="1" customWidth="1"/>
    <col min="13" max="13" width="17.125" bestFit="1" customWidth="1"/>
    <col min="14" max="14" width="12.625" bestFit="1" customWidth="1"/>
    <col min="15" max="15" width="17.625" bestFit="1" customWidth="1"/>
    <col min="16" max="16" width="16" bestFit="1" customWidth="1"/>
    <col min="17" max="17" width="16.375" bestFit="1" customWidth="1"/>
    <col min="18" max="18" width="18.375" bestFit="1" customWidth="1"/>
    <col min="19" max="19" width="25" bestFit="1" customWidth="1"/>
    <col min="20" max="20" width="20.625" bestFit="1" customWidth="1"/>
    <col min="21" max="21" width="17.875" bestFit="1" customWidth="1"/>
  </cols>
  <sheetData>
    <row r="1" spans="2:21" x14ac:dyDescent="0.3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t="s">
        <v>103</v>
      </c>
      <c r="L1" t="s">
        <v>129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 x14ac:dyDescent="0.3">
      <c r="B2" t="s">
        <v>78</v>
      </c>
      <c r="C2" s="6" t="s">
        <v>63</v>
      </c>
      <c r="D2" s="22" t="s">
        <v>446</v>
      </c>
      <c r="E2" t="s">
        <v>133</v>
      </c>
      <c r="F2" s="26" t="s">
        <v>544</v>
      </c>
      <c r="G2" t="s">
        <v>324</v>
      </c>
      <c r="H2" t="s">
        <v>326</v>
      </c>
      <c r="I2" t="s">
        <v>282</v>
      </c>
      <c r="J2" t="s">
        <v>2</v>
      </c>
      <c r="K2" t="s">
        <v>215</v>
      </c>
      <c r="L2" t="s">
        <v>210</v>
      </c>
      <c r="M2" t="s">
        <v>213</v>
      </c>
      <c r="N2" t="s">
        <v>323</v>
      </c>
      <c r="O2" t="s">
        <v>222</v>
      </c>
      <c r="P2" t="s">
        <v>329</v>
      </c>
      <c r="Q2" t="s">
        <v>327</v>
      </c>
      <c r="R2" t="s">
        <v>11</v>
      </c>
      <c r="S2" t="s">
        <v>332</v>
      </c>
      <c r="T2" s="6" t="s">
        <v>334</v>
      </c>
      <c r="U2" s="6" t="s">
        <v>352</v>
      </c>
    </row>
    <row r="3" spans="2:21" x14ac:dyDescent="0.3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400</v>
      </c>
      <c r="T3">
        <v>0.2</v>
      </c>
      <c r="U3">
        <f>AVERAGE(EnemyGameData[[#This Row],[GoldDropMin]],EnemyGameData[[#This Row],[GoldDropMax]])</f>
        <v>0</v>
      </c>
    </row>
    <row r="4" spans="2:21" x14ac:dyDescent="0.3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1.8</v>
      </c>
      <c r="L4" t="s">
        <v>231</v>
      </c>
      <c r="M4">
        <v>2</v>
      </c>
      <c r="N4">
        <v>600</v>
      </c>
      <c r="O4">
        <v>0</v>
      </c>
      <c r="P4">
        <v>0</v>
      </c>
      <c r="Q4">
        <v>4</v>
      </c>
      <c r="R4">
        <v>501</v>
      </c>
      <c r="S4" t="s">
        <v>394</v>
      </c>
      <c r="T4">
        <v>0.8</v>
      </c>
      <c r="U4">
        <f>AVERAGE(EnemyGameData[[#This Row],[GoldDropMin]],EnemyGameData[[#This Row],[GoldDropMax]])</f>
        <v>2</v>
      </c>
    </row>
    <row r="5" spans="2:21" x14ac:dyDescent="0.3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1.5</v>
      </c>
      <c r="L5" t="s">
        <v>128</v>
      </c>
      <c r="M5">
        <v>3</v>
      </c>
      <c r="N5">
        <v>601</v>
      </c>
      <c r="O5">
        <v>0</v>
      </c>
      <c r="P5">
        <v>0</v>
      </c>
      <c r="Q5">
        <v>4</v>
      </c>
      <c r="R5">
        <v>501</v>
      </c>
      <c r="S5" t="s">
        <v>394</v>
      </c>
      <c r="T5">
        <v>1</v>
      </c>
      <c r="U5">
        <f>AVERAGE(EnemyGameData[[#This Row],[GoldDropMin]],EnemyGameData[[#This Row],[GoldDropMax]])</f>
        <v>2</v>
      </c>
    </row>
    <row r="6" spans="2:21" x14ac:dyDescent="0.3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1.5</v>
      </c>
      <c r="L6" t="s">
        <v>128</v>
      </c>
      <c r="M6">
        <v>5</v>
      </c>
      <c r="N6">
        <v>602</v>
      </c>
      <c r="O6">
        <v>0</v>
      </c>
      <c r="P6">
        <v>0</v>
      </c>
      <c r="Q6">
        <v>4</v>
      </c>
      <c r="R6">
        <v>501</v>
      </c>
      <c r="S6" t="s">
        <v>394</v>
      </c>
      <c r="T6">
        <v>0.8</v>
      </c>
      <c r="U6">
        <f>AVERAGE(EnemyGameData[[#This Row],[GoldDropMin]],EnemyGameData[[#This Row],[GoldDropMax]])</f>
        <v>2</v>
      </c>
    </row>
    <row r="7" spans="2:21" s="30" customFormat="1" x14ac:dyDescent="0.3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 s="30">
        <v>3</v>
      </c>
      <c r="L7" s="30" t="s">
        <v>128</v>
      </c>
      <c r="M7" s="30">
        <v>4</v>
      </c>
      <c r="N7" s="30">
        <v>603</v>
      </c>
      <c r="O7" s="30">
        <v>0</v>
      </c>
      <c r="P7" s="30">
        <v>0</v>
      </c>
      <c r="Q7" s="30">
        <v>0</v>
      </c>
      <c r="R7" s="30">
        <v>501</v>
      </c>
      <c r="S7" s="30" t="s">
        <v>394</v>
      </c>
      <c r="T7" s="30">
        <v>0.8</v>
      </c>
      <c r="U7" s="30">
        <f>AVERAGE(EnemyGameData[[#This Row],[GoldDropMin]],EnemyGameData[[#This Row],[GoldDropMax]])</f>
        <v>0</v>
      </c>
    </row>
    <row r="8" spans="2:21" s="30" customFormat="1" x14ac:dyDescent="0.3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 s="30">
        <v>3</v>
      </c>
      <c r="L8" s="30" t="s">
        <v>128</v>
      </c>
      <c r="M8" s="30">
        <v>4</v>
      </c>
      <c r="N8" s="30">
        <v>604</v>
      </c>
      <c r="O8" s="30">
        <v>0</v>
      </c>
      <c r="P8" s="30">
        <v>0</v>
      </c>
      <c r="Q8" s="30">
        <v>0</v>
      </c>
      <c r="R8" s="30">
        <v>501</v>
      </c>
      <c r="S8" s="30" t="s">
        <v>394</v>
      </c>
      <c r="T8" s="30">
        <v>1</v>
      </c>
      <c r="U8" s="30">
        <f>AVERAGE(EnemyGameData[[#This Row],[GoldDropMin]],EnemyGameData[[#This Row],[GoldDropMax]])</f>
        <v>0</v>
      </c>
    </row>
    <row r="9" spans="2:21" x14ac:dyDescent="0.3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1</v>
      </c>
      <c r="L9" t="s">
        <v>128</v>
      </c>
      <c r="M9">
        <v>3.5</v>
      </c>
      <c r="N9">
        <v>605</v>
      </c>
      <c r="O9">
        <v>0</v>
      </c>
      <c r="P9">
        <v>0</v>
      </c>
      <c r="Q9">
        <v>4</v>
      </c>
      <c r="R9">
        <v>501</v>
      </c>
      <c r="S9" t="s">
        <v>394</v>
      </c>
      <c r="T9">
        <v>1</v>
      </c>
      <c r="U9">
        <f>AVERAGE(EnemyGameData[[#This Row],[GoldDropMin]],EnemyGameData[[#This Row],[GoldDropMax]])</f>
        <v>2</v>
      </c>
    </row>
    <row r="10" spans="2:21" x14ac:dyDescent="0.3">
      <c r="B10">
        <v>507</v>
      </c>
      <c r="C10" s="4" t="s">
        <v>388</v>
      </c>
      <c r="D10" s="4"/>
      <c r="E10">
        <v>2000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4</v>
      </c>
      <c r="L10" t="s">
        <v>128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15</v>
      </c>
      <c r="U10">
        <f>AVERAGE(EnemyGameData[[#This Row],[GoldDropMin]],EnemyGameData[[#This Row],[GoldDropMax]])</f>
        <v>25</v>
      </c>
    </row>
    <row r="11" spans="2:21" x14ac:dyDescent="0.3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1.8</v>
      </c>
      <c r="L11" t="s">
        <v>231</v>
      </c>
      <c r="M11">
        <v>2</v>
      </c>
      <c r="N11">
        <v>607</v>
      </c>
      <c r="O11">
        <v>0</v>
      </c>
      <c r="P11">
        <v>0</v>
      </c>
      <c r="Q11">
        <v>4</v>
      </c>
      <c r="R11">
        <v>501</v>
      </c>
      <c r="S11" t="s">
        <v>394</v>
      </c>
      <c r="T11">
        <v>0.8</v>
      </c>
      <c r="U11">
        <f>AVERAGE(EnemyGameData[[#This Row],[GoldDropMin]],EnemyGameData[[#This Row],[GoldDropMax]])</f>
        <v>2</v>
      </c>
    </row>
    <row r="12" spans="2:21" x14ac:dyDescent="0.3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1.5</v>
      </c>
      <c r="L12" t="s">
        <v>231</v>
      </c>
      <c r="M12">
        <v>2</v>
      </c>
      <c r="N12">
        <v>650</v>
      </c>
      <c r="O12">
        <v>0</v>
      </c>
      <c r="P12">
        <v>4</v>
      </c>
      <c r="Q12">
        <v>6</v>
      </c>
      <c r="R12">
        <v>501</v>
      </c>
      <c r="S12" t="s">
        <v>394</v>
      </c>
      <c r="T12">
        <v>1.4</v>
      </c>
      <c r="U12">
        <v>7</v>
      </c>
    </row>
    <row r="13" spans="2:21" x14ac:dyDescent="0.3">
      <c r="B13" s="43">
        <v>551</v>
      </c>
      <c r="C13" s="44" t="s">
        <v>473</v>
      </c>
      <c r="D13" s="44" t="s">
        <v>453</v>
      </c>
      <c r="E13" s="43">
        <f>표14[적 기준 체력]*EnemyGameData[[#This Row],['#기준 적 체력 비율]]</f>
        <v>160</v>
      </c>
      <c r="F13" s="43">
        <v>10</v>
      </c>
      <c r="G13" s="43" t="s">
        <v>125</v>
      </c>
      <c r="H13" s="43">
        <v>0.1</v>
      </c>
      <c r="I13" s="43">
        <v>1.2</v>
      </c>
      <c r="J13" s="43">
        <v>3</v>
      </c>
      <c r="K13" s="43">
        <v>1.5</v>
      </c>
      <c r="L13" s="43" t="s">
        <v>128</v>
      </c>
      <c r="M13" s="43">
        <v>3.5</v>
      </c>
      <c r="N13" s="43">
        <v>651</v>
      </c>
      <c r="O13" s="43">
        <v>0</v>
      </c>
      <c r="P13" s="43">
        <v>3</v>
      </c>
      <c r="Q13" s="43">
        <v>5</v>
      </c>
      <c r="R13" s="43">
        <v>501</v>
      </c>
      <c r="S13" s="43" t="s">
        <v>394</v>
      </c>
      <c r="T13" s="43">
        <v>1.6</v>
      </c>
      <c r="U13" s="43">
        <v>7</v>
      </c>
    </row>
    <row r="14" spans="2:21" x14ac:dyDescent="0.3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2</v>
      </c>
      <c r="L14" t="s">
        <v>128</v>
      </c>
      <c r="M14">
        <v>6</v>
      </c>
      <c r="N14">
        <v>652</v>
      </c>
      <c r="O14">
        <v>0</v>
      </c>
      <c r="P14">
        <v>4</v>
      </c>
      <c r="Q14">
        <v>6</v>
      </c>
      <c r="R14">
        <v>501</v>
      </c>
      <c r="S14" t="s">
        <v>394</v>
      </c>
      <c r="T14">
        <v>1.4</v>
      </c>
      <c r="U14">
        <v>7</v>
      </c>
    </row>
    <row r="15" spans="2:21" x14ac:dyDescent="0.3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1.5</v>
      </c>
      <c r="L15" t="s">
        <v>128</v>
      </c>
      <c r="M15">
        <v>3.5</v>
      </c>
      <c r="N15">
        <v>604</v>
      </c>
      <c r="O15">
        <v>0</v>
      </c>
      <c r="P15">
        <v>4</v>
      </c>
      <c r="Q15">
        <v>6</v>
      </c>
      <c r="R15">
        <v>501</v>
      </c>
      <c r="S15" t="s">
        <v>394</v>
      </c>
      <c r="T15">
        <v>1.6</v>
      </c>
      <c r="U15">
        <f>AVERAGE(EnemyGameData[[#This Row],[GoldDropMin]],EnemyGameData[[#This Row],[GoldDropMax]])</f>
        <v>5</v>
      </c>
    </row>
    <row r="16" spans="2:21" s="30" customFormat="1" x14ac:dyDescent="0.3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 s="30">
        <v>0</v>
      </c>
      <c r="L16" s="30" t="s">
        <v>76</v>
      </c>
      <c r="M16" s="30">
        <v>1</v>
      </c>
      <c r="N16" s="30">
        <v>0</v>
      </c>
      <c r="O16" s="30">
        <v>0</v>
      </c>
      <c r="P16" s="30">
        <v>0</v>
      </c>
      <c r="Q16" s="30">
        <v>0</v>
      </c>
      <c r="R16" s="30">
        <v>501</v>
      </c>
      <c r="S16" s="30" t="s">
        <v>400</v>
      </c>
      <c r="T16" s="30">
        <v>0.2</v>
      </c>
      <c r="U16" s="30">
        <f>AVERAGE(EnemyGameData[[#This Row],[GoldDropMin]],EnemyGameData[[#This Row],[GoldDropMax]])</f>
        <v>0</v>
      </c>
    </row>
    <row r="20" spans="18:18" x14ac:dyDescent="0.3">
      <c r="R20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4" zoomScaleNormal="75" zoomScaleSheetLayoutView="100" workbookViewId="0">
      <selection activeCell="F57" sqref="F57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 x14ac:dyDescent="0.3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507</v>
      </c>
    </row>
    <row r="3" spans="2:9" x14ac:dyDescent="0.3">
      <c r="B3">
        <v>600</v>
      </c>
      <c r="C3" s="25" t="s">
        <v>497</v>
      </c>
      <c r="D3">
        <v>700</v>
      </c>
      <c r="E3" t="s">
        <v>164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5" t="s">
        <v>502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5" t="s">
        <v>503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5" t="s">
        <v>498</v>
      </c>
      <c r="D23">
        <v>725</v>
      </c>
      <c r="E23" t="s">
        <v>164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7" t="s">
        <v>534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 x14ac:dyDescent="0.3">
      <c r="B27">
        <v>651</v>
      </c>
      <c r="C27" s="27" t="s">
        <v>534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 x14ac:dyDescent="0.3">
      <c r="B28">
        <v>651</v>
      </c>
      <c r="C28" s="27" t="s">
        <v>534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 x14ac:dyDescent="0.3">
      <c r="B29">
        <v>651</v>
      </c>
      <c r="C29" s="27" t="s">
        <v>534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 x14ac:dyDescent="0.3">
      <c r="B30">
        <v>651</v>
      </c>
      <c r="C30" s="27" t="s">
        <v>534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 x14ac:dyDescent="0.3">
      <c r="B31">
        <v>651</v>
      </c>
      <c r="C31" s="27" t="s">
        <v>534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 x14ac:dyDescent="0.3">
      <c r="B32">
        <v>651</v>
      </c>
      <c r="C32" s="27" t="s">
        <v>534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 x14ac:dyDescent="0.3">
      <c r="B33">
        <v>651</v>
      </c>
      <c r="C33" s="27" t="s">
        <v>534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 x14ac:dyDescent="0.3">
      <c r="B34">
        <v>651</v>
      </c>
      <c r="C34" s="27" t="s">
        <v>534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 x14ac:dyDescent="0.3">
      <c r="B35">
        <v>651</v>
      </c>
      <c r="C35" s="27" t="s">
        <v>534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 x14ac:dyDescent="0.3">
      <c r="B36">
        <v>651</v>
      </c>
      <c r="C36" s="27" t="s">
        <v>534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 x14ac:dyDescent="0.3">
      <c r="B37">
        <v>651</v>
      </c>
      <c r="C37" s="27" t="s">
        <v>534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 x14ac:dyDescent="0.3">
      <c r="B38">
        <v>651</v>
      </c>
      <c r="C38" s="27" t="s">
        <v>534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 x14ac:dyDescent="0.3">
      <c r="B39">
        <v>651</v>
      </c>
      <c r="C39" s="27" t="s">
        <v>534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 x14ac:dyDescent="0.3">
      <c r="B40">
        <v>651</v>
      </c>
      <c r="C40" s="27" t="s">
        <v>534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 x14ac:dyDescent="0.3">
      <c r="B41">
        <v>651</v>
      </c>
      <c r="C41" s="27" t="s">
        <v>534</v>
      </c>
      <c r="D41">
        <v>717</v>
      </c>
      <c r="E41" t="s">
        <v>156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 x14ac:dyDescent="0.3">
      <c r="B42">
        <v>652</v>
      </c>
      <c r="C42" s="27" t="s">
        <v>504</v>
      </c>
      <c r="D42">
        <v>726</v>
      </c>
      <c r="E42" t="s">
        <v>156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7" t="s">
        <v>505</v>
      </c>
      <c r="D43">
        <v>726</v>
      </c>
      <c r="E43" t="s">
        <v>156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7" t="s">
        <v>506</v>
      </c>
      <c r="D44">
        <v>726</v>
      </c>
      <c r="E44" t="s">
        <v>156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42" t="s">
        <v>486</v>
      </c>
      <c r="D45">
        <v>700</v>
      </c>
      <c r="E45" t="s">
        <v>156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 x14ac:dyDescent="0.3">
      <c r="B46">
        <v>9991</v>
      </c>
      <c r="C46" s="27" t="s">
        <v>486</v>
      </c>
      <c r="D46">
        <v>701</v>
      </c>
      <c r="E46" t="s">
        <v>156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 x14ac:dyDescent="0.3">
      <c r="B47">
        <v>9991</v>
      </c>
      <c r="C47" s="27" t="s">
        <v>486</v>
      </c>
      <c r="D47">
        <v>700</v>
      </c>
      <c r="E47" t="s">
        <v>156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 x14ac:dyDescent="0.3">
      <c r="B48">
        <v>9991</v>
      </c>
      <c r="C48" s="27" t="s">
        <v>486</v>
      </c>
      <c r="D48">
        <v>701</v>
      </c>
      <c r="E48" t="s">
        <v>156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 x14ac:dyDescent="0.3">
      <c r="B49">
        <v>9991</v>
      </c>
      <c r="C49" s="27" t="s">
        <v>486</v>
      </c>
      <c r="D49">
        <v>700</v>
      </c>
      <c r="E49" t="s">
        <v>156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 x14ac:dyDescent="0.3">
      <c r="B50">
        <v>9991</v>
      </c>
      <c r="C50" s="27" t="s">
        <v>486</v>
      </c>
      <c r="D50">
        <v>701</v>
      </c>
      <c r="E50" t="s">
        <v>156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 x14ac:dyDescent="0.3">
      <c r="B51">
        <v>9991</v>
      </c>
      <c r="C51" s="27" t="s">
        <v>486</v>
      </c>
      <c r="D51">
        <v>700</v>
      </c>
      <c r="E51" t="s">
        <v>156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 x14ac:dyDescent="0.3">
      <c r="B52">
        <v>9991</v>
      </c>
      <c r="C52" s="27" t="s">
        <v>486</v>
      </c>
      <c r="D52">
        <v>701</v>
      </c>
      <c r="E52" t="s">
        <v>156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 x14ac:dyDescent="0.3">
      <c r="B53">
        <v>9991</v>
      </c>
      <c r="C53" s="27" t="s">
        <v>486</v>
      </c>
      <c r="D53">
        <v>700</v>
      </c>
      <c r="E53" t="s">
        <v>156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 x14ac:dyDescent="0.3">
      <c r="B54">
        <v>9991</v>
      </c>
      <c r="C54" s="27" t="s">
        <v>486</v>
      </c>
      <c r="D54">
        <v>701</v>
      </c>
      <c r="E54" t="s">
        <v>156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 x14ac:dyDescent="0.3">
      <c r="B55">
        <v>9991</v>
      </c>
      <c r="C55" s="27" t="s">
        <v>486</v>
      </c>
      <c r="D55">
        <v>700</v>
      </c>
      <c r="E55" t="s">
        <v>156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 x14ac:dyDescent="0.3">
      <c r="B56" s="26">
        <v>9991</v>
      </c>
      <c r="C56" s="27" t="s">
        <v>486</v>
      </c>
      <c r="D56">
        <v>727</v>
      </c>
      <c r="E56" t="s">
        <v>156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 x14ac:dyDescent="0.3">
      <c r="B57">
        <v>9992</v>
      </c>
      <c r="C57" s="27" t="s">
        <v>487</v>
      </c>
      <c r="D57">
        <v>725</v>
      </c>
      <c r="E57" s="26" t="s">
        <v>484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 x14ac:dyDescent="0.3">
      <c r="B58">
        <v>9992</v>
      </c>
      <c r="C58" s="27" t="s">
        <v>487</v>
      </c>
      <c r="D58">
        <v>725</v>
      </c>
      <c r="E58" s="26" t="s">
        <v>484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 x14ac:dyDescent="0.3">
      <c r="B59">
        <v>9993</v>
      </c>
      <c r="C59" s="27" t="s">
        <v>488</v>
      </c>
      <c r="D59">
        <v>999</v>
      </c>
      <c r="E59" s="26" t="s">
        <v>485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 x14ac:dyDescent="0.3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727</v>
      </c>
      <c r="C73" s="24" t="s">
        <v>553</v>
      </c>
      <c r="D73">
        <v>0</v>
      </c>
      <c r="E73">
        <v>401</v>
      </c>
      <c r="F73">
        <v>0</v>
      </c>
      <c r="G73">
        <v>6.5</v>
      </c>
    </row>
    <row r="74" spans="2:7" x14ac:dyDescent="0.3">
      <c r="B74">
        <v>727</v>
      </c>
      <c r="C74" s="24" t="s">
        <v>553</v>
      </c>
      <c r="D74">
        <v>90</v>
      </c>
      <c r="E74">
        <v>401</v>
      </c>
      <c r="F74">
        <v>0</v>
      </c>
      <c r="G74">
        <v>6.5</v>
      </c>
    </row>
    <row r="75" spans="2:7" x14ac:dyDescent="0.3">
      <c r="B75">
        <v>727</v>
      </c>
      <c r="C75" s="24" t="s">
        <v>552</v>
      </c>
      <c r="D75">
        <v>180</v>
      </c>
      <c r="E75">
        <v>401</v>
      </c>
      <c r="F75">
        <v>0</v>
      </c>
      <c r="G75">
        <v>6.5</v>
      </c>
    </row>
    <row r="76" spans="2:7" x14ac:dyDescent="0.3">
      <c r="B76">
        <v>727</v>
      </c>
      <c r="C76" s="24" t="s">
        <v>552</v>
      </c>
      <c r="D76">
        <v>-90</v>
      </c>
      <c r="E76">
        <v>401</v>
      </c>
      <c r="F76">
        <v>0</v>
      </c>
      <c r="G76">
        <v>6.5</v>
      </c>
    </row>
    <row r="77" spans="2:7" x14ac:dyDescent="0.3">
      <c r="B77">
        <v>727</v>
      </c>
      <c r="C77" s="24" t="s">
        <v>552</v>
      </c>
      <c r="D77">
        <v>45</v>
      </c>
      <c r="E77">
        <v>401</v>
      </c>
      <c r="F77">
        <v>0</v>
      </c>
      <c r="G77">
        <v>6.5</v>
      </c>
    </row>
    <row r="78" spans="2:7" x14ac:dyDescent="0.3">
      <c r="B78">
        <v>727</v>
      </c>
      <c r="C78" s="24" t="s">
        <v>552</v>
      </c>
      <c r="D78">
        <v>-45</v>
      </c>
      <c r="E78">
        <v>401</v>
      </c>
      <c r="F78">
        <v>0</v>
      </c>
      <c r="G78">
        <v>6.5</v>
      </c>
    </row>
    <row r="79" spans="2:7" x14ac:dyDescent="0.3">
      <c r="B79">
        <v>727</v>
      </c>
      <c r="C79" s="24" t="s">
        <v>552</v>
      </c>
      <c r="D79">
        <v>135</v>
      </c>
      <c r="E79">
        <v>401</v>
      </c>
      <c r="F79">
        <v>0</v>
      </c>
      <c r="G79">
        <v>6.5</v>
      </c>
    </row>
    <row r="80" spans="2:7" x14ac:dyDescent="0.3">
      <c r="B80">
        <v>727</v>
      </c>
      <c r="C80" s="24" t="s">
        <v>552</v>
      </c>
      <c r="D80">
        <v>-135</v>
      </c>
      <c r="E80">
        <v>401</v>
      </c>
      <c r="F80">
        <v>0</v>
      </c>
      <c r="G80">
        <v>6.5</v>
      </c>
    </row>
    <row r="81" spans="2:7" x14ac:dyDescent="0.3">
      <c r="B81">
        <v>727</v>
      </c>
      <c r="C81" s="24" t="s">
        <v>553</v>
      </c>
      <c r="D81">
        <v>22.5</v>
      </c>
      <c r="E81">
        <v>401</v>
      </c>
      <c r="F81">
        <v>0</v>
      </c>
      <c r="G81">
        <v>6.5</v>
      </c>
    </row>
    <row r="82" spans="2:7" x14ac:dyDescent="0.3">
      <c r="B82">
        <v>727</v>
      </c>
      <c r="C82" s="24" t="s">
        <v>553</v>
      </c>
      <c r="D82">
        <v>112.5</v>
      </c>
      <c r="E82">
        <v>401</v>
      </c>
      <c r="F82">
        <v>0</v>
      </c>
      <c r="G82">
        <v>6.5</v>
      </c>
    </row>
    <row r="83" spans="2:7" x14ac:dyDescent="0.3">
      <c r="B83">
        <v>727</v>
      </c>
      <c r="C83" s="24" t="s">
        <v>552</v>
      </c>
      <c r="D83">
        <v>202.5</v>
      </c>
      <c r="E83">
        <v>401</v>
      </c>
      <c r="F83">
        <v>0</v>
      </c>
      <c r="G83">
        <v>6.5</v>
      </c>
    </row>
    <row r="84" spans="2:7" x14ac:dyDescent="0.3">
      <c r="B84">
        <v>727</v>
      </c>
      <c r="C84" s="24" t="s">
        <v>552</v>
      </c>
      <c r="D84">
        <v>-67.5</v>
      </c>
      <c r="E84">
        <v>401</v>
      </c>
      <c r="F84">
        <v>0</v>
      </c>
      <c r="G84">
        <v>6.5</v>
      </c>
    </row>
    <row r="85" spans="2:7" x14ac:dyDescent="0.3">
      <c r="B85">
        <v>727</v>
      </c>
      <c r="C85" s="24" t="s">
        <v>552</v>
      </c>
      <c r="D85">
        <v>67.5</v>
      </c>
      <c r="E85">
        <v>401</v>
      </c>
      <c r="F85">
        <v>0</v>
      </c>
      <c r="G85">
        <v>6.5</v>
      </c>
    </row>
    <row r="86" spans="2:7" x14ac:dyDescent="0.3">
      <c r="B86">
        <v>727</v>
      </c>
      <c r="C86" s="24" t="s">
        <v>552</v>
      </c>
      <c r="D86">
        <v>-22.5</v>
      </c>
      <c r="E86">
        <v>401</v>
      </c>
      <c r="F86">
        <v>0</v>
      </c>
      <c r="G86">
        <v>6.5</v>
      </c>
    </row>
    <row r="87" spans="2:7" x14ac:dyDescent="0.3">
      <c r="B87">
        <v>727</v>
      </c>
      <c r="C87" s="24" t="s">
        <v>552</v>
      </c>
      <c r="D87">
        <v>157.5</v>
      </c>
      <c r="E87">
        <v>401</v>
      </c>
      <c r="F87">
        <v>0</v>
      </c>
      <c r="G87">
        <v>6.5</v>
      </c>
    </row>
    <row r="88" spans="2:7" x14ac:dyDescent="0.3">
      <c r="B88">
        <v>727</v>
      </c>
      <c r="C88" s="24" t="s">
        <v>552</v>
      </c>
      <c r="D88">
        <v>-112.5</v>
      </c>
      <c r="E88">
        <v>401</v>
      </c>
      <c r="F88">
        <v>0</v>
      </c>
      <c r="G88">
        <v>6.5</v>
      </c>
    </row>
    <row r="89" spans="2:7" x14ac:dyDescent="0.3">
      <c r="B89">
        <v>999</v>
      </c>
      <c r="C89" s="28" t="s">
        <v>489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 x14ac:dyDescent="0.3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 x14ac:dyDescent="0.3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 x14ac:dyDescent="0.3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 x14ac:dyDescent="0.3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C23" sqref="C23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535</v>
      </c>
      <c r="Q2" s="34" t="s">
        <v>522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539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538</v>
      </c>
      <c r="M12" s="21" t="s">
        <v>529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541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530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540</v>
      </c>
      <c r="Q14" s="20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533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532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536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521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537</v>
      </c>
      <c r="Q22" s="20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542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 x14ac:dyDescent="0.3">
      <c r="I26" s="19"/>
    </row>
    <row r="27" spans="2:17" x14ac:dyDescent="0.3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zoomScaleNormal="75" zoomScaleSheetLayoutView="100" workbookViewId="0">
      <selection activeCell="I20" sqref="I20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20.000000000000004</v>
      </c>
      <c r="R3" s="5">
        <f t="array" ref="R3">SUM(IF($E$3:$E$56=E3,$Q$3:$Q$56))</f>
        <v>20.000000000000004</v>
      </c>
      <c r="S3" s="5">
        <f>INDEX(표9[],MATCH(ItemEffectTable[[#This Row],['#Grade]],표9[#Headers],0))-ItemEffectTable[[#This Row],['#총 효력가치]]</f>
        <v>9.9999999999999964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529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527</v>
      </c>
      <c r="J10" s="19" t="s">
        <v>528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523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531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531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531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-13.333333333333332</v>
      </c>
      <c r="R19" s="5">
        <f t="array" ref="R19">SUM(IF($E$3:$E$56=E19,$Q$3:$Q$56))</f>
        <v>40.666666666666671</v>
      </c>
      <c r="S19" s="5">
        <f>INDEX(표9[],MATCH(ItemEffectTable[[#This Row],['#Grade]],표9[#Headers],0))-ItemEffectTable[[#This Row],['#총 효력가치]]</f>
        <v>9.3333333333333286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40.666666666666671</v>
      </c>
      <c r="S20" s="5">
        <f>INDEX(표9[],MATCH(ItemEffectTable[[#This Row],['#Grade]],표9[#Headers],0))-ItemEffectTable[[#This Row],['#총 효력가치]]</f>
        <v>9.3333333333333286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520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310</v>
      </c>
      <c r="C2" t="s">
        <v>308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2023-06-12T13:42:09Z</dcterms:modified>
  <cp:version>1200.0100.01</cp:version>
</cp:coreProperties>
</file>