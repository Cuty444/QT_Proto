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8570B2F7-1BC4-44C2-A1D9-F57C5312C808}" xr6:coauthVersionLast="47" xr6:coauthVersionMax="47" xr10:uidLastSave="{00000000-0000-0000-0000-000000000000}"/>
  <bookViews>
    <workbookView xWindow="-28920" yWindow="-195" windowWidth="29040" windowHeight="15840" firstSheet="6" activeTab="10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9" i="11" l="1"/>
  <c r="D170" i="11"/>
  <c r="D171" i="11"/>
  <c r="D172" i="11"/>
  <c r="D173" i="11"/>
  <c r="D181" i="11" s="1"/>
  <c r="D174" i="11"/>
  <c r="D182" i="11" s="1"/>
  <c r="D175" i="11"/>
  <c r="D183" i="11" s="1"/>
  <c r="D176" i="11"/>
  <c r="D184" i="11" s="1"/>
  <c r="D177" i="11"/>
  <c r="D178" i="11"/>
  <c r="D179" i="11"/>
  <c r="D180" i="11"/>
  <c r="D162" i="11"/>
  <c r="D163" i="11"/>
  <c r="D164" i="11"/>
  <c r="D165" i="11"/>
  <c r="D166" i="11"/>
  <c r="D167" i="11"/>
  <c r="D168" i="11"/>
  <c r="D161" i="11"/>
  <c r="D154" i="11"/>
  <c r="D155" i="11"/>
  <c r="D156" i="11"/>
  <c r="D157" i="11"/>
  <c r="D158" i="11"/>
  <c r="D159" i="11"/>
  <c r="D160" i="11"/>
  <c r="D153" i="11"/>
  <c r="D146" i="11"/>
  <c r="D147" i="11"/>
  <c r="D148" i="11"/>
  <c r="D149" i="11"/>
  <c r="D150" i="11"/>
  <c r="D151" i="11"/>
  <c r="D152" i="11"/>
  <c r="D145" i="11"/>
  <c r="D138" i="11"/>
  <c r="D139" i="11"/>
  <c r="D140" i="11"/>
  <c r="D141" i="11"/>
  <c r="D142" i="11"/>
  <c r="D143" i="11"/>
  <c r="D144" i="11"/>
  <c r="D137" i="11"/>
  <c r="D130" i="11"/>
  <c r="D131" i="11"/>
  <c r="D132" i="11"/>
  <c r="D133" i="11"/>
  <c r="D134" i="11"/>
  <c r="D135" i="11"/>
  <c r="D136" i="11"/>
  <c r="D129" i="11"/>
  <c r="D122" i="11"/>
  <c r="D123" i="11"/>
  <c r="D124" i="11"/>
  <c r="D125" i="11"/>
  <c r="D126" i="11"/>
  <c r="D127" i="11"/>
  <c r="D128" i="11"/>
  <c r="D121" i="11"/>
  <c r="D114" i="11"/>
  <c r="D115" i="11"/>
  <c r="D116" i="11"/>
  <c r="D117" i="11"/>
  <c r="D118" i="11"/>
  <c r="D119" i="11"/>
  <c r="D120" i="11"/>
  <c r="D113" i="11"/>
  <c r="D106" i="11"/>
  <c r="D107" i="11"/>
  <c r="D108" i="11"/>
  <c r="D109" i="11"/>
  <c r="D110" i="11"/>
  <c r="D111" i="11"/>
  <c r="D112" i="11"/>
  <c r="D105" i="11"/>
  <c r="C112" i="11"/>
  <c r="B112" i="11"/>
  <c r="B120" i="11" s="1"/>
  <c r="B111" i="11"/>
  <c r="B119" i="11" s="1"/>
  <c r="C110" i="1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16" i="16"/>
  <c r="B16" i="16" s="1"/>
  <c r="I19" i="16"/>
  <c r="B19" i="16" s="1"/>
  <c r="I20" i="16"/>
  <c r="B20" i="16" s="1"/>
  <c r="I21" i="16"/>
  <c r="B21" i="16" s="1"/>
  <c r="I22" i="16"/>
  <c r="B22" i="16" s="1"/>
  <c r="I23" i="16"/>
  <c r="B23" i="16" s="1"/>
  <c r="I24" i="16"/>
  <c r="B24" i="16" s="1"/>
  <c r="I25" i="16"/>
  <c r="B25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17" i="16"/>
  <c r="B17" i="16" s="1"/>
  <c r="I18" i="16"/>
  <c r="B18" i="16" s="1"/>
  <c r="I60" i="16"/>
  <c r="B60" i="16" s="1"/>
  <c r="I59" i="16"/>
  <c r="B59" i="16" s="1"/>
  <c r="I51" i="16"/>
  <c r="B51" i="16" s="1"/>
  <c r="I52" i="16"/>
  <c r="B52" i="16" s="1"/>
  <c r="I53" i="16"/>
  <c r="B53" i="16" s="1"/>
  <c r="I54" i="16"/>
  <c r="B54" i="16" s="1"/>
  <c r="I55" i="16"/>
  <c r="B55" i="16" s="1"/>
  <c r="I56" i="16"/>
  <c r="B56" i="16" s="1"/>
  <c r="I57" i="16"/>
  <c r="B57" i="16" s="1"/>
  <c r="I58" i="16"/>
  <c r="B58" i="16" s="1"/>
  <c r="I49" i="16"/>
  <c r="B49" i="16" s="1"/>
  <c r="I50" i="16"/>
  <c r="B50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1" i="19" s="1"/>
  <c r="O21" i="19" s="1"/>
  <c r="L25" i="14"/>
  <c r="R25" i="14" s="1"/>
  <c r="M22" i="19" s="1"/>
  <c r="O22" i="19" s="1"/>
  <c r="L26" i="14"/>
  <c r="L27" i="14"/>
  <c r="L28" i="14"/>
  <c r="O28" i="14" s="1"/>
  <c r="L29" i="14"/>
  <c r="L30" i="14"/>
  <c r="L31" i="14"/>
  <c r="L32" i="14"/>
  <c r="T3" i="19" a="1"/>
  <c r="T3" i="19" s="1"/>
  <c r="T4" i="19" a="1"/>
  <c r="T4" i="19" s="1"/>
  <c r="T5" i="19" a="1"/>
  <c r="T5" i="19" s="1"/>
  <c r="T6" i="19" a="1"/>
  <c r="T6" i="19" s="1"/>
  <c r="T7" i="19" a="1"/>
  <c r="T7" i="19" s="1"/>
  <c r="T8" i="19" a="1"/>
  <c r="T8" i="19" s="1"/>
  <c r="T9" i="19" a="1"/>
  <c r="T9" i="19" s="1"/>
  <c r="T10" i="19" a="1"/>
  <c r="T10" i="19" s="1"/>
  <c r="T11" i="19" a="1"/>
  <c r="T11" i="19" s="1"/>
  <c r="T12" i="19" a="1"/>
  <c r="T12" i="19" s="1"/>
  <c r="T13" i="19" a="1"/>
  <c r="T13" i="19" s="1"/>
  <c r="T14" i="19" a="1"/>
  <c r="T14" i="19" s="1"/>
  <c r="T15" i="19" a="1"/>
  <c r="T15" i="19" s="1"/>
  <c r="T16" i="19" a="1"/>
  <c r="T16" i="19" s="1"/>
  <c r="T17" i="19" a="1"/>
  <c r="T17" i="19" s="1"/>
  <c r="T18" i="19" a="1"/>
  <c r="T18" i="19" s="1"/>
  <c r="T19" i="19" a="1"/>
  <c r="T19" i="19" s="1"/>
  <c r="T20" i="19" a="1"/>
  <c r="T20" i="19" s="1"/>
  <c r="T21" i="19" a="1"/>
  <c r="T21" i="19" s="1"/>
  <c r="T22" i="19" a="1"/>
  <c r="T22" i="19" s="1"/>
  <c r="T23" i="19" a="1"/>
  <c r="T23" i="19" s="1"/>
  <c r="T24" i="19" a="1"/>
  <c r="T24" i="19" s="1"/>
  <c r="T25" i="19" a="1"/>
  <c r="T25" i="19" s="1"/>
  <c r="T26" i="19" a="1"/>
  <c r="T26" i="19" s="1"/>
  <c r="T27" i="19" a="1"/>
  <c r="T27" i="19" s="1"/>
  <c r="T28" i="19" a="1"/>
  <c r="T28" i="19" s="1"/>
  <c r="T29" i="19" a="1"/>
  <c r="T29" i="19" s="1"/>
  <c r="T30" i="19" a="1"/>
  <c r="T30" i="19" s="1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L21" i="19" s="1"/>
  <c r="I22" i="19" a="1"/>
  <c r="I22" i="19" s="1"/>
  <c r="J22" i="19" s="1" a="1"/>
  <c r="J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L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E20" i="3"/>
  <c r="E23" i="3"/>
  <c r="E28" i="3"/>
  <c r="E29" i="3"/>
  <c r="E30" i="3"/>
  <c r="E31" i="3"/>
  <c r="E32" i="3"/>
  <c r="I48" i="16"/>
  <c r="B48" i="16" s="1"/>
  <c r="I47" i="16"/>
  <c r="B47" i="16" s="1"/>
  <c r="I61" i="16"/>
  <c r="B61" i="16" s="1"/>
  <c r="I62" i="16"/>
  <c r="B62" i="16" s="1"/>
  <c r="I32" i="16"/>
  <c r="B32" i="16" s="1"/>
  <c r="I34" i="16"/>
  <c r="B34" i="16" s="1"/>
  <c r="I35" i="16"/>
  <c r="B35" i="16" s="1"/>
  <c r="I36" i="16"/>
  <c r="B36" i="16" s="1"/>
  <c r="I37" i="16"/>
  <c r="B37" i="16" s="1"/>
  <c r="I38" i="16"/>
  <c r="B38" i="16" s="1"/>
  <c r="I33" i="16"/>
  <c r="B33" i="16" s="1"/>
  <c r="K20" i="2"/>
  <c r="L20" i="2" s="1"/>
  <c r="Q20" i="2" s="1"/>
  <c r="O22" i="2"/>
  <c r="P22" i="2" s="1"/>
  <c r="Q22" i="2" s="1"/>
  <c r="N21" i="2"/>
  <c r="Q21" i="2"/>
  <c r="P20" i="2"/>
  <c r="P21" i="2"/>
  <c r="O20" i="2"/>
  <c r="O21" i="2"/>
  <c r="N20" i="2"/>
  <c r="N22" i="2"/>
  <c r="M20" i="2"/>
  <c r="M21" i="2"/>
  <c r="M22" i="2"/>
  <c r="K21" i="2"/>
  <c r="L21" i="2" s="1"/>
  <c r="K22" i="2"/>
  <c r="L22" i="2" s="1"/>
  <c r="K13" i="2"/>
  <c r="K14" i="2"/>
  <c r="K15" i="2"/>
  <c r="C106" i="11" l="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0" i="19"/>
  <c r="O26" i="14"/>
  <c r="O14" i="14"/>
  <c r="Q10" i="14"/>
  <c r="K10" i="19" a="1"/>
  <c r="K10" i="19" s="1"/>
  <c r="L10" i="19" s="1"/>
  <c r="P21" i="19"/>
  <c r="P11" i="19"/>
  <c r="R22" i="14"/>
  <c r="M20" i="19" s="1"/>
  <c r="O20" i="19" s="1"/>
  <c r="R8" i="14"/>
  <c r="M8" i="19" s="1"/>
  <c r="O8" i="19" s="1"/>
  <c r="R20" i="14"/>
  <c r="M19" i="19" s="1"/>
  <c r="O19" i="19" s="1"/>
  <c r="R18" i="14"/>
  <c r="M17" i="19" s="1"/>
  <c r="O17" i="19" s="1"/>
  <c r="M23" i="19"/>
  <c r="O23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8" i="19"/>
  <c r="L16" i="19"/>
  <c r="L17" i="19"/>
  <c r="L27" i="19"/>
  <c r="L14" i="19"/>
  <c r="L23" i="19"/>
  <c r="L22" i="19"/>
  <c r="P22" i="19" s="1"/>
  <c r="L9" i="19"/>
  <c r="L6" i="19"/>
  <c r="L19" i="19"/>
  <c r="L5" i="19"/>
  <c r="L18" i="19"/>
  <c r="L4" i="19"/>
  <c r="L15" i="19"/>
  <c r="L12" i="19"/>
  <c r="P12" i="19" s="1"/>
  <c r="L13" i="3"/>
  <c r="I19" i="3" s="1" a="1"/>
  <c r="I19" i="3" s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6" i="13"/>
  <c r="J27" i="13"/>
  <c r="J28" i="13"/>
  <c r="J29" i="13"/>
  <c r="J30" i="13"/>
  <c r="J31" i="13"/>
  <c r="J32" i="13"/>
  <c r="J33" i="13"/>
  <c r="J3" i="13"/>
  <c r="I4" i="13"/>
  <c r="I5" i="13"/>
  <c r="I6" i="13"/>
  <c r="I7" i="13"/>
  <c r="I26" i="13"/>
  <c r="I27" i="13"/>
  <c r="I28" i="13"/>
  <c r="I29" i="13"/>
  <c r="I30" i="13"/>
  <c r="I31" i="13"/>
  <c r="I32" i="13"/>
  <c r="I33" i="13"/>
  <c r="I3" i="13"/>
  <c r="H4" i="13"/>
  <c r="H5" i="13"/>
  <c r="H6" i="13"/>
  <c r="H7" i="13"/>
  <c r="H26" i="13"/>
  <c r="H27" i="13"/>
  <c r="H28" i="13"/>
  <c r="H29" i="13"/>
  <c r="H30" i="13"/>
  <c r="H31" i="13"/>
  <c r="H32" i="13"/>
  <c r="H33" i="13"/>
  <c r="H3" i="13"/>
  <c r="G4" i="13"/>
  <c r="G5" i="13"/>
  <c r="G6" i="13"/>
  <c r="G7" i="13"/>
  <c r="G26" i="13"/>
  <c r="G27" i="13"/>
  <c r="G28" i="13"/>
  <c r="G29" i="13"/>
  <c r="G30" i="13"/>
  <c r="G31" i="13"/>
  <c r="G32" i="13"/>
  <c r="G33" i="13"/>
  <c r="G3" i="13"/>
  <c r="R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8" i="13"/>
  <c r="R29" i="13"/>
  <c r="R30" i="13"/>
  <c r="R31" i="13"/>
  <c r="R32" i="13"/>
  <c r="R33" i="13"/>
  <c r="I3" i="16"/>
  <c r="B3" i="16" s="1"/>
  <c r="I4" i="16"/>
  <c r="B4" i="16" s="1"/>
  <c r="I5" i="16"/>
  <c r="B5" i="16" s="1"/>
  <c r="I46" i="16"/>
  <c r="B46" i="16" s="1"/>
  <c r="I45" i="16"/>
  <c r="B45" i="16" s="1"/>
  <c r="I44" i="16"/>
  <c r="B44" i="16" s="1"/>
  <c r="I43" i="16"/>
  <c r="B43" i="16" s="1"/>
  <c r="I42" i="16"/>
  <c r="B42" i="16" s="1"/>
  <c r="I41" i="16"/>
  <c r="B41" i="16" s="1"/>
  <c r="I40" i="16"/>
  <c r="B40" i="16" s="1"/>
  <c r="I39" i="16"/>
  <c r="B39" i="16" s="1"/>
  <c r="I63" i="16"/>
  <c r="B63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O27" i="13" a="1"/>
  <c r="O27" i="13" s="1"/>
  <c r="M27" i="13" a="1"/>
  <c r="M27" i="13" s="1"/>
  <c r="O26" i="13" a="1"/>
  <c r="O26" i="13" s="1"/>
  <c r="M26" i="13" a="1"/>
  <c r="M26" i="13" s="1"/>
  <c r="M9" i="2"/>
  <c r="L9" i="2"/>
  <c r="F21" i="13" a="1"/>
  <c r="F21" i="13" s="1"/>
  <c r="F22" i="13" s="1" a="1"/>
  <c r="F22" i="13" s="1"/>
  <c r="F23" i="13" s="1" a="1"/>
  <c r="F23" i="13" s="1"/>
  <c r="F24" i="13" s="1" a="1"/>
  <c r="F24" i="13" s="1"/>
  <c r="F25" i="13" s="1" a="1"/>
  <c r="F25" i="13" s="1"/>
  <c r="J25" i="13" s="1"/>
  <c r="E5" i="9"/>
  <c r="K7" i="8"/>
  <c r="K8" i="8"/>
  <c r="K9" i="8"/>
  <c r="K10" i="8"/>
  <c r="K11" i="8"/>
  <c r="K3" i="8"/>
  <c r="K6" i="8"/>
  <c r="K5" i="8"/>
  <c r="K4" i="8"/>
  <c r="M20" i="13" a="1"/>
  <c r="M20" i="13" s="1"/>
  <c r="C123" i="11" l="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3" i="19"/>
  <c r="P6" i="19"/>
  <c r="P10" i="19"/>
  <c r="P17" i="19"/>
  <c r="P19" i="19"/>
  <c r="P4" i="19"/>
  <c r="P5" i="19"/>
  <c r="P18" i="19"/>
  <c r="M27" i="19"/>
  <c r="O27" i="19" s="1"/>
  <c r="P27" i="19" s="1"/>
  <c r="M28" i="19"/>
  <c r="O28" i="19" s="1"/>
  <c r="P28" i="19" s="1"/>
  <c r="M25" i="19"/>
  <c r="O25" i="19" s="1"/>
  <c r="P25" i="19" s="1"/>
  <c r="M24" i="19"/>
  <c r="O24" i="19" s="1"/>
  <c r="M26" i="19"/>
  <c r="O26" i="19" s="1"/>
  <c r="P26" i="19" s="1"/>
  <c r="M15" i="19"/>
  <c r="O15" i="19" s="1"/>
  <c r="P15" i="19" s="1"/>
  <c r="M14" i="19"/>
  <c r="O14" i="19" s="1"/>
  <c r="P14" i="19" s="1"/>
  <c r="R32" i="14"/>
  <c r="M30" i="19" s="1"/>
  <c r="O30" i="19" s="1"/>
  <c r="P30" i="19" s="1"/>
  <c r="R31" i="14"/>
  <c r="M29" i="19" s="1"/>
  <c r="O29" i="19" s="1"/>
  <c r="R17" i="14"/>
  <c r="M16" i="19" s="1"/>
  <c r="O16" i="19" s="1"/>
  <c r="P16" i="19" s="1"/>
  <c r="G25" i="13"/>
  <c r="G24" i="13"/>
  <c r="H25" i="13"/>
  <c r="C25" i="13" s="1"/>
  <c r="G23" i="13"/>
  <c r="H24" i="13"/>
  <c r="C24" i="13" s="1"/>
  <c r="I25" i="13"/>
  <c r="D25" i="13" s="1"/>
  <c r="G22" i="13"/>
  <c r="H23" i="13"/>
  <c r="C23" i="13" s="1"/>
  <c r="I24" i="13"/>
  <c r="D24" i="13" s="1"/>
  <c r="G21" i="13"/>
  <c r="H22" i="13"/>
  <c r="C22" i="13" s="1"/>
  <c r="I23" i="13"/>
  <c r="J24" i="13"/>
  <c r="E24" i="13" s="1"/>
  <c r="H21" i="13"/>
  <c r="C21" i="13" s="1"/>
  <c r="I22" i="13"/>
  <c r="D22" i="13" s="1"/>
  <c r="J23" i="13"/>
  <c r="I21" i="13"/>
  <c r="D21" i="13" s="1"/>
  <c r="J22" i="13"/>
  <c r="E22" i="13" s="1"/>
  <c r="J21" i="13"/>
  <c r="E21" i="13" s="1"/>
  <c r="B29" i="13"/>
  <c r="B27" i="13"/>
  <c r="B26" i="13"/>
  <c r="B28" i="13"/>
  <c r="B33" i="13"/>
  <c r="B25" i="13"/>
  <c r="B32" i="13"/>
  <c r="B24" i="13"/>
  <c r="B31" i="13"/>
  <c r="B23" i="13"/>
  <c r="B30" i="13"/>
  <c r="E7" i="13"/>
  <c r="E15" i="13"/>
  <c r="E23" i="13"/>
  <c r="E31" i="13"/>
  <c r="D32" i="13"/>
  <c r="C33" i="13"/>
  <c r="E8" i="13"/>
  <c r="E16" i="13"/>
  <c r="E32" i="13"/>
  <c r="D33" i="13"/>
  <c r="C26" i="13"/>
  <c r="B4" i="13"/>
  <c r="C30" i="13"/>
  <c r="E9" i="13"/>
  <c r="E17" i="13"/>
  <c r="E25" i="13"/>
  <c r="E33" i="13"/>
  <c r="D26" i="13"/>
  <c r="C3" i="13"/>
  <c r="C27" i="13"/>
  <c r="B5" i="13"/>
  <c r="E12" i="13"/>
  <c r="E20" i="13"/>
  <c r="E28" i="13"/>
  <c r="D5" i="13"/>
  <c r="C6" i="13"/>
  <c r="E10" i="13"/>
  <c r="E18" i="13"/>
  <c r="E26" i="13"/>
  <c r="D3" i="13"/>
  <c r="D27" i="13"/>
  <c r="C4" i="13"/>
  <c r="C28" i="13"/>
  <c r="B6" i="13"/>
  <c r="E3" i="13"/>
  <c r="E11" i="13"/>
  <c r="E19" i="13"/>
  <c r="E27" i="13"/>
  <c r="D4" i="13"/>
  <c r="D28" i="13"/>
  <c r="C5" i="13"/>
  <c r="C29" i="13"/>
  <c r="B7" i="13"/>
  <c r="E4" i="13"/>
  <c r="D29" i="13"/>
  <c r="E5" i="13"/>
  <c r="E13" i="13"/>
  <c r="E29" i="13"/>
  <c r="D6" i="13"/>
  <c r="D30" i="13"/>
  <c r="C7" i="13"/>
  <c r="C31" i="13"/>
  <c r="B3" i="13"/>
  <c r="E6" i="13"/>
  <c r="E14" i="13"/>
  <c r="E30" i="13"/>
  <c r="D7" i="13"/>
  <c r="D23" i="13"/>
  <c r="D31" i="13"/>
  <c r="C32" i="13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G14" i="2" s="1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1" i="9"/>
  <c r="E11" i="9"/>
  <c r="H22" i="10"/>
  <c r="V16" i="9"/>
  <c r="E16" i="9"/>
  <c r="V15" i="9"/>
  <c r="E15" i="9"/>
  <c r="E14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3" i="9"/>
  <c r="E12" i="9"/>
  <c r="C9" i="15"/>
  <c r="C8" i="15"/>
  <c r="C7" i="15"/>
  <c r="C6" i="15"/>
  <c r="C5" i="15"/>
  <c r="C4" i="15"/>
  <c r="C3" i="15"/>
  <c r="M25" i="13" a="1"/>
  <c r="M25" i="13" s="1"/>
  <c r="M23" i="13" a="1"/>
  <c r="M23" i="13" s="1"/>
  <c r="M22" i="13" a="1"/>
  <c r="M22" i="13" s="1"/>
  <c r="M21" i="13" a="1"/>
  <c r="M21" i="13" s="1"/>
  <c r="O22" i="13" a="1"/>
  <c r="O22" i="13" s="1"/>
  <c r="M19" i="13" a="1"/>
  <c r="M19" i="13" s="1"/>
  <c r="M18" i="13" a="1"/>
  <c r="M18" i="13" s="1"/>
  <c r="M17" i="13" a="1"/>
  <c r="M17" i="13" s="1"/>
  <c r="M16" i="13" a="1"/>
  <c r="M16" i="13" s="1"/>
  <c r="M15" i="13" a="1"/>
  <c r="M15" i="13" s="1"/>
  <c r="M14" i="13" a="1"/>
  <c r="M14" i="13" s="1"/>
  <c r="F14" i="13" a="1"/>
  <c r="F14" i="13" s="1"/>
  <c r="M13" i="13" a="1"/>
  <c r="M13" i="13" s="1"/>
  <c r="M12" i="13" a="1"/>
  <c r="M12" i="13" s="1"/>
  <c r="M11" i="13" a="1"/>
  <c r="M11" i="13" s="1"/>
  <c r="M10" i="13" a="1"/>
  <c r="M10" i="13" s="1"/>
  <c r="M9" i="13" a="1"/>
  <c r="M9" i="13" s="1"/>
  <c r="M8" i="13" a="1"/>
  <c r="M8" i="13" s="1"/>
  <c r="F8" i="13" a="1"/>
  <c r="F8" i="13" s="1"/>
  <c r="N7" i="13"/>
  <c r="N6" i="13"/>
  <c r="N5" i="13"/>
  <c r="F5" i="13" a="1"/>
  <c r="F5" i="13" s="1"/>
  <c r="M4" i="13"/>
  <c r="M3" i="13"/>
  <c r="F3" i="13" a="1"/>
  <c r="F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C130" i="11" l="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4" i="19"/>
  <c r="P24" i="19" s="1"/>
  <c r="L20" i="19"/>
  <c r="P20" i="19" s="1"/>
  <c r="L29" i="19"/>
  <c r="P29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B22" i="13"/>
  <c r="B21" i="13"/>
  <c r="I7" i="3"/>
  <c r="J7" i="3" s="1"/>
  <c r="I8" i="3"/>
  <c r="J8" i="3" s="1"/>
  <c r="I9" i="3"/>
  <c r="J9" i="3" s="1"/>
  <c r="I14" i="13"/>
  <c r="D14" i="13" s="1"/>
  <c r="H14" i="13"/>
  <c r="C14" i="13" s="1"/>
  <c r="G14" i="13"/>
  <c r="G8" i="13"/>
  <c r="I8" i="13"/>
  <c r="D8" i="13" s="1"/>
  <c r="H8" i="13"/>
  <c r="C8" i="13" s="1"/>
  <c r="F9" i="13" a="1"/>
  <c r="F9" i="13" s="1"/>
  <c r="F15" i="13" a="1"/>
  <c r="F15" i="13" s="1"/>
  <c r="G35" i="2"/>
  <c r="G34" i="2"/>
  <c r="G29" i="2"/>
  <c r="G26" i="2"/>
  <c r="G25" i="2"/>
  <c r="G40" i="2"/>
  <c r="G31" i="2"/>
  <c r="G24" i="2"/>
  <c r="G41" i="2"/>
  <c r="G32" i="2"/>
  <c r="G23" i="2"/>
  <c r="M14" i="2" s="1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20" i="2"/>
  <c r="G13" i="2"/>
  <c r="O21" i="13" a="1"/>
  <c r="O21" i="13" s="1"/>
  <c r="O14" i="13" a="1"/>
  <c r="O14" i="13" s="1"/>
  <c r="O23" i="13" a="1"/>
  <c r="O23" i="13" s="1"/>
  <c r="F4" i="13" a="1"/>
  <c r="F4" i="13" s="1"/>
  <c r="O3" i="13" a="1"/>
  <c r="O3" i="13" s="1"/>
  <c r="F6" i="13" a="1"/>
  <c r="F6" i="13" s="1"/>
  <c r="O5" i="13" a="1"/>
  <c r="O5" i="13" s="1"/>
  <c r="O8" i="13" a="1"/>
  <c r="O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B8" i="13"/>
  <c r="B14" i="13"/>
  <c r="M13" i="2"/>
  <c r="L13" i="2"/>
  <c r="F16" i="13" a="1"/>
  <c r="F16" i="13" s="1"/>
  <c r="F17" i="13" s="1" a="1"/>
  <c r="F17" i="13" s="1"/>
  <c r="I15" i="13"/>
  <c r="D15" i="13" s="1"/>
  <c r="H15" i="13"/>
  <c r="C15" i="13" s="1"/>
  <c r="G15" i="13"/>
  <c r="H9" i="13"/>
  <c r="C9" i="13" s="1"/>
  <c r="G9" i="13"/>
  <c r="I9" i="13"/>
  <c r="D9" i="13" s="1"/>
  <c r="O9" i="13" a="1"/>
  <c r="O9" i="13" s="1"/>
  <c r="F10" i="13" a="1"/>
  <c r="F10" i="13" s="1"/>
  <c r="O16" i="13" a="1"/>
  <c r="O16" i="13" s="1"/>
  <c r="O15" i="13" a="1"/>
  <c r="O15" i="13" s="1"/>
  <c r="L14" i="2"/>
  <c r="L15" i="2"/>
  <c r="O7" i="3"/>
  <c r="F7" i="13" a="1"/>
  <c r="F7" i="13" s="1"/>
  <c r="O6" i="13" a="1"/>
  <c r="O6" i="13" s="1"/>
  <c r="O24" i="13" a="1"/>
  <c r="O24" i="13" s="1"/>
  <c r="O4" i="13" a="1"/>
  <c r="O4" i="13" s="1"/>
  <c r="C148" i="11" l="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9" i="13"/>
  <c r="B15" i="13"/>
  <c r="F11" i="13" a="1"/>
  <c r="F11" i="13" s="1"/>
  <c r="F12" i="13" s="1" a="1"/>
  <c r="F12" i="13" s="1"/>
  <c r="I10" i="13"/>
  <c r="D10" i="13" s="1"/>
  <c r="H10" i="13"/>
  <c r="C10" i="13" s="1"/>
  <c r="G10" i="13"/>
  <c r="I17" i="13"/>
  <c r="D17" i="13" s="1"/>
  <c r="H17" i="13"/>
  <c r="C17" i="13" s="1"/>
  <c r="G17" i="13"/>
  <c r="I16" i="13"/>
  <c r="D16" i="13" s="1"/>
  <c r="H16" i="13"/>
  <c r="C16" i="13" s="1"/>
  <c r="G16" i="13"/>
  <c r="O11" i="13" a="1"/>
  <c r="O11" i="13" s="1"/>
  <c r="O10" i="13" a="1"/>
  <c r="O10" i="13" s="1"/>
  <c r="O17" i="13" a="1"/>
  <c r="O17" i="13" s="1"/>
  <c r="M16" i="2"/>
  <c r="P14" i="2" s="1"/>
  <c r="O7" i="13" a="1"/>
  <c r="O7" i="13" s="1"/>
  <c r="F18" i="13" a="1"/>
  <c r="F18" i="13" s="1"/>
  <c r="O25" i="13" a="1"/>
  <c r="O25" i="13" s="1"/>
  <c r="B161" i="11" l="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4"/>
  <c r="B4" i="19" s="1"/>
  <c r="B3" i="14"/>
  <c r="B3" i="19" s="1"/>
  <c r="B17" i="13"/>
  <c r="B10" i="13"/>
  <c r="B5" i="14" s="1"/>
  <c r="B5" i="19" s="1"/>
  <c r="B16" i="13"/>
  <c r="G18" i="13"/>
  <c r="I18" i="13"/>
  <c r="D18" i="13" s="1"/>
  <c r="H18" i="13"/>
  <c r="C18" i="13" s="1"/>
  <c r="I12" i="13"/>
  <c r="D12" i="13" s="1"/>
  <c r="H12" i="13"/>
  <c r="C12" i="13" s="1"/>
  <c r="G12" i="13"/>
  <c r="I11" i="13"/>
  <c r="D11" i="13" s="1"/>
  <c r="H11" i="13"/>
  <c r="C11" i="13" s="1"/>
  <c r="G11" i="13"/>
  <c r="O18" i="13" a="1"/>
  <c r="O18" i="13" s="1"/>
  <c r="O12" i="13" a="1"/>
  <c r="O12" i="13" s="1"/>
  <c r="C4" i="14"/>
  <c r="P13" i="2"/>
  <c r="C5" i="14"/>
  <c r="C3" i="14"/>
  <c r="C6" i="14"/>
  <c r="F13" i="13" a="1"/>
  <c r="F13" i="13" s="1"/>
  <c r="F19" i="13" a="1"/>
  <c r="F19" i="13" s="1"/>
  <c r="C168" i="11" l="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12" i="13"/>
  <c r="B7" i="14" s="1"/>
  <c r="B7" i="19" s="1"/>
  <c r="B18" i="13"/>
  <c r="B11" i="13"/>
  <c r="B6" i="14" s="1"/>
  <c r="B6" i="19" s="1"/>
  <c r="H19" i="13"/>
  <c r="C19" i="13" s="1"/>
  <c r="G19" i="13"/>
  <c r="I19" i="13"/>
  <c r="D19" i="13" s="1"/>
  <c r="I13" i="13"/>
  <c r="D13" i="13" s="1"/>
  <c r="H13" i="13"/>
  <c r="C13" i="13" s="1"/>
  <c r="G13" i="13"/>
  <c r="C7" i="14"/>
  <c r="F20" i="13" a="1"/>
  <c r="F20" i="13" s="1"/>
  <c r="O13" i="13" a="1"/>
  <c r="O13" i="13" s="1"/>
  <c r="O19" i="13" a="1"/>
  <c r="O19" i="13" s="1"/>
  <c r="C14" i="14" s="1"/>
  <c r="C170" i="11" l="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C184" i="11" s="1"/>
  <c r="H42" i="10"/>
  <c r="B13" i="14"/>
  <c r="B12" i="19" s="1"/>
  <c r="B11" i="14"/>
  <c r="C4" i="20" s="1"/>
  <c r="B9" i="14"/>
  <c r="B9" i="19" s="1"/>
  <c r="B10" i="14"/>
  <c r="B10" i="19" s="1"/>
  <c r="B19" i="13"/>
  <c r="B13" i="13"/>
  <c r="O20" i="13" a="1"/>
  <c r="O20" i="13" s="1"/>
  <c r="B16" i="14" s="1"/>
  <c r="I20" i="13"/>
  <c r="D20" i="13" s="1"/>
  <c r="H20" i="13"/>
  <c r="C20" i="13" s="1"/>
  <c r="G20" i="13"/>
  <c r="C11" i="14"/>
  <c r="C13" i="14"/>
  <c r="C9" i="14"/>
  <c r="C12" i="14"/>
  <c r="C8" i="14"/>
  <c r="C10" i="14"/>
  <c r="H23" i="10" l="1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B21" i="14"/>
  <c r="C7" i="20" s="1"/>
  <c r="C22" i="14"/>
  <c r="B25" i="14"/>
  <c r="B23" i="19" s="1"/>
  <c r="B27" i="14"/>
  <c r="C12" i="20" s="1"/>
  <c r="C24" i="14"/>
  <c r="C25" i="14"/>
  <c r="C23" i="14"/>
  <c r="C27" i="14"/>
  <c r="B22" i="14"/>
  <c r="B20" i="19" s="1"/>
  <c r="B29" i="14"/>
  <c r="B26" i="19" s="1"/>
  <c r="B23" i="14"/>
  <c r="C8" i="20" s="1"/>
  <c r="C32" i="14"/>
  <c r="B19" i="14"/>
  <c r="C9" i="20" s="1"/>
  <c r="B17" i="14"/>
  <c r="B16" i="19" s="1"/>
  <c r="B24" i="14"/>
  <c r="B21" i="19" s="1"/>
  <c r="B30" i="14"/>
  <c r="C15" i="20" s="1"/>
  <c r="B18" i="14"/>
  <c r="B17" i="19" s="1"/>
  <c r="B14" i="14"/>
  <c r="B13" i="19" s="1"/>
  <c r="B12" i="14"/>
  <c r="B11" i="19" s="1"/>
  <c r="B32" i="14"/>
  <c r="B30" i="19" s="1"/>
  <c r="B28" i="14"/>
  <c r="C13" i="20" s="1"/>
  <c r="B20" i="14"/>
  <c r="B19" i="19" s="1"/>
  <c r="B31" i="14"/>
  <c r="B29" i="19" s="1"/>
  <c r="R29" i="19" s="1"/>
  <c r="B26" i="14"/>
  <c r="B20" i="13"/>
  <c r="C29" i="14"/>
  <c r="C19" i="14"/>
  <c r="C15" i="14"/>
  <c r="C26" i="14"/>
  <c r="C16" i="14"/>
  <c r="C21" i="14"/>
  <c r="C28" i="14"/>
  <c r="C30" i="14"/>
  <c r="C20" i="14"/>
  <c r="C18" i="14"/>
  <c r="C17" i="14"/>
  <c r="C31" i="14"/>
  <c r="C16" i="20"/>
  <c r="B14" i="19"/>
  <c r="B15" i="19"/>
  <c r="C11" i="20" l="1"/>
  <c r="B22" i="19"/>
  <c r="C5" i="20"/>
  <c r="B15" i="14"/>
  <c r="C6" i="20" s="1"/>
  <c r="B8" i="14"/>
  <c r="C10" i="20"/>
  <c r="C14" i="20"/>
  <c r="B24" i="19"/>
  <c r="B25" i="19"/>
  <c r="B28" i="19"/>
  <c r="B27" i="19"/>
  <c r="B18" i="19"/>
  <c r="B8" i="19" l="1"/>
  <c r="Q25" i="19" s="1"/>
  <c r="C3" i="20"/>
  <c r="R18" i="19" s="1"/>
  <c r="Q28" i="19" l="1"/>
  <c r="R20" i="19"/>
  <c r="R30" i="19"/>
  <c r="R26" i="19"/>
  <c r="R23" i="19"/>
  <c r="R21" i="19"/>
  <c r="R24" i="19"/>
  <c r="R22" i="19"/>
  <c r="R25" i="19"/>
  <c r="R27" i="19"/>
  <c r="R28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19" i="19"/>
  <c r="R8" i="19"/>
  <c r="Q8" i="19"/>
  <c r="Q4" i="19"/>
  <c r="Q6" i="19"/>
  <c r="Q7" i="19"/>
  <c r="Q3" i="19"/>
  <c r="Q5" i="19"/>
  <c r="Q10" i="19"/>
  <c r="Q9" i="19"/>
  <c r="Q12" i="19"/>
  <c r="Q20" i="19"/>
  <c r="Q11" i="19"/>
  <c r="Q13" i="19"/>
  <c r="Q30" i="19"/>
  <c r="Q17" i="19"/>
  <c r="Q15" i="19"/>
  <c r="Q23" i="19"/>
  <c r="Q26" i="19"/>
  <c r="Q16" i="19"/>
  <c r="Q21" i="19"/>
  <c r="Q19" i="19"/>
  <c r="Q14" i="19"/>
  <c r="Q29" i="19"/>
  <c r="Q22" i="19"/>
  <c r="Q24" i="19"/>
  <c r="Q18" i="19"/>
  <c r="Q27" i="19"/>
  <c r="S15" i="19" l="1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19" i="19"/>
  <c r="U19" i="19" s="1"/>
  <c r="S4" i="19"/>
  <c r="U4" i="19" s="1"/>
  <c r="S16" i="19"/>
  <c r="U16" i="19" s="1"/>
  <c r="S3" i="19"/>
  <c r="U3" i="19" s="1"/>
  <c r="S30" i="19"/>
  <c r="U30" i="19" s="1"/>
  <c r="S29" i="19"/>
  <c r="U29" i="19" s="1"/>
  <c r="S20" i="19"/>
  <c r="U20" i="19" s="1"/>
  <c r="S21" i="19"/>
  <c r="U21" i="19" s="1"/>
  <c r="S22" i="19"/>
  <c r="U22" i="19" s="1"/>
  <c r="S24" i="19"/>
  <c r="U24" i="19" s="1"/>
  <c r="S25" i="19"/>
  <c r="U25" i="19" s="1"/>
  <c r="S26" i="19"/>
  <c r="U26" i="19" s="1"/>
  <c r="S27" i="19"/>
  <c r="U27" i="19" s="1"/>
  <c r="S28" i="19"/>
  <c r="U28" i="19" s="1"/>
  <c r="S23" i="19"/>
  <c r="U23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나중에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바꿔야함</t>
        </r>
        <r>
          <rPr>
            <sz val="9"/>
            <color indexed="81"/>
            <rFont val="Tahoma"/>
            <family val="2"/>
          </rPr>
          <t xml:space="preserve">.
- </t>
        </r>
        <r>
          <rPr>
            <sz val="9"/>
            <color indexed="81"/>
            <rFont val="돋움"/>
            <family val="3"/>
            <charset val="129"/>
          </rPr>
          <t>투사체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메커닉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밸런싱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거꾸로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<sst xmlns="http://schemas.openxmlformats.org/spreadsheetml/2006/main" count="1799" uniqueCount="871">
  <si>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</si>
  <si>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</si>
  <si>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</si>
  <si>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</si>
  <si>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</si>
  <si>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</si>
  <si>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</si>
  <si>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</si>
  <si>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</si>
  <si>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</si>
  <si>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</si>
  <si>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</si>
  <si>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</si>
  <si>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</si>
  <si>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</si>
  <si>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</si>
  <si>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</si>
  <si>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</si>
  <si>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</si>
  <si>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</si>
  <si>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</si>
  <si>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</si>
  <si>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</si>
  <si>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</si>
  <si>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</si>
  <si>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</si>
  <si>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</si>
  <si>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</si>
  <si>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</si>
  <si>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</si>
  <si>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</si>
  <si>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</si>
  <si>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</si>
  <si>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</si>
  <si>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</si>
  <si>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</si>
  <si>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</si>
  <si>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</si>
  <si>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</si>
  <si>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</si>
  <si>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</si>
  <si>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</si>
  <si>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</si>
  <si>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</si>
  <si>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</si>
  <si>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</si>
  <si>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</si>
  <si>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</si>
  <si>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</si>
  <si>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</si>
  <si>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</si>
  <si>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</si>
  <si>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</si>
  <si>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</si>
  <si>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</si>
  <si>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</si>
  <si>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</si>
  <si>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</si>
  <si>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</si>
  <si>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</si>
  <si>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</si>
  <si>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</si>
  <si>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</si>
  <si>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</si>
  <si>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</si>
  <si>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</si>
  <si>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</si>
  <si>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</si>
  <si>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</si>
  <si>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</si>
  <si>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</si>
  <si>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</si>
  <si>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</si>
  <si>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</si>
  <si>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</si>
  <si>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</si>
  <si>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</si>
  <si>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</si>
  <si>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</si>
  <si>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</si>
  <si>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</si>
  <si>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</si>
  <si>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</si>
  <si>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</si>
  <si>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</si>
  <si>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</si>
  <si>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</si>
  <si>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</si>
  <si>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</si>
  <si>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</si>
  <si>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</si>
  <si>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</si>
  <si>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</si>
  <si>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</si>
  <si>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</si>
  <si>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</si>
  <si>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</si>
  <si>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</si>
  <si>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</si>
  <si>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</si>
  <si>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</si>
  <si>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</si>
  <si>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</si>
  <si>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</si>
  <si>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</si>
  <si>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</si>
  <si>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</si>
  <si>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</si>
  <si>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</si>
  <si>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</si>
  <si>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</si>
  <si>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</si>
  <si>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</si>
  <si>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</si>
  <si>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</si>
  <si>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</si>
  <si>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</si>
  <si>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</si>
  <si>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</si>
  <si>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</si>
  <si>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</si>
  <si>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</si>
  <si>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</si>
  <si>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</si>
  <si>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</si>
  <si>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</si>
  <si>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</si>
  <si>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</si>
  <si>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</si>
  <si>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</si>
  <si>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</si>
  <si>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</si>
  <si>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</si>
  <si>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</si>
  <si>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</si>
  <si>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</si>
  <si>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</si>
  <si>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</si>
  <si>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</si>
  <si>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</si>
  <si>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</si>
  <si>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</si>
  <si>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</si>
  <si>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</si>
  <si>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</si>
  <si>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</si>
  <si>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</si>
  <si>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</si>
  <si>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</si>
  <si>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</si>
  <si>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</si>
  <si>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</si>
  <si>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</si>
  <si>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</si>
  <si>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</si>
  <si>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</si>
  <si>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</si>
  <si>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</si>
  <si>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</si>
  <si>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</si>
  <si>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</si>
  <si>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</si>
  <si>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</si>
  <si>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</si>
  <si>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</si>
  <si>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</si>
  <si>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</si>
  <si>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</si>
  <si>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</si>
  <si>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</si>
  <si>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</si>
  <si>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</si>
  <si>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</si>
  <si>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</si>
  <si>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</si>
  <si>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</si>
  <si>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</si>
  <si>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</si>
  <si>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</si>
  <si>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</si>
  <si>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</si>
  <si>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</si>
  <si>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</si>
  <si>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</si>
  <si>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</si>
  <si>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</si>
  <si>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</si>
  <si>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</si>
  <si>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</si>
  <si>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</si>
  <si>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</si>
  <si>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</si>
  <si>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</si>
  <si>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</si>
  <si>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</si>
  <si>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</si>
  <si>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</si>
  <si>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</si>
  <si>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</si>
  <si>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</si>
  <si>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</si>
  <si>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</si>
  <si>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</si>
  <si>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</si>
  <si>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</si>
  <si>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</si>
  <si>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</si>
  <si>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</si>
  <si>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</si>
  <si>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</si>
  <si>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</si>
  <si>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</si>
  <si>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</si>
  <si>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</si>
  <si>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</si>
  <si>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</si>
  <si>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</si>
  <si>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</si>
  <si>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</si>
  <si>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</si>
  <si>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</si>
  <si>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</si>
  <si>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</si>
  <si>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</si>
  <si>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</si>
  <si>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</si>
  <si>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</si>
  <si>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</si>
  <si>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보스1 - 듀라한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</si>
  <si>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</si>
  <si>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</si>
  <si>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</si>
  <si>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</si>
  <si>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</si>
  <si>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</si>
  <si>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</si>
  <si>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</si>
  <si>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</si>
  <si>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</si>
  <si>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</si>
  <si>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</si>
  <si>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</si>
  <si>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</si>
  <si>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</si>
  <si>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</si>
  <si>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</si>
  <si>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</si>
  <si>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</si>
  <si>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</si>
  <si>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</si>
  <si>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</si>
  <si>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</si>
  <si>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</si>
  <si>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</si>
  <si>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</si>
  <si>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</si>
  <si>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</si>
  <si>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</si>
  <si>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</si>
  <si>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</si>
  <si>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</si>
  <si>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</si>
  <si>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</si>
  <si>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</si>
  <si>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</si>
  <si>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</si>
  <si>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</si>
  <si>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</si>
  <si>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</si>
  <si>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</si>
  <si>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</si>
  <si>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</si>
  <si>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</si>
  <si>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</si>
  <si>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</si>
  <si>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</si>
  <si>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</si>
  <si>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</si>
  <si>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</si>
  <si>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</si>
  <si>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</si>
  <si>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</si>
  <si>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</si>
  <si>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</si>
  <si>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</si>
  <si>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</si>
  <si>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</si>
  <si>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</si>
  <si>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</si>
  <si>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</si>
  <si>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</si>
  <si>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</si>
  <si>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</si>
  <si>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</si>
  <si>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</si>
  <si>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</si>
  <si>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</si>
  <si>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</si>
  <si>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</si>
  <si>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</si>
  <si>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</si>
  <si>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</si>
  <si>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</si>
  <si>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</si>
  <si>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</si>
  <si>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</si>
  <si>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</si>
  <si>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</si>
  <si>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</si>
  <si>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</si>
  <si>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</si>
  <si>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</si>
  <si>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</si>
  <si>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</si>
  <si>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</si>
  <si>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</si>
  <si>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</si>
  <si>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</si>
  <si>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</si>
  <si>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</si>
  <si>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</si>
  <si>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</si>
  <si>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</si>
  <si>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</si>
  <si>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</si>
  <si>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</si>
  <si>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</si>
  <si>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</si>
  <si>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</si>
  <si>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</si>
  <si>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</si>
  <si>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</si>
  <si>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</si>
  <si>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</si>
  <si>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</si>
  <si>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</si>
  <si>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</si>
  <si>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</si>
  <si>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</si>
  <si>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</si>
  <si>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</si>
  <si>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</si>
  <si>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</si>
  <si>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</si>
  <si>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</si>
  <si>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</si>
  <si>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</si>
  <si>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</si>
  <si>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</si>
  <si>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</si>
  <si>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</si>
  <si>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</si>
  <si>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</si>
  <si>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</si>
  <si>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</si>
  <si>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</si>
  <si>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</si>
  <si>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</si>
  <si>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</si>
  <si>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</si>
  <si>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</si>
  <si>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</si>
  <si>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</si>
  <si>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</si>
  <si>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</si>
  <si>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</si>
  <si>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</si>
  <si>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</si>
  <si>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</si>
  <si>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</si>
  <si>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</si>
  <si>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</si>
  <si>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</si>
  <si>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</si>
  <si>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</si>
  <si>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</si>
  <si>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</si>
  <si>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</si>
  <si>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</si>
  <si>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</si>
  <si>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</si>
  <si>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</si>
  <si>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</si>
  <si>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</si>
  <si>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</si>
  <si>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</si>
  <si>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</si>
  <si>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</si>
  <si>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</si>
  <si>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</si>
  <si>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</si>
  <si>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</si>
  <si>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</si>
  <si>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</si>
  <si>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</si>
  <si>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</si>
  <si>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</si>
  <si>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</si>
  <si>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</si>
  <si>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</si>
  <si>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</si>
  <si>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</si>
  <si>
    <t>1층</t>
    <phoneticPr fontId="6" type="noConversion"/>
  </si>
  <si>
    <t>2층</t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</si>
  <si>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</si>
  <si>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</si>
  <si>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</si>
  <si>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</si>
  <si>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</si>
  <si>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</si>
  <si>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</si>
  <si>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</si>
  <si>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</si>
  <si>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</si>
  <si>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</si>
  <si>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</si>
  <si>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</si>
  <si>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</si>
  <si>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</si>
  <si>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</si>
  <si>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</si>
  <si>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</si>
  <si>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</si>
  <si>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</si>
  <si>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</si>
  <si>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</si>
  <si>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공격속도 -20%</t>
    <phoneticPr fontId="6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</si>
  <si>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</si>
  <si>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</si>
  <si>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</si>
  <si>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</si>
  <si>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</si>
  <si>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</si>
  <si>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</si>
  <si>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</si>
  <si>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</si>
  <si>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</si>
  <si>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</si>
  <si>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</si>
  <si>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</si>
  <si>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</si>
  <si>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</si>
  <si>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</si>
  <si>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</si>
  <si>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</si>
  <si>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</si>
  <si>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</si>
  <si>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</si>
  <si>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</si>
  <si>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</si>
  <si>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</si>
  <si>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</si>
  <si>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</si>
  <si>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</si>
  <si>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</si>
  <si>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</si>
  <si>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</si>
  <si>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</si>
  <si>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</si>
  <si>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</si>
  <si>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하지만 이렇게 간단하게 피했습니다.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</si>
  <si>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</si>
  <si>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</si>
  <si>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</si>
  <si>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</si>
  <si>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</si>
  <si>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</si>
  <si>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2023-09-24 변경사항이 존재하는 것들은 빨간색으로 표기함.</t>
    <phoneticPr fontId="6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</si>
  <si>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</si>
  <si>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</si>
  <si>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</si>
  <si>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</si>
  <si>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</si>
  <si>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</si>
  <si>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</si>
  <si>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</si>
  <si>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</si>
  <si>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</si>
  <si>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</si>
  <si>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</si>
  <si>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</si>
  <si>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</si>
  <si>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</si>
  <si>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</si>
  <si>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</si>
  <si>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</si>
  <si>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</si>
  <si>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</si>
  <si>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</si>
  <si>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</si>
  <si>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</si>
  <si>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</si>
  <si>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</si>
  <si>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</si>
  <si>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</si>
  <si>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</si>
  <si>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</si>
  <si>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</si>
  <si>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</si>
  <si>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</si>
  <si>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</si>
  <si>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</si>
  <si>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</si>
  <si>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</si>
  <si>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</si>
  <si>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</si>
  <si>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</si>
  <si>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</si>
  <si>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</si>
  <si>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</si>
  <si>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</si>
  <si>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</si>
  <si>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</si>
  <si>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공격속도 -20%, 공격 시 골드 -1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</si>
  <si>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</si>
  <si>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</si>
  <si>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</si>
  <si>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</si>
  <si>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</si>
  <si>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</si>
  <si>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</si>
  <si>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</si>
  <si>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</si>
  <si>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</si>
  <si>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</si>
  <si>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</si>
  <si>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</si>
  <si>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</si>
  <si>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</si>
  <si>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</si>
  <si>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</si>
  <si>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</si>
  <si>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</si>
  <si>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</si>
  <si>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</si>
  <si>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</si>
  <si>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</si>
  <si>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</si>
  <si>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</si>
  <si>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</si>
  <si>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</si>
  <si>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</si>
  <si>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</si>
  <si>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</si>
  <si>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</si>
  <si>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</si>
  <si>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</si>
  <si>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</si>
  <si>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</si>
  <si>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</si>
  <si>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</si>
  <si>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</si>
  <si>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</si>
  <si>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</si>
  <si>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</si>
  <si>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</si>
  <si>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</si>
  <si>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</si>
  <si>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</si>
  <si>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</si>
  <si>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</si>
  <si>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</si>
  <si>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</si>
  <si>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</si>
  <si>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</si>
  <si>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</si>
  <si>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</si>
  <si>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</si>
  <si>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</si>
  <si>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</si>
  <si>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</si>
  <si>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</si>
  <si>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</si>
  <si>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</si>
  <si>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</si>
  <si>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</si>
  <si>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</si>
  <si>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</si>
  <si>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</si>
  <si>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</si>
  <si>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</si>
  <si>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</si>
  <si>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</si>
  <si>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</si>
  <si>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</si>
  <si>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</si>
  <si>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</si>
  <si>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</si>
  <si>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</si>
  <si>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</si>
  <si>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</si>
  <si>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</si>
  <si>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</si>
  <si>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</si>
  <si>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</si>
  <si>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</si>
  <si>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</si>
  <si>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</si>
  <si>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</si>
  <si>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</si>
  <si>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</si>
  <si>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</si>
  <si>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</si>
  <si>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</si>
  <si>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</si>
  <si>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#NameString</t>
    <phoneticPr fontId="6" type="noConversion"/>
  </si>
  <si>
    <t>#DescString</t>
    <phoneticPr fontId="6" type="noConversion"/>
  </si>
  <si>
    <t>#PlusDescString</t>
    <phoneticPr fontId="6" type="noConversion"/>
  </si>
  <si>
    <t>#MinusDescString</t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</si>
  <si>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</si>
  <si>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</si>
  <si>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</si>
  <si>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</si>
  <si>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</si>
  <si>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</si>
  <si>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</si>
  <si>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</si>
  <si>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</si>
  <si>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</si>
  <si>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</si>
  <si>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</si>
  <si>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</si>
  <si>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</si>
  <si>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</si>
  <si>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</si>
  <si>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</si>
  <si>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</si>
  <si>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</si>
  <si>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</si>
  <si>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</si>
  <si>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Recommended for the forward-thinker in your life.\nPerfect for daily wear.</t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</si>
  <si>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</si>
  <si>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</si>
  <si>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</si>
  <si>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Range +20%</t>
  </si>
  <si>
    <t>Charging Speed +20%</t>
  </si>
  <si>
    <t>When charged, increases Attack Power by 20% for 5 seconds.</t>
  </si>
  <si>
    <t>Attack Speed +30%</t>
  </si>
  <si>
    <t>Maximum Health +1</t>
  </si>
  <si>
    <t>When attacking stunned enemies, increases Attack Power by 30% for 4 seconds.</t>
  </si>
  <si>
    <t>When attacking stunned enemies, has a 10% chance to recover +1 health.</t>
  </si>
  <si>
    <t>Gold acquisition +50%</t>
  </si>
  <si>
    <t>Projectile collision count +3</t>
  </si>
  <si>
    <t>Maximum Health +2</t>
  </si>
  <si>
    <t>33% chance to release 3 projectiles with each attack.</t>
  </si>
  <si>
    <t>Normal attacks become charged attacks.</t>
  </si>
  <si>
    <t>For each hit, increases Attack Speed by 15% for 4 seconds (effects can stack).</t>
  </si>
  <si>
    <t>Attack Power +100%</t>
  </si>
  <si>
    <t>Attack Power +60%</t>
  </si>
  <si>
    <t>Shoots 8 projectiles upon getting hit.</t>
  </si>
  <si>
    <t>Shoots 4 projectiles upon evasion.</t>
  </si>
  <si>
    <t>Attack Range +50%</t>
  </si>
  <si>
    <t>Teleports to stunned enemies and attacks.</t>
  </si>
  <si>
    <t>Absorbs and shoots nearby projectiles (Cooldown: 10 seconds).</t>
  </si>
  <si>
    <t>Slows down time in the vicinity for 6 seconds (Cooldown: 12 seconds).</t>
  </si>
  <si>
    <t>Dashes in the direction of the cursor (Cooldown: 8 seconds).</t>
  </si>
  <si>
    <t>Fires a powerful beam in the aimed direction.</t>
  </si>
  <si>
    <t>Increases attack range by 100% for 10 seconds (Cooldown: 18 seconds).</t>
  </si>
  <si>
    <t>Attack Speed -20%</t>
  </si>
  <si>
    <t>Attack Speed -30%</t>
  </si>
  <si>
    <t>Attack direction becomes reversed.</t>
  </si>
  <si>
    <t>Health -2</t>
  </si>
  <si>
    <t>Movement Speed -5%</t>
  </si>
  <si>
    <t>Evasion cooldown +50%</t>
  </si>
  <si>
    <t>Attack Speed -20%, Gold -1 upon attack.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</si>
  <si>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</si>
  <si>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</si>
  <si>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</si>
  <si>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</si>
  <si>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</si>
  <si>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</si>
  <si>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</si>
  <si>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</si>
  <si>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</si>
  <si>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</si>
  <si>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</si>
  <si>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</si>
  <si>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</si>
  <si>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</si>
  <si>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</si>
  <si>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</si>
  <si>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</si>
  <si>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</si>
  <si>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</si>
  <si>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</si>
  <si>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</si>
  <si>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</si>
  <si>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</si>
  <si>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</si>
  <si>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</si>
  <si>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</si>
  <si>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</si>
  <si>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</si>
  <si>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</si>
  <si>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</si>
  <si>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</si>
  <si>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</si>
  <si>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</si>
  <si>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</si>
  <si>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</si>
  <si>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</si>
  <si>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</si>
  <si>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</si>
  <si>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</si>
  <si>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</si>
  <si>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</si>
  <si>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</si>
  <si>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</si>
  <si>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</si>
  <si>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</si>
  <si>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</si>
  <si>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</si>
  <si>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</si>
  <si>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</si>
  <si>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</si>
  <si>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</si>
  <si>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</si>
  <si>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튕김 기댓값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</si>
  <si>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</si>
  <si>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</si>
  <si>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</si>
  <si>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</si>
  <si>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</si>
  <si>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</si>
  <si>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</si>
  <si>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</si>
  <si>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</si>
  <si>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</si>
  <si>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</si>
  <si>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</si>
  <si>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</si>
  <si>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</si>
  <si>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</si>
  <si>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</si>
  <si>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</si>
  <si>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</si>
  <si>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</si>
  <si>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</si>
  <si>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</si>
  <si>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</si>
  <si>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</si>
  <si>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</si>
  <si>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</si>
  <si>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</si>
  <si>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</si>
  <si>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</si>
  <si>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</si>
  <si>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</si>
  <si>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상점은 층마다 꼭 하나씩 등장합니다.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</si>
  <si>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</si>
  <si>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</si>
  <si>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</si>
  <si>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적을 기절시켜 날릴 수 있지만, 이미 차징 공격으로 날려져 사망한 적은 기절하지 않습니다.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</si>
  <si>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</si>
  <si>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</si>
  <si>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</si>
  <si>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적들을 처치할 때마다 골드를 획득할 수 있습니다.</t>
    <phoneticPr fontId="6" type="noConversion"/>
  </si>
  <si>
    <t>체력을 회복하려면 층마다 존재하는 회복 오브젝트를 찾아보세요.</t>
    <phoneticPr fontId="6" type="noConversion"/>
  </si>
  <si>
    <t>다음 층으로 내려간 뒤엔 돌아갈 수 없습니다.</t>
    <phoneticPr fontId="6" type="noConversion"/>
  </si>
  <si>
    <t>차징 공격으로 적을 날려 다른 적을 맞춰보세요</t>
    <phoneticPr fontId="6" type="noConversion"/>
  </si>
  <si>
    <t>A shop will appear on every floor.</t>
  </si>
  <si>
    <t>Be careful not to fall into the pit.</t>
  </si>
  <si>
    <t>Items with red borders have powerful effects, but they also have debuffs.</t>
  </si>
  <si>
    <t>You can dodge them by pressing the space bar.</t>
  </si>
  <si>
    <t>You can stun enemies to send them flying, but enemies who have already been sent flying by a charging attack will not be stunned.</t>
    <phoneticPr fontId="6" type="noConversion"/>
  </si>
  <si>
    <t>The icons on the minimap indicate the type of room you are in.</t>
  </si>
  <si>
    <t>To travel to a room you've already been to, use the teleport feature in the Map UI.</t>
  </si>
  <si>
    <t>As you progress, more enemies will appear.</t>
  </si>
  <si>
    <t>For each enemy you defeat, you'll earn gold.</t>
  </si>
  <si>
    <t>To regain health, look for health objects on each floor.</t>
  </si>
  <si>
    <t>Once you go down to the next floor, you can't go back.</t>
  </si>
  <si>
    <t>Blast enemies with a charging attack to hit other enemies</t>
  </si>
  <si>
    <t>조작키</t>
    <phoneticPr fontId="6" type="noConversion"/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</si>
  <si>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</si>
  <si>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</si>
  <si>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</si>
  <si>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</si>
  <si>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</si>
  <si>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</si>
  <si>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</si>
  <si>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</si>
  <si>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</si>
  <si>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게임 도중 획득한 액티브 스킬을 사용!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</si>
  <si>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</si>
  <si>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</si>
  <si>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</si>
  <si>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</si>
  <si>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</si>
  <si>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</si>
  <si>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</si>
  <si>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</si>
  <si>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</si>
  <si>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Control Keys</t>
  </si>
  <si>
    <t>Charge Attack</t>
  </si>
  <si>
    <t>Parrying with Charge Attacks</t>
  </si>
  <si>
    <t>Active Skills</t>
    <phoneticPr fontId="6" type="noConversion"/>
  </si>
  <si>
    <t>Stun</t>
  </si>
  <si>
    <t>Inventory &amp; Map</t>
    <phoneticPr fontId="6" type="noConversion"/>
  </si>
  <si>
    <t>Teleporting to a Room</t>
    <phoneticPr fontId="6" type="noConversion"/>
  </si>
  <si>
    <t>A powerful charge attack that knocks enemies away!</t>
  </si>
  <si>
    <t>A charge attack that bounces off enemies!</t>
    <phoneticPr fontId="6" type="noConversion"/>
  </si>
  <si>
    <t>Use active skills acquired during the game!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</si>
  <si>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</si>
  <si>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</si>
  <si>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</si>
  <si>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</si>
  <si>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</si>
  <si>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</si>
  <si>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</si>
  <si>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</si>
  <si>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</si>
  <si>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</si>
  <si>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</si>
  <si>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</si>
  <si>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</si>
  <si>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</si>
  <si>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</si>
  <si>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</si>
  <si>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</si>
  <si>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</si>
  <si>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</si>
  <si>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You can see a sharp point inside the mask.\nProbably... It's not dangerous, is it?</t>
    <phoneticPr fontId="6" type="noConversion"/>
  </si>
  <si>
    <t>It's a piggy bank with an ego.\nIt smells like gold!</t>
    <phoneticPr fontId="6" type="noConversion"/>
  </si>
  <si>
    <t>Don't judge the taste by the appearance of the food.\nThis food contains an important message of treating all foods equally.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</si>
  <si>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</si>
  <si>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</si>
  <si>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</si>
  <si>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a powerful sweetness that will melt your whole body.\nBe careful not to get sticky!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</si>
  <si>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</si>
  <si>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</si>
  <si>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</si>
  <si>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</si>
  <si>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</si>
  <si>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</si>
  <si>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</si>
  <si>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</si>
  <si>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</si>
  <si>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</si>
  <si>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</si>
  <si>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</si>
  <si>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</si>
  <si>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</si>
  <si>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</si>
  <si>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</si>
  <si>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</si>
  <si>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</si>
  <si>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</si>
  <si>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</si>
  <si>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</si>
  <si>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</si>
  <si>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</si>
  <si>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</si>
  <si>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</si>
  <si>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</si>
  <si>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</si>
  <si>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</si>
  <si>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</si>
  <si>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</si>
  <si>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</si>
  <si>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</si>
  <si>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</si>
  <si>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</si>
  <si>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체력을 한칸 회복합니다.</t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</si>
  <si>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</si>
  <si>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</si>
  <si>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</si>
  <si>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2칸의 피해를 받습니다.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</si>
  <si>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</si>
  <si>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</si>
  <si>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체력을 전부 회복합니다.</t>
    <phoneticPr fontId="6" type="noConversion"/>
  </si>
  <si>
    <t>타격 시마다 4초간\n공격속도 +10%\n(효과는 중첩될 수 있습니다.)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</si>
</sst>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78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22" fillId="9" borderId="0" xfId="0" applyFont="1" applyFill="1">
      <alignment vertical="center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75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4"/>
      <tableStyleElement type="headerRow" dxfId="173"/>
      <tableStyleElement type="totalRow" dxfId="172"/>
      <tableStyleElement type="firstColumn" dxfId="171"/>
      <tableStyleElement type="lastColumn" dxfId="170"/>
      <tableStyleElement type="firstRowStripe" dxfId="169"/>
      <tableStyleElement type="firstColumnStripe" dxfId="168"/>
    </tableStyle>
    <tableStyle name="Light Style 1 - Accent 1" table="0" count="7" xr9:uid="{00000000-0011-0000-FFFF-FFFF01000000}">
      <tableStyleElement type="wholeTable" dxfId="167"/>
      <tableStyleElement type="headerRow" dxfId="166"/>
      <tableStyleElement type="totalRow" dxfId="165"/>
      <tableStyleElement type="firstColumn" dxfId="164"/>
      <tableStyleElement type="lastColumn" dxfId="163"/>
      <tableStyleElement type="firstRowStripe" dxfId="162"/>
      <tableStyleElement type="firstColumnStripe" dxfId="161"/>
    </tableStyle>
    <tableStyle name="표 스타일 1" pivot="0" count="4" xr9:uid="{00000000-0011-0000-FFFF-FFFF02000000}">
      <tableStyleElement type="wholeTable" dxfId="160"/>
      <tableStyleElement type="headerRow" dxfId="159"/>
      <tableStyleElement type="firstRowStripe" dxfId="158"/>
      <tableStyleElement type="secondRowStripe" dxfId="157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5">
  <autoFilter ref="B12:G42" xr:uid="{00000000-0009-0000-0100-00000B000000}"/>
  <tableColumns count="6">
    <tableColumn id="11" xr3:uid="{00000000-0010-0000-0100-00000B000000}" name="층" dataDxfId="154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3"/>
    <tableColumn id="6" xr3:uid="{00000000-0010-0000-0100-000006000000}" name="평균획득골드" totalsRowFunction="average" dataDxfId="152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1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0" totalsRowDxfId="149"/>
    <tableColumn id="2" xr3:uid="{00000000-0010-0000-0300-000002000000}" name="개수" dataDxfId="148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7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6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5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4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3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2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1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0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9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8" dataDxfId="137">
  <autoFilter ref="B11:F40" xr:uid="{00000000-0009-0000-0100-000008000000}"/>
  <tableColumns count="5">
    <tableColumn id="1" xr3:uid="{00000000-0010-0000-0400-000001000000}" name="스텟" dataDxfId="136"/>
    <tableColumn id="2" xr3:uid="{00000000-0010-0000-0400-000002000000}" name="참조 테이블" dataDxfId="135"/>
    <tableColumn id="3" xr3:uid="{00000000-0010-0000-0400-000003000000}" name="설명" dataDxfId="134"/>
    <tableColumn id="4" xr3:uid="{00000000-0010-0000-0400-000004000000}" name="Value 1당 가치" dataDxfId="133"/>
    <tableColumn id="5" xr3:uid="{E80FF9E0-4D51-4BB5-9D04-891CF4119D93}" name="OP계수" dataDxfId="132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1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0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9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8">
      <calculatedColumnFormula>#REF!</calculatedColumnFormula>
    </tableColumn>
    <tableColumn id="10" xr3:uid="{00000000-0010-0000-0700-00000A000000}" name="예상 전투 시간" dataDxfId="127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6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5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4">
  <autoFilter ref="H12:L13" xr:uid="{1A39BDA6-5227-4F3A-BB7B-457C71991C01}"/>
  <tableColumns count="5">
    <tableColumn id="1" xr3:uid="{C2200712-B727-4558-990C-91912E8DE66E}" name="직접 공격 DPS" dataDxfId="123">
      <calculatedColumnFormula array="1">CharacterAtkTable[ChargeRigidDmg1]/CharacterAtkTable[SwingCooldown]</calculatedColumnFormula>
    </tableColumn>
    <tableColumn id="2" xr3:uid="{7A94433E-C49F-40C3-8DEB-869FEDCBFEBA}" name="직접 차징 DPS" dataDxfId="122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1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0">
      <calculatedColumnFormula array="1">CharacterAtkTable[EnemyProjectileDmg]*표26[적에게 튕김 기댓값]</calculatedColumnFormula>
    </tableColumn>
    <tableColumn id="5" xr3:uid="{B8F641EE-C92E-4085-9FC5-1D7A1E85838D}" name="차징공격 DPS" dataDxfId="119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8"/>
    <tableColumn id="2" xr3:uid="{7BC54428-2097-4B23-ACAC-4CF6F55435E4}" name="최종 DPS" dataDxfId="117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6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5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14" dataDxfId="113">
  <autoFilter ref="B43:F52" xr:uid="{52C1D108-3D49-4B42-B815-0005AC0F8DFB}"/>
  <tableColumns count="5">
    <tableColumn id="1" xr3:uid="{97C44805-9CD2-45EA-B5DF-D65CFA5C28DC}" name="트리거" dataDxfId="112"/>
    <tableColumn id="2" xr3:uid="{0CB69347-3D8F-4363-BA6F-16EF9B4A762D}" name="발동 여부" dataDxfId="111"/>
    <tableColumn id="3" xr3:uid="{176A61E6-C094-47E3-8CBF-78EA6EEA3FB7}" name="발동에 걸리는 시간" dataDxfId="110"/>
    <tableColumn id="4" xr3:uid="{C9DEDF42-6084-4BE1-AED3-7B9E6FA248C1}" name="발동율" dataDxfId="109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8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07">
  <autoFilter ref="B55:F64" xr:uid="{5DE4A78B-5308-430C-BFB3-A3DED3312CD7}"/>
  <tableColumns count="5">
    <tableColumn id="1" xr3:uid="{D8664B31-C1C5-4F94-9493-0E923670269C}" name="특수 이펙트 명칭" dataDxfId="106"/>
    <tableColumn id="2" xr3:uid="{75D26A2C-66A5-4D4E-8467-00AB4551DB09}" name="열1" dataDxfId="105"/>
    <tableColumn id="3" xr3:uid="{C016E32B-6A25-4781-91D0-3F1F049AB241}" name="설명" dataDxfId="104"/>
    <tableColumn id="4" xr3:uid="{87B4D8C0-06AC-4B77-972D-B4F0F00820E7}" name="1당 가치" dataDxfId="103">
      <calculatedColumnFormula>E14</calculatedColumnFormula>
    </tableColumn>
    <tableColumn id="5" xr3:uid="{B8215913-9E5B-4616-A7FB-EBC3ED6C83CC}" name="OP계수" dataDxfId="102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0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00"/>
    <tableColumn id="3" xr3:uid="{00000000-0010-0000-0900-000003000000}" name="value"/>
    <tableColumn id="4" xr3:uid="{00000000-0010-0000-0900-000004000000}" name="#설명" dataDxfId="99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96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95"/>
    <tableColumn id="7" xr3:uid="{00000000-0010-0000-0B00-000007000000}" name="SwingCooldown" dataDxfId="9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91"/>
    <tableColumn id="14" xr3:uid="{00000000-0010-0000-0C00-00000E000000}" name="#드랍테이블2" dataDxfId="90"/>
    <tableColumn id="15" xr3:uid="{00000000-0010-0000-0C00-00000F000000}" name="#드랍테이블3" dataDxfId="89"/>
    <tableColumn id="16" xr3:uid="{00000000-0010-0000-0C00-000010000000}" name="#드랍테이블4" dataDxfId="88"/>
    <tableColumn id="17" xr3:uid="{00000000-0010-0000-0C00-000011000000}" name="#드랍테이블5" dataDxfId="87"/>
    <tableColumn id="18" xr3:uid="{00000000-0010-0000-0C00-000012000000}" name="#드랍테이블6" dataDxfId="8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83"/>
    <tableColumn id="19" xr3:uid="{00000000-0010-0000-0E00-000013000000}" name="#" dataDxfId="8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8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80"/>
    <tableColumn id="17" xr3:uid="{00000000-0010-0000-0E00-000011000000}" name="#기준 적 체력 비율"/>
    <tableColumn id="18" xr3:uid="{00000000-0010-0000-0E00-000012000000}" name="#평균 드랍 골드" dataDxfId="7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8" totalsRowShown="0">
  <autoFilter ref="B2:I58" xr:uid="{00000000-0009-0000-0100-000015000000}"/>
  <tableColumns count="8">
    <tableColumn id="1" xr3:uid="{00000000-0010-0000-0F00-000001000000}" name="Index"/>
    <tableColumn id="2" xr3:uid="{00000000-0010-0000-0F00-000002000000}" name="#설명" dataDxfId="78"/>
    <tableColumn id="3" xr3:uid="{00000000-0010-0000-0F00-000003000000}" name="ShootDataId" dataDxfId="7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4" totalsRowShown="0">
  <autoFilter ref="B2:G184" xr:uid="{00000000-0009-0000-0100-000013000000}"/>
  <tableColumns count="6">
    <tableColumn id="1" xr3:uid="{00000000-0010-0000-1000-000001000000}" name="Index"/>
    <tableColumn id="2" xr3:uid="{00000000-0010-0000-1000-000002000000}" name="#설명" dataDxfId="7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7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7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71" dataDxfId="70">
  <autoFilter ref="B2:R33" xr:uid="{00000000-0009-0000-0100-000004000000}"/>
  <tableColumns count="17">
    <tableColumn id="11" xr3:uid="{00000000-0010-0000-1200-00000B000000}" name="#NameString" dataDxfId="69">
      <calculatedColumnFormula>INDEX(LocaleTable[LocaleKR],MATCH(ItemTable[[#This Row],[Name]],LocaleTable[StringKey],0))</calculatedColumnFormula>
    </tableColumn>
    <tableColumn id="16" xr3:uid="{BD981A3F-409D-4C64-B49F-2D8E2500BA62}" name="#DescString" dataDxfId="68">
      <calculatedColumnFormula>INDEX(LocaleTable[LocaleKR],MATCH(ItemTable[[#This Row],[Desc]],LocaleTable[StringKey],0))</calculatedColumnFormula>
    </tableColumn>
    <tableColumn id="17" xr3:uid="{1B500542-CB1F-4E31-BC77-415A06C9F656}" name="#PlusDescString" dataDxfId="67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66">
      <calculatedColumnFormula>INDEX(LocaleTable[LocaleKR],MATCH(ItemTable[[#This Row],[MinusDesc]],LocaleTable[StringKey],0))</calculatedColumnFormula>
    </tableColumn>
    <tableColumn id="1" xr3:uid="{00000000-0010-0000-1200-000001000000}" name="Index" dataDxfId="65"/>
    <tableColumn id="2" xr3:uid="{00000000-0010-0000-1200-000002000000}" name="Name" dataDxfId="64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3" xr3:uid="{00000000-0010-0000-1200-000003000000}" name="Desc" dataDxfId="63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8" xr3:uid="{00000000-0010-0000-1200-000012000000}" name="PlusDesc" dataDxfId="62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19" xr3:uid="{00000000-0010-0000-1200-000013000000}" name="MinusDesc" dataDxfId="61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2">
  <autoFilter ref="B2:S32" xr:uid="{00000000-0009-0000-0100-000001000000}"/>
  <tableColumns count="18">
    <tableColumn id="2" xr3:uid="{00000000-0010-0000-1300-000002000000}" name="#이름값" dataDxfId="51">
      <calculatedColumnFormula>INDEX(ItemTable['#NameString],MATCH(ItemEffectTable[[#This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0" totalsRowShown="0" headerRowDxfId="39">
  <autoFilter ref="B2:U30" xr:uid="{00000000-0009-0000-0100-000016000000}"/>
  <tableColumns count="20">
    <tableColumn id="3" xr3:uid="{E74DAA42-5E4A-4F89-AD3E-565200EEF3AE}" name="#아이템 명칭" dataDxfId="38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6" totalsRowShown="0" headerRowDxfId="22">
  <autoFilter ref="B2:N16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47" totalsRowShown="0" headerRowDxfId="9" dataDxfId="8">
  <autoFilter ref="B2:I147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76" t="s">
        <v>196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topLeftCell="A16" zoomScaleNormal="75" zoomScaleSheetLayoutView="100" workbookViewId="0">
      <selection activeCell="L27" sqref="L27"/>
    </sheetView>
  </sheetViews>
  <sheetFormatPr defaultColWidth="8.875" defaultRowHeight="16.5"/>
  <cols>
    <col min="2" max="2" width="10.125" customWidth="1"/>
    <col min="3" max="3" width="12.125" customWidth="1"/>
    <col min="4" max="4" width="12.625" bestFit="1" customWidth="1"/>
    <col min="5" max="5" width="10.375" bestFit="1" customWidth="1"/>
    <col min="6" max="6" width="11.125" customWidth="1"/>
    <col min="7" max="7" width="15.125" customWidth="1"/>
    <col min="8" max="8" width="13.375" customWidth="1"/>
    <col min="9" max="9" width="11.875" customWidth="1"/>
    <col min="11" max="12" width="16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875" customWidth="1"/>
    <col min="18" max="18" width="15.625" customWidth="1"/>
  </cols>
  <sheetData>
    <row r="1" spans="2:18" s="1" customFormat="1">
      <c r="B1" s="76" t="s">
        <v>125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49</v>
      </c>
      <c r="J5" s="2" t="s">
        <v>307</v>
      </c>
      <c r="K5" s="2"/>
      <c r="O5" s="31" t="s">
        <v>674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629</v>
      </c>
      <c r="K6" s="11" t="s">
        <v>306</v>
      </c>
      <c r="L6" s="11" t="s">
        <v>303</v>
      </c>
      <c r="M6" s="11" t="s">
        <v>304</v>
      </c>
      <c r="O6" s="16" t="s">
        <v>399</v>
      </c>
      <c r="P6" s="16" t="s">
        <v>306</v>
      </c>
      <c r="Q6" s="16" t="s">
        <v>303</v>
      </c>
      <c r="R6" s="16" t="s">
        <v>304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308</v>
      </c>
      <c r="K7">
        <v>0</v>
      </c>
      <c r="L7">
        <v>4</v>
      </c>
      <c r="M7">
        <v>7</v>
      </c>
      <c r="O7" s="16" t="s">
        <v>402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309</v>
      </c>
      <c r="K8">
        <v>0</v>
      </c>
      <c r="L8">
        <v>6</v>
      </c>
      <c r="M8">
        <v>12</v>
      </c>
      <c r="O8" s="16" t="s">
        <v>404</v>
      </c>
      <c r="P8">
        <v>20</v>
      </c>
      <c r="Q8">
        <v>80</v>
      </c>
      <c r="R8">
        <v>150</v>
      </c>
    </row>
    <row r="9" spans="2:18">
      <c r="J9" t="s">
        <v>310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406</v>
      </c>
      <c r="P9">
        <v>20</v>
      </c>
      <c r="Q9">
        <v>80</v>
      </c>
      <c r="R9">
        <v>150</v>
      </c>
    </row>
    <row r="11" spans="2:18">
      <c r="B11" s="2" t="s">
        <v>667</v>
      </c>
      <c r="C11" s="2"/>
      <c r="D11" s="2"/>
      <c r="J11" s="2" t="s">
        <v>400</v>
      </c>
    </row>
    <row r="12" spans="2:18">
      <c r="B12" s="11" t="s">
        <v>399</v>
      </c>
      <c r="C12" s="11" t="s">
        <v>305</v>
      </c>
      <c r="D12" s="11" t="s">
        <v>306</v>
      </c>
      <c r="E12" s="11" t="s">
        <v>303</v>
      </c>
      <c r="F12" s="11" t="s">
        <v>304</v>
      </c>
      <c r="G12" s="11" t="s">
        <v>408</v>
      </c>
      <c r="H12" s="16"/>
      <c r="J12" s="11" t="s">
        <v>399</v>
      </c>
      <c r="K12" s="11" t="s">
        <v>407</v>
      </c>
      <c r="L12" s="11" t="s">
        <v>627</v>
      </c>
      <c r="M12" s="11" t="s">
        <v>628</v>
      </c>
    </row>
    <row r="13" spans="2:18">
      <c r="B13" s="11" t="s">
        <v>402</v>
      </c>
      <c r="C13">
        <v>1</v>
      </c>
      <c r="D13">
        <v>2</v>
      </c>
      <c r="E13">
        <v>3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15</v>
      </c>
      <c r="J13" s="11" t="s">
        <v>402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13.5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67.5</v>
      </c>
      <c r="O13" s="11" t="s">
        <v>409</v>
      </c>
      <c r="P13" s="11">
        <f>FloorInfo[[#Totals],[층 완료 획득 골드]]/30</f>
        <v>16.933333333333334</v>
      </c>
    </row>
    <row r="14" spans="2:18">
      <c r="B14" s="11" t="s">
        <v>402</v>
      </c>
      <c r="C14">
        <v>2</v>
      </c>
      <c r="D14">
        <v>2</v>
      </c>
      <c r="E14">
        <v>3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1" t="s">
        <v>404</v>
      </c>
      <c r="K14">
        <f>INDEX(ProductialTable[MaxRoomValue],MATCH(FloorInfo[[#This Row],[층]],ProductialTable['#이름],0))-3</f>
        <v>7</v>
      </c>
      <c r="L14">
        <f>(SUMIFS(StageEnemyInfo[평균획득골드],StageEnemyInfo[층],FloorInfo[[#This Row],[층]])/_xlfn.MAXIFS(StageEnemyInfo[스테이지],StageEnemyInfo[층],FloorInfo[[#This Row],[층]]))</f>
        <v>20.5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143.5</v>
      </c>
      <c r="O14" s="11" t="s">
        <v>410</v>
      </c>
      <c r="P14" s="11">
        <f>FloorInfo[[#Totals],[층 완료 획득 골드]]/50</f>
        <v>10.16</v>
      </c>
    </row>
    <row r="15" spans="2:18">
      <c r="B15" s="11" t="s">
        <v>401</v>
      </c>
      <c r="C15">
        <v>3</v>
      </c>
      <c r="D15">
        <v>2</v>
      </c>
      <c r="E15">
        <v>2</v>
      </c>
      <c r="F15">
        <v>0</v>
      </c>
      <c r="G15">
        <f>StageEnemyInfo[[#This Row],[박쥐]]*표20[[#Totals],[박쥐]]+
StageEnemyInfo[[#This Row],[일반]]*표20[[#Totals],[일반]]+
StageEnemyInfo[[#This Row],[정예]]*표20[[#Totals],[정예]]</f>
        <v>10</v>
      </c>
      <c r="J15" s="11" t="s">
        <v>406</v>
      </c>
      <c r="K15">
        <f>INDEX(ProductialTable[MaxRoomValue],MATCH(FloorInfo[[#This Row],[층]],ProductialTable['#이름],0))-3</f>
        <v>9</v>
      </c>
      <c r="L15">
        <f>(SUMIFS(StageEnemyInfo[평균획득골드],StageEnemyInfo[층],FloorInfo[[#This Row],[층]])/_xlfn.MAXIFS(StageEnemyInfo[스테이지],StageEnemyInfo[층],FloorInfo[[#This Row],[층]]))</f>
        <v>33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297</v>
      </c>
    </row>
    <row r="16" spans="2:18">
      <c r="B16" s="11" t="s">
        <v>401</v>
      </c>
      <c r="C16">
        <v>4</v>
      </c>
      <c r="D16">
        <v>3</v>
      </c>
      <c r="E16">
        <v>3</v>
      </c>
      <c r="F16">
        <v>0</v>
      </c>
      <c r="G16">
        <f>StageEnemyInfo[[#This Row],[박쥐]]*표20[[#Totals],[박쥐]]+
StageEnemyInfo[[#This Row],[일반]]*표20[[#Totals],[일반]]+
StageEnemyInfo[[#This Row],[정예]]*표20[[#Totals],[정예]]</f>
        <v>15</v>
      </c>
      <c r="J16" s="11" t="s">
        <v>310</v>
      </c>
      <c r="M16">
        <f>SUBTOTAL(109,FloorInfo[층 완료 획득 골드])</f>
        <v>508</v>
      </c>
    </row>
    <row r="17" spans="2:17">
      <c r="B17" s="11" t="s">
        <v>401</v>
      </c>
      <c r="C17">
        <v>5</v>
      </c>
      <c r="D17">
        <v>3</v>
      </c>
      <c r="E17">
        <v>3</v>
      </c>
      <c r="F17">
        <v>0</v>
      </c>
      <c r="G17">
        <f>StageEnemyInfo[[#This Row],[박쥐]]*표20[[#Totals],[박쥐]]+
StageEnemyInfo[[#This Row],[일반]]*표20[[#Totals],[일반]]+
StageEnemyInfo[[#This Row],[정예]]*표20[[#Totals],[정예]]</f>
        <v>15</v>
      </c>
    </row>
    <row r="18" spans="2:17">
      <c r="B18" s="11" t="s">
        <v>401</v>
      </c>
      <c r="C18">
        <v>6</v>
      </c>
      <c r="D18">
        <v>2</v>
      </c>
      <c r="E18">
        <v>2</v>
      </c>
      <c r="F18">
        <v>0</v>
      </c>
      <c r="G18">
        <f>StageEnemyInfo[[#This Row],[박쥐]]*표20[[#Totals],[박쥐]]+
StageEnemyInfo[[#This Row],[일반]]*표20[[#Totals],[일반]]+
StageEnemyInfo[[#This Row],[정예]]*표20[[#Totals],[정예]]</f>
        <v>10</v>
      </c>
      <c r="J18" s="31" t="s">
        <v>665</v>
      </c>
      <c r="K18" s="5"/>
    </row>
    <row r="19" spans="2:17">
      <c r="B19" s="11" t="s">
        <v>401</v>
      </c>
      <c r="C19">
        <v>7</v>
      </c>
      <c r="D19">
        <v>2</v>
      </c>
      <c r="E19">
        <v>3</v>
      </c>
      <c r="F19">
        <v>0</v>
      </c>
      <c r="G19">
        <f>StageEnemyInfo[[#This Row],[박쥐]]*표20[[#Totals],[박쥐]]+
StageEnemyInfo[[#This Row],[일반]]*표20[[#Totals],[일반]]+
StageEnemyInfo[[#This Row],[정예]]*표20[[#Totals],[정예]]</f>
        <v>15</v>
      </c>
      <c r="J19" s="16" t="s">
        <v>399</v>
      </c>
      <c r="K19" s="16" t="s">
        <v>670</v>
      </c>
      <c r="L19" s="16" t="s">
        <v>669</v>
      </c>
      <c r="M19" s="16" t="s">
        <v>671</v>
      </c>
      <c r="N19" s="16" t="s">
        <v>668</v>
      </c>
      <c r="O19" s="16" t="s">
        <v>672</v>
      </c>
      <c r="P19" s="16" t="s">
        <v>673</v>
      </c>
      <c r="Q19" s="16" t="s">
        <v>666</v>
      </c>
    </row>
    <row r="20" spans="2:17">
      <c r="B20" s="11" t="s">
        <v>401</v>
      </c>
      <c r="C20">
        <v>8</v>
      </c>
      <c r="D20">
        <v>2</v>
      </c>
      <c r="E20">
        <v>3</v>
      </c>
      <c r="F20">
        <v>0</v>
      </c>
      <c r="G20">
        <f>StageEnemyInfo[[#This Row],[박쥐]]*표20[[#Totals],[박쥐]]+
StageEnemyInfo[[#This Row],[일반]]*표20[[#Totals],[일반]]+
StageEnemyInfo[[#This Row],[정예]]*표20[[#Totals],[정예]]</f>
        <v>15</v>
      </c>
      <c r="J20" s="16" t="s">
        <v>402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11</v>
      </c>
      <c r="L20">
        <f>FloorEnemyHPInfo[[#This Row],[박쥐 평균 개수]]*INDEX(EnemyHPInfo[박쥐],MATCH(FloorEnemyHPInfo[[#This Row],[층]],EnemyHPInfo[층]))</f>
        <v>220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13.5</v>
      </c>
      <c r="N20">
        <f>FloorEnemyHPInfo[[#This Row],[일반 평균 개수]]*INDEX(EnemyHPInfo[일반],MATCH(FloorEnemyHPInfo[[#This Row],[층]],EnemyHPInfo[층]))</f>
        <v>1080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1300</v>
      </c>
    </row>
    <row r="21" spans="2:17">
      <c r="B21" s="11" t="s">
        <v>401</v>
      </c>
      <c r="C21">
        <v>9</v>
      </c>
      <c r="D21">
        <v>2</v>
      </c>
      <c r="E21">
        <v>2</v>
      </c>
      <c r="F21">
        <v>0</v>
      </c>
      <c r="G21">
        <f>StageEnemyInfo[[#This Row],[박쥐]]*표20[[#Totals],[박쥐]]+
StageEnemyInfo[[#This Row],[일반]]*표20[[#Totals],[일반]]+
StageEnemyInfo[[#This Row],[정예]]*표20[[#Totals],[정예]]</f>
        <v>10</v>
      </c>
      <c r="J21" s="16" t="s">
        <v>404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16.8</v>
      </c>
      <c r="L21" s="11">
        <f>FloorEnemyHPInfo[[#This Row],[박쥐 평균 개수]]*INDEX(EnemyHPInfo[박쥐],MATCH(FloorEnemyHPInfo[[#This Row],[층]],EnemyHPInfo[층]))</f>
        <v>336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28.699999999999996</v>
      </c>
      <c r="N21" s="11">
        <f>FloorEnemyHPInfo[[#This Row],[일반 평균 개수]]*INDEX(EnemyHPInfo[일반],MATCH(FloorEnemyHPInfo[[#This Row],[층]],EnemyHPInfo[층]))</f>
        <v>2295.9999999999995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2631.9999999999995</v>
      </c>
    </row>
    <row r="22" spans="2:17">
      <c r="B22" s="11" t="s">
        <v>401</v>
      </c>
      <c r="C22">
        <v>10</v>
      </c>
      <c r="D22">
        <v>2</v>
      </c>
      <c r="E22">
        <v>3</v>
      </c>
      <c r="F22">
        <v>0</v>
      </c>
      <c r="G22">
        <f>StageEnemyInfo[[#This Row],[박쥐]]*표20[[#Totals],[박쥐]]+
StageEnemyInfo[[#This Row],[일반]]*표20[[#Totals],[일반]]+
StageEnemyInfo[[#This Row],[정예]]*표20[[#Totals],[정예]]</f>
        <v>15</v>
      </c>
      <c r="J22" s="16" t="s">
        <v>406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24.3</v>
      </c>
      <c r="L22">
        <f>FloorEnemyHPInfo[[#This Row],[박쥐 평균 개수]]*INDEX(EnemyHPInfo[박쥐],MATCH(FloorEnemyHPInfo[[#This Row],[층]],EnemyHPInfo[층]))</f>
        <v>486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42.300000000000004</v>
      </c>
      <c r="N22">
        <f>FloorEnemyHPInfo[[#This Row],[일반 평균 개수]]*INDEX(EnemyHPInfo[일반],MATCH(FloorEnemyHPInfo[[#This Row],[층]],EnemyHPInfo[층]))</f>
        <v>3384.0000000000005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9</v>
      </c>
      <c r="P22">
        <f>FloorEnemyHPInfo[[#This Row],[정예 평균 개수]]*INDEX(EnemyHPInfo[박쥐],MATCH(FloorEnemyHPInfo[[#This Row],[층]],EnemyHPInfo[층]))</f>
        <v>180</v>
      </c>
      <c r="Q22">
        <f>FloorEnemyHPInfo[[#This Row],[박쥐 총 HP]]+FloorEnemyHPInfo[[#This Row],[일반 총 HP]]+FloorEnemyHPInfo[[#This Row],[정예 총 HP]]</f>
        <v>4050.0000000000005</v>
      </c>
    </row>
    <row r="23" spans="2:17">
      <c r="B23" s="11" t="s">
        <v>404</v>
      </c>
      <c r="C23">
        <v>1</v>
      </c>
      <c r="D23">
        <v>2</v>
      </c>
      <c r="E23">
        <v>4</v>
      </c>
      <c r="F23">
        <v>0</v>
      </c>
      <c r="G23">
        <f>StageEnemyInfo[[#This Row],[박쥐]]*표20[[#Totals],[박쥐]]+
StageEnemyInfo[[#This Row],[일반]]*표20[[#Totals],[일반]]+
StageEnemyInfo[[#This Row],[정예]]*표20[[#Totals],[정예]]</f>
        <v>20</v>
      </c>
    </row>
    <row r="24" spans="2:17">
      <c r="B24" s="11" t="s">
        <v>404</v>
      </c>
      <c r="C24">
        <v>2</v>
      </c>
      <c r="D24">
        <v>2</v>
      </c>
      <c r="E24">
        <v>5</v>
      </c>
      <c r="F24">
        <v>0</v>
      </c>
      <c r="G24">
        <f>StageEnemyInfo[[#This Row],[박쥐]]*표20[[#Totals],[박쥐]]+
StageEnemyInfo[[#This Row],[일반]]*표20[[#Totals],[일반]]+
StageEnemyInfo[[#This Row],[정예]]*표20[[#Totals],[정예]]</f>
        <v>25</v>
      </c>
    </row>
    <row r="25" spans="2:17">
      <c r="B25" s="11" t="s">
        <v>403</v>
      </c>
      <c r="C25">
        <v>3</v>
      </c>
      <c r="D25">
        <v>2</v>
      </c>
      <c r="E25">
        <v>3</v>
      </c>
      <c r="F25">
        <v>0</v>
      </c>
      <c r="G25">
        <f>StageEnemyInfo[[#This Row],[박쥐]]*표20[[#Totals],[박쥐]]+
StageEnemyInfo[[#This Row],[일반]]*표20[[#Totals],[일반]]+
StageEnemyInfo[[#This Row],[정예]]*표20[[#Totals],[정예]]</f>
        <v>15</v>
      </c>
    </row>
    <row r="26" spans="2:17">
      <c r="B26" s="11" t="s">
        <v>403</v>
      </c>
      <c r="C26">
        <v>4</v>
      </c>
      <c r="D26">
        <v>2</v>
      </c>
      <c r="E26">
        <v>4</v>
      </c>
      <c r="F26">
        <v>0</v>
      </c>
      <c r="G26">
        <f>StageEnemyInfo[[#This Row],[박쥐]]*표20[[#Totals],[박쥐]]+
StageEnemyInfo[[#This Row],[일반]]*표20[[#Totals],[일반]]+
StageEnemyInfo[[#This Row],[정예]]*표20[[#Totals],[정예]]</f>
        <v>20</v>
      </c>
    </row>
    <row r="27" spans="2:17">
      <c r="B27" s="11" t="s">
        <v>403</v>
      </c>
      <c r="C27">
        <v>5</v>
      </c>
      <c r="D27">
        <v>4</v>
      </c>
      <c r="E27">
        <v>4</v>
      </c>
      <c r="F27">
        <v>0</v>
      </c>
      <c r="G27">
        <f>StageEnemyInfo[[#This Row],[박쥐]]*표20[[#Totals],[박쥐]]+
StageEnemyInfo[[#This Row],[일반]]*표20[[#Totals],[일반]]+
StageEnemyInfo[[#This Row],[정예]]*표20[[#Totals],[정예]]</f>
        <v>20</v>
      </c>
    </row>
    <row r="28" spans="2:17">
      <c r="B28" s="11" t="s">
        <v>403</v>
      </c>
      <c r="C28">
        <v>6</v>
      </c>
      <c r="D28">
        <v>2</v>
      </c>
      <c r="E28">
        <v>4</v>
      </c>
      <c r="F28">
        <v>0</v>
      </c>
      <c r="G28">
        <f>StageEnemyInfo[[#This Row],[박쥐]]*표20[[#Totals],[박쥐]]+
StageEnemyInfo[[#This Row],[일반]]*표20[[#Totals],[일반]]+
StageEnemyInfo[[#This Row],[정예]]*표20[[#Totals],[정예]]</f>
        <v>20</v>
      </c>
    </row>
    <row r="29" spans="2:17">
      <c r="B29" s="11" t="s">
        <v>403</v>
      </c>
      <c r="C29">
        <v>7</v>
      </c>
      <c r="D29">
        <v>4</v>
      </c>
      <c r="E29">
        <v>4</v>
      </c>
      <c r="F29">
        <v>0</v>
      </c>
      <c r="G29">
        <f>StageEnemyInfo[[#This Row],[박쥐]]*표20[[#Totals],[박쥐]]+
StageEnemyInfo[[#This Row],[일반]]*표20[[#Totals],[일반]]+
StageEnemyInfo[[#This Row],[정예]]*표20[[#Totals],[정예]]</f>
        <v>20</v>
      </c>
    </row>
    <row r="30" spans="2:17">
      <c r="B30" s="11" t="s">
        <v>403</v>
      </c>
      <c r="C30">
        <v>8</v>
      </c>
      <c r="D30">
        <v>2</v>
      </c>
      <c r="E30">
        <v>4</v>
      </c>
      <c r="F30">
        <v>0</v>
      </c>
      <c r="G30">
        <f>StageEnemyInfo[[#This Row],[박쥐]]*표20[[#Totals],[박쥐]]+
StageEnemyInfo[[#This Row],[일반]]*표20[[#Totals],[일반]]+
StageEnemyInfo[[#This Row],[정예]]*표20[[#Totals],[정예]]</f>
        <v>20</v>
      </c>
    </row>
    <row r="31" spans="2:17">
      <c r="B31" s="11" t="s">
        <v>403</v>
      </c>
      <c r="C31">
        <v>9</v>
      </c>
      <c r="D31">
        <v>2</v>
      </c>
      <c r="E31">
        <v>4</v>
      </c>
      <c r="F31">
        <v>0</v>
      </c>
      <c r="G31">
        <f>StageEnemyInfo[[#This Row],[박쥐]]*표20[[#Totals],[박쥐]]+
StageEnemyInfo[[#This Row],[일반]]*표20[[#Totals],[일반]]+
StageEnemyInfo[[#This Row],[정예]]*표20[[#Totals],[정예]]</f>
        <v>20</v>
      </c>
    </row>
    <row r="32" spans="2:17">
      <c r="B32" s="11" t="s">
        <v>403</v>
      </c>
      <c r="C32">
        <v>10</v>
      </c>
      <c r="D32">
        <v>2</v>
      </c>
      <c r="E32">
        <v>5</v>
      </c>
      <c r="F32">
        <v>0</v>
      </c>
      <c r="G32">
        <f>StageEnemyInfo[[#This Row],[박쥐]]*표20[[#Totals],[박쥐]]+
StageEnemyInfo[[#This Row],[일반]]*표20[[#Totals],[일반]]+
StageEnemyInfo[[#This Row],[정예]]*표20[[#Totals],[정예]]</f>
        <v>25</v>
      </c>
    </row>
    <row r="33" spans="2:7">
      <c r="B33" s="11" t="s">
        <v>406</v>
      </c>
      <c r="C33">
        <v>1</v>
      </c>
      <c r="D33">
        <v>2</v>
      </c>
      <c r="E33">
        <v>4</v>
      </c>
      <c r="F33">
        <v>1</v>
      </c>
      <c r="G33">
        <f>StageEnemyInfo[[#This Row],[박쥐]]*표20[[#Totals],[박쥐]]+
StageEnemyInfo[[#This Row],[일반]]*표20[[#Totals],[일반]]+
StageEnemyInfo[[#This Row],[정예]]*표20[[#Totals],[정예]]</f>
        <v>29.5</v>
      </c>
    </row>
    <row r="34" spans="2:7">
      <c r="B34" s="11" t="s">
        <v>406</v>
      </c>
      <c r="C34">
        <v>2</v>
      </c>
      <c r="D34">
        <v>2</v>
      </c>
      <c r="E34">
        <v>5</v>
      </c>
      <c r="F34">
        <v>1</v>
      </c>
      <c r="G34">
        <f>StageEnemyInfo[[#This Row],[박쥐]]*표20[[#Totals],[박쥐]]+
StageEnemyInfo[[#This Row],[일반]]*표20[[#Totals],[일반]]+
StageEnemyInfo[[#This Row],[정예]]*표20[[#Totals],[정예]]</f>
        <v>34.5</v>
      </c>
    </row>
    <row r="35" spans="2:7">
      <c r="B35" s="11" t="s">
        <v>405</v>
      </c>
      <c r="C35">
        <v>3</v>
      </c>
      <c r="D35">
        <v>2</v>
      </c>
      <c r="E35">
        <v>5</v>
      </c>
      <c r="F35">
        <v>1</v>
      </c>
      <c r="G35">
        <f>StageEnemyInfo[[#This Row],[박쥐]]*표20[[#Totals],[박쥐]]+
StageEnemyInfo[[#This Row],[일반]]*표20[[#Totals],[일반]]+
StageEnemyInfo[[#This Row],[정예]]*표20[[#Totals],[정예]]</f>
        <v>34.5</v>
      </c>
    </row>
    <row r="36" spans="2:7">
      <c r="B36" s="11" t="s">
        <v>405</v>
      </c>
      <c r="C36">
        <v>4</v>
      </c>
      <c r="D36">
        <v>3</v>
      </c>
      <c r="E36">
        <v>4</v>
      </c>
      <c r="F36">
        <v>1</v>
      </c>
      <c r="G36">
        <f>StageEnemyInfo[[#This Row],[박쥐]]*표20[[#Totals],[박쥐]]+
StageEnemyInfo[[#This Row],[일반]]*표20[[#Totals],[일반]]+
StageEnemyInfo[[#This Row],[정예]]*표20[[#Totals],[정예]]</f>
        <v>29.5</v>
      </c>
    </row>
    <row r="37" spans="2:7">
      <c r="B37" s="11" t="s">
        <v>405</v>
      </c>
      <c r="C37">
        <v>5</v>
      </c>
      <c r="D37">
        <v>4</v>
      </c>
      <c r="E37">
        <v>5</v>
      </c>
      <c r="F37">
        <v>1</v>
      </c>
      <c r="G37">
        <f>StageEnemyInfo[[#This Row],[박쥐]]*표20[[#Totals],[박쥐]]+
StageEnemyInfo[[#This Row],[일반]]*표20[[#Totals],[일반]]+
StageEnemyInfo[[#This Row],[정예]]*표20[[#Totals],[정예]]</f>
        <v>34.5</v>
      </c>
    </row>
    <row r="38" spans="2:7">
      <c r="B38" s="11" t="s">
        <v>405</v>
      </c>
      <c r="C38">
        <v>6</v>
      </c>
      <c r="D38">
        <v>2</v>
      </c>
      <c r="E38">
        <v>5</v>
      </c>
      <c r="F38">
        <v>1</v>
      </c>
      <c r="G38">
        <f>StageEnemyInfo[[#This Row],[박쥐]]*표20[[#Totals],[박쥐]]+
StageEnemyInfo[[#This Row],[일반]]*표20[[#Totals],[일반]]+
StageEnemyInfo[[#This Row],[정예]]*표20[[#Totals],[정예]]</f>
        <v>34.5</v>
      </c>
    </row>
    <row r="39" spans="2:7">
      <c r="B39" s="11" t="s">
        <v>405</v>
      </c>
      <c r="C39">
        <v>7</v>
      </c>
      <c r="D39">
        <v>4</v>
      </c>
      <c r="E39">
        <v>6</v>
      </c>
      <c r="F39">
        <v>1</v>
      </c>
      <c r="G39">
        <f>StageEnemyInfo[[#This Row],[박쥐]]*표20[[#Totals],[박쥐]]+
StageEnemyInfo[[#This Row],[일반]]*표20[[#Totals],[일반]]+
StageEnemyInfo[[#This Row],[정예]]*표20[[#Totals],[정예]]</f>
        <v>39.5</v>
      </c>
    </row>
    <row r="40" spans="2:7">
      <c r="B40" s="11" t="s">
        <v>405</v>
      </c>
      <c r="C40">
        <v>8</v>
      </c>
      <c r="D40">
        <v>2</v>
      </c>
      <c r="E40">
        <v>5</v>
      </c>
      <c r="F40">
        <v>1</v>
      </c>
      <c r="G40">
        <f>StageEnemyInfo[[#This Row],[박쥐]]*표20[[#Totals],[박쥐]]+
StageEnemyInfo[[#This Row],[일반]]*표20[[#Totals],[일반]]+
StageEnemyInfo[[#This Row],[정예]]*표20[[#Totals],[정예]]</f>
        <v>34.5</v>
      </c>
    </row>
    <row r="41" spans="2:7">
      <c r="B41" s="11" t="s">
        <v>405</v>
      </c>
      <c r="C41">
        <v>9</v>
      </c>
      <c r="D41">
        <v>2</v>
      </c>
      <c r="E41">
        <v>3</v>
      </c>
      <c r="F41">
        <v>1</v>
      </c>
      <c r="G41">
        <f>StageEnemyInfo[[#This Row],[박쥐]]*표20[[#Totals],[박쥐]]+
StageEnemyInfo[[#This Row],[일반]]*표20[[#Totals],[일반]]+
StageEnemyInfo[[#This Row],[정예]]*표20[[#Totals],[정예]]</f>
        <v>24.5</v>
      </c>
    </row>
    <row r="42" spans="2:7">
      <c r="B42" s="11" t="s">
        <v>405</v>
      </c>
      <c r="C42">
        <v>10</v>
      </c>
      <c r="D42">
        <v>4</v>
      </c>
      <c r="E42">
        <v>5</v>
      </c>
      <c r="F42">
        <v>1</v>
      </c>
      <c r="G42">
        <f>StageEnemyInfo[[#This Row],[박쥐]]*표20[[#Totals],[박쥐]]+
StageEnemyInfo[[#This Row],[일반]]*표20[[#Totals],[일반]]+
StageEnemyInfo[[#This Row],[정예]]*표20[[#Totals],[정예]]</f>
        <v>34.5</v>
      </c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topLeftCell="A7" zoomScale="85" zoomScaleNormal="85" zoomScaleSheetLayoutView="100" workbookViewId="0">
      <selection activeCell="E18" sqref="E18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7" customWidth="1"/>
    <col min="6" max="6" width="13.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76" t="s">
        <v>176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730</v>
      </c>
      <c r="C5" s="8" t="s">
        <v>731</v>
      </c>
      <c r="H5" s="2" t="s">
        <v>675</v>
      </c>
      <c r="N5" s="2" t="s">
        <v>59</v>
      </c>
    </row>
    <row r="6" spans="1:17">
      <c r="B6" s="11" t="s">
        <v>739</v>
      </c>
      <c r="C6" s="11" t="s">
        <v>740</v>
      </c>
      <c r="D6" s="11" t="s">
        <v>840</v>
      </c>
      <c r="H6" t="s">
        <v>23</v>
      </c>
      <c r="I6" t="s">
        <v>211</v>
      </c>
      <c r="J6" t="s">
        <v>178</v>
      </c>
      <c r="N6" t="s">
        <v>55</v>
      </c>
      <c r="O6" s="11" t="s">
        <v>311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402</v>
      </c>
      <c r="I7" t="e">
        <f>#REF!</f>
        <v>#REF!</v>
      </c>
      <c r="J7" t="e">
        <f>INDEX(FloorEnemyHPInfo[총합], MATCH(밸런스시트[[#This Row],[층]],FloorEnemyHPInfo[층]))/밸런스시트[[#This Row],[PC 최대 DPS]]</f>
        <v>#REF!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404</v>
      </c>
      <c r="I8" t="e">
        <f>#REF!</f>
        <v>#REF!</v>
      </c>
      <c r="J8" t="e">
        <f>INDEX(FloorEnemyHPInfo[총합], MATCH(밸런스시트[[#This Row],[층]],FloorEnemyHPInfo[층]))/밸런스시트[[#This Row],[PC 최대 DPS]]</f>
        <v>#REF!</v>
      </c>
    </row>
    <row r="9" spans="1:17">
      <c r="A9" s="9"/>
      <c r="B9" s="16"/>
      <c r="H9" s="16" t="s">
        <v>406</v>
      </c>
      <c r="I9" t="e">
        <f>#REF!</f>
        <v>#REF!</v>
      </c>
      <c r="J9" t="e">
        <f>INDEX(FloorEnemyHPInfo[총합], MATCH(밸런스시트[[#This Row],[층]],FloorEnemyHPInfo[층]))/밸런스시트[[#This Row],[PC 최대 DPS]]</f>
        <v>#REF!</v>
      </c>
      <c r="N9" s="2" t="s">
        <v>161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741</v>
      </c>
    </row>
    <row r="11" spans="1:17">
      <c r="A11" s="9"/>
      <c r="B11" t="s">
        <v>31</v>
      </c>
      <c r="C11" t="s">
        <v>85</v>
      </c>
      <c r="D11" t="s">
        <v>35</v>
      </c>
      <c r="E11" t="s">
        <v>213</v>
      </c>
      <c r="F11" s="11" t="s">
        <v>728</v>
      </c>
      <c r="H11" s="61" t="s">
        <v>626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114</v>
      </c>
      <c r="C12" s="10" t="s">
        <v>17</v>
      </c>
      <c r="D12" t="s">
        <v>78</v>
      </c>
      <c r="E12" s="19">
        <v>0</v>
      </c>
      <c r="F12" s="67">
        <v>0</v>
      </c>
      <c r="H12" s="11" t="s">
        <v>722</v>
      </c>
      <c r="I12" s="11" t="s">
        <v>723</v>
      </c>
      <c r="J12" s="11" t="s">
        <v>724</v>
      </c>
      <c r="K12" t="s">
        <v>715</v>
      </c>
      <c r="L12" t="s">
        <v>716</v>
      </c>
    </row>
    <row r="13" spans="1:17">
      <c r="A13" s="9"/>
      <c r="B13" s="9" t="s">
        <v>0</v>
      </c>
      <c r="C13" s="9" t="s">
        <v>152</v>
      </c>
      <c r="D13" t="s">
        <v>87</v>
      </c>
      <c r="E13" s="19">
        <f>50/1</f>
        <v>50</v>
      </c>
      <c r="F13" s="67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36.36363636363636</v>
      </c>
      <c r="J13" s="19" cm="1">
        <f t="array" ref="J13">CharacterAtkTable[ChargeShootSpd]*표26[튕김 기댓값]*표26[튕김 속도 데미지 감쇄]</f>
        <v>24</v>
      </c>
      <c r="K13" s="19" cm="1">
        <f t="array" ref="K13">CharacterAtkTable[EnemyProjectileDmg]*표26[적에게 튕김 기댓값]</f>
        <v>28</v>
      </c>
      <c r="L13" s="19">
        <f>표25[[#This Row],[직접 차징 DPS]]+표25[[#This Row],[차징 튕김 데미지 추가]]+표25[[#This Row],[차징 공격 적 맞춤 데미지 추가]]</f>
        <v>88.36363636363636</v>
      </c>
      <c r="N13" s="2" t="s">
        <v>57</v>
      </c>
    </row>
    <row r="14" spans="1:17">
      <c r="A14" s="9"/>
      <c r="B14" s="9" t="s">
        <v>32</v>
      </c>
      <c r="C14" s="9" t="s">
        <v>152</v>
      </c>
      <c r="D14" t="s">
        <v>89</v>
      </c>
      <c r="E14" s="19">
        <v>0</v>
      </c>
      <c r="F14" s="67">
        <v>0</v>
      </c>
      <c r="N14" t="s">
        <v>58</v>
      </c>
      <c r="O14" t="s">
        <v>175</v>
      </c>
    </row>
    <row r="15" spans="1:17">
      <c r="A15" s="9"/>
      <c r="B15" s="62" t="s">
        <v>119</v>
      </c>
      <c r="C15" s="62" t="s">
        <v>152</v>
      </c>
      <c r="D15" s="20" t="s">
        <v>209</v>
      </c>
      <c r="E15" s="22">
        <f>50/3</f>
        <v>16.666666666666668</v>
      </c>
      <c r="F15" s="67">
        <v>0</v>
      </c>
      <c r="H15" t="s">
        <v>717</v>
      </c>
      <c r="I15" t="s">
        <v>718</v>
      </c>
      <c r="J15" t="s">
        <v>719</v>
      </c>
      <c r="N15">
        <v>100</v>
      </c>
      <c r="O15">
        <v>0.2</v>
      </c>
    </row>
    <row r="16" spans="1:17">
      <c r="A16" s="9"/>
      <c r="B16" s="9" t="s">
        <v>167</v>
      </c>
      <c r="C16" s="9" t="s">
        <v>152</v>
      </c>
      <c r="D16" t="s">
        <v>84</v>
      </c>
      <c r="E16" s="14">
        <f>50/0.5</f>
        <v>100</v>
      </c>
      <c r="F16" s="67">
        <v>0</v>
      </c>
      <c r="H16">
        <v>2</v>
      </c>
      <c r="I16">
        <v>0.7</v>
      </c>
      <c r="J16">
        <v>0.8</v>
      </c>
    </row>
    <row r="17" spans="1:15">
      <c r="A17" s="9"/>
      <c r="B17" s="63" t="s">
        <v>359</v>
      </c>
      <c r="C17" s="9" t="s">
        <v>152</v>
      </c>
      <c r="D17" s="11" t="s">
        <v>704</v>
      </c>
      <c r="E17" s="14">
        <f>50/0.8</f>
        <v>62.5</v>
      </c>
      <c r="F17" s="67">
        <v>0</v>
      </c>
    </row>
    <row r="18" spans="1:15">
      <c r="A18" s="9"/>
      <c r="B18" s="63" t="s">
        <v>706</v>
      </c>
      <c r="C18" s="9" t="s">
        <v>152</v>
      </c>
      <c r="D18" s="11" t="s">
        <v>707</v>
      </c>
      <c r="E18" s="19">
        <v>100</v>
      </c>
      <c r="F18" s="67">
        <v>0</v>
      </c>
      <c r="H18" t="s">
        <v>720</v>
      </c>
      <c r="I18" t="s">
        <v>721</v>
      </c>
      <c r="J18" s="11" t="s">
        <v>729</v>
      </c>
    </row>
    <row r="19" spans="1:15">
      <c r="A19" s="9"/>
      <c r="B19" t="s">
        <v>144</v>
      </c>
      <c r="C19" s="9" t="s">
        <v>141</v>
      </c>
      <c r="D19" s="11" t="s">
        <v>708</v>
      </c>
      <c r="E19" s="19">
        <v>100</v>
      </c>
      <c r="F19" s="67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69.181818181818187</v>
      </c>
      <c r="J19" s="19">
        <v>100</v>
      </c>
    </row>
    <row r="20" spans="1:15">
      <c r="A20" s="9"/>
      <c r="B20" s="9" t="s">
        <v>108</v>
      </c>
      <c r="C20" s="9" t="s">
        <v>141</v>
      </c>
      <c r="D20" t="s">
        <v>88</v>
      </c>
      <c r="E20" s="19">
        <f>20/0.2</f>
        <v>100</v>
      </c>
      <c r="F20" s="67">
        <v>0</v>
      </c>
    </row>
    <row r="21" spans="1:15">
      <c r="A21" s="9"/>
      <c r="B21" s="9" t="s">
        <v>201</v>
      </c>
      <c r="C21" s="9" t="s">
        <v>10</v>
      </c>
      <c r="D21" t="s">
        <v>79</v>
      </c>
      <c r="E21" s="19" cm="1">
        <f t="array" ref="E21">밸런스시트31[DPS 상승량]</f>
        <v>250</v>
      </c>
      <c r="F21" s="67">
        <v>0</v>
      </c>
    </row>
    <row r="22" spans="1:15">
      <c r="A22" s="9"/>
      <c r="B22" s="9" t="s">
        <v>200</v>
      </c>
      <c r="C22" s="9" t="s">
        <v>10</v>
      </c>
      <c r="D22" s="11" t="s">
        <v>727</v>
      </c>
      <c r="E22" s="19">
        <f>30/0.3</f>
        <v>100</v>
      </c>
      <c r="F22" s="67">
        <v>0</v>
      </c>
    </row>
    <row r="23" spans="1:15">
      <c r="A23" s="9"/>
      <c r="B23" s="9" t="s">
        <v>8</v>
      </c>
      <c r="C23" s="9" t="s">
        <v>10</v>
      </c>
      <c r="D23" s="11" t="s">
        <v>726</v>
      </c>
      <c r="E23" s="19">
        <f>50/360</f>
        <v>0.1388888888888889</v>
      </c>
      <c r="F23" s="67">
        <v>0</v>
      </c>
    </row>
    <row r="24" spans="1:15">
      <c r="A24" s="9"/>
      <c r="B24" s="9" t="s">
        <v>137</v>
      </c>
      <c r="C24" s="9" t="s">
        <v>10</v>
      </c>
      <c r="D24" s="11" t="s">
        <v>725</v>
      </c>
      <c r="E24" s="19" cm="1">
        <f t="array" ref="E24">30/(CharacterAtkTable[SwingCooldown]*-0.08)</f>
        <v>-750</v>
      </c>
      <c r="F24" s="67">
        <v>0</v>
      </c>
    </row>
    <row r="25" spans="1:15">
      <c r="A25" s="9"/>
      <c r="B25" s="9" t="s">
        <v>115</v>
      </c>
      <c r="C25" s="9" t="s">
        <v>10</v>
      </c>
      <c r="D25" t="s">
        <v>156</v>
      </c>
      <c r="E25" s="65">
        <v>30</v>
      </c>
      <c r="F25" s="67">
        <v>0</v>
      </c>
      <c r="O25" s="11">
        <f>0.5*0.8</f>
        <v>0.4</v>
      </c>
    </row>
    <row r="26" spans="1:15">
      <c r="A26" s="9"/>
      <c r="B26" s="9" t="s">
        <v>218</v>
      </c>
      <c r="C26" s="9" t="s">
        <v>10</v>
      </c>
      <c r="D26" s="11" t="s">
        <v>709</v>
      </c>
      <c r="E26" s="66" cm="1">
        <f t="array" ref="E26">30/(CharacterAtkTable[ChargeTime]*-0.15)</f>
        <v>-333.33333333333337</v>
      </c>
      <c r="F26" s="67">
        <v>0</v>
      </c>
    </row>
    <row r="27" spans="1:15">
      <c r="A27" s="9"/>
      <c r="B27" s="63" t="s">
        <v>381</v>
      </c>
      <c r="C27" s="9" t="s">
        <v>10</v>
      </c>
      <c r="D27" s="11" t="s">
        <v>710</v>
      </c>
      <c r="E27" s="66">
        <f>30/-0.08</f>
        <v>-375</v>
      </c>
      <c r="F27" s="67">
        <v>0</v>
      </c>
    </row>
    <row r="28" spans="1:15">
      <c r="A28" s="9"/>
      <c r="B28" s="9" t="s">
        <v>130</v>
      </c>
      <c r="C28" s="9" t="s">
        <v>10</v>
      </c>
      <c r="D28" t="s">
        <v>147</v>
      </c>
      <c r="E28" s="19">
        <f>50/100</f>
        <v>0.5</v>
      </c>
      <c r="F28" s="67">
        <v>0</v>
      </c>
    </row>
    <row r="29" spans="1:15">
      <c r="A29" s="9"/>
      <c r="B29" s="9" t="s">
        <v>153</v>
      </c>
      <c r="C29" s="9" t="s">
        <v>10</v>
      </c>
      <c r="D29" t="s">
        <v>149</v>
      </c>
      <c r="E29" s="19">
        <f>50/100</f>
        <v>0.5</v>
      </c>
      <c r="F29" s="67">
        <v>0</v>
      </c>
    </row>
    <row r="30" spans="1:15">
      <c r="A30" s="9"/>
      <c r="B30" s="53" t="s">
        <v>415</v>
      </c>
      <c r="C30" s="9" t="s">
        <v>10</v>
      </c>
      <c r="D30" t="s">
        <v>160</v>
      </c>
      <c r="E30" s="19">
        <f>30/1/2</f>
        <v>15</v>
      </c>
      <c r="F30" s="67">
        <v>0</v>
      </c>
    </row>
    <row r="31" spans="1:15">
      <c r="A31" s="9"/>
      <c r="B31" s="9" t="s">
        <v>140</v>
      </c>
      <c r="C31" s="9" t="s">
        <v>10</v>
      </c>
      <c r="D31" t="s">
        <v>207</v>
      </c>
      <c r="E31" s="19">
        <f>50/25</f>
        <v>2</v>
      </c>
      <c r="F31" s="67">
        <v>0</v>
      </c>
    </row>
    <row r="32" spans="1:15">
      <c r="A32" s="9"/>
      <c r="B32" s="9" t="s">
        <v>146</v>
      </c>
      <c r="C32" s="9" t="s">
        <v>10</v>
      </c>
      <c r="D32" t="s">
        <v>208</v>
      </c>
      <c r="E32" s="19">
        <f>50/25</f>
        <v>2</v>
      </c>
      <c r="F32" s="67">
        <v>0</v>
      </c>
    </row>
    <row r="33" spans="1:6">
      <c r="A33" s="9"/>
      <c r="B33" s="9" t="s">
        <v>159</v>
      </c>
      <c r="C33" s="9" t="s">
        <v>10</v>
      </c>
      <c r="D33" t="s">
        <v>223</v>
      </c>
      <c r="E33" s="19">
        <v>2</v>
      </c>
      <c r="F33" s="67">
        <v>0</v>
      </c>
    </row>
    <row r="34" spans="1:6">
      <c r="A34" s="9"/>
      <c r="B34" s="9" t="s">
        <v>163</v>
      </c>
      <c r="C34" s="9" t="s">
        <v>10</v>
      </c>
      <c r="D34" t="s">
        <v>224</v>
      </c>
      <c r="E34" s="19">
        <v>2</v>
      </c>
      <c r="F34" s="67">
        <v>0</v>
      </c>
    </row>
    <row r="35" spans="1:6">
      <c r="B35" s="9" t="s">
        <v>117</v>
      </c>
      <c r="C35" s="9" t="s">
        <v>34</v>
      </c>
      <c r="D35" s="9" t="s">
        <v>12</v>
      </c>
      <c r="E35" s="19">
        <v>-50</v>
      </c>
      <c r="F35" s="67">
        <v>0</v>
      </c>
    </row>
    <row r="36" spans="1:6">
      <c r="B36" s="9" t="s">
        <v>86</v>
      </c>
      <c r="C36" s="9" t="s">
        <v>34</v>
      </c>
      <c r="D36" s="9" t="s">
        <v>11</v>
      </c>
      <c r="E36" s="19">
        <v>-30</v>
      </c>
      <c r="F36" s="67">
        <v>0</v>
      </c>
    </row>
    <row r="37" spans="1:6">
      <c r="B37" s="9" t="s">
        <v>168</v>
      </c>
      <c r="C37" s="9" t="s">
        <v>34</v>
      </c>
      <c r="D37" s="9" t="s">
        <v>9</v>
      </c>
      <c r="E37" s="19">
        <v>50</v>
      </c>
      <c r="F37" s="67">
        <v>0</v>
      </c>
    </row>
    <row r="38" spans="1:6">
      <c r="B38" s="9" t="s">
        <v>29</v>
      </c>
      <c r="C38" s="9" t="s">
        <v>34</v>
      </c>
      <c r="D38" s="9" t="s">
        <v>234</v>
      </c>
      <c r="E38" s="19">
        <v>50</v>
      </c>
      <c r="F38" s="67">
        <v>0</v>
      </c>
    </row>
    <row r="39" spans="1:6">
      <c r="B39" s="9" t="s">
        <v>166</v>
      </c>
      <c r="C39" s="9" t="s">
        <v>34</v>
      </c>
      <c r="D39" s="9" t="s">
        <v>110</v>
      </c>
      <c r="E39" s="19">
        <v>50</v>
      </c>
      <c r="F39" s="67">
        <v>0</v>
      </c>
    </row>
    <row r="40" spans="1:6">
      <c r="B40" s="9" t="s">
        <v>116</v>
      </c>
      <c r="C40" s="9" t="s">
        <v>34</v>
      </c>
      <c r="D40" s="9" t="s">
        <v>142</v>
      </c>
      <c r="E40" s="19">
        <v>50</v>
      </c>
      <c r="F40" s="67">
        <v>0</v>
      </c>
    </row>
    <row r="42" spans="1:6">
      <c r="B42" s="2" t="s">
        <v>829</v>
      </c>
    </row>
    <row r="43" spans="1:6">
      <c r="B43" s="11" t="s">
        <v>839</v>
      </c>
      <c r="C43" s="11" t="s">
        <v>841</v>
      </c>
      <c r="D43" s="11" t="s">
        <v>842</v>
      </c>
      <c r="E43" s="11" t="s">
        <v>829</v>
      </c>
      <c r="F43" s="11" t="s">
        <v>728</v>
      </c>
    </row>
    <row r="44" spans="1:6">
      <c r="B44" s="9" t="s">
        <v>830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7">
        <v>0</v>
      </c>
    </row>
    <row r="45" spans="1:6">
      <c r="B45" s="9" t="s">
        <v>831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7">
        <v>2</v>
      </c>
    </row>
    <row r="46" spans="1:6">
      <c r="B46" s="9" t="s">
        <v>832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7">
        <v>3</v>
      </c>
    </row>
    <row r="47" spans="1:6">
      <c r="B47" t="s">
        <v>833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7">
        <v>0</v>
      </c>
    </row>
    <row r="48" spans="1:6">
      <c r="B48" t="s">
        <v>834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7">
        <v>0.75</v>
      </c>
    </row>
    <row r="49" spans="2:6">
      <c r="B49" t="s">
        <v>835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7">
        <v>0.1</v>
      </c>
    </row>
    <row r="50" spans="2:6">
      <c r="B50" t="s">
        <v>836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7">
        <v>0.5</v>
      </c>
    </row>
    <row r="51" spans="2:6">
      <c r="B51" t="s">
        <v>837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7">
        <v>0</v>
      </c>
    </row>
    <row r="52" spans="2:6">
      <c r="B52" t="s">
        <v>838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7">
        <v>0</v>
      </c>
    </row>
    <row r="53" spans="2:6">
      <c r="C53" s="63"/>
      <c r="D53" s="67"/>
      <c r="E53" s="67"/>
      <c r="F53" s="67"/>
    </row>
    <row r="54" spans="2:6">
      <c r="B54" s="2" t="s">
        <v>829</v>
      </c>
    </row>
    <row r="55" spans="2:6">
      <c r="B55" s="11" t="s">
        <v>856</v>
      </c>
      <c r="C55" t="s">
        <v>858</v>
      </c>
      <c r="D55" s="11" t="s">
        <v>859</v>
      </c>
      <c r="E55" s="11" t="s">
        <v>857</v>
      </c>
      <c r="F55" s="11" t="s">
        <v>728</v>
      </c>
    </row>
    <row r="56" spans="2:6">
      <c r="B56" s="16" t="s">
        <v>452</v>
      </c>
      <c r="E56" s="19" cm="1">
        <f t="array" ref="E56">밸런스시트31[체력 상승량]</f>
        <v>1.2</v>
      </c>
    </row>
    <row r="57" spans="2:6">
      <c r="B57" s="16" t="s">
        <v>363</v>
      </c>
      <c r="E57" s="19"/>
    </row>
    <row r="58" spans="2:6">
      <c r="B58" s="16" t="s">
        <v>350</v>
      </c>
      <c r="E58" s="19"/>
    </row>
    <row r="59" spans="2:6">
      <c r="B59" s="48" t="s">
        <v>482</v>
      </c>
      <c r="E59" s="57">
        <v>1</v>
      </c>
    </row>
    <row r="60" spans="2:6">
      <c r="B60" s="16" t="s">
        <v>335</v>
      </c>
      <c r="E60" s="19"/>
    </row>
    <row r="61" spans="2:6">
      <c r="B61" s="16" t="s">
        <v>356</v>
      </c>
      <c r="E61" s="19"/>
    </row>
    <row r="62" spans="2:6">
      <c r="B62" s="16" t="s">
        <v>351</v>
      </c>
      <c r="E62" s="19"/>
    </row>
    <row r="63" spans="2:6">
      <c r="B63" s="16" t="s">
        <v>361</v>
      </c>
      <c r="E63" s="19"/>
    </row>
    <row r="64" spans="2:6">
      <c r="B64" s="20" t="s">
        <v>471</v>
      </c>
      <c r="E64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112</v>
      </c>
      <c r="C3">
        <v>5</v>
      </c>
      <c r="D3" s="4" t="s">
        <v>127</v>
      </c>
    </row>
    <row r="4" spans="1:4">
      <c r="A4">
        <v>2</v>
      </c>
      <c r="B4" s="4" t="s">
        <v>157</v>
      </c>
      <c r="C4">
        <v>5</v>
      </c>
      <c r="D4" s="4" t="s">
        <v>111</v>
      </c>
    </row>
    <row r="5" spans="1:4">
      <c r="A5">
        <v>3</v>
      </c>
      <c r="B5" s="4" t="s">
        <v>164</v>
      </c>
      <c r="C5">
        <v>20</v>
      </c>
      <c r="D5" s="4" t="s">
        <v>1</v>
      </c>
    </row>
    <row r="6" spans="1:4">
      <c r="A6">
        <v>4</v>
      </c>
      <c r="B6" s="4" t="s">
        <v>165</v>
      </c>
      <c r="C6">
        <v>0.5</v>
      </c>
      <c r="D6" s="4" t="s">
        <v>121</v>
      </c>
    </row>
    <row r="7" spans="1:4">
      <c r="A7">
        <v>5</v>
      </c>
      <c r="B7" s="4" t="s">
        <v>203</v>
      </c>
      <c r="C7">
        <v>50</v>
      </c>
      <c r="D7" s="4" t="s">
        <v>233</v>
      </c>
    </row>
    <row r="8" spans="1:4">
      <c r="A8">
        <v>6</v>
      </c>
      <c r="B8" s="4" t="s">
        <v>206</v>
      </c>
      <c r="C8">
        <v>1</v>
      </c>
      <c r="D8" s="4" t="s">
        <v>109</v>
      </c>
    </row>
    <row r="9" spans="1:4">
      <c r="A9">
        <v>7</v>
      </c>
      <c r="B9" s="4" t="s">
        <v>232</v>
      </c>
      <c r="C9">
        <v>10</v>
      </c>
      <c r="D9" s="4" t="s">
        <v>231</v>
      </c>
    </row>
    <row r="10" spans="1:4">
      <c r="A10">
        <v>8</v>
      </c>
      <c r="B10" s="4" t="s">
        <v>13</v>
      </c>
      <c r="C10">
        <v>5</v>
      </c>
      <c r="D10" s="4" t="s">
        <v>107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95</v>
      </c>
      <c r="L1" t="s">
        <v>95</v>
      </c>
      <c r="M1" t="s">
        <v>26</v>
      </c>
    </row>
    <row r="2" spans="2:13">
      <c r="B2" t="s">
        <v>41</v>
      </c>
      <c r="C2" s="5" t="s">
        <v>24</v>
      </c>
      <c r="D2" t="s">
        <v>92</v>
      </c>
      <c r="E2" t="s">
        <v>173</v>
      </c>
      <c r="F2" t="s">
        <v>0</v>
      </c>
      <c r="G2" s="11" t="s">
        <v>381</v>
      </c>
      <c r="H2" t="s">
        <v>5</v>
      </c>
      <c r="I2" s="16" t="s">
        <v>359</v>
      </c>
      <c r="J2" t="s">
        <v>3</v>
      </c>
      <c r="K2" t="s">
        <v>14</v>
      </c>
      <c r="L2" t="s">
        <v>144</v>
      </c>
      <c r="M2" t="s">
        <v>167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zoomScaleNormal="100" zoomScaleSheetLayoutView="100" workbookViewId="0">
      <selection activeCell="F6" sqref="F6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18.125" bestFit="1" customWidth="1"/>
    <col min="9" max="9" width="19.125" bestFit="1" customWidth="1"/>
    <col min="10" max="10" width="22.625" bestFit="1" customWidth="1"/>
    <col min="11" max="11" width="18.875" bestFit="1" customWidth="1"/>
    <col min="12" max="13" width="19.5" bestFit="1" customWidth="1"/>
    <col min="14" max="14" width="23.375" bestFit="1" customWidth="1"/>
    <col min="15" max="15" width="23.125" bestFit="1" customWidth="1"/>
    <col min="16" max="16" width="13.375" bestFit="1" customWidth="1"/>
    <col min="17" max="17" width="14.125" bestFit="1" customWidth="1"/>
    <col min="18" max="18" width="25.125" bestFit="1" customWidth="1"/>
    <col min="19" max="21" width="22.375" bestFit="1" customWidth="1"/>
    <col min="22" max="22" width="21.125" customWidth="1"/>
    <col min="23" max="23" width="27.1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360</v>
      </c>
      <c r="E2" s="6" t="s">
        <v>200</v>
      </c>
      <c r="F2" s="37" t="s">
        <v>481</v>
      </c>
      <c r="G2" s="6" t="s">
        <v>218</v>
      </c>
      <c r="H2" s="6" t="s">
        <v>115</v>
      </c>
      <c r="I2" s="33" t="s">
        <v>431</v>
      </c>
      <c r="J2" s="37" t="s">
        <v>422</v>
      </c>
      <c r="K2" s="6" t="s">
        <v>16</v>
      </c>
      <c r="L2" s="7" t="s">
        <v>140</v>
      </c>
      <c r="M2" s="7" t="s">
        <v>146</v>
      </c>
      <c r="N2" s="38" t="s">
        <v>429</v>
      </c>
      <c r="O2" s="28" t="s">
        <v>430</v>
      </c>
      <c r="P2" s="1" t="s">
        <v>201</v>
      </c>
    </row>
    <row r="3" spans="2:22">
      <c r="B3">
        <v>200</v>
      </c>
      <c r="C3" s="4" t="s">
        <v>179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40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134</v>
      </c>
      <c r="E2" s="23" t="s">
        <v>126</v>
      </c>
      <c r="F2" s="23" t="s">
        <v>174</v>
      </c>
      <c r="G2" t="s">
        <v>6</v>
      </c>
      <c r="H2" t="s">
        <v>190</v>
      </c>
      <c r="I2" t="s">
        <v>132</v>
      </c>
      <c r="J2" t="s">
        <v>131</v>
      </c>
      <c r="K2" t="s">
        <v>177</v>
      </c>
      <c r="L2" t="s">
        <v>128</v>
      </c>
      <c r="M2" t="s">
        <v>133</v>
      </c>
      <c r="N2" s="5" t="s">
        <v>74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77</v>
      </c>
    </row>
    <row r="3" spans="2:19">
      <c r="B3">
        <v>800</v>
      </c>
      <c r="C3" s="13" t="s">
        <v>402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404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406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364</v>
      </c>
      <c r="H2" t="s">
        <v>27</v>
      </c>
      <c r="I2" t="s">
        <v>52</v>
      </c>
    </row>
    <row r="3" spans="1:11">
      <c r="B3" s="23">
        <v>9001</v>
      </c>
      <c r="C3" s="25" t="s">
        <v>320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319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251</v>
      </c>
      <c r="B6">
        <v>9100</v>
      </c>
      <c r="C6" s="13" t="s">
        <v>317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318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C1" zoomScaleNormal="75" zoomScaleSheetLayoutView="100" workbookViewId="0">
      <selection activeCell="D32" sqref="D32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26</v>
      </c>
      <c r="C1" s="16" t="s">
        <v>339</v>
      </c>
      <c r="D1" s="11" t="s">
        <v>251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323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338</v>
      </c>
      <c r="D2" s="12" t="s">
        <v>251</v>
      </c>
      <c r="E2" t="s">
        <v>72</v>
      </c>
      <c r="F2" s="16" t="s">
        <v>315</v>
      </c>
      <c r="G2" t="s">
        <v>184</v>
      </c>
      <c r="H2" t="s">
        <v>186</v>
      </c>
      <c r="I2" s="16" t="s">
        <v>343</v>
      </c>
      <c r="J2" t="s">
        <v>0</v>
      </c>
      <c r="K2" s="16" t="s">
        <v>324</v>
      </c>
      <c r="L2" t="s">
        <v>124</v>
      </c>
      <c r="M2" t="s">
        <v>120</v>
      </c>
      <c r="N2" t="s">
        <v>122</v>
      </c>
      <c r="O2" t="s">
        <v>183</v>
      </c>
      <c r="P2" t="s">
        <v>129</v>
      </c>
      <c r="Q2" t="s">
        <v>189</v>
      </c>
      <c r="R2" t="s">
        <v>187</v>
      </c>
      <c r="S2" t="s">
        <v>2</v>
      </c>
      <c r="T2" t="s">
        <v>192</v>
      </c>
      <c r="U2" s="5" t="s">
        <v>194</v>
      </c>
      <c r="V2" s="5" t="s">
        <v>210</v>
      </c>
    </row>
    <row r="3" spans="2:22">
      <c r="B3">
        <v>500</v>
      </c>
      <c r="C3" s="4" t="s">
        <v>21</v>
      </c>
      <c r="D3" s="13" t="s">
        <v>252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443</v>
      </c>
      <c r="D4" s="13" t="s">
        <v>254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353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433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444</v>
      </c>
      <c r="D5" s="13" t="s">
        <v>255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434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445</v>
      </c>
      <c r="D6" s="13" t="s">
        <v>274</v>
      </c>
      <c r="E6">
        <f>표14[적 기준 체력]*EnemyGameData[[#This Row],['#기준 적 체력 비율]]</f>
        <v>80</v>
      </c>
      <c r="F6">
        <v>16</v>
      </c>
      <c r="G6" t="s">
        <v>193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435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436</v>
      </c>
      <c r="C7" s="21" t="s">
        <v>150</v>
      </c>
      <c r="D7" s="21" t="s">
        <v>278</v>
      </c>
      <c r="E7" s="20">
        <f>표14[적 기준 체력]*EnemyGameData[[#This Row],['#기준 적 체력 비율]]</f>
        <v>80</v>
      </c>
      <c r="F7">
        <v>16</v>
      </c>
      <c r="G7" s="20" t="s">
        <v>193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437</v>
      </c>
      <c r="C8" s="21" t="s">
        <v>151</v>
      </c>
      <c r="D8" s="21" t="s">
        <v>278</v>
      </c>
      <c r="E8" s="20">
        <f>표14[적 기준 체력]*EnemyGameData[[#This Row],['#기준 적 체력 비율]]</f>
        <v>100</v>
      </c>
      <c r="F8">
        <v>16</v>
      </c>
      <c r="G8" s="20" t="s">
        <v>193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446</v>
      </c>
      <c r="D9" s="13" t="s">
        <v>277</v>
      </c>
      <c r="E9">
        <f>표14[적 기준 체력]*EnemyGameData[[#This Row],['#기준 적 체력 비율]]</f>
        <v>100</v>
      </c>
      <c r="F9">
        <v>16</v>
      </c>
      <c r="G9" t="s">
        <v>193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438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228</v>
      </c>
      <c r="D10" s="4"/>
      <c r="E10">
        <v>3000</v>
      </c>
      <c r="F10">
        <v>16</v>
      </c>
      <c r="G10" t="s">
        <v>66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67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6" t="s">
        <v>507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4" t="s">
        <v>447</v>
      </c>
      <c r="D11" s="13" t="s">
        <v>280</v>
      </c>
      <c r="E11">
        <f>표14[적 기준 체력]*EnemyGameData[[#This Row],['#기준 적 체력 비율]]</f>
        <v>80</v>
      </c>
      <c r="F11">
        <v>50</v>
      </c>
      <c r="G11" t="s">
        <v>193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135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6" t="s">
        <v>441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3" t="s">
        <v>448</v>
      </c>
      <c r="D12" s="13" t="s">
        <v>253</v>
      </c>
      <c r="E12">
        <f>표14[적 기준 체력]*EnemyGameData[[#This Row],['#기준 적 체력 비율]]</f>
        <v>140</v>
      </c>
      <c r="F12">
        <v>50</v>
      </c>
      <c r="G12" s="16" t="s">
        <v>428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135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6" t="s">
        <v>442</v>
      </c>
      <c r="U12">
        <v>1.4</v>
      </c>
      <c r="V12">
        <v>7</v>
      </c>
    </row>
    <row r="13" spans="2:22">
      <c r="B13" s="39">
        <v>551</v>
      </c>
      <c r="C13" s="40" t="s">
        <v>449</v>
      </c>
      <c r="D13" s="40" t="s">
        <v>256</v>
      </c>
      <c r="E13" s="39">
        <f>표14[적 기준 체력]*EnemyGameData[[#This Row],['#기준 적 체력 비율]]</f>
        <v>160</v>
      </c>
      <c r="F13">
        <v>16</v>
      </c>
      <c r="G13" s="39" t="s">
        <v>66</v>
      </c>
      <c r="H13" s="39">
        <v>5</v>
      </c>
      <c r="I13" s="39">
        <v>1.2</v>
      </c>
      <c r="J13" s="39">
        <v>3</v>
      </c>
      <c r="K13" s="39">
        <v>0</v>
      </c>
      <c r="L13" s="39">
        <v>1.5</v>
      </c>
      <c r="M13" s="39" t="s">
        <v>67</v>
      </c>
      <c r="N13">
        <f>IF(EnemyGameData[[#This Row],[SpacingRad]]&lt;3,5,EnemyGameData[[#This Row],[SpacingRad]]+1)</f>
        <v>6</v>
      </c>
      <c r="O13" s="39">
        <v>651</v>
      </c>
      <c r="P13" s="39">
        <v>0</v>
      </c>
      <c r="Q13" s="39">
        <v>3</v>
      </c>
      <c r="R13" s="39">
        <v>5</v>
      </c>
      <c r="S13" s="39">
        <v>501</v>
      </c>
      <c r="T13" s="39" t="s">
        <v>434</v>
      </c>
      <c r="U13" s="39">
        <v>1.6</v>
      </c>
      <c r="V13" s="39">
        <v>7</v>
      </c>
    </row>
    <row r="14" spans="2:22">
      <c r="B14">
        <v>552</v>
      </c>
      <c r="C14" s="13" t="s">
        <v>450</v>
      </c>
      <c r="D14" s="13" t="s">
        <v>275</v>
      </c>
      <c r="E14">
        <f>표14[적 기준 체력]*EnemyGameData[[#This Row],['#기준 적 체력 비율]]</f>
        <v>140</v>
      </c>
      <c r="F14">
        <v>16</v>
      </c>
      <c r="G14" t="s">
        <v>193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67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1">
        <v>12</v>
      </c>
      <c r="S14">
        <v>501</v>
      </c>
      <c r="T14" s="16" t="s">
        <v>440</v>
      </c>
      <c r="U14">
        <v>1.4</v>
      </c>
      <c r="V14">
        <v>7</v>
      </c>
    </row>
    <row r="15" spans="2:22">
      <c r="B15">
        <v>553</v>
      </c>
      <c r="C15" s="14" t="s">
        <v>451</v>
      </c>
      <c r="D15" s="13" t="s">
        <v>276</v>
      </c>
      <c r="E15">
        <f>표14[적 기준 체력]*EnemyGameData[[#This Row],['#기준 적 체력 비율]]</f>
        <v>160</v>
      </c>
      <c r="F15">
        <v>16</v>
      </c>
      <c r="G15" t="s">
        <v>193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67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6" t="s">
        <v>439</v>
      </c>
      <c r="U15">
        <v>1.6</v>
      </c>
      <c r="V15">
        <f>AVERAGE(EnemyGameData[[#This Row],[GoldDropMin]],EnemyGameData[[#This Row],[GoldDropMax]])</f>
        <v>9.5</v>
      </c>
    </row>
    <row r="16" spans="2:22" s="20" customFormat="1">
      <c r="B16" s="20" t="s">
        <v>432</v>
      </c>
      <c r="C16" s="22" t="s">
        <v>279</v>
      </c>
      <c r="D16" s="21" t="s">
        <v>278</v>
      </c>
      <c r="E16" s="20">
        <f>표14[적 기준 체력]*EnemyGameData[[#This Row],['#기준 적 체력 비율]]</f>
        <v>20</v>
      </c>
      <c r="F16">
        <v>16</v>
      </c>
      <c r="G16" s="20" t="s">
        <v>66</v>
      </c>
      <c r="H16" s="20">
        <v>1</v>
      </c>
      <c r="I16" s="20">
        <v>0.3</v>
      </c>
      <c r="J16" s="20">
        <v>1.8</v>
      </c>
      <c r="K16">
        <v>25</v>
      </c>
      <c r="L16" s="20">
        <v>0</v>
      </c>
      <c r="M16" s="20" t="s">
        <v>40</v>
      </c>
      <c r="N16">
        <f>IF(EnemyGameData[[#This Row],[SpacingRad]]&lt;3,5,EnemyGameData[[#This Row],[SpacingRad]]+1)</f>
        <v>5</v>
      </c>
      <c r="O16" s="20">
        <v>0</v>
      </c>
      <c r="P16" s="20">
        <v>0</v>
      </c>
      <c r="Q16" s="20">
        <v>0</v>
      </c>
      <c r="R16" s="20">
        <v>0</v>
      </c>
      <c r="S16" s="20">
        <v>501</v>
      </c>
      <c r="T16" s="20" t="s">
        <v>336</v>
      </c>
      <c r="U16" s="20">
        <v>0.2</v>
      </c>
      <c r="V16" s="20">
        <f>AVERAGE(EnemyGameData[[#This Row],[GoldDropMin]],EnemyGameData[[#This Row],[GoldDropMax]])</f>
        <v>0</v>
      </c>
    </row>
    <row r="20" spans="19:19">
      <c r="S20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topLeftCell="A7" zoomScaleNormal="75" zoomScaleSheetLayoutView="100" workbookViewId="0">
      <selection activeCell="G52" sqref="G52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251</v>
      </c>
      <c r="I1" s="11" t="s">
        <v>251</v>
      </c>
    </row>
    <row r="2" spans="2:9">
      <c r="B2" t="s">
        <v>41</v>
      </c>
      <c r="C2" s="5" t="s">
        <v>24</v>
      </c>
      <c r="D2" t="s">
        <v>198</v>
      </c>
      <c r="E2" t="s">
        <v>70</v>
      </c>
      <c r="F2" t="s">
        <v>197</v>
      </c>
      <c r="G2" t="s">
        <v>195</v>
      </c>
      <c r="H2" s="11" t="s">
        <v>251</v>
      </c>
      <c r="I2" s="11" t="s">
        <v>302</v>
      </c>
    </row>
    <row r="3" spans="2:9">
      <c r="B3">
        <v>600</v>
      </c>
      <c r="C3" s="15" t="s">
        <v>294</v>
      </c>
      <c r="D3">
        <v>700</v>
      </c>
      <c r="E3" t="s">
        <v>94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257</v>
      </c>
      <c r="D4">
        <v>702</v>
      </c>
      <c r="E4" t="s">
        <v>90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257</v>
      </c>
      <c r="D5">
        <v>706</v>
      </c>
      <c r="E5" t="s">
        <v>90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257</v>
      </c>
      <c r="D6">
        <v>712</v>
      </c>
      <c r="E6" t="s">
        <v>90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257</v>
      </c>
      <c r="D7">
        <v>709</v>
      </c>
      <c r="E7" t="s">
        <v>90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257</v>
      </c>
      <c r="D8">
        <v>711</v>
      </c>
      <c r="E8" t="s">
        <v>90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257</v>
      </c>
      <c r="D9">
        <v>708</v>
      </c>
      <c r="E9" t="s">
        <v>90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257</v>
      </c>
      <c r="D10">
        <v>718</v>
      </c>
      <c r="E10" t="s">
        <v>90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257</v>
      </c>
      <c r="D11">
        <v>710</v>
      </c>
      <c r="E11" t="s">
        <v>90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257</v>
      </c>
      <c r="D12">
        <v>703</v>
      </c>
      <c r="E12" t="s">
        <v>90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290</v>
      </c>
      <c r="D13">
        <v>719</v>
      </c>
      <c r="E13" t="s">
        <v>90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96</v>
      </c>
      <c r="D14">
        <v>720</v>
      </c>
      <c r="E14" t="s">
        <v>90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298</v>
      </c>
      <c r="D15">
        <v>721</v>
      </c>
      <c r="E15" t="s">
        <v>90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298</v>
      </c>
      <c r="D16">
        <v>722</v>
      </c>
      <c r="E16" t="s">
        <v>90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298</v>
      </c>
      <c r="D17">
        <v>723</v>
      </c>
      <c r="E17" t="s">
        <v>90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289</v>
      </c>
      <c r="D18">
        <v>724</v>
      </c>
      <c r="E18" t="s">
        <v>90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220</v>
      </c>
      <c r="D19">
        <v>724</v>
      </c>
      <c r="E19" t="s">
        <v>90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220</v>
      </c>
      <c r="D20">
        <v>724</v>
      </c>
      <c r="E20" t="s">
        <v>90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220</v>
      </c>
      <c r="D21">
        <v>724</v>
      </c>
      <c r="E21" t="s">
        <v>90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288</v>
      </c>
      <c r="D22">
        <v>701</v>
      </c>
      <c r="E22" t="s">
        <v>94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295</v>
      </c>
      <c r="D23">
        <v>725</v>
      </c>
      <c r="E23" t="s">
        <v>94</v>
      </c>
      <c r="F23">
        <v>1.5</v>
      </c>
      <c r="G23">
        <v>0.5</v>
      </c>
      <c r="H23" t="e">
        <f>INDEX(ShootTable['#설명],MATCH(EnemyAtkTable[[#This Row],[ShootDataId]],ShootTable[Index],0))</f>
        <v>#N/A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296</v>
      </c>
      <c r="D24">
        <v>725</v>
      </c>
      <c r="E24" t="s">
        <v>94</v>
      </c>
      <c r="F24">
        <v>1.5</v>
      </c>
      <c r="G24">
        <v>0.5</v>
      </c>
      <c r="H24" t="e">
        <f>INDEX(ShootTable['#설명],MATCH(EnemyAtkTable[[#This Row],[ShootDataId]],ShootTable[Index],0))</f>
        <v>#N/A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297</v>
      </c>
      <c r="D25">
        <v>725</v>
      </c>
      <c r="E25" t="s">
        <v>94</v>
      </c>
      <c r="F25">
        <v>1.5</v>
      </c>
      <c r="G25">
        <v>0.6</v>
      </c>
      <c r="H25" t="e">
        <f>INDEX(ShootTable['#설명],MATCH(EnemyAtkTable[[#This Row],[ShootDataId]],ShootTable[Index],0))</f>
        <v>#N/A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313</v>
      </c>
      <c r="D26">
        <v>716</v>
      </c>
      <c r="E26" t="s">
        <v>90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313</v>
      </c>
      <c r="D27">
        <v>718</v>
      </c>
      <c r="E27" t="s">
        <v>90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313</v>
      </c>
      <c r="D28">
        <v>708</v>
      </c>
      <c r="E28" t="s">
        <v>90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313</v>
      </c>
      <c r="D29">
        <v>712</v>
      </c>
      <c r="E29" t="s">
        <v>90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313</v>
      </c>
      <c r="D30">
        <v>708</v>
      </c>
      <c r="E30" t="s">
        <v>90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313</v>
      </c>
      <c r="D31">
        <v>711</v>
      </c>
      <c r="E31" t="s">
        <v>90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313</v>
      </c>
      <c r="D32">
        <v>713</v>
      </c>
      <c r="E32" t="s">
        <v>90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313</v>
      </c>
      <c r="D33">
        <v>713</v>
      </c>
      <c r="E33" t="s">
        <v>90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313</v>
      </c>
      <c r="D34">
        <v>705</v>
      </c>
      <c r="E34" t="s">
        <v>90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313</v>
      </c>
      <c r="D35">
        <v>706</v>
      </c>
      <c r="E35" t="s">
        <v>90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313</v>
      </c>
      <c r="D36">
        <v>711</v>
      </c>
      <c r="E36" t="s">
        <v>90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313</v>
      </c>
      <c r="D37">
        <v>712</v>
      </c>
      <c r="E37" t="s">
        <v>90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313</v>
      </c>
      <c r="D38">
        <v>708</v>
      </c>
      <c r="E38" t="s">
        <v>90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313</v>
      </c>
      <c r="D39">
        <v>702</v>
      </c>
      <c r="E39" t="s">
        <v>90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313</v>
      </c>
      <c r="D40">
        <v>708</v>
      </c>
      <c r="E40" t="s">
        <v>90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313</v>
      </c>
      <c r="D41">
        <v>717</v>
      </c>
      <c r="E41" t="s">
        <v>90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299</v>
      </c>
      <c r="D42">
        <v>726</v>
      </c>
      <c r="E42" t="s">
        <v>90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300</v>
      </c>
      <c r="D43">
        <v>726</v>
      </c>
      <c r="E43" t="s">
        <v>90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301</v>
      </c>
      <c r="D44">
        <v>726</v>
      </c>
      <c r="E44" t="s">
        <v>90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283</v>
      </c>
      <c r="D45">
        <v>1000</v>
      </c>
      <c r="E45" s="16" t="s">
        <v>281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283</v>
      </c>
      <c r="D46">
        <v>1001</v>
      </c>
      <c r="E46" s="16" t="s">
        <v>281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283</v>
      </c>
      <c r="D47">
        <v>1002</v>
      </c>
      <c r="E47" s="16" t="s">
        <v>281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283</v>
      </c>
      <c r="D48">
        <v>1003</v>
      </c>
      <c r="E48" s="16" t="s">
        <v>281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283</v>
      </c>
      <c r="D49">
        <v>1004</v>
      </c>
      <c r="E49" s="16" t="s">
        <v>281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283</v>
      </c>
      <c r="D50">
        <v>1005</v>
      </c>
      <c r="E50" s="16" t="s">
        <v>281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283</v>
      </c>
      <c r="D51">
        <v>1006</v>
      </c>
      <c r="E51" s="16" t="s">
        <v>281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283</v>
      </c>
      <c r="D52">
        <v>1007</v>
      </c>
      <c r="E52" s="16" t="s">
        <v>281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283</v>
      </c>
      <c r="D53">
        <v>1008</v>
      </c>
      <c r="E53" s="16" t="s">
        <v>281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283</v>
      </c>
      <c r="D54">
        <v>1009</v>
      </c>
      <c r="E54" s="16" t="s">
        <v>281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283</v>
      </c>
      <c r="D55">
        <v>1010</v>
      </c>
      <c r="E55" s="16" t="s">
        <v>281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283</v>
      </c>
      <c r="D56">
        <v>727</v>
      </c>
      <c r="E56" s="16" t="s">
        <v>281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284</v>
      </c>
      <c r="D57">
        <v>727</v>
      </c>
      <c r="E57" s="16" t="s">
        <v>281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285</v>
      </c>
      <c r="D58">
        <v>999</v>
      </c>
      <c r="E58" s="16" t="s">
        <v>282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4"/>
  <sheetViews>
    <sheetView tabSelected="1" topLeftCell="A153" zoomScaleNormal="75" zoomScaleSheetLayoutView="100" workbookViewId="0">
      <selection activeCell="D177" sqref="D177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199</v>
      </c>
      <c r="E2" t="s">
        <v>2</v>
      </c>
      <c r="F2" t="s">
        <v>136</v>
      </c>
      <c r="G2" t="s">
        <v>202</v>
      </c>
    </row>
    <row r="3" spans="2:7">
      <c r="B3">
        <v>700</v>
      </c>
      <c r="C3" s="4" t="s">
        <v>214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143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143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143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143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260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261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262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263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265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268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269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270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258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271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259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272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273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291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145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145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145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145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145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145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145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145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148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148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148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148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148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148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148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148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99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215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322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322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321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321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321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321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321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321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322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322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321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321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321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321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321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321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378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378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378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411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411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411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411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411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411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411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411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458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458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458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458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286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C4" sqref="C4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26</v>
      </c>
      <c r="C1" t="s">
        <v>28</v>
      </c>
      <c r="D1" t="s">
        <v>75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212</v>
      </c>
      <c r="E2" t="s">
        <v>108</v>
      </c>
      <c r="F2" t="s">
        <v>185</v>
      </c>
      <c r="G2" t="s">
        <v>192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230</v>
      </c>
    </row>
    <row r="4" spans="2:7">
      <c r="B4">
        <v>201</v>
      </c>
      <c r="C4" s="14" t="s">
        <v>379</v>
      </c>
      <c r="D4" t="b">
        <v>1</v>
      </c>
      <c r="E4">
        <v>0.8</v>
      </c>
      <c r="F4">
        <v>15</v>
      </c>
      <c r="G4" s="11" t="s">
        <v>413</v>
      </c>
    </row>
    <row r="5" spans="2:7">
      <c r="B5">
        <v>204</v>
      </c>
      <c r="C5" s="14" t="s">
        <v>412</v>
      </c>
      <c r="D5" t="b">
        <v>1</v>
      </c>
      <c r="E5">
        <v>1.5</v>
      </c>
      <c r="F5">
        <v>30</v>
      </c>
      <c r="G5" s="11" t="s">
        <v>424</v>
      </c>
    </row>
    <row r="6" spans="2:7">
      <c r="B6">
        <v>205</v>
      </c>
      <c r="C6" s="14" t="s">
        <v>459</v>
      </c>
      <c r="D6" t="b">
        <v>1</v>
      </c>
      <c r="E6">
        <v>1.2</v>
      </c>
      <c r="F6">
        <v>30</v>
      </c>
      <c r="G6" s="11" t="s">
        <v>424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229</v>
      </c>
    </row>
    <row r="8" spans="2:7">
      <c r="B8">
        <v>501</v>
      </c>
      <c r="C8" s="19" t="s">
        <v>93</v>
      </c>
      <c r="D8" s="3" t="b">
        <v>0</v>
      </c>
      <c r="E8">
        <v>1</v>
      </c>
      <c r="F8">
        <v>60</v>
      </c>
      <c r="G8" t="s">
        <v>229</v>
      </c>
    </row>
    <row r="9" spans="2:7">
      <c r="B9">
        <v>400</v>
      </c>
      <c r="C9" s="19" t="s">
        <v>76</v>
      </c>
      <c r="D9" s="3" t="b">
        <v>0</v>
      </c>
      <c r="E9">
        <v>0.25</v>
      </c>
      <c r="F9">
        <v>25</v>
      </c>
      <c r="G9" t="s">
        <v>229</v>
      </c>
    </row>
    <row r="10" spans="2:7">
      <c r="B10">
        <v>401</v>
      </c>
      <c r="C10" s="19" t="s">
        <v>222</v>
      </c>
      <c r="D10" s="3" t="b">
        <v>1</v>
      </c>
      <c r="E10">
        <v>0.25</v>
      </c>
      <c r="F10">
        <v>25</v>
      </c>
      <c r="G10" t="s">
        <v>229</v>
      </c>
    </row>
    <row r="11" spans="2:7">
      <c r="B11">
        <v>402</v>
      </c>
      <c r="C11" s="19" t="s">
        <v>73</v>
      </c>
      <c r="D11" s="3" t="b">
        <v>0</v>
      </c>
      <c r="E11">
        <v>0.4</v>
      </c>
      <c r="F11">
        <v>25</v>
      </c>
      <c r="G11" t="s">
        <v>229</v>
      </c>
    </row>
    <row r="12" spans="2:7">
      <c r="B12">
        <v>403</v>
      </c>
      <c r="C12" s="13" t="s">
        <v>292</v>
      </c>
      <c r="D12" s="3" t="b">
        <v>0</v>
      </c>
      <c r="E12">
        <v>0.8</v>
      </c>
      <c r="F12">
        <v>25</v>
      </c>
      <c r="G12" t="s">
        <v>229</v>
      </c>
    </row>
    <row r="13" spans="2:7">
      <c r="B13">
        <v>404</v>
      </c>
      <c r="C13" s="13" t="s">
        <v>293</v>
      </c>
      <c r="D13" s="3" t="b">
        <v>1</v>
      </c>
      <c r="E13">
        <v>0.8</v>
      </c>
      <c r="F13">
        <v>25</v>
      </c>
      <c r="G13" t="s">
        <v>229</v>
      </c>
    </row>
    <row r="14" spans="2:7">
      <c r="B14">
        <v>999</v>
      </c>
      <c r="C14" s="18" t="s">
        <v>287</v>
      </c>
      <c r="D14" t="b">
        <v>1</v>
      </c>
      <c r="E14">
        <v>1</v>
      </c>
      <c r="F14">
        <v>25</v>
      </c>
      <c r="G14" s="16" t="s">
        <v>314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R33"/>
  <sheetViews>
    <sheetView topLeftCell="A12" zoomScaleNormal="100" zoomScaleSheetLayoutView="100" workbookViewId="0">
      <selection activeCell="D8" sqref="D8:E27"/>
    </sheetView>
  </sheetViews>
  <sheetFormatPr defaultColWidth="8.875" defaultRowHeight="16.5"/>
  <cols>
    <col min="1" max="1" width="8.875" style="42"/>
    <col min="2" max="2" width="18.125" style="42" customWidth="1"/>
    <col min="3" max="3" width="24.125" style="42" customWidth="1"/>
    <col min="4" max="4" width="40.875" style="42" customWidth="1"/>
    <col min="5" max="5" width="17.625" style="42" customWidth="1"/>
    <col min="6" max="6" width="11.5" style="42" customWidth="1"/>
    <col min="7" max="11" width="14.75" style="42" customWidth="1"/>
    <col min="12" max="15" width="16.25" style="42" customWidth="1"/>
    <col min="16" max="16" width="32.75" style="42" customWidth="1"/>
    <col min="17" max="18" width="24.75" style="42" customWidth="1"/>
    <col min="19" max="16384" width="8.875" style="42"/>
  </cols>
  <sheetData>
    <row r="1" spans="2:18">
      <c r="B1" s="42" t="s">
        <v>467</v>
      </c>
      <c r="G1" s="42" t="s">
        <v>42</v>
      </c>
      <c r="H1" s="42" t="s">
        <v>26</v>
      </c>
      <c r="I1" s="42" t="s">
        <v>26</v>
      </c>
      <c r="J1" s="42" t="s">
        <v>26</v>
      </c>
      <c r="K1" s="42" t="s">
        <v>26</v>
      </c>
      <c r="L1" s="42" t="s">
        <v>53</v>
      </c>
      <c r="M1" s="42" t="s">
        <v>28</v>
      </c>
    </row>
    <row r="2" spans="2:18">
      <c r="B2" s="60" t="s">
        <v>605</v>
      </c>
      <c r="C2" s="64" t="s">
        <v>606</v>
      </c>
      <c r="D2" s="64" t="s">
        <v>607</v>
      </c>
      <c r="E2" s="64" t="s">
        <v>608</v>
      </c>
      <c r="F2" s="58" t="s">
        <v>41</v>
      </c>
      <c r="G2" s="58" t="s">
        <v>44</v>
      </c>
      <c r="H2" s="58" t="s">
        <v>105</v>
      </c>
      <c r="I2" s="58" t="s">
        <v>365</v>
      </c>
      <c r="J2" s="58" t="s">
        <v>366</v>
      </c>
      <c r="K2" s="58" t="s">
        <v>169</v>
      </c>
      <c r="L2" s="58" t="s">
        <v>48</v>
      </c>
      <c r="M2" s="58" t="s">
        <v>51</v>
      </c>
      <c r="N2" s="58" t="s">
        <v>170</v>
      </c>
      <c r="O2" s="58" t="s">
        <v>7</v>
      </c>
      <c r="P2" s="58" t="s">
        <v>118</v>
      </c>
      <c r="Q2" s="59" t="s">
        <v>530</v>
      </c>
      <c r="R2" s="59" t="s">
        <v>531</v>
      </c>
    </row>
    <row r="3" spans="2:18">
      <c r="B3" s="57" t="e">
        <f>INDEX(LocaleTable[LocaleKR],MATCH(ItemTable[[#This Row],[Name]],LocaleTable[StringKey],0))</f>
        <v>#N/A</v>
      </c>
      <c r="C3" s="57" t="e">
        <f>INDEX(LocaleTable[LocaleKR],MATCH(ItemTable[[#This Row],[Desc]],LocaleTable[StringKey],0))</f>
        <v>#N/A</v>
      </c>
      <c r="D3" s="57" t="e">
        <f>INDEX(LocaleTable[LocaleKR],MATCH(ItemTable[[#This Row],[PlusDesc]],LocaleTable[StringKey],0))</f>
        <v>#N/A</v>
      </c>
      <c r="E3" s="57" t="e">
        <f>INDEX(LocaleTable[LocaleKR],MATCH(ItemTable[[#This Row],[MinusDesc]],LocaleTable[StringKey],0))</f>
        <v>#N/A</v>
      </c>
      <c r="F3" s="42">
        <f t="array" ref="F3">_xlfn.IFS(ItemTable[[#This Row],[GradeType]]="Hp",IF(K2=ItemTable[[#This Row],[GradeType]],F2+1,10),ItemTable[[#This Row],[GradeType]]="Gold",IF(K2=ItemTable[[#This Row],[GradeType]],F2+1,20),ItemTable[[#This Row],[GradeType]]="Weapon",IF(K2=ItemTable[[#This Row],[GradeType]],F2+1,1000),ItemTable[[#This Row],[GradeType]]="Normal",IF(K2=ItemTable[[#This Row],[GradeType]],F2+1,2000),ItemTable[[#This Row],[GradeType]]="Rare",IF(K2=ItemTable[[#This Row],[GradeType]],F2+1,3000),ItemTable[[#This Row],[GradeType]]="Cursed",IF(K2=ItemTable[[#This Row],[GradeType]],F2+1,4000))</f>
        <v>10</v>
      </c>
      <c r="G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3" s="42" t="str">
        <f>IF(ItemTable[[#This Row],[GradeType]]="Cursed",
_xlfn.CONCAT("Item_MinusDesc_",ItemTable[[#This Row],[Index]]),""
)</f>
        <v/>
      </c>
      <c r="K3" s="42" t="s">
        <v>27</v>
      </c>
      <c r="L3" s="42">
        <v>25</v>
      </c>
      <c r="M3" s="42">
        <f>INDEX(아이템가격[],MATCH(MID(ItemTable[[#Headers],[CostHp]],5,10),아이템가격[재화],0),MATCH(ItemTable[[#This Row],[GradeType]],아이템가격[#Headers],0))*ItemTable[[#This Row],[Value]]</f>
        <v>0</v>
      </c>
      <c r="N3" s="42">
        <v>10</v>
      </c>
      <c r="O3" s="42">
        <f t="array" ref="O3">_xlfn.IFS(OR(ItemTable[[#This Row],[GradeType]]="Hp",ItemTable[[#This Row],[GradeType]]="Gold"),0,TRUE,5000+ItemTable[[#This Row],[Index]])</f>
        <v>0</v>
      </c>
      <c r="Q3" s="57"/>
      <c r="R3" s="57" t="str">
        <f>SUBSTITUTE(PROPER(ItemTable[[#This Row],['#번역본]])," "," ")</f>
        <v/>
      </c>
    </row>
    <row r="4" spans="2:18">
      <c r="B4" s="57" t="e">
        <f>INDEX(LocaleTable[LocaleKR],MATCH(ItemTable[[#This Row],[Name]],LocaleTable[StringKey],0))</f>
        <v>#N/A</v>
      </c>
      <c r="C4" s="57" t="e">
        <f>INDEX(LocaleTable[LocaleKR],MATCH(ItemTable[[#This Row],[Desc]],LocaleTable[StringKey],0))</f>
        <v>#N/A</v>
      </c>
      <c r="D4" s="57" t="e">
        <f>INDEX(LocaleTable[LocaleKR],MATCH(ItemTable[[#This Row],[PlusDesc]],LocaleTable[StringKey],0))</f>
        <v>#N/A</v>
      </c>
      <c r="E4" s="57" t="e">
        <f>INDEX(LocaleTable[LocaleKR],MATCH(ItemTable[[#This Row],[MinusDesc]],LocaleTable[StringKey],0))</f>
        <v>#N/A</v>
      </c>
      <c r="F4" s="42">
        <f t="array" ref="F4">_xlfn.IFS(ItemTable[[#This Row],[GradeType]]="Hp",IF(K3=ItemTable[[#This Row],[GradeType]],F3+1,10),ItemTable[[#This Row],[GradeType]]="Gold",IF(K3=ItemTable[[#This Row],[GradeType]],F3+1,20),ItemTable[[#This Row],[GradeType]]="Weapon",IF(K3=ItemTable[[#This Row],[GradeType]],F3+1,1000),ItemTable[[#This Row],[GradeType]]="Normal",IF(K3=ItemTable[[#This Row],[GradeType]],F3+1,2000),ItemTable[[#This Row],[GradeType]]="Rare",IF(K3=ItemTable[[#This Row],[GradeType]],F3+1,3000),ItemTable[[#This Row],[GradeType]]="Cursed",IF(K3=ItemTable[[#This Row],[GradeType]],F3+1,4000))</f>
        <v>11</v>
      </c>
      <c r="G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4" s="42" t="str">
        <f>IF(ItemTable[[#This Row],[GradeType]]="Cursed",
_xlfn.CONCAT("Item_MinusDesc_",ItemTable[[#This Row],[Index]]),""
)</f>
        <v/>
      </c>
      <c r="K4" s="42" t="s">
        <v>27</v>
      </c>
      <c r="L4" s="42">
        <v>50</v>
      </c>
      <c r="M4" s="42">
        <f>INDEX(아이템가격[],MATCH(MID(ItemTable[[#Headers],[CostHp]],5,10),아이템가격[재화],0),MATCH(ItemTable[[#This Row],[GradeType]],아이템가격[#Headers],0))*ItemTable[[#This Row],[Value]]</f>
        <v>0</v>
      </c>
      <c r="N4" s="42">
        <v>20</v>
      </c>
      <c r="O4" s="42">
        <f t="array" ref="O4">_xlfn.IFS(OR(ItemTable[[#This Row],[GradeType]]="Hp",ItemTable[[#This Row],[GradeType]]="Gold"),0,TRUE,5000+ItemTable[[#This Row],[Index]])</f>
        <v>0</v>
      </c>
      <c r="Q4" s="57"/>
      <c r="R4" s="57" t="str">
        <f>SUBSTITUTE(PROPER(ItemTable[[#This Row],['#번역본]])," "," ")</f>
        <v/>
      </c>
    </row>
    <row r="5" spans="2:18">
      <c r="B5" s="57" t="e">
        <f>INDEX(LocaleTable[LocaleKR],MATCH(ItemTable[[#This Row],[Name]],LocaleTable[StringKey],0))</f>
        <v>#N/A</v>
      </c>
      <c r="C5" s="57" t="e">
        <f>INDEX(LocaleTable[LocaleKR],MATCH(ItemTable[[#This Row],[Desc]],LocaleTable[StringKey],0))</f>
        <v>#N/A</v>
      </c>
      <c r="D5" s="57" t="e">
        <f>INDEX(LocaleTable[LocaleKR],MATCH(ItemTable[[#This Row],[PlusDesc]],LocaleTable[StringKey],0))</f>
        <v>#N/A</v>
      </c>
      <c r="E5" s="57" t="e">
        <f>INDEX(LocaleTable[LocaleKR],MATCH(ItemTable[[#This Row],[MinusDesc]],LocaleTable[StringKey],0))</f>
        <v>#N/A</v>
      </c>
      <c r="F5" s="42">
        <f t="array" ref="F5">_xlfn.IFS(ItemTable[[#This Row],[GradeType]]="Hp",IF(K4=ItemTable[[#This Row],[GradeType]],F4+1,10),ItemTable[[#This Row],[GradeType]]="Gold",IF(K4=ItemTable[[#This Row],[GradeType]],F4+1,20),ItemTable[[#This Row],[GradeType]]="Weapon",IF(K4=ItemTable[[#This Row],[GradeType]],F4+1,1000),ItemTable[[#This Row],[GradeType]]="Normal",IF(K4=ItemTable[[#This Row],[GradeType]],F4+1,2000),ItemTable[[#This Row],[GradeType]]="Rare",IF(K4=ItemTable[[#This Row],[GradeType]],F4+1,3000),ItemTable[[#This Row],[GradeType]]="Cursed",IF(K4=ItemTable[[#This Row],[GradeType]],F4+1,4000))</f>
        <v>20</v>
      </c>
      <c r="G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5" s="42" t="str">
        <f>IF(ItemTable[[#This Row],[GradeType]]="Cursed",
_xlfn.CONCAT("Item_MinusDesc_",ItemTable[[#This Row],[Index]]),""
)</f>
        <v/>
      </c>
      <c r="K5" s="42" t="s">
        <v>52</v>
      </c>
      <c r="L5" s="42">
        <v>15</v>
      </c>
      <c r="M5" s="42">
        <v>25</v>
      </c>
      <c r="N5" s="42">
        <f>INDEX(아이템가격[],MATCH(MID(ItemTable[[#Headers],[CostGold]],5,10),아이템가격[재화],0),MATCH(ItemTable[[#This Row],[GradeType]],아이템가격[#Headers],0))*ItemTable[[#This Row],[Value]]</f>
        <v>0</v>
      </c>
      <c r="O5" s="42">
        <f t="array" ref="O5">_xlfn.IFS(OR(ItemTable[[#This Row],[GradeType]]="Hp",ItemTable[[#This Row],[GradeType]]="Gold"),0,TRUE,5000+ItemTable[[#This Row],[Index]])</f>
        <v>0</v>
      </c>
      <c r="P5" s="42" t="s">
        <v>18</v>
      </c>
      <c r="Q5" s="57"/>
      <c r="R5" s="57" t="str">
        <f>SUBSTITUTE(PROPER(ItemTable[[#This Row],['#번역본]])," "," ")</f>
        <v/>
      </c>
    </row>
    <row r="6" spans="2:18">
      <c r="B6" s="57" t="e">
        <f>INDEX(LocaleTable[LocaleKR],MATCH(ItemTable[[#This Row],[Name]],LocaleTable[StringKey],0))</f>
        <v>#N/A</v>
      </c>
      <c r="C6" s="57" t="e">
        <f>INDEX(LocaleTable[LocaleKR],MATCH(ItemTable[[#This Row],[Desc]],LocaleTable[StringKey],0))</f>
        <v>#N/A</v>
      </c>
      <c r="D6" s="57" t="e">
        <f>INDEX(LocaleTable[LocaleKR],MATCH(ItemTable[[#This Row],[PlusDesc]],LocaleTable[StringKey],0))</f>
        <v>#N/A</v>
      </c>
      <c r="E6" s="57" t="e">
        <f>INDEX(LocaleTable[LocaleKR],MATCH(ItemTable[[#This Row],[MinusDesc]],LocaleTable[StringKey],0))</f>
        <v>#N/A</v>
      </c>
      <c r="F6" s="42">
        <f t="array" ref="F6">_xlfn.IFS(ItemTable[[#This Row],[GradeType]]="Hp",IF(K5=ItemTable[[#This Row],[GradeType]],F5+1,10),ItemTable[[#This Row],[GradeType]]="Gold",IF(K5=ItemTable[[#This Row],[GradeType]],F5+1,20),ItemTable[[#This Row],[GradeType]]="Weapon",IF(K5=ItemTable[[#This Row],[GradeType]],F5+1,1000),ItemTable[[#This Row],[GradeType]]="Normal",IF(K5=ItemTable[[#This Row],[GradeType]],F5+1,2000),ItemTable[[#This Row],[GradeType]]="Rare",IF(K5=ItemTable[[#This Row],[GradeType]],F5+1,3000),ItemTable[[#This Row],[GradeType]]="Cursed",IF(K5=ItemTable[[#This Row],[GradeType]],F5+1,4000))</f>
        <v>21</v>
      </c>
      <c r="G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6" s="42" t="str">
        <f>IF(ItemTable[[#This Row],[GradeType]]="Cursed",
_xlfn.CONCAT("Item_MinusDesc_",ItemTable[[#This Row],[Index]]),""
)</f>
        <v/>
      </c>
      <c r="K6" s="42" t="s">
        <v>52</v>
      </c>
      <c r="L6" s="42">
        <v>30</v>
      </c>
      <c r="M6" s="42">
        <v>50</v>
      </c>
      <c r="N6" s="42">
        <f>INDEX(아이템가격[],MATCH(MID(ItemTable[[#Headers],[CostGold]],5,10),아이템가격[재화],0),MATCH(ItemTable[[#This Row],[GradeType]],아이템가격[#Headers],0))*ItemTable[[#This Row],[Value]]</f>
        <v>0</v>
      </c>
      <c r="O6" s="42">
        <f t="array" ref="O6">_xlfn.IFS(OR(ItemTable[[#This Row],[GradeType]]="Hp",ItemTable[[#This Row],[GradeType]]="Gold"),0,TRUE,5000+ItemTable[[#This Row],[Index]])</f>
        <v>0</v>
      </c>
      <c r="P6" s="42" t="s">
        <v>18</v>
      </c>
      <c r="Q6" s="57"/>
      <c r="R6" s="57" t="str">
        <f>SUBSTITUTE(PROPER(ItemTable[[#This Row],['#번역본]])," "," ")</f>
        <v/>
      </c>
    </row>
    <row r="7" spans="2:18">
      <c r="B7" s="57" t="e">
        <f>INDEX(LocaleTable[LocaleKR],MATCH(ItemTable[[#This Row],[Name]],LocaleTable[StringKey],0))</f>
        <v>#N/A</v>
      </c>
      <c r="C7" s="57" t="e">
        <f>INDEX(LocaleTable[LocaleKR],MATCH(ItemTable[[#This Row],[Desc]],LocaleTable[StringKey],0))</f>
        <v>#N/A</v>
      </c>
      <c r="D7" s="57" t="e">
        <f>INDEX(LocaleTable[LocaleKR],MATCH(ItemTable[[#This Row],[PlusDesc]],LocaleTable[StringKey],0))</f>
        <v>#N/A</v>
      </c>
      <c r="E7" s="57" t="e">
        <f>INDEX(LocaleTable[LocaleKR],MATCH(ItemTable[[#This Row],[MinusDesc]],LocaleTable[StringKey],0))</f>
        <v>#N/A</v>
      </c>
      <c r="F7" s="42">
        <f t="array" ref="F7">_xlfn.IFS(ItemTable[[#This Row],[GradeType]]="Hp",IF(K6=ItemTable[[#This Row],[GradeType]],F6+1,10),ItemTable[[#This Row],[GradeType]]="Gold",IF(K6=ItemTable[[#This Row],[GradeType]],F6+1,20),ItemTable[[#This Row],[GradeType]]="Weapon",IF(K6=ItemTable[[#This Row],[GradeType]],F6+1,1000),ItemTable[[#This Row],[GradeType]]="Normal",IF(K6=ItemTable[[#This Row],[GradeType]],F6+1,2000),ItemTable[[#This Row],[GradeType]]="Rare",IF(K6=ItemTable[[#This Row],[GradeType]],F6+1,3000),ItemTable[[#This Row],[GradeType]]="Cursed",IF(K6=ItemTable[[#This Row],[GradeType]],F6+1,4000))</f>
        <v>22</v>
      </c>
      <c r="G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7" s="42" t="str">
        <f>IF(ItemTable[[#This Row],[GradeType]]="Cursed",
_xlfn.CONCAT("Item_MinusDesc_",ItemTable[[#This Row],[Index]]),""
)</f>
        <v/>
      </c>
      <c r="K7" s="42" t="s">
        <v>52</v>
      </c>
      <c r="L7" s="42">
        <v>45</v>
      </c>
      <c r="M7" s="42">
        <v>75</v>
      </c>
      <c r="N7" s="42">
        <f>INDEX(아이템가격[],MATCH(MID(ItemTable[[#Headers],[CostGold]],5,10),아이템가격[재화],0),MATCH(ItemTable[[#This Row],[GradeType]],아이템가격[#Headers],0))*ItemTable[[#This Row],[Value]]</f>
        <v>0</v>
      </c>
      <c r="O7" s="42">
        <f t="array" ref="O7">_xlfn.IFS(OR(ItemTable[[#This Row],[GradeType]]="Hp",ItemTable[[#This Row],[GradeType]]="Gold"),0,TRUE,5000+ItemTable[[#This Row],[Index]])</f>
        <v>0</v>
      </c>
      <c r="P7" s="42" t="s">
        <v>18</v>
      </c>
      <c r="Q7" s="57"/>
      <c r="R7" s="57" t="str">
        <f>SUBSTITUTE(PROPER(ItemTable[[#This Row],['#번역본]])," "," ")</f>
        <v/>
      </c>
    </row>
    <row r="8" spans="2:18">
      <c r="B8" s="57" t="str">
        <f>INDEX(LocaleTable[LocaleKR],MATCH(ItemTable[[#This Row],[Name]],LocaleTable[StringKey],0))</f>
        <v>메탈유니콘 키링</v>
      </c>
      <c r="C8" s="57" t="str">
        <f>INDEX(LocaleTable[LocaleKR],MATCH(ItemTable[[#This Row],[Desc]],LocaleTable[StringKey],0))</f>
        <v>배트에 달아놓으면 휘두를 때\n짤랑짤랑 소리가 납니다.</v>
      </c>
      <c r="D8" s="57" t="str">
        <f>INDEX(LocaleTable[LocaleKR],MATCH(ItemTable[[#This Row],[PlusDesc]],LocaleTable[StringKey],0))</f>
        <v>플레이어의 공이\n적을 관통합니다.</v>
      </c>
      <c r="E8" s="57" t="e">
        <f>INDEX(LocaleTable[LocaleKR],MATCH(ItemTable[[#This Row],[MinusDesc]],LocaleTable[StringKey],0))</f>
        <v>#N/A</v>
      </c>
      <c r="F8" s="42">
        <f t="array" ref="F8">_xlfn.IFS(ItemTable[[#This Row],[GradeType]]="Hp",IF(K7=ItemTable[[#This Row],[GradeType]],F7+1,10),ItemTable[[#This Row],[GradeType]]="Gold",IF(K7=ItemTable[[#This Row],[GradeType]],F7+1,20),ItemTable[[#This Row],[GradeType]]="Weapon",IF(K7=ItemTable[[#This Row],[GradeType]],F7+1,1000),ItemTable[[#This Row],[GradeType]]="Normal",IF(K7=ItemTable[[#This Row],[GradeType]],F7+1,2000),ItemTable[[#This Row],[GradeType]]="Rare",IF(K7=ItemTable[[#This Row],[GradeType]],F7+1,3000),ItemTable[[#This Row],[GradeType]]="Cursed",IF(K7=ItemTable[[#This Row],[GradeType]],F7+1,4000))</f>
        <v>2000</v>
      </c>
      <c r="G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H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I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J8" s="42" t="str">
        <f>IF(ItemTable[[#This Row],[GradeType]]="Cursed",
_xlfn.CONCAT("Item_MinusDesc_",ItemTable[[#This Row],[Index]]),""
)</f>
        <v/>
      </c>
      <c r="K8" s="42" t="s">
        <v>45</v>
      </c>
      <c r="L8" s="42">
        <v>1</v>
      </c>
      <c r="M8" s="42">
        <f t="array" ref="M8">_xlfn.IFS(ItemTable[[#This Row],[GradeType]]="Normal",25,ItemTable[[#This Row],[GradeType]]="Cursed",50,ItemTable[[#This Row],[GradeType]]="Rare",50)</f>
        <v>25</v>
      </c>
      <c r="N8" s="42">
        <v>30</v>
      </c>
      <c r="O8" s="42">
        <f t="array" ref="O8">_xlfn.IFS(OR(ItemTable[[#This Row],[GradeType]]="Hp",ItemTable[[#This Row],[GradeType]]="Gold"),0,TRUE,5000+ItemTable[[#This Row],[Index]])</f>
        <v>7000</v>
      </c>
      <c r="P8" s="42" t="s">
        <v>624</v>
      </c>
      <c r="Q8" s="57" t="s">
        <v>517</v>
      </c>
      <c r="R8" s="57" t="str">
        <f>SUBSTITUTE(PROPER(ItemTable[[#This Row],['#번역본]])," "," ")</f>
        <v>Metal Unicorn Keyring</v>
      </c>
    </row>
    <row r="9" spans="2:18">
      <c r="B9" s="57" t="str">
        <f>INDEX(LocaleTable[LocaleKR],MATCH(ItemTable[[#This Row],[Name]],LocaleTable[StringKey],0))</f>
        <v>챔피언 모자</v>
      </c>
      <c r="C9" s="57" t="str">
        <f>INDEX(LocaleTable[LocaleKR],MATCH(ItemTable[[#This Row],[Desc]],LocaleTable[StringKey],0))</f>
        <v>태초부터 시작되더라도 절망하지 않습니다.\n'자 이제 시작이야'</v>
      </c>
      <c r="D9" s="57" t="str">
        <f>INDEX(LocaleTable[LocaleKR],MATCH(ItemTable[[#This Row],[PlusDesc]],LocaleTable[StringKey],0))</f>
        <v>공격범위 +30%</v>
      </c>
      <c r="E9" s="57" t="e">
        <f>INDEX(LocaleTable[LocaleKR],MATCH(ItemTable[[#This Row],[MinusDesc]],LocaleTable[StringKey],0))</f>
        <v>#N/A</v>
      </c>
      <c r="F9" s="42">
        <f t="array" ref="F9">_xlfn.IFS(ItemTable[[#This Row],[GradeType]]="Hp",IF(K8=ItemTable[[#This Row],[GradeType]],F8+1,10),ItemTable[[#This Row],[GradeType]]="Gold",IF(K8=ItemTable[[#This Row],[GradeType]],F8+1,20),ItemTable[[#This Row],[GradeType]]="Weapon",IF(K8=ItemTable[[#This Row],[GradeType]],F8+1,1000),ItemTable[[#This Row],[GradeType]]="Normal",IF(K8=ItemTable[[#This Row],[GradeType]],F8+1,2000),ItemTable[[#This Row],[GradeType]]="Rare",IF(K8=ItemTable[[#This Row],[GradeType]],F8+1,3000),ItemTable[[#This Row],[GradeType]]="Cursed",IF(K8=ItemTable[[#This Row],[GradeType]],F8+1,4000))</f>
        <v>2001</v>
      </c>
      <c r="G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H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I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J9" s="42" t="str">
        <f>IF(ItemTable[[#This Row],[GradeType]]="Cursed",
_xlfn.CONCAT("Item_MinusDesc_",ItemTable[[#This Row],[Index]]),""
)</f>
        <v/>
      </c>
      <c r="K9" s="42" t="s">
        <v>45</v>
      </c>
      <c r="L9" s="42">
        <v>1</v>
      </c>
      <c r="M9" s="42">
        <f t="array" ref="M9">_xlfn.IFS(ItemTable[[#This Row],[GradeType]]="Normal",25,ItemTable[[#This Row],[GradeType]]="Cursed",50,ItemTable[[#This Row],[GradeType]]="Rare",50)</f>
        <v>25</v>
      </c>
      <c r="N9" s="42">
        <v>30</v>
      </c>
      <c r="O9" s="42">
        <f t="array" ref="O9">_xlfn.IFS(OR(ItemTable[[#This Row],[GradeType]]="Hp",ItemTable[[#This Row],[GradeType]]="Gold"),0,TRUE,5000+ItemTable[[#This Row],[Index]])</f>
        <v>7001</v>
      </c>
      <c r="P9" s="42" t="s">
        <v>483</v>
      </c>
      <c r="Q9" s="57" t="s">
        <v>518</v>
      </c>
      <c r="R9" s="57" t="str">
        <f>SUBSTITUTE(PROPER(ItemTable[[#This Row],['#번역본]])," "," ")</f>
        <v>A Champion Hat</v>
      </c>
    </row>
    <row r="10" spans="2:18">
      <c r="B10" s="57" t="str">
        <f>INDEX(LocaleTable[LocaleKR],MATCH(ItemTable[[#This Row],[Name]],LocaleTable[StringKey],0))</f>
        <v>쿨 - 도그</v>
      </c>
      <c r="C10" s="57" t="str">
        <f>INDEX(LocaleTable[LocaleKR],MATCH(ItemTable[[#This Row],[Desc]],LocaleTable[StringKey],0))</f>
        <v>얼.죽.아 클럽의 새로운 유행입니다.</v>
      </c>
      <c r="D10" s="57" t="str">
        <f>INDEX(LocaleTable[LocaleKR],MATCH(ItemTable[[#This Row],[PlusDesc]],LocaleTable[StringKey],0))</f>
        <v>차징속도 +15%</v>
      </c>
      <c r="E10" s="57" t="e">
        <f>INDEX(LocaleTable[LocaleKR],MATCH(ItemTable[[#This Row],[MinusDesc]],LocaleTable[StringKey],0))</f>
        <v>#N/A</v>
      </c>
      <c r="F10" s="42">
        <f t="array" ref="F10">_xlfn.IFS(ItemTable[[#This Row],[GradeType]]="Hp",IF(K9=ItemTable[[#This Row],[GradeType]],F9+1,10),ItemTable[[#This Row],[GradeType]]="Gold",IF(K9=ItemTable[[#This Row],[GradeType]],F9+1,20),ItemTable[[#This Row],[GradeType]]="Weapon",IF(K9=ItemTable[[#This Row],[GradeType]],F9+1,1000),ItemTable[[#This Row],[GradeType]]="Normal",IF(K9=ItemTable[[#This Row],[GradeType]],F9+1,2000),ItemTable[[#This Row],[GradeType]]="Rare",IF(K9=ItemTable[[#This Row],[GradeType]],F9+1,3000),ItemTable[[#This Row],[GradeType]]="Cursed",IF(K9=ItemTable[[#This Row],[GradeType]],F9+1,4000))</f>
        <v>2002</v>
      </c>
      <c r="G1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H1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I1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J10" s="42" t="str">
        <f>IF(ItemTable[[#This Row],[GradeType]]="Cursed",
_xlfn.CONCAT("Item_MinusDesc_",ItemTable[[#This Row],[Index]]),""
)</f>
        <v/>
      </c>
      <c r="K10" s="42" t="s">
        <v>45</v>
      </c>
      <c r="L10" s="42">
        <v>1</v>
      </c>
      <c r="M10" s="42">
        <f t="array" ref="M10">_xlfn.IFS(ItemTable[[#This Row],[GradeType]]="Normal",25,ItemTable[[#This Row],[GradeType]]="Cursed",50,ItemTable[[#This Row],[GradeType]]="Rare",50)</f>
        <v>25</v>
      </c>
      <c r="N10" s="42">
        <v>30</v>
      </c>
      <c r="O10" s="42">
        <f t="array" ref="O10">_xlfn.IFS(OR(ItemTable[[#This Row],[GradeType]]="Hp",ItemTable[[#This Row],[GradeType]]="Gold"),0,TRUE,5000+ItemTable[[#This Row],[Index]])</f>
        <v>7002</v>
      </c>
      <c r="P10" s="42" t="s">
        <v>484</v>
      </c>
      <c r="Q10" s="57" t="s">
        <v>519</v>
      </c>
      <c r="R10" s="57" t="str">
        <f>SUBSTITUTE(PROPER(ItemTable[[#This Row],['#번역본]])," "," ")</f>
        <v>Cool - Dog</v>
      </c>
    </row>
    <row r="11" spans="2:18">
      <c r="B11" s="57" t="str">
        <f>INDEX(LocaleTable[LocaleKR],MATCH(ItemTable[[#This Row],[Name]],LocaleTable[StringKey],0))</f>
        <v>QT 파우더</v>
      </c>
      <c r="C11" s="57" t="str">
        <f>INDEX(LocaleTable[LocaleKR],MATCH(ItemTable[[#This Row],[Desc]],LocaleTable[StringKey],0))</f>
        <v>배트 이외의 물건에 사용하지 마시오\nQT추출물 0.0006% 함유\nQT향 0.1%함유</v>
      </c>
      <c r="D11" s="57" t="str">
        <f>INDEX(LocaleTable[LocaleKR],MATCH(ItemTable[[#This Row],[PlusDesc]],LocaleTable[StringKey],0))</f>
        <v>차징 타격 시 5초간\n공격력 +20%</v>
      </c>
      <c r="E11" s="57" t="e">
        <f>INDEX(LocaleTable[LocaleKR],MATCH(ItemTable[[#This Row],[MinusDesc]],LocaleTable[StringKey],0))</f>
        <v>#N/A</v>
      </c>
      <c r="F11" s="42">
        <f t="array" ref="F11">_xlfn.IFS(ItemTable[[#This Row],[GradeType]]="Hp",IF(K10=ItemTable[[#This Row],[GradeType]],F10+1,10),ItemTable[[#This Row],[GradeType]]="Gold",IF(K10=ItemTable[[#This Row],[GradeType]],F10+1,20),ItemTable[[#This Row],[GradeType]]="Weapon",IF(K10=ItemTable[[#This Row],[GradeType]],F10+1,1000),ItemTable[[#This Row],[GradeType]]="Normal",IF(K10=ItemTable[[#This Row],[GradeType]],F10+1,2000),ItemTable[[#This Row],[GradeType]]="Rare",IF(K10=ItemTable[[#This Row],[GradeType]],F10+1,3000),ItemTable[[#This Row],[GradeType]]="Cursed",IF(K10=ItemTable[[#This Row],[GradeType]],F10+1,4000))</f>
        <v>2003</v>
      </c>
      <c r="G1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H1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I1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J11" s="42" t="str">
        <f>IF(ItemTable[[#This Row],[GradeType]]="Cursed",
_xlfn.CONCAT("Item_MinusDesc_",ItemTable[[#This Row],[Index]]),""
)</f>
        <v/>
      </c>
      <c r="K11" s="42" t="s">
        <v>45</v>
      </c>
      <c r="L11" s="42">
        <v>1</v>
      </c>
      <c r="M11" s="42">
        <f t="array" ref="M11">_xlfn.IFS(ItemTable[[#This Row],[GradeType]]="Normal",25,ItemTable[[#This Row],[GradeType]]="Cursed",50,ItemTable[[#This Row],[GradeType]]="Rare",50)</f>
        <v>25</v>
      </c>
      <c r="N11" s="42">
        <v>30</v>
      </c>
      <c r="O11" s="42">
        <f t="array" ref="O11">_xlfn.IFS(OR(ItemTable[[#This Row],[GradeType]]="Hp",ItemTable[[#This Row],[GradeType]]="Gold"),0,TRUE,5000+ItemTable[[#This Row],[Index]])</f>
        <v>7003</v>
      </c>
      <c r="P11" s="42" t="s">
        <v>485</v>
      </c>
      <c r="Q11" s="57" t="s">
        <v>520</v>
      </c>
      <c r="R11" s="57" t="str">
        <f>SUBSTITUTE(PROPER(ItemTable[[#This Row],['#번역본]])," "," ")</f>
        <v>Qt Powder</v>
      </c>
    </row>
    <row r="12" spans="2:18">
      <c r="B12" s="57" t="str">
        <f>INDEX(LocaleTable[LocaleKR],MATCH(ItemTable[[#This Row],[Name]],LocaleTable[StringKey],0))</f>
        <v>적토목마</v>
      </c>
      <c r="C12" s="57" t="str">
        <f>INDEX(LocaleTable[LocaleKR],MATCH(ItemTable[[#This Row],[Desc]],LocaleTable[StringKey],0))</f>
        <v>시크한 표정을 믿고 산책에 나갔다가는\n마라톤을 하게 될 수 있습니다.</v>
      </c>
      <c r="D12" s="57" t="str">
        <f>INDEX(LocaleTable[LocaleKR],MATCH(ItemTable[[#This Row],[PlusDesc]],LocaleTable[StringKey],0))</f>
        <v>공격속도 +20%</v>
      </c>
      <c r="E12" s="57" t="e">
        <f>INDEX(LocaleTable[LocaleKR],MATCH(ItemTable[[#This Row],[MinusDesc]],LocaleTable[StringKey],0))</f>
        <v>#N/A</v>
      </c>
      <c r="F12" s="42">
        <f t="array" ref="F12">_xlfn.IFS(ItemTable[[#This Row],[GradeType]]="Hp",IF(K11=ItemTable[[#This Row],[GradeType]],F11+1,10),ItemTable[[#This Row],[GradeType]]="Gold",IF(K11=ItemTable[[#This Row],[GradeType]],F11+1,20),ItemTable[[#This Row],[GradeType]]="Weapon",IF(K11=ItemTable[[#This Row],[GradeType]],F11+1,1000),ItemTable[[#This Row],[GradeType]]="Normal",IF(K11=ItemTable[[#This Row],[GradeType]],F11+1,2000),ItemTable[[#This Row],[GradeType]]="Rare",IF(K11=ItemTable[[#This Row],[GradeType]],F11+1,3000),ItemTable[[#This Row],[GradeType]]="Cursed",IF(K11=ItemTable[[#This Row],[GradeType]],F11+1,4000))</f>
        <v>2004</v>
      </c>
      <c r="G1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H1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I1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J12" s="42" t="str">
        <f>IF(ItemTable[[#This Row],[GradeType]]="Cursed",
_xlfn.CONCAT("Item_MinusDesc_",ItemTable[[#This Row],[Index]]),""
)</f>
        <v/>
      </c>
      <c r="K12" s="42" t="s">
        <v>45</v>
      </c>
      <c r="L12" s="42">
        <v>1</v>
      </c>
      <c r="M12" s="42">
        <f t="array" ref="M12">_xlfn.IFS(ItemTable[[#This Row],[GradeType]]="Normal",25,ItemTable[[#This Row],[GradeType]]="Cursed",50,ItemTable[[#This Row],[GradeType]]="Rare",50)</f>
        <v>25</v>
      </c>
      <c r="N12" s="42">
        <v>30</v>
      </c>
      <c r="O12" s="42">
        <f t="array" ref="O12">_xlfn.IFS(OR(ItemTable[[#This Row],[GradeType]]="Hp",ItemTable[[#This Row],[GradeType]]="Gold"),0,TRUE,5000+ItemTable[[#This Row],[Index]])</f>
        <v>7004</v>
      </c>
      <c r="P12" s="42" t="s">
        <v>486</v>
      </c>
      <c r="Q12" s="57" t="s">
        <v>533</v>
      </c>
      <c r="R12" s="57" t="str">
        <f>SUBSTITUTE(PROPER(ItemTable[[#This Row],['#번역본]])," "," ")</f>
        <v>Red Hobbyhorse</v>
      </c>
    </row>
    <row r="13" spans="2:18">
      <c r="B13" s="57" t="str">
        <f>INDEX(LocaleTable[LocaleKR],MATCH(ItemTable[[#This Row],[Name]],LocaleTable[StringKey],0))</f>
        <v>삼각김곰</v>
      </c>
      <c r="C13" s="57" t="str">
        <f>INDEX(LocaleTable[LocaleKR],MATCH(ItemTable[[#This Row],[Desc]],LocaleTable[StringKey],0))</f>
        <v>대나무 향을 머금은 흰 밥이\n까만 김을 만나 완성된 환상적인 조합.</v>
      </c>
      <c r="D13" s="57" t="str">
        <f>INDEX(LocaleTable[LocaleKR],MATCH(ItemTable[[#This Row],[PlusDesc]],LocaleTable[StringKey],0))</f>
        <v>체력을 한칸 회복합니다.</v>
      </c>
      <c r="E13" s="57" t="e">
        <f>INDEX(LocaleTable[LocaleKR],MATCH(ItemTable[[#This Row],[MinusDesc]],LocaleTable[StringKey],0))</f>
        <v>#N/A</v>
      </c>
      <c r="F13" s="42">
        <f t="array" ref="F13">_xlfn.IFS(ItemTable[[#This Row],[GradeType]]="Hp",IF(K12=ItemTable[[#This Row],[GradeType]],F12+1,10),ItemTable[[#This Row],[GradeType]]="Gold",IF(K12=ItemTable[[#This Row],[GradeType]],F12+1,20),ItemTable[[#This Row],[GradeType]]="Weapon",IF(K12=ItemTable[[#This Row],[GradeType]],F12+1,1000),ItemTable[[#This Row],[GradeType]]="Normal",IF(K12=ItemTable[[#This Row],[GradeType]],F12+1,2000),ItemTable[[#This Row],[GradeType]]="Rare",IF(K12=ItemTable[[#This Row],[GradeType]],F12+1,3000),ItemTable[[#This Row],[GradeType]]="Cursed",IF(K12=ItemTable[[#This Row],[GradeType]],F12+1,4000))</f>
        <v>2005</v>
      </c>
      <c r="G1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H1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I1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J13" s="42" t="str">
        <f>IF(ItemTable[[#This Row],[GradeType]]="Cursed",
_xlfn.CONCAT("Item_MinusDesc_",ItemTable[[#This Row],[Index]]),""
)</f>
        <v/>
      </c>
      <c r="K13" s="42" t="s">
        <v>45</v>
      </c>
      <c r="L13" s="42">
        <v>1</v>
      </c>
      <c r="M13" s="42">
        <f t="array" ref="M13">_xlfn.IFS(ItemTable[[#This Row],[GradeType]]="Normal",25,ItemTable[[#This Row],[GradeType]]="Cursed",50,ItemTable[[#This Row],[GradeType]]="Rare",50)</f>
        <v>25</v>
      </c>
      <c r="N13" s="42">
        <v>30</v>
      </c>
      <c r="O13" s="42">
        <f t="array" ref="O13">_xlfn.IFS(OR(ItemTable[[#This Row],[GradeType]]="Hp",ItemTable[[#This Row],[GradeType]]="Gold"),0,TRUE,5000+ItemTable[[#This Row],[Index]])</f>
        <v>7005</v>
      </c>
      <c r="P13" s="42" t="s">
        <v>487</v>
      </c>
      <c r="Q13" s="57" t="s">
        <v>534</v>
      </c>
      <c r="R13" s="57" t="str">
        <f>SUBSTITUTE(PROPER(ItemTable[[#This Row],['#번역본]])," "," ")</f>
        <v>Rice_Ball</v>
      </c>
    </row>
    <row r="14" spans="2:18">
      <c r="B14" s="57" t="str">
        <f>INDEX(LocaleTable[LocaleKR],MATCH(ItemTable[[#This Row],[Name]],LocaleTable[StringKey],0))</f>
        <v>데빌불</v>
      </c>
      <c r="C14" s="57" t="str">
        <f>INDEX(LocaleTable[LocaleKR],MATCH(ItemTable[[#This Row],[Desc]],LocaleTable[StringKey],0))</f>
        <v>데빌불, 숨겨진 악성을 펼쳐줘요.\n불티나게 팔리고 있는 음료입니다.</v>
      </c>
      <c r="D14" s="57" t="str">
        <f>INDEX(LocaleTable[LocaleKR],MATCH(ItemTable[[#This Row],[PlusDesc]],LocaleTable[StringKey],0))</f>
        <v>기절한 적을 공격할 때\n4초간 공격력 +30%</v>
      </c>
      <c r="E14" s="57" t="e">
        <f>INDEX(LocaleTable[LocaleKR],MATCH(ItemTable[[#This Row],[MinusDesc]],LocaleTable[StringKey],0))</f>
        <v>#N/A</v>
      </c>
      <c r="F14" s="42">
        <f t="array" ref="F14">_xlfn.IFS(ItemTable[[#This Row],[GradeType]]="Hp",IF(K13=ItemTable[[#This Row],[GradeType]],F13+1,10),ItemTable[[#This Row],[GradeType]]="Gold",IF(K13=ItemTable[[#This Row],[GradeType]],F13+1,20),ItemTable[[#This Row],[GradeType]]="Weapon",IF(K13=ItemTable[[#This Row],[GradeType]],F13+1,1000),ItemTable[[#This Row],[GradeType]]="Normal",IF(K13=ItemTable[[#This Row],[GradeType]],F13+1,2000),ItemTable[[#This Row],[GradeType]]="Rare",IF(K13=ItemTable[[#This Row],[GradeType]],F13+1,3000),ItemTable[[#This Row],[GradeType]]="Cursed",IF(K13=ItemTable[[#This Row],[GradeType]],F13+1,4000))</f>
        <v>3000</v>
      </c>
      <c r="G1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H1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I1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J14" s="42" t="str">
        <f>IF(ItemTable[[#This Row],[GradeType]]="Cursed",
_xlfn.CONCAT("Item_MinusDesc_",ItemTable[[#This Row],[Index]]),""
)</f>
        <v/>
      </c>
      <c r="K14" s="42" t="s">
        <v>453</v>
      </c>
      <c r="L14" s="42">
        <v>1</v>
      </c>
      <c r="M14" s="42">
        <f t="array" ref="M14">_xlfn.IFS(ItemTable[[#This Row],[GradeType]]="Normal",25,ItemTable[[#This Row],[GradeType]]="Cursed",50,ItemTable[[#This Row],[GradeType]]="Rare",50)</f>
        <v>50</v>
      </c>
      <c r="N14" s="42">
        <v>50</v>
      </c>
      <c r="O14" s="42">
        <f t="array" ref="O14">_xlfn.IFS(OR(ItemTable[[#This Row],[GradeType]]="Hp",ItemTable[[#This Row],[GradeType]]="Gold"),0,TRUE,5000+ItemTable[[#This Row],[Index]])</f>
        <v>8000</v>
      </c>
      <c r="P14" s="42" t="s">
        <v>488</v>
      </c>
      <c r="Q14" s="57" t="s">
        <v>521</v>
      </c>
      <c r="R14" s="57" t="str">
        <f>SUBSTITUTE(PROPER(ItemTable[[#This Row],['#번역본]])," "," ")</f>
        <v>Devil Bull</v>
      </c>
    </row>
    <row r="15" spans="2:18">
      <c r="B15" s="57" t="str">
        <f>INDEX(LocaleTable[LocaleKR],MATCH(ItemTable[[#This Row],[Name]],LocaleTable[StringKey],0))</f>
        <v>대인 지뢰</v>
      </c>
      <c r="C15" s="57" t="str">
        <f>INDEX(LocaleTable[LocaleKR],MATCH(ItemTable[[#This Row],[Desc]],LocaleTable[StringKey],0))</f>
        <v>고대에 멸종된 것으로 보이는 유물 입니다. 많은 시간이 지났지만 튼튼하고 고통스럽습니다.</v>
      </c>
      <c r="D15" s="57" t="str">
        <f>INDEX(LocaleTable[LocaleKR],MATCH(ItemTable[[#This Row],[PlusDesc]],LocaleTable[StringKey],0))</f>
        <v>잃은 체력 반칸당 공격력 +5%</v>
      </c>
      <c r="E15" s="57" t="e">
        <f>INDEX(LocaleTable[LocaleKR],MATCH(ItemTable[[#This Row],[MinusDesc]],LocaleTable[StringKey],0))</f>
        <v>#N/A</v>
      </c>
      <c r="F15" s="42">
        <f t="array" ref="F15">_xlfn.IFS(ItemTable[[#This Row],[GradeType]]="Hp",IF(K14=ItemTable[[#This Row],[GradeType]],F14+1,10),ItemTable[[#This Row],[GradeType]]="Gold",IF(K14=ItemTable[[#This Row],[GradeType]],F14+1,20),ItemTable[[#This Row],[GradeType]]="Weapon",IF(K14=ItemTable[[#This Row],[GradeType]],F14+1,1000),ItemTable[[#This Row],[GradeType]]="Normal",IF(K14=ItemTable[[#This Row],[GradeType]],F14+1,2000),ItemTable[[#This Row],[GradeType]]="Rare",IF(K14=ItemTable[[#This Row],[GradeType]],F14+1,3000),ItemTable[[#This Row],[GradeType]]="Cursed",IF(K14=ItemTable[[#This Row],[GradeType]],F14+1,4000))</f>
        <v>3001</v>
      </c>
      <c r="G1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H1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I1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J15" s="42" t="str">
        <f>IF(ItemTable[[#This Row],[GradeType]]="Cursed",
_xlfn.CONCAT("Item_MinusDesc_",ItemTable[[#This Row],[Index]]),""
)</f>
        <v/>
      </c>
      <c r="K15" s="42" t="s">
        <v>46</v>
      </c>
      <c r="L15" s="42">
        <v>1</v>
      </c>
      <c r="M15" s="42">
        <f t="array" ref="M15">_xlfn.IFS(ItemTable[[#This Row],[GradeType]]="Normal",25,ItemTable[[#This Row],[GradeType]]="Cursed",50,ItemTable[[#This Row],[GradeType]]="Rare",50)</f>
        <v>50</v>
      </c>
      <c r="N15" s="42">
        <v>50</v>
      </c>
      <c r="O15" s="42">
        <f t="array" ref="O15">_xlfn.IFS(OR(ItemTable[[#This Row],[GradeType]]="Hp",ItemTable[[#This Row],[GradeType]]="Gold"),0,TRUE,5000+ItemTable[[#This Row],[Index]])</f>
        <v>8001</v>
      </c>
      <c r="P15" s="42" t="s">
        <v>489</v>
      </c>
      <c r="Q15" s="57" t="s">
        <v>536</v>
      </c>
      <c r="R15" s="57" t="str">
        <f>SUBSTITUTE(PROPER(ItemTable[[#This Row],['#번역본]])," "," ")</f>
        <v>The Boobytrap</v>
      </c>
    </row>
    <row r="16" spans="2:18">
      <c r="B16" s="57" t="str">
        <f>INDEX(LocaleTable[LocaleKR],MATCH(ItemTable[[#This Row],[Name]],LocaleTable[StringKey],0))</f>
        <v>돌가면</v>
      </c>
      <c r="C16" s="57" t="str">
        <f>INDEX(LocaleTable[LocaleKR],MATCH(ItemTable[[#This Row],[Desc]],LocaleTable[StringKey],0))</f>
        <v>꽤 무게가 나가는 돌가면.\n안쪽에 숨겨진 침들이 보이는데...\n위험하진 않겠죠?</v>
      </c>
      <c r="D16" s="57" t="str">
        <f>INDEX(LocaleTable[LocaleKR],MATCH(ItemTable[[#This Row],[PlusDesc]],LocaleTable[StringKey],0))</f>
        <v>기절한 적을 공격할 때\n10%확률로 반칸 회복</v>
      </c>
      <c r="E16" s="57" t="e">
        <f>INDEX(LocaleTable[LocaleKR],MATCH(ItemTable[[#This Row],[MinusDesc]],LocaleTable[StringKey],0))</f>
        <v>#N/A</v>
      </c>
      <c r="F16" s="42">
        <f t="array" ref="F16">_xlfn.IFS(ItemTable[[#This Row],[GradeType]]="Hp",IF(K15=ItemTable[[#This Row],[GradeType]],F15+1,10),ItemTable[[#This Row],[GradeType]]="Gold",IF(K15=ItemTable[[#This Row],[GradeType]],F15+1,20),ItemTable[[#This Row],[GradeType]]="Weapon",IF(K15=ItemTable[[#This Row],[GradeType]],F15+1,1000),ItemTable[[#This Row],[GradeType]]="Normal",IF(K15=ItemTable[[#This Row],[GradeType]],F15+1,2000),ItemTable[[#This Row],[GradeType]]="Rare",IF(K15=ItemTable[[#This Row],[GradeType]],F15+1,3000),ItemTable[[#This Row],[GradeType]]="Cursed",IF(K15=ItemTable[[#This Row],[GradeType]],F15+1,4000))</f>
        <v>3002</v>
      </c>
      <c r="G1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H1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I1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J16" s="42" t="str">
        <f>IF(ItemTable[[#This Row],[GradeType]]="Cursed",
_xlfn.CONCAT("Item_MinusDesc_",ItemTable[[#This Row],[Index]]),""
)</f>
        <v/>
      </c>
      <c r="K16" s="42" t="s">
        <v>46</v>
      </c>
      <c r="L16" s="42">
        <v>1</v>
      </c>
      <c r="M16" s="42">
        <f t="array" ref="M16">_xlfn.IFS(ItemTable[[#This Row],[GradeType]]="Normal",25,ItemTable[[#This Row],[GradeType]]="Cursed",50,ItemTable[[#This Row],[GradeType]]="Rare",50)</f>
        <v>50</v>
      </c>
      <c r="N16" s="42">
        <v>50</v>
      </c>
      <c r="O16" s="42">
        <f t="array" ref="O16">_xlfn.IFS(OR(ItemTable[[#This Row],[GradeType]]="Hp",ItemTable[[#This Row],[GradeType]]="Gold"),0,TRUE,5000+ItemTable[[#This Row],[Index]])</f>
        <v>8002</v>
      </c>
      <c r="P16" s="42" t="s">
        <v>490</v>
      </c>
      <c r="Q16" s="57" t="s">
        <v>538</v>
      </c>
      <c r="R16" s="57" t="str">
        <f>SUBSTITUTE(PROPER(ItemTable[[#This Row],['#번역본]])," "," ")</f>
        <v>Stone Mask</v>
      </c>
    </row>
    <row r="17" spans="2:18">
      <c r="B17" s="57" t="str">
        <f>INDEX(LocaleTable[LocaleKR],MATCH(ItemTable[[#This Row],[Name]],LocaleTable[StringKey],0))</f>
        <v>사나운 돼지저금통</v>
      </c>
      <c r="C17" s="57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D17" s="57" t="str">
        <f>INDEX(LocaleTable[LocaleKR],MATCH(ItemTable[[#This Row],[PlusDesc]],LocaleTable[StringKey],0))</f>
        <v>골드획득량 +50%</v>
      </c>
      <c r="E17" s="57" t="e">
        <f>INDEX(LocaleTable[LocaleKR],MATCH(ItemTable[[#This Row],[MinusDesc]],LocaleTable[StringKey],0))</f>
        <v>#N/A</v>
      </c>
      <c r="F17" s="42">
        <f t="array" ref="F17">_xlfn.IFS(ItemTable[[#This Row],[GradeType]]="Hp",IF(K16=ItemTable[[#This Row],[GradeType]],F16+1,10),ItemTable[[#This Row],[GradeType]]="Gold",IF(K16=ItemTable[[#This Row],[GradeType]],F16+1,20),ItemTable[[#This Row],[GradeType]]="Weapon",IF(K16=ItemTable[[#This Row],[GradeType]],F16+1,1000),ItemTable[[#This Row],[GradeType]]="Normal",IF(K16=ItemTable[[#This Row],[GradeType]],F16+1,2000),ItemTable[[#This Row],[GradeType]]="Rare",IF(K16=ItemTable[[#This Row],[GradeType]],F16+1,3000),ItemTable[[#This Row],[GradeType]]="Cursed",IF(K16=ItemTable[[#This Row],[GradeType]],F16+1,4000))</f>
        <v>3003</v>
      </c>
      <c r="G1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H1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I1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J17" s="42" t="str">
        <f>IF(ItemTable[[#This Row],[GradeType]]="Cursed",
_xlfn.CONCAT("Item_MinusDesc_",ItemTable[[#This Row],[Index]]),""
)</f>
        <v/>
      </c>
      <c r="K17" s="42" t="s">
        <v>46</v>
      </c>
      <c r="L17" s="42">
        <v>1</v>
      </c>
      <c r="M17" s="42">
        <f t="array" ref="M17">_xlfn.IFS(ItemTable[[#This Row],[GradeType]]="Normal",25,ItemTable[[#This Row],[GradeType]]="Cursed",50,ItemTable[[#This Row],[GradeType]]="Rare",50)</f>
        <v>50</v>
      </c>
      <c r="N17" s="42">
        <v>50</v>
      </c>
      <c r="O17" s="42">
        <f t="array" ref="O17">_xlfn.IFS(OR(ItemTable[[#This Row],[GradeType]]="Hp",ItemTable[[#This Row],[GradeType]]="Gold"),0,TRUE,5000+ItemTable[[#This Row],[Index]])</f>
        <v>8003</v>
      </c>
      <c r="P17" s="42" t="s">
        <v>491</v>
      </c>
      <c r="Q17" s="57" t="s">
        <v>539</v>
      </c>
      <c r="R17" s="57" t="str">
        <f>SUBSTITUTE(PROPER(ItemTable[[#This Row],['#번역본]])," "," ")</f>
        <v>A Fierce Piggy Bank</v>
      </c>
    </row>
    <row r="18" spans="2:18">
      <c r="B18" s="57" t="str">
        <f>INDEX(LocaleTable[LocaleKR],MATCH(ItemTable[[#This Row],[Name]],LocaleTable[StringKey],0))</f>
        <v>성배 속 무언가</v>
      </c>
      <c r="C18" s="57" t="str">
        <f>INDEX(LocaleTable[LocaleKR],MATCH(ItemTable[[#This Row],[Desc]],LocaleTable[StringKey],0))</f>
        <v>종교적인 용도로 보이는 컵입니다.\n잠깐, 방금 조금 움직인 것 같은데요?</v>
      </c>
      <c r="D18" s="57" t="str">
        <f>INDEX(LocaleTable[LocaleKR],MATCH(ItemTable[[#This Row],[PlusDesc]],LocaleTable[StringKey],0))</f>
        <v>공 충돌횟수 +3</v>
      </c>
      <c r="E18" s="57" t="e">
        <f>INDEX(LocaleTable[LocaleKR],MATCH(ItemTable[[#This Row],[MinusDesc]],LocaleTable[StringKey],0))</f>
        <v>#N/A</v>
      </c>
      <c r="F18" s="42">
        <f t="array" ref="F18">_xlfn.IFS(ItemTable[[#This Row],[GradeType]]="Hp",IF(K17=ItemTable[[#This Row],[GradeType]],F17+1,10),ItemTable[[#This Row],[GradeType]]="Gold",IF(K17=ItemTable[[#This Row],[GradeType]],F17+1,20),ItemTable[[#This Row],[GradeType]]="Weapon",IF(K17=ItemTable[[#This Row],[GradeType]],F17+1,1000),ItemTable[[#This Row],[GradeType]]="Normal",IF(K17=ItemTable[[#This Row],[GradeType]],F17+1,2000),ItemTable[[#This Row],[GradeType]]="Rare",IF(K17=ItemTable[[#This Row],[GradeType]],F17+1,3000),ItemTable[[#This Row],[GradeType]]="Cursed",IF(K17=ItemTable[[#This Row],[GradeType]],F17+1,4000))</f>
        <v>3004</v>
      </c>
      <c r="G1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H1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I1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J18" s="42" t="str">
        <f>IF(ItemTable[[#This Row],[GradeType]]="Cursed",
_xlfn.CONCAT("Item_MinusDesc_",ItemTable[[#This Row],[Index]]),""
)</f>
        <v/>
      </c>
      <c r="K18" s="42" t="s">
        <v>46</v>
      </c>
      <c r="L18" s="42">
        <v>1</v>
      </c>
      <c r="M18" s="42">
        <f t="array" ref="M18">_xlfn.IFS(ItemTable[[#This Row],[GradeType]]="Normal",25,ItemTable[[#This Row],[GradeType]]="Cursed",50,ItemTable[[#This Row],[GradeType]]="Rare",50)</f>
        <v>50</v>
      </c>
      <c r="N18" s="42">
        <v>50</v>
      </c>
      <c r="O18" s="42">
        <f t="array" ref="O18">_xlfn.IFS(OR(ItemTable[[#This Row],[GradeType]]="Hp",ItemTable[[#This Row],[GradeType]]="Gold"),0,TRUE,5000+ItemTable[[#This Row],[Index]])</f>
        <v>8004</v>
      </c>
      <c r="P18" s="42" t="s">
        <v>492</v>
      </c>
      <c r="Q18" s="57" t="s">
        <v>540</v>
      </c>
      <c r="R18" s="57" t="str">
        <f>SUBSTITUTE(PROPER(ItemTable[[#This Row],['#번역본]])," "," ")</f>
        <v>Something In The Holy Grail</v>
      </c>
    </row>
    <row r="19" spans="2:18">
      <c r="B19" s="57" t="str">
        <f>INDEX(LocaleTable[LocaleKR],MATCH(ItemTable[[#This Row],[Name]],LocaleTable[StringKey],0))</f>
        <v>이상한 사탕</v>
      </c>
      <c r="C19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D19" s="57" t="str">
        <f>INDEX(LocaleTable[LocaleKR],MATCH(ItemTable[[#This Row],[PlusDesc]],LocaleTable[StringKey],0))</f>
        <v>체력을 전부 회복합니다.</v>
      </c>
      <c r="E19" s="57" t="e">
        <f>INDEX(LocaleTable[LocaleKR],MATCH(ItemTable[[#This Row],[MinusDesc]],LocaleTable[StringKey],0))</f>
        <v>#N/A</v>
      </c>
      <c r="F19" s="42">
        <f t="array" ref="F19">_xlfn.IFS(ItemTable[[#This Row],[GradeType]]="Hp",IF(K18=ItemTable[[#This Row],[GradeType]],F18+1,10),ItemTable[[#This Row],[GradeType]]="Gold",IF(K18=ItemTable[[#This Row],[GradeType]],F18+1,20),ItemTable[[#This Row],[GradeType]]="Weapon",IF(K18=ItemTable[[#This Row],[GradeType]],F18+1,1000),ItemTable[[#This Row],[GradeType]]="Normal",IF(K18=ItemTable[[#This Row],[GradeType]],F18+1,2000),ItemTable[[#This Row],[GradeType]]="Rare",IF(K18=ItemTable[[#This Row],[GradeType]],F18+1,3000),ItemTable[[#This Row],[GradeType]]="Cursed",IF(K18=ItemTable[[#This Row],[GradeType]],F18+1,4000))</f>
        <v>3005</v>
      </c>
      <c r="G1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H1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I1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J19" s="42" t="str">
        <f>IF(ItemTable[[#This Row],[GradeType]]="Cursed",
_xlfn.CONCAT("Item_MinusDesc_",ItemTable[[#This Row],[Index]]),""
)</f>
        <v/>
      </c>
      <c r="K19" s="42" t="s">
        <v>46</v>
      </c>
      <c r="L19" s="42">
        <v>1</v>
      </c>
      <c r="M19" s="42">
        <f t="array" ref="M19">_xlfn.IFS(ItemTable[[#This Row],[GradeType]]="Normal",25,ItemTable[[#This Row],[GradeType]]="Cursed",50,ItemTable[[#This Row],[GradeType]]="Rare",50)</f>
        <v>50</v>
      </c>
      <c r="N19" s="42">
        <v>50</v>
      </c>
      <c r="O19" s="42">
        <f t="array" ref="O19">_xlfn.IFS(OR(ItemTable[[#This Row],[GradeType]]="Hp",ItemTable[[#This Row],[GradeType]]="Gold"),0,TRUE,5000+ItemTable[[#This Row],[Index]])</f>
        <v>8005</v>
      </c>
      <c r="P19" s="42" t="s">
        <v>493</v>
      </c>
      <c r="Q19" s="57" t="s">
        <v>522</v>
      </c>
      <c r="R19" s="57" t="str">
        <f>SUBSTITUTE(PROPER(ItemTable[[#This Row],['#번역본]])," "," ")</f>
        <v>Strange Candy</v>
      </c>
    </row>
    <row r="20" spans="2:18">
      <c r="B20" s="57" t="str">
        <f>INDEX(LocaleTable[LocaleKR],MATCH(ItemTable[[#This Row],[Name]],LocaleTable[StringKey],0))</f>
        <v>투수 케르베로스</v>
      </c>
      <c r="C20" s="57" t="str">
        <f>INDEX(LocaleTable[LocaleKR],MATCH(ItemTable[[#This Row],[Desc]],LocaleTable[StringKey],0))</f>
        <v>공을 좋아하는 개들입니다.\n자세히보니 한마리였네요…</v>
      </c>
      <c r="D20" s="57" t="str">
        <f>INDEX(LocaleTable[LocaleKR],MATCH(ItemTable[[#This Row],[PlusDesc]],LocaleTable[StringKey],0))</f>
        <v>공격 시 33%확률로 공 3개 발사</v>
      </c>
      <c r="E20" s="57" t="e">
        <f>INDEX(LocaleTable[LocaleKR],MATCH(ItemTable[[#This Row],[MinusDesc]],LocaleTable[StringKey],0))</f>
        <v>#N/A</v>
      </c>
      <c r="F20" s="42">
        <f t="array" ref="F20">_xlfn.IFS(ItemTable[[#This Row],[GradeType]]="Hp",IF(K19=ItemTable[[#This Row],[GradeType]],F19+1,10),ItemTable[[#This Row],[GradeType]]="Gold",IF(K19=ItemTable[[#This Row],[GradeType]],F19+1,20),ItemTable[[#This Row],[GradeType]]="Weapon",IF(K19=ItemTable[[#This Row],[GradeType]],F19+1,1000),ItemTable[[#This Row],[GradeType]]="Normal",IF(K19=ItemTable[[#This Row],[GradeType]],F19+1,2000),ItemTable[[#This Row],[GradeType]]="Rare",IF(K19=ItemTable[[#This Row],[GradeType]],F19+1,3000),ItemTable[[#This Row],[GradeType]]="Cursed",IF(K19=ItemTable[[#This Row],[GradeType]],F19+1,4000))</f>
        <v>3006</v>
      </c>
      <c r="G2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H2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I2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J20" s="42" t="str">
        <f>IF(ItemTable[[#This Row],[GradeType]]="Cursed",
_xlfn.CONCAT("Item_MinusDesc_",ItemTable[[#This Row],[Index]]),""
)</f>
        <v/>
      </c>
      <c r="K20" s="42" t="s">
        <v>46</v>
      </c>
      <c r="L20" s="42">
        <v>1</v>
      </c>
      <c r="M20" s="42">
        <f t="array" ref="M20">_xlfn.IFS(ItemTable[[#This Row],[GradeType]]="Normal",25,ItemTable[[#This Row],[GradeType]]="Cursed",50,ItemTable[[#This Row],[GradeType]]="Rare",50)</f>
        <v>50</v>
      </c>
      <c r="N20" s="42">
        <v>50</v>
      </c>
      <c r="O20" s="42">
        <f t="array" ref="O20">_xlfn.IFS(OR(ItemTable[[#This Row],[GradeType]]="Hp",ItemTable[[#This Row],[GradeType]]="Gold"),0,TRUE,5000+ItemTable[[#This Row],[Index]])</f>
        <v>8006</v>
      </c>
      <c r="P20" s="42" t="s">
        <v>494</v>
      </c>
      <c r="Q20" s="57" t="s">
        <v>541</v>
      </c>
      <c r="R20" s="57" t="str">
        <f>SUBSTITUTE(PROPER(ItemTable[[#This Row],['#번역본]])," "," ")</f>
        <v>Kerberos Pitcher</v>
      </c>
    </row>
    <row r="21" spans="2:18">
      <c r="B21" s="57" t="str">
        <f>INDEX(LocaleTable[LocaleKR],MATCH(ItemTable[[#This Row],[Name]],LocaleTable[StringKey],0))</f>
        <v>코코아 한통</v>
      </c>
      <c r="C21" s="57" t="str">
        <f>INDEX(LocaleTable[LocaleKR],MATCH(ItemTable[[#This Row],[Desc]],LocaleTable[StringKey],0))</f>
        <v>온 몸이 녹는 듯 한 강력한 단맛입니다.\n끈적해지지 않게 조심하세요!</v>
      </c>
      <c r="D21" s="57" t="str">
        <f>INDEX(LocaleTable[LocaleKR],MATCH(ItemTable[[#This Row],[PlusDesc]],LocaleTable[StringKey],0))</f>
        <v>일반 공격이\n차징 공격이 됩니다.</v>
      </c>
      <c r="E21" s="57" t="str">
        <f>INDEX(LocaleTable[LocaleKR],MATCH(ItemTable[[#This Row],[MinusDesc]],LocaleTable[StringKey],0))</f>
        <v>공격속도 -20%</v>
      </c>
      <c r="F21" s="42">
        <f t="array" ref="F21">_xlfn.IFS(ItemTable[[#This Row],[GradeType]]="Hp",IF(K20=ItemTable[[#This Row],[GradeType]],F20+1,10),ItemTable[[#This Row],[GradeType]]="Gold",IF(K20=ItemTable[[#This Row],[GradeType]],F20+1,20),ItemTable[[#This Row],[GradeType]]="Weapon",IF(K20=ItemTable[[#This Row],[GradeType]],F20+1,1000),ItemTable[[#This Row],[GradeType]]="Normal",IF(K20=ItemTable[[#This Row],[GradeType]],F20+1,2000),ItemTable[[#This Row],[GradeType]]="Rare",IF(K20=ItemTable[[#This Row],[GradeType]],F20+1,3000),ItemTable[[#This Row],[GradeType]]="Cursed",IF(K20=ItemTable[[#This Row],[GradeType]],F20+1,4000))</f>
        <v>4000</v>
      </c>
      <c r="G2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H2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I2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J21" s="42" t="str">
        <f>IF(ItemTable[[#This Row],[GradeType]]="Cursed",
_xlfn.CONCAT("Item_MinusDesc_",ItemTable[[#This Row],[Index]]),""
)</f>
        <v>Item_MinusDesc_4000</v>
      </c>
      <c r="K21" s="42" t="s">
        <v>50</v>
      </c>
      <c r="L21" s="42">
        <v>1</v>
      </c>
      <c r="M21" s="42">
        <f t="array" ref="M21">_xlfn.IFS(ItemTable[[#This Row],[GradeType]]="Normal",25,ItemTable[[#This Row],[GradeType]]="Cursed",50,ItemTable[[#This Row],[GradeType]]="Rare",50)</f>
        <v>50</v>
      </c>
      <c r="N21" s="42">
        <v>60</v>
      </c>
      <c r="O21" s="42">
        <f t="array" ref="O21">_xlfn.IFS(OR(ItemTable[[#This Row],[GradeType]]="Hp",ItemTable[[#This Row],[GradeType]]="Gold"),0,TRUE,5000+ItemTable[[#This Row],[Index]])</f>
        <v>9000</v>
      </c>
      <c r="P21" s="42" t="s">
        <v>495</v>
      </c>
      <c r="Q21" s="57" t="s">
        <v>523</v>
      </c>
      <c r="R21" s="57" t="str">
        <f>SUBSTITUTE(PROPER(ItemTable[[#This Row],['#번역본]])," "," ")</f>
        <v>A Bucket Of Cocoa</v>
      </c>
    </row>
    <row r="22" spans="2:18">
      <c r="B22" s="57" t="str">
        <f>INDEX(LocaleTable[LocaleKR],MATCH(ItemTable[[#This Row],[Name]],LocaleTable[StringKey],0))</f>
        <v>슬픈 캔리오</v>
      </c>
      <c r="C22" s="57" t="str">
        <f>INDEX(LocaleTable[LocaleKR],MATCH(ItemTable[[#This Row],[Desc]],LocaleTable[StringKey],0))</f>
        <v>어째선지 계속해서 울고 있는 양초입니다.\n건드리고 싶지 않네요.</v>
      </c>
      <c r="D22" s="57" t="str">
        <f>INDEX(LocaleTable[LocaleKR],MATCH(ItemTable[[#This Row],[PlusDesc]],LocaleTable[StringKey],0))</f>
        <v>타격 시마다 4초간\n공격속도 +10%\n(효과는 중첩될 수 있습니다.)</v>
      </c>
      <c r="E22" s="57" t="str">
        <f>INDEX(LocaleTable[LocaleKR],MATCH(ItemTable[[#This Row],[MinusDesc]],LocaleTable[StringKey],0))</f>
        <v>공격속도 -30%</v>
      </c>
      <c r="F22" s="42">
        <f t="array" ref="F22">_xlfn.IFS(ItemTable[[#This Row],[GradeType]]="Hp",IF(K21=ItemTable[[#This Row],[GradeType]],F21+1,10),ItemTable[[#This Row],[GradeType]]="Gold",IF(K21=ItemTable[[#This Row],[GradeType]],F21+1,20),ItemTable[[#This Row],[GradeType]]="Weapon",IF(K21=ItemTable[[#This Row],[GradeType]],F21+1,1000),ItemTable[[#This Row],[GradeType]]="Normal",IF(K21=ItemTable[[#This Row],[GradeType]],F21+1,2000),ItemTable[[#This Row],[GradeType]]="Rare",IF(K21=ItemTable[[#This Row],[GradeType]],F21+1,3000),ItemTable[[#This Row],[GradeType]]="Cursed",IF(K21=ItemTable[[#This Row],[GradeType]],F21+1,4000))</f>
        <v>4001</v>
      </c>
      <c r="G2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H2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I2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J22" s="42" t="str">
        <f>IF(ItemTable[[#This Row],[GradeType]]="Cursed",
_xlfn.CONCAT("Item_MinusDesc_",ItemTable[[#This Row],[Index]]),""
)</f>
        <v>Item_MinusDesc_4001</v>
      </c>
      <c r="K22" s="42" t="s">
        <v>50</v>
      </c>
      <c r="L22" s="42">
        <v>1</v>
      </c>
      <c r="M22" s="42">
        <f t="array" ref="M22">_xlfn.IFS(ItemTable[[#This Row],[GradeType]]="Normal",25,ItemTable[[#This Row],[GradeType]]="Cursed",50,ItemTable[[#This Row],[GradeType]]="Rare",50)</f>
        <v>50</v>
      </c>
      <c r="N22" s="42">
        <v>60</v>
      </c>
      <c r="O22" s="42">
        <f t="array" ref="O22">_xlfn.IFS(OR(ItemTable[[#This Row],[GradeType]]="Hp",ItemTable[[#This Row],[GradeType]]="Gold"),0,TRUE,5000+ItemTable[[#This Row],[Index]])</f>
        <v>9001</v>
      </c>
      <c r="P22" s="42" t="s">
        <v>496</v>
      </c>
      <c r="Q22" s="57" t="s">
        <v>524</v>
      </c>
      <c r="R22" s="57" t="str">
        <f>SUBSTITUTE(PROPER(ItemTable[[#This Row],['#번역본]])," "," ")</f>
        <v>Sad Canrio</v>
      </c>
    </row>
    <row r="23" spans="2:18">
      <c r="B23" s="57" t="str">
        <f>INDEX(LocaleTable[LocaleKR],MATCH(ItemTable[[#This Row],[Name]],LocaleTable[StringKey],0))</f>
        <v>청개굴 버섯구이</v>
      </c>
      <c r="C23" s="57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D23" s="57" t="str">
        <f>INDEX(LocaleTable[LocaleKR],MATCH(ItemTable[[#This Row],[PlusDesc]],LocaleTable[StringKey],0))</f>
        <v>공격력 +100%</v>
      </c>
      <c r="E23" s="57" t="str">
        <f>INDEX(LocaleTable[LocaleKR],MATCH(ItemTable[[#This Row],[MinusDesc]],LocaleTable[StringKey],0))</f>
        <v>공격 방향이 반대가 됩니다.</v>
      </c>
      <c r="F23" s="42">
        <f t="array" ref="F23">_xlfn.IFS(ItemTable[[#This Row],[GradeType]]="Hp",IF(K22=ItemTable[[#This Row],[GradeType]],F22+1,10),ItemTable[[#This Row],[GradeType]]="Gold",IF(K22=ItemTable[[#This Row],[GradeType]],F22+1,20),ItemTable[[#This Row],[GradeType]]="Weapon",IF(K22=ItemTable[[#This Row],[GradeType]],F22+1,1000),ItemTable[[#This Row],[GradeType]]="Normal",IF(K22=ItemTable[[#This Row],[GradeType]],F22+1,2000),ItemTable[[#This Row],[GradeType]]="Rare",IF(K22=ItemTable[[#This Row],[GradeType]],F22+1,3000),ItemTable[[#This Row],[GradeType]]="Cursed",IF(K22=ItemTable[[#This Row],[GradeType]],F22+1,4000))</f>
        <v>4002</v>
      </c>
      <c r="G2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H2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I2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J23" s="42" t="str">
        <f>IF(ItemTable[[#This Row],[GradeType]]="Cursed",
_xlfn.CONCAT("Item_MinusDesc_",ItemTable[[#This Row],[Index]]),""
)</f>
        <v>Item_MinusDesc_4002</v>
      </c>
      <c r="K23" s="42" t="s">
        <v>50</v>
      </c>
      <c r="L23" s="42">
        <v>1</v>
      </c>
      <c r="M23" s="42">
        <f t="array" ref="M23">_xlfn.IFS(ItemTable[[#This Row],[GradeType]]="Normal",25,ItemTable[[#This Row],[GradeType]]="Cursed",50,ItemTable[[#This Row],[GradeType]]="Rare",50)</f>
        <v>50</v>
      </c>
      <c r="N23" s="42">
        <v>60</v>
      </c>
      <c r="O23" s="42">
        <f t="array" ref="O23">_xlfn.IFS(OR(ItemTable[[#This Row],[GradeType]]="Hp",ItemTable[[#This Row],[GradeType]]="Gold"),0,TRUE,5000+ItemTable[[#This Row],[Index]])</f>
        <v>9002</v>
      </c>
      <c r="P23" s="42" t="s">
        <v>497</v>
      </c>
      <c r="Q23" s="57" t="s">
        <v>616</v>
      </c>
      <c r="R23" s="57" t="str">
        <f>SUBSTITUTE(PROPER(ItemTable[[#This Row],['#번역본]])," "," ")</f>
        <v>Grilled Tree Frog</v>
      </c>
    </row>
    <row r="24" spans="2:18">
      <c r="B24" s="57" t="str">
        <f>INDEX(LocaleTable[LocaleKR],MATCH(ItemTable[[#This Row],[Name]],LocaleTable[StringKey],0))</f>
        <v>누군가의 일기장</v>
      </c>
      <c r="C24" s="57" t="str">
        <f>INDEX(LocaleTable[LocaleKR],MATCH(ItemTable[[#This Row],[Desc]],LocaleTable[StringKey],0))</f>
        <v>낡은 추억들이 느껴집니다.\n3년 전 이 사람은...\n잠깐, 우리가 이걸봐도 괜찮은걸까요?</v>
      </c>
      <c r="D24" s="57" t="str">
        <f>INDEX(LocaleTable[LocaleKR],MATCH(ItemTable[[#This Row],[PlusDesc]],LocaleTable[StringKey],0))</f>
        <v>공격력 +60%</v>
      </c>
      <c r="E24" s="57" t="str">
        <f>INDEX(LocaleTable[LocaleKR],MATCH(ItemTable[[#This Row],[MinusDesc]],LocaleTable[StringKey],0))</f>
        <v>2칸의 피해를 받습니다.</v>
      </c>
      <c r="F24" s="42">
        <f t="array" ref="F24">_xlfn.IFS(ItemTable[[#This Row],[GradeType]]="Hp",IF(K23=ItemTable[[#This Row],[GradeType]],F23+1,10),ItemTable[[#This Row],[GradeType]]="Gold",IF(K23=ItemTable[[#This Row],[GradeType]],F23+1,20),ItemTable[[#This Row],[GradeType]]="Weapon",IF(K23=ItemTable[[#This Row],[GradeType]],F23+1,1000),ItemTable[[#This Row],[GradeType]]="Normal",IF(K23=ItemTable[[#This Row],[GradeType]],F23+1,2000),ItemTable[[#This Row],[GradeType]]="Rare",IF(K23=ItemTable[[#This Row],[GradeType]],F23+1,3000),ItemTable[[#This Row],[GradeType]]="Cursed",IF(K23=ItemTable[[#This Row],[GradeType]],F23+1,4000))</f>
        <v>4003</v>
      </c>
      <c r="G2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H2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I2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J24" s="42" t="str">
        <f>IF(ItemTable[[#This Row],[GradeType]]="Cursed",
_xlfn.CONCAT("Item_MinusDesc_",ItemTable[[#This Row],[Index]]),""
)</f>
        <v>Item_MinusDesc_4003</v>
      </c>
      <c r="K24" s="42" t="s">
        <v>50</v>
      </c>
      <c r="L24" s="42">
        <v>1</v>
      </c>
      <c r="M24" s="42">
        <v>50</v>
      </c>
      <c r="N24" s="42">
        <v>60</v>
      </c>
      <c r="O24" s="42">
        <f t="array" ref="O24">_xlfn.IFS(OR(ItemTable[[#This Row],[GradeType]]="Hp",ItemTable[[#This Row],[GradeType]]="Gold"),0,TRUE,5000+ItemTable[[#This Row],[Index]])</f>
        <v>9003</v>
      </c>
      <c r="P24" s="42" t="s">
        <v>498</v>
      </c>
      <c r="Q24" s="57" t="s">
        <v>525</v>
      </c>
      <c r="R24" s="57" t="str">
        <f>SUBSTITUTE(PROPER(ItemTable[[#This Row],['#번역본]])," "," ")</f>
        <v>Someone'S Diary</v>
      </c>
    </row>
    <row r="25" spans="2:18">
      <c r="B25" s="57" t="str">
        <f>INDEX(LocaleTable[LocaleKR],MATCH(ItemTable[[#This Row],[Name]],LocaleTable[StringKey],0))</f>
        <v>행성 만세</v>
      </c>
      <c r="C25" s="57" t="str">
        <f>INDEX(LocaleTable[LocaleKR],MATCH(ItemTable[[#This Row],[Desc]],LocaleTable[StringKey],0))</f>
        <v>1. 태양의 방향으로 기립.\n2. 팔을 벌려 Y자로 선다.\n3. 태양을 바라보며 외친다.</v>
      </c>
      <c r="D25" s="57" t="str">
        <f>INDEX(LocaleTable[LocaleKR],MATCH(ItemTable[[#This Row],[PlusDesc]],LocaleTable[StringKey],0))</f>
        <v>피격 시 공 8개 발사</v>
      </c>
      <c r="E25" s="57" t="str">
        <f>INDEX(LocaleTable[LocaleKR],MATCH(ItemTable[[#This Row],[MinusDesc]],LocaleTable[StringKey],0))</f>
        <v>이동속도 -5%</v>
      </c>
      <c r="F25" s="42">
        <f t="array" ref="F25">_xlfn.IFS(ItemTable[[#This Row],[GradeType]]="Hp",IF(K24=ItemTable[[#This Row],[GradeType]],F24+1,10),ItemTable[[#This Row],[GradeType]]="Gold",IF(K24=ItemTable[[#This Row],[GradeType]],F24+1,20),ItemTable[[#This Row],[GradeType]]="Weapon",IF(K24=ItemTable[[#This Row],[GradeType]],F24+1,1000),ItemTable[[#This Row],[GradeType]]="Normal",IF(K24=ItemTable[[#This Row],[GradeType]],F24+1,2000),ItemTable[[#This Row],[GradeType]]="Rare",IF(K24=ItemTable[[#This Row],[GradeType]],F24+1,3000),ItemTable[[#This Row],[GradeType]]="Cursed",IF(K24=ItemTable[[#This Row],[GradeType]],F24+1,4000))</f>
        <v>4004</v>
      </c>
      <c r="G2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H2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I2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J25" s="42" t="str">
        <f>IF(ItemTable[[#This Row],[GradeType]]="Cursed",
_xlfn.CONCAT("Item_MinusDesc_",ItemTable[[#This Row],[Index]]),""
)</f>
        <v>Item_MinusDesc_4004</v>
      </c>
      <c r="K25" s="42" t="s">
        <v>50</v>
      </c>
      <c r="L25" s="42">
        <v>1</v>
      </c>
      <c r="M25" s="42">
        <f t="array" ref="M25">_xlfn.IFS(ItemTable[[#This Row],[GradeType]]="Normal",25,ItemTable[[#This Row],[GradeType]]="Cursed",50,ItemTable[[#This Row],[GradeType]]="Rare",50)</f>
        <v>50</v>
      </c>
      <c r="N25" s="42">
        <v>60</v>
      </c>
      <c r="O25" s="42">
        <f t="array" ref="O25">_xlfn.IFS(OR(ItemTable[[#This Row],[GradeType]]="Hp",ItemTable[[#This Row],[GradeType]]="Gold"),0,TRUE,5000+ItemTable[[#This Row],[Index]])</f>
        <v>9004</v>
      </c>
      <c r="P25" s="42" t="s">
        <v>499</v>
      </c>
      <c r="Q25" s="57" t="s">
        <v>542</v>
      </c>
      <c r="R25" s="57" t="str">
        <f>SUBSTITUTE(PROPER(ItemTable[[#This Row],['#번역본]])," "," ")</f>
        <v>Praise The Sun</v>
      </c>
    </row>
    <row r="26" spans="2:18">
      <c r="B26" s="57" t="str">
        <f>INDEX(LocaleTable[LocaleKR],MATCH(ItemTable[[#This Row],[Name]],LocaleTable[StringKey],0))</f>
        <v>회피 캣</v>
      </c>
      <c r="C26" s="57" t="str">
        <f>INDEX(LocaleTable[LocaleKR],MATCH(ItemTable[[#This Row],[Desc]],LocaleTable[StringKey],0))</f>
        <v>하지만 이렇게 간단하게 피했습니다.</v>
      </c>
      <c r="D26" s="57" t="str">
        <f>INDEX(LocaleTable[LocaleKR],MATCH(ItemTable[[#This Row],[PlusDesc]],LocaleTable[StringKey],0))</f>
        <v>회피 시 공 4개 발사</v>
      </c>
      <c r="E26" s="57" t="str">
        <f>INDEX(LocaleTable[LocaleKR],MATCH(ItemTable[[#This Row],[MinusDesc]],LocaleTable[StringKey],0))</f>
        <v>회피쿨타임 +50%</v>
      </c>
      <c r="F26" s="42">
        <v>4005</v>
      </c>
      <c r="G2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H2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I2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J26" s="42" t="str">
        <f>IF(ItemTable[[#This Row],[GradeType]]="Cursed",
_xlfn.CONCAT("Item_MinusDesc_",ItemTable[[#This Row],[Index]]),""
)</f>
        <v>Item_MinusDesc_4005</v>
      </c>
      <c r="K26" s="42" t="s">
        <v>50</v>
      </c>
      <c r="L26" s="42">
        <v>1</v>
      </c>
      <c r="M26" s="42">
        <f t="array" ref="M26">_xlfn.IFS(ItemTable[[#This Row],[GradeType]]="Normal",25,ItemTable[[#This Row],[GradeType]]="Cursed",50,ItemTable[[#This Row],[GradeType]]="Rare",50)</f>
        <v>50</v>
      </c>
      <c r="N26" s="42">
        <v>60</v>
      </c>
      <c r="O26" s="42">
        <f t="array" ref="O26">_xlfn.IFS(OR(ItemTable[[#This Row],[GradeType]]="Hp",ItemTable[[#This Row],[GradeType]]="Gold"),0,TRUE,5000+ItemTable[[#This Row],[Index]])</f>
        <v>9005</v>
      </c>
      <c r="P26" s="42" t="s">
        <v>504</v>
      </c>
      <c r="Q26" s="57" t="s">
        <v>543</v>
      </c>
      <c r="R26" s="57" t="str">
        <f>SUBSTITUTE(PROPER(ItemTable[[#This Row],['#번역본]])," "," ")</f>
        <v>Dodge Cat</v>
      </c>
    </row>
    <row r="27" spans="2:18">
      <c r="B27" s="57" t="str">
        <f>INDEX(LocaleTable[LocaleKR],MATCH(ItemTable[[#This Row],[Name]],LocaleTable[StringKey],0))</f>
        <v>어른의 카드</v>
      </c>
      <c r="C27" s="57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D27" s="57" t="str">
        <f>INDEX(LocaleTable[LocaleKR],MATCH(ItemTable[[#This Row],[PlusDesc]],LocaleTable[StringKey],0))</f>
        <v>공격범위 +60%</v>
      </c>
      <c r="E27" s="57" t="str">
        <f>INDEX(LocaleTable[LocaleKR],MATCH(ItemTable[[#This Row],[MinusDesc]],LocaleTable[StringKey],0))</f>
        <v>공격속도 -20%, 공격 시 골드 -1</v>
      </c>
      <c r="F27" s="42">
        <v>4006</v>
      </c>
      <c r="G2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H2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I2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J27" s="42" t="str">
        <f>IF(ItemTable[[#This Row],[GradeType]]="Cursed",
_xlfn.CONCAT("Item_MinusDesc_",ItemTable[[#This Row],[Index]]),""
)</f>
        <v>Item_MinusDesc_4006</v>
      </c>
      <c r="K27" s="42" t="s">
        <v>50</v>
      </c>
      <c r="L27" s="42">
        <v>1</v>
      </c>
      <c r="M27" s="42">
        <f t="array" ref="M27">_xlfn.IFS(ItemTable[[#This Row],[GradeType]]="Normal",25,ItemTable[[#This Row],[GradeType]]="Cursed",50,ItemTable[[#This Row],[GradeType]]="Rare",50)</f>
        <v>50</v>
      </c>
      <c r="N27" s="42">
        <v>60</v>
      </c>
      <c r="O27" s="42">
        <f t="array" ref="O27">_xlfn.IFS(OR(ItemTable[[#This Row],[GradeType]]="Hp",ItemTable[[#This Row],[GradeType]]="Gold"),0,TRUE,5000+ItemTable[[#This Row],[Index]])</f>
        <v>9006</v>
      </c>
      <c r="P27" s="42" t="s">
        <v>505</v>
      </c>
      <c r="Q27" s="57" t="s">
        <v>621</v>
      </c>
      <c r="R27" s="57" t="str">
        <f>SUBSTITUTE(PROPER(ItemTable[[#This Row],['#번역본]])," "," ")</f>
        <v>The Adult Card</v>
      </c>
    </row>
    <row r="28" spans="2:18">
      <c r="B28" s="57" t="str">
        <f>INDEX(LocaleTable[LocaleKR],MATCH(ItemTable[[#This Row],[Name]],LocaleTable[StringKey],0))</f>
        <v>인피니티 도넛</v>
      </c>
      <c r="C28" s="57" t="str">
        <f>INDEX(LocaleTable[LocaleKR],MATCH(ItemTable[[#This Row],[Desc]],LocaleTable[StringKey],0))</f>
        <v>도넛에 구멍은 몇 개일까요? 적어도\n이 도넛은 무한한 구멍을 가졌습니다.</v>
      </c>
      <c r="D28" s="57" t="str">
        <f>INDEX(LocaleTable[LocaleKR],MATCH(ItemTable[[#This Row],[PlusDesc]],LocaleTable[StringKey],0))</f>
        <v>기절한 적에게 순간이동하며 공격합니다.</v>
      </c>
      <c r="E28" s="57" t="e">
        <f>INDEX(LocaleTable[LocaleKR],MATCH(ItemTable[[#This Row],[MinusDesc]],LocaleTable[StringKey],0))</f>
        <v>#N/A</v>
      </c>
      <c r="F28" s="42">
        <v>10000</v>
      </c>
      <c r="G2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H2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I2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J28" s="42" t="str">
        <f>IF(ItemTable[[#This Row],[GradeType]]="Cursed",
_xlfn.CONCAT("Item_MinusDesc_",ItemTable[[#This Row],[Index]]),""
)</f>
        <v/>
      </c>
      <c r="K28" s="42" t="s">
        <v>364</v>
      </c>
      <c r="L28" s="42">
        <v>1</v>
      </c>
      <c r="M28" s="42">
        <v>50</v>
      </c>
      <c r="N28" s="42">
        <v>100</v>
      </c>
      <c r="O28" s="42">
        <v>10000</v>
      </c>
      <c r="P28" s="42" t="s">
        <v>500</v>
      </c>
      <c r="Q28" s="57" t="s">
        <v>526</v>
      </c>
      <c r="R28" s="57" t="str">
        <f>SUBSTITUTE(PROPER(ItemTable[[#This Row],['#번역본]])," "," ")</f>
        <v>Infinity Doughnut</v>
      </c>
    </row>
    <row r="29" spans="2:18">
      <c r="B29" s="57" t="str">
        <f>INDEX(LocaleTable[LocaleKR],MATCH(ItemTable[[#This Row],[Name]],LocaleTable[StringKey],0))</f>
        <v>초소형 블랙홀</v>
      </c>
      <c r="C29" s="57" t="str">
        <f>INDEX(LocaleTable[LocaleKR],MATCH(ItemTable[[#This Row],[Desc]],LocaleTable[StringKey],0))</f>
        <v>공공장소에서 사용으로 인한\n피해는 책임지지 않습니다.</v>
      </c>
      <c r="D29" s="57" t="str">
        <f>INDEX(LocaleTable[LocaleKR],MATCH(ItemTable[[#This Row],[PlusDesc]],LocaleTable[StringKey],0))</f>
        <v>주변 투사체를 흡수하여 발사합니다.\n(쿨타임 10초)</v>
      </c>
      <c r="E29" s="57" t="e">
        <f>INDEX(LocaleTable[LocaleKR],MATCH(ItemTable[[#This Row],[MinusDesc]],LocaleTable[StringKey],0))</f>
        <v>#N/A</v>
      </c>
      <c r="F29" s="42">
        <v>10001</v>
      </c>
      <c r="G2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H2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I2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J29" s="42" t="str">
        <f>IF(ItemTable[[#This Row],[GradeType]]="Cursed",
_xlfn.CONCAT("Item_MinusDesc_",ItemTable[[#This Row],[Index]]),""
)</f>
        <v/>
      </c>
      <c r="K29" s="42" t="s">
        <v>364</v>
      </c>
      <c r="L29" s="42">
        <v>1</v>
      </c>
      <c r="M29" s="42">
        <v>50</v>
      </c>
      <c r="N29" s="42">
        <v>100</v>
      </c>
      <c r="O29" s="42">
        <v>10001</v>
      </c>
      <c r="P29" s="42" t="s">
        <v>501</v>
      </c>
      <c r="Q29" s="57" t="s">
        <v>544</v>
      </c>
      <c r="R29" s="57" t="str">
        <f>SUBSTITUTE(PROPER(ItemTable[[#This Row],['#번역본]])," "," ")</f>
        <v>Ultra-Small Black Hole</v>
      </c>
    </row>
    <row r="30" spans="2:18">
      <c r="B30" s="57" t="str">
        <f>INDEX(LocaleTable[LocaleKR],MATCH(ItemTable[[#This Row],[Name]],LocaleTable[StringKey],0))</f>
        <v>사이버웨어</v>
      </c>
      <c r="C30" s="57" t="str">
        <f>INDEX(LocaleTable[LocaleKR],MATCH(ItemTable[[#This Row],[Desc]],LocaleTable[StringKey],0))</f>
        <v>기초적인 임플란트입니다.\/마구 사용하다간 사이버 미치광이가 될 수 있습니다.</v>
      </c>
      <c r="D30" s="57" t="str">
        <f>INDEX(LocaleTable[LocaleKR],MATCH(ItemTable[[#This Row],[PlusDesc]],LocaleTable[StringKey],0))</f>
        <v>6초간 주변 시간이 느려집니다.\n(쿨타임 12초)</v>
      </c>
      <c r="E30" s="57" t="e">
        <f>INDEX(LocaleTable[LocaleKR],MATCH(ItemTable[[#This Row],[MinusDesc]],LocaleTable[StringKey],0))</f>
        <v>#N/A</v>
      </c>
      <c r="F30" s="42">
        <v>10002</v>
      </c>
      <c r="G3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H3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I3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J30" s="42" t="str">
        <f>IF(ItemTable[[#This Row],[GradeType]]="Cursed",
_xlfn.CONCAT("Item_MinusDesc_",ItemTable[[#This Row],[Index]]),""
)</f>
        <v/>
      </c>
      <c r="K30" s="42" t="s">
        <v>364</v>
      </c>
      <c r="L30" s="42">
        <v>1</v>
      </c>
      <c r="M30" s="42">
        <v>50</v>
      </c>
      <c r="N30" s="42">
        <v>100</v>
      </c>
      <c r="O30" s="42">
        <v>10002</v>
      </c>
      <c r="P30" s="42" t="s">
        <v>502</v>
      </c>
      <c r="Q30" s="57" t="s">
        <v>527</v>
      </c>
      <c r="R30" s="57" t="str">
        <f>SUBSTITUTE(PROPER(ItemTable[[#This Row],['#번역본]])," "," ")</f>
        <v>Cyberware</v>
      </c>
    </row>
    <row r="31" spans="2:18">
      <c r="B31" s="57" t="str">
        <f>INDEX(LocaleTable[LocaleKR],MATCH(ItemTable[[#This Row],[Name]],LocaleTable[StringKey],0))</f>
        <v>미사일 백팩</v>
      </c>
      <c r="C31" s="57" t="str">
        <f>INDEX(LocaleTable[LocaleKR],MATCH(ItemTable[[#This Row],[Desc]],LocaleTable[StringKey],0))</f>
        <v>앞만 보고 살아가는 당신에게 추천합니다.\n데일리룩으로 안성맞춤.</v>
      </c>
      <c r="D31" s="57" t="str">
        <f>INDEX(LocaleTable[LocaleKR],MATCH(ItemTable[[#This Row],[PlusDesc]],LocaleTable[StringKey],0))</f>
        <v>커서 방향으로 돌진합니다.\n(쿨타임 8초)</v>
      </c>
      <c r="E31" s="57" t="e">
        <f>INDEX(LocaleTable[LocaleKR],MATCH(ItemTable[[#This Row],[MinusDesc]],LocaleTable[StringKey],0))</f>
        <v>#N/A</v>
      </c>
      <c r="F31" s="42">
        <v>10003</v>
      </c>
      <c r="G3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H3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I3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J31" s="42" t="str">
        <f>IF(ItemTable[[#This Row],[GradeType]]="Cursed",
_xlfn.CONCAT("Item_MinusDesc_",ItemTable[[#This Row],[Index]]),""
)</f>
        <v/>
      </c>
      <c r="K31" s="42" t="s">
        <v>364</v>
      </c>
      <c r="L31" s="42">
        <v>1</v>
      </c>
      <c r="M31" s="42">
        <v>50</v>
      </c>
      <c r="N31" s="42">
        <v>100</v>
      </c>
      <c r="O31" s="42">
        <v>10003</v>
      </c>
      <c r="P31" s="42" t="s">
        <v>503</v>
      </c>
      <c r="Q31" s="57" t="s">
        <v>528</v>
      </c>
      <c r="R31" s="57" t="str">
        <f>SUBSTITUTE(PROPER(ItemTable[[#This Row],['#번역본]])," "," ")</f>
        <v>A Missile Backpack</v>
      </c>
    </row>
    <row r="32" spans="2:18">
      <c r="B32" s="57" t="e">
        <f>INDEX(LocaleTable[LocaleKR],MATCH(ItemTable[[#This Row],[Name]],LocaleTable[StringKey],0))</f>
        <v>#N/A</v>
      </c>
      <c r="C32" s="57" t="e">
        <f>INDEX(LocaleTable[LocaleKR],MATCH(ItemTable[[#This Row],[Desc]],LocaleTable[StringKey],0))</f>
        <v>#N/A</v>
      </c>
      <c r="D32" s="57" t="e">
        <f>INDEX(LocaleTable[LocaleKR],MATCH(ItemTable[[#This Row],[PlusDesc]],LocaleTable[StringKey],0))</f>
        <v>#N/A</v>
      </c>
      <c r="E32" s="57" t="e">
        <f>INDEX(LocaleTable[LocaleKR],MATCH(ItemTable[[#This Row],[MinusDesc]],LocaleTable[StringKey],0))</f>
        <v>#N/A</v>
      </c>
      <c r="F32" s="42" t="s">
        <v>475</v>
      </c>
      <c r="G3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H3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I3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J32" s="42" t="str">
        <f>IF(ItemTable[[#This Row],[GradeType]]="Cursed",
_xlfn.CONCAT("Item_MinusDesc_",ItemTable[[#This Row],[Index]]),""
)</f>
        <v/>
      </c>
      <c r="K32" s="42" t="s">
        <v>364</v>
      </c>
      <c r="L32" s="42">
        <v>1</v>
      </c>
      <c r="M32" s="42">
        <v>50</v>
      </c>
      <c r="N32" s="42">
        <v>100</v>
      </c>
      <c r="O32" s="42">
        <v>10004</v>
      </c>
      <c r="P32" s="42" t="s">
        <v>503</v>
      </c>
      <c r="Q32" s="57" t="s">
        <v>529</v>
      </c>
      <c r="R32" s="57" t="str">
        <f>SUBSTITUTE(PROPER(ItemTable[[#This Row],['#번역본]])," "," ")</f>
        <v>Excalibat</v>
      </c>
    </row>
    <row r="33" spans="2:18">
      <c r="B33" s="57" t="str">
        <f>INDEX(LocaleTable[LocaleKR],MATCH(ItemTable[[#This Row],[Name]],LocaleTable[StringKey],0))</f>
        <v>여의배트</v>
      </c>
      <c r="C33" s="57" t="str">
        <f>INDEX(LocaleTable[LocaleKR],MATCH(ItemTable[[#This Row],[Desc]],LocaleTable[StringKey],0))</f>
        <v>배트를 마음대로 늘릴 수 있습니다!</v>
      </c>
      <c r="D33" s="57" t="str">
        <f>INDEX(LocaleTable[LocaleKR],MATCH(ItemTable[[#This Row],[PlusDesc]],LocaleTable[StringKey],0))</f>
        <v>10초간 공격범위 +100%\n(쿨타임 18초)</v>
      </c>
      <c r="E33" s="57" t="e">
        <f>INDEX(LocaleTable[LocaleKR],MATCH(ItemTable[[#This Row],[MinusDesc]],LocaleTable[StringKey],0))</f>
        <v>#N/A</v>
      </c>
      <c r="F33" s="42">
        <v>10005</v>
      </c>
      <c r="G3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H3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I3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J33" s="42" t="str">
        <f>IF(ItemTable[[#This Row],[GradeType]]="Cursed",
_xlfn.CONCAT("Item_MinusDesc_",ItemTable[[#This Row],[Index]]),""
)</f>
        <v/>
      </c>
      <c r="K33" s="42" t="s">
        <v>364</v>
      </c>
      <c r="L33" s="42">
        <v>1</v>
      </c>
      <c r="M33" s="42">
        <v>50</v>
      </c>
      <c r="N33" s="42">
        <v>100</v>
      </c>
      <c r="O33" s="42">
        <v>10005</v>
      </c>
      <c r="P33" s="42" t="s">
        <v>506</v>
      </c>
      <c r="Q33" s="57" t="s">
        <v>546</v>
      </c>
      <c r="R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topLeftCell="A4" zoomScaleNormal="100" zoomScaleSheetLayoutView="100" workbookViewId="0">
      <selection activeCell="A21" sqref="A21"/>
    </sheetView>
  </sheetViews>
  <sheetFormatPr defaultColWidth="8.875" defaultRowHeight="16.5"/>
  <cols>
    <col min="1" max="1" width="8.875" style="44"/>
    <col min="2" max="2" width="20" bestFit="1" customWidth="1"/>
    <col min="3" max="3" width="10.125" bestFit="1" customWidth="1"/>
    <col min="4" max="4" width="8.625" bestFit="1" customWidth="1"/>
    <col min="5" max="8" width="17.625" customWidth="1"/>
    <col min="9" max="11" width="18" customWidth="1"/>
    <col min="12" max="17" width="18.25" customWidth="1"/>
    <col min="18" max="19" width="16.5" customWidth="1"/>
  </cols>
  <sheetData>
    <row r="1" spans="2:19">
      <c r="D1" t="s">
        <v>26</v>
      </c>
      <c r="E1" s="16" t="s">
        <v>323</v>
      </c>
      <c r="F1" s="16" t="s">
        <v>323</v>
      </c>
      <c r="G1" s="16" t="s">
        <v>325</v>
      </c>
      <c r="H1" t="s">
        <v>68</v>
      </c>
      <c r="I1" s="16" t="s">
        <v>339</v>
      </c>
      <c r="J1" t="s">
        <v>68</v>
      </c>
      <c r="K1" s="16" t="s">
        <v>325</v>
      </c>
    </row>
    <row r="2" spans="2:19">
      <c r="B2" s="72" t="s">
        <v>69</v>
      </c>
      <c r="C2" s="72" t="s">
        <v>71</v>
      </c>
      <c r="D2" t="s">
        <v>41</v>
      </c>
      <c r="E2" s="16" t="s">
        <v>348</v>
      </c>
      <c r="F2" s="16" t="s">
        <v>349</v>
      </c>
      <c r="G2" s="16" t="s">
        <v>326</v>
      </c>
      <c r="H2" s="16" t="s">
        <v>327</v>
      </c>
      <c r="I2" s="30" t="s">
        <v>329</v>
      </c>
      <c r="J2" s="16" t="s">
        <v>328</v>
      </c>
      <c r="K2" s="30" t="s">
        <v>344</v>
      </c>
      <c r="L2" s="71" t="s">
        <v>743</v>
      </c>
      <c r="M2" s="71" t="s">
        <v>745</v>
      </c>
      <c r="N2" s="71" t="s">
        <v>744</v>
      </c>
      <c r="O2" s="71" t="s">
        <v>843</v>
      </c>
      <c r="P2" s="71" t="s">
        <v>844</v>
      </c>
      <c r="Q2" s="71" t="s">
        <v>845</v>
      </c>
      <c r="R2" s="71" t="s">
        <v>846</v>
      </c>
      <c r="S2" s="71" t="s">
        <v>847</v>
      </c>
    </row>
    <row r="3" spans="2:19">
      <c r="B3" s="19" t="str">
        <f>INDEX(ItemTable['#NameString],MATCH(ItemEffectTable[[#This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346</v>
      </c>
      <c r="I3" s="16"/>
      <c r="J3" s="16" t="s">
        <v>345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INDEX(ItemTable['#NameString],MATCH(ItemEffectTable[[#This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346</v>
      </c>
      <c r="J4" s="16" t="s">
        <v>345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INDEX(ItemTable['#NameString],MATCH(ItemEffectTable[[#This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346</v>
      </c>
      <c r="I5" s="16"/>
      <c r="J5" s="16" t="s">
        <v>345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INDEX(ItemTable['#NameString],MATCH(ItemEffectTable[[#This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393</v>
      </c>
      <c r="J6" s="16" t="s">
        <v>345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INDEX(ItemTable['#NameString],MATCH(ItemEffectTable[[#This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346</v>
      </c>
      <c r="J7" s="16" t="s">
        <v>345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INDEX(ItemTable['#NameString],MATCH(ItemEffectTable[[#This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346</v>
      </c>
      <c r="J8" s="16" t="s">
        <v>345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INDEX(ItemTable['#NameString],MATCH(ItemEffectTable[[#This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374</v>
      </c>
      <c r="J9" s="16" t="s">
        <v>345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INDEX(ItemTable['#NameString],MATCH(ItemEffectTable[[#This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454</v>
      </c>
      <c r="J10" s="16" t="s">
        <v>345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INDEX(ItemTable['#NameString],MATCH(ItemEffectTable[[#This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374</v>
      </c>
      <c r="J11" s="16" t="s">
        <v>455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INDEX(ItemTable['#NameString],MATCH(ItemEffectTable[[#This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346</v>
      </c>
      <c r="J12" s="16" t="s">
        <v>345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INDEX(ItemTable['#NameString],MATCH(ItemEffectTable[[#This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346</v>
      </c>
      <c r="J13" s="16" t="s">
        <v>345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INDEX(ItemTable['#NameString],MATCH(ItemEffectTable[[#This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346</v>
      </c>
      <c r="J14" s="16" t="s">
        <v>345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INDEX(ItemTable['#NameString],MATCH(ItemEffectTable[[#This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362</v>
      </c>
      <c r="J15" s="16" t="s">
        <v>455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INDEX(ItemTable['#NameString],MATCH(ItemEffectTable[[#This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346</v>
      </c>
      <c r="J16" s="16" t="s">
        <v>345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INDEX(ItemTable['#NameString],MATCH(ItemEffectTable[[#This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395</v>
      </c>
      <c r="J17" s="16" t="s">
        <v>345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INDEX(ItemTable['#NameString],MATCH(ItemEffectTable[[#This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346</v>
      </c>
      <c r="J18" s="16" t="s">
        <v>345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INDEX(ItemTable['#NameString],MATCH(ItemEffectTable[[#This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346</v>
      </c>
      <c r="J19" s="16" t="s">
        <v>345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INDEX(ItemTable['#NameString],MATCH(ItemEffectTable[[#This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346</v>
      </c>
      <c r="J20" s="16" t="s">
        <v>345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INDEX(ItemTable['#NameString],MATCH(ItemEffectTable[[#This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476</v>
      </c>
      <c r="J21" s="16" t="s">
        <v>345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INDEX(ItemTable['#NameString],MATCH(ItemEffectTable[[#This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346</v>
      </c>
      <c r="J22" s="16" t="s">
        <v>345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INDEX(ItemTable['#NameString],MATCH(ItemEffectTable[[#This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418</v>
      </c>
      <c r="J23" s="16" t="s">
        <v>345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INDEX(ItemTable['#NameString],MATCH(ItemEffectTable[[#This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346</v>
      </c>
      <c r="J24" s="16" t="s">
        <v>345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INDEX(ItemTable['#NameString],MATCH(ItemEffectTable[[#This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346</v>
      </c>
      <c r="I25" s="39"/>
      <c r="J25" s="16" t="s">
        <v>345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INDEX(ItemTable['#NameString],MATCH(ItemEffectTable[[#This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362</v>
      </c>
      <c r="I26" s="39"/>
      <c r="J26" s="16" t="s">
        <v>345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INDEX(ItemTable['#NameString],MATCH(ItemEffectTable[[#This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352</v>
      </c>
      <c r="I27" s="16"/>
      <c r="J27" s="16" t="s">
        <v>345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INDEX(ItemTable['#NameString],MATCH(ItemEffectTable[[#This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352</v>
      </c>
      <c r="I28" s="16" t="s">
        <v>358</v>
      </c>
      <c r="J28" s="16" t="s">
        <v>357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INDEX(ItemTable['#NameString],MATCH(ItemEffectTable[[#This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352</v>
      </c>
      <c r="J29" s="16" t="s">
        <v>345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INDEX(ItemTable['#NameString],MATCH(ItemEffectTable[[#This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6" t="s">
        <v>352</v>
      </c>
      <c r="J30" s="16" t="s">
        <v>345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e">
        <f>INDEX(ItemTable['#NameString],MATCH(ItemEffectTable[[#This Row],[Index]],ItemTable[ItemEffectDataId],0))</f>
        <v>#N/A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352</v>
      </c>
      <c r="J31" s="16" t="s">
        <v>345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INDEX(ItemTable['#NameString],MATCH(ItemEffectTable[[#This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352</v>
      </c>
      <c r="J32" s="16" t="s">
        <v>345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49"/>
  <sheetViews>
    <sheetView zoomScaleNormal="100" zoomScaleSheetLayoutView="100" workbookViewId="0">
      <selection activeCell="G46" sqref="G46"/>
    </sheetView>
  </sheetViews>
  <sheetFormatPr defaultColWidth="8.875" defaultRowHeight="16.5"/>
  <cols>
    <col min="2" max="2" width="17.87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75" bestFit="1" customWidth="1"/>
    <col min="8" max="8" width="11.5" bestFit="1" customWidth="1"/>
    <col min="9" max="9" width="18.75" bestFit="1" customWidth="1"/>
    <col min="10" max="10" width="12.5" bestFit="1" customWidth="1"/>
    <col min="11" max="11" width="12.125" style="8" customWidth="1"/>
    <col min="12" max="12" width="12.75" bestFit="1" customWidth="1"/>
    <col min="13" max="14" width="13.875" bestFit="1" customWidth="1"/>
    <col min="15" max="15" width="13.875" customWidth="1"/>
    <col min="16" max="16" width="13.875" bestFit="1" customWidth="1"/>
    <col min="17" max="19" width="13.875" customWidth="1"/>
    <col min="20" max="20" width="10" customWidth="1"/>
  </cols>
  <sheetData>
    <row r="1" spans="2:21">
      <c r="D1" s="11" t="s">
        <v>733</v>
      </c>
      <c r="E1" s="16" t="s">
        <v>734</v>
      </c>
      <c r="F1" s="16" t="s">
        <v>334</v>
      </c>
      <c r="G1" s="16" t="s">
        <v>341</v>
      </c>
      <c r="H1" s="16" t="s">
        <v>334</v>
      </c>
    </row>
    <row r="2" spans="2:21" s="42" customFormat="1">
      <c r="B2" s="69" t="s">
        <v>853</v>
      </c>
      <c r="C2" s="69" t="s">
        <v>711</v>
      </c>
      <c r="D2" s="58" t="s">
        <v>41</v>
      </c>
      <c r="E2" s="58" t="s">
        <v>330</v>
      </c>
      <c r="F2" s="58" t="s">
        <v>340</v>
      </c>
      <c r="G2" s="60" t="s">
        <v>4</v>
      </c>
      <c r="H2" s="60" t="s">
        <v>342</v>
      </c>
      <c r="I2" s="69" t="s">
        <v>713</v>
      </c>
      <c r="J2" s="69" t="s">
        <v>712</v>
      </c>
      <c r="K2" s="70" t="s">
        <v>735</v>
      </c>
      <c r="L2" s="69" t="s">
        <v>732</v>
      </c>
      <c r="M2" s="69" t="s">
        <v>742</v>
      </c>
      <c r="N2" s="69" t="s">
        <v>848</v>
      </c>
      <c r="O2" s="69" t="s">
        <v>849</v>
      </c>
      <c r="P2" s="69" t="s">
        <v>714</v>
      </c>
      <c r="Q2" s="69" t="s">
        <v>852</v>
      </c>
      <c r="R2" s="69" t="s">
        <v>855</v>
      </c>
      <c r="S2" s="75" t="s">
        <v>860</v>
      </c>
      <c r="T2" s="69" t="s">
        <v>851</v>
      </c>
      <c r="U2" s="69" t="s">
        <v>850</v>
      </c>
    </row>
    <row r="3" spans="2:21">
      <c r="B3" s="19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115</v>
      </c>
      <c r="F3" s="16">
        <v>1</v>
      </c>
      <c r="G3" s="11" t="s">
        <v>420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3">
        <f>ItemEffectTable23[[#This Row],['#종합 효력]]/ItemEffectTable23[[#This Row],['#기준 효력]]</f>
        <v>1</v>
      </c>
    </row>
    <row r="4" spans="2:21">
      <c r="B4" s="57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200</v>
      </c>
      <c r="F4" s="53">
        <v>0.3</v>
      </c>
      <c r="G4" s="42" t="s">
        <v>509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3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354</v>
      </c>
      <c r="F5" s="53">
        <v>0.85</v>
      </c>
      <c r="G5" s="42" t="s">
        <v>226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3">
        <f>ItemEffectTable23[[#This Row],['#종합 효력]]/ItemEffectTable23[[#This Row],['#기준 효력]]</f>
        <v>0.99999999999999978</v>
      </c>
    </row>
    <row r="6" spans="2:21">
      <c r="B6" s="57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392</v>
      </c>
      <c r="F6" s="42">
        <v>0.2</v>
      </c>
      <c r="G6" s="42" t="s">
        <v>347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3">
        <f>ItemEffectTable23[[#This Row],['#종합 효력]]/ItemEffectTable23[[#This Row],['#기준 효력]]</f>
        <v>1.0040160642570277</v>
      </c>
    </row>
    <row r="7" spans="2:21">
      <c r="B7" s="57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137</v>
      </c>
      <c r="F7" s="42">
        <v>0.92</v>
      </c>
      <c r="G7" s="42" t="s">
        <v>226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3">
        <f>ItemEffectTable23[[#This Row],['#종합 효력]]/ItemEffectTable23[[#This Row],['#기준 효력]]</f>
        <v>0.99999999999999956</v>
      </c>
    </row>
    <row r="8" spans="2:21">
      <c r="B8" s="57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-0</v>
      </c>
      <c r="D8" s="42">
        <v>7005</v>
      </c>
      <c r="E8" s="53" t="s">
        <v>425</v>
      </c>
      <c r="F8" s="42">
        <v>0</v>
      </c>
      <c r="G8" s="42" t="s">
        <v>347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3">
        <f>ItemEffectTable23[[#This Row],['#종합 효력]]/ItemEffectTable23[[#This Row],['#기준 효력]]</f>
        <v>2</v>
      </c>
    </row>
    <row r="9" spans="2:21">
      <c r="B9" s="57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201</v>
      </c>
      <c r="F9" s="42">
        <v>0.3</v>
      </c>
      <c r="G9" s="42" t="s">
        <v>347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3">
        <f>ItemEffectTable23[[#This Row],['#종합 효력]]/ItemEffectTable23[[#This Row],['#기준 효력]]</f>
        <v>1.0000000000000002</v>
      </c>
    </row>
    <row r="10" spans="2:21">
      <c r="B10" s="57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201</v>
      </c>
      <c r="F10" s="42" t="s">
        <v>736</v>
      </c>
      <c r="G10" s="42" t="s">
        <v>347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3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167</v>
      </c>
      <c r="F11" s="42">
        <v>0.5</v>
      </c>
      <c r="G11" s="42" t="s">
        <v>347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3">
        <f>ItemEffectTable23[[#This Row],['#종합 효력]]/ItemEffectTable23[[#This Row],['#기준 효력]]</f>
        <v>1</v>
      </c>
    </row>
    <row r="12" spans="2:21">
      <c r="B12" s="57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415</v>
      </c>
      <c r="F12" s="42">
        <v>3</v>
      </c>
      <c r="G12" s="42" t="s">
        <v>347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3">
        <f>ItemEffectTable23[[#This Row],['#종합 효력]]/ItemEffectTable23[[#This Row],['#기준 효력]]</f>
        <v>0.9</v>
      </c>
    </row>
    <row r="13" spans="2:21">
      <c r="B13" s="57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-0</v>
      </c>
      <c r="D13" s="42">
        <v>8005</v>
      </c>
      <c r="E13" s="53" t="s">
        <v>425</v>
      </c>
      <c r="F13" s="42">
        <v>0</v>
      </c>
      <c r="G13" s="42" t="s">
        <v>347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3">
        <f>ItemEffectTable23[[#This Row],['#종합 효력]]/ItemEffectTable23[[#This Row],['#기준 효력]]</f>
        <v>24</v>
      </c>
    </row>
    <row r="14" spans="2:21">
      <c r="B14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-0.4</v>
      </c>
      <c r="D14" s="42">
        <v>9000</v>
      </c>
      <c r="E14" s="53" t="s">
        <v>137</v>
      </c>
      <c r="F14" s="42">
        <v>1.4</v>
      </c>
      <c r="G14" s="42" t="s">
        <v>226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-149.99999999999997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-149.99999999999997</v>
      </c>
      <c r="Q14" s="19">
        <f>SUMIF(ItemEffectTable23['#아이템 명칭],ItemEffectTable23[[#This Row],['#아이템 명칭]],ItemEffectTable23['#총 가치판단])</f>
        <v>50.000000000000057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50.000000000000057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3">
        <f>ItemEffectTable23[[#This Row],['#종합 효력]]/ItemEffectTable23[[#This Row],['#기준 효력]]</f>
        <v>1.0000000000000011</v>
      </c>
    </row>
    <row r="15" spans="2:21">
      <c r="B15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218</v>
      </c>
      <c r="F15" s="42">
        <v>0</v>
      </c>
      <c r="G15" s="42" t="s">
        <v>226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50.000000000000057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50.000000000000057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3">
        <f>ItemEffectTable23[[#This Row],['#종합 효력]]/ItemEffectTable23[[#This Row],['#기준 효력]]</f>
        <v>1.0000000000000011</v>
      </c>
    </row>
    <row r="16" spans="2:21">
      <c r="B16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396</v>
      </c>
      <c r="F16" s="42">
        <v>0.9</v>
      </c>
      <c r="G16" s="42" t="s">
        <v>226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3">
        <f>ItemEffectTable23[[#This Row],['#종합 효력]]/ItemEffectTable23[[#This Row],['#기준 효력]]</f>
        <v>1.1785714285714275</v>
      </c>
    </row>
    <row r="17" spans="2:21">
      <c r="B17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396</v>
      </c>
      <c r="F17" s="42">
        <v>1.3</v>
      </c>
      <c r="G17" s="42" t="s">
        <v>226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3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201</v>
      </c>
      <c r="F18" s="42">
        <v>1</v>
      </c>
      <c r="G18" s="42" t="s">
        <v>347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3">
        <f>ItemEffectTable23[[#This Row],['#종합 효력]]/ItemEffectTable23[[#This Row],['#기준 효력]]</f>
        <v>1</v>
      </c>
    </row>
    <row r="19" spans="2:21">
      <c r="B19" s="57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19" s="42">
        <v>9003</v>
      </c>
      <c r="E19" s="53" t="s">
        <v>392</v>
      </c>
      <c r="F19" s="42">
        <v>0.45</v>
      </c>
      <c r="G19" s="42" t="s">
        <v>347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112.49999999999999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-60</v>
      </c>
      <c r="S19" s="19">
        <f>ItemEffectTable23[[#This Row],['#아이템 효력 합산]]+ItemEffectTable23[[#This Row],['#특수 효력]]/COUNTIF(ItemEffectTable23['#특수 효력],ItemEffectTable23[[#This Row],['#특수 효력]])</f>
        <v>52.499999999999986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3">
        <f>ItemEffectTable23[[#This Row],['#종합 효력]]/ItemEffectTable23[[#This Row],['#기준 효력]]</f>
        <v>1.0499999999999998</v>
      </c>
    </row>
    <row r="20" spans="2:21">
      <c r="B20" s="18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0" s="16">
        <v>9104</v>
      </c>
      <c r="E20" s="11" t="s">
        <v>462</v>
      </c>
      <c r="F20">
        <v>0.95</v>
      </c>
      <c r="G20" s="11" t="s">
        <v>414</v>
      </c>
      <c r="H20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-16.250000000000007</v>
      </c>
      <c r="Q20" s="19">
        <f>SUMIF(ItemEffectTable23['#아이템 명칭],ItemEffectTable23[[#This Row],['#아이템 명칭]],ItemEffectTable23['#총 가치판단])</f>
        <v>-16.250000000000007</v>
      </c>
      <c r="R20" s="19">
        <f>IFERROR(INDEX(ItemEffectTable2324['#가치판단],MATCH(ItemEffectTable23[[#This Row],['#아이템 명칭]],ItemEffectTable2324['#명칭],0)),0)</f>
        <v>70</v>
      </c>
      <c r="S20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3">
        <f>ItemEffectTable23[[#This Row],['#종합 효력]]/ItemEffectTable23[[#This Row],['#기준 효력]]</f>
        <v>1.075</v>
      </c>
    </row>
    <row r="21" spans="2:21">
      <c r="B21" s="41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1" s="16">
        <v>9105</v>
      </c>
      <c r="E21" s="11" t="s">
        <v>423</v>
      </c>
      <c r="F21">
        <v>1.5</v>
      </c>
      <c r="G21" s="11" t="s">
        <v>414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53.124999999999993</v>
      </c>
      <c r="Q21" s="19">
        <f>SUMIF(ItemEffectTable23['#아이템 명칭],ItemEffectTable23[[#This Row],['#아이템 명칭]],ItemEffectTable23['#총 가치판단])</f>
        <v>53.124999999999993</v>
      </c>
      <c r="R21" s="19">
        <f>IFERROR(INDEX(ItemEffectTable2324['#가치판단],MATCH(ItemEffectTable23[[#This Row],['#아이템 명칭]],ItemEffectTable2324['#명칭],0)),0)</f>
        <v>0</v>
      </c>
      <c r="S21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3">
        <f>ItemEffectTable23[[#This Row],['#종합 효력]]/ItemEffectTable23[[#This Row],['#기준 효력]]</f>
        <v>1.0624999999999998</v>
      </c>
    </row>
    <row r="22" spans="2:21">
      <c r="B22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2" s="16">
        <v>9106</v>
      </c>
      <c r="E22" s="9" t="s">
        <v>200</v>
      </c>
      <c r="F22">
        <v>1.6</v>
      </c>
      <c r="G22" s="11" t="s">
        <v>509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159.99999999999997</v>
      </c>
      <c r="Q22" s="19">
        <f>SUMIF(ItemEffectTable23['#아이템 명칭],ItemEffectTable23[[#This Row],['#아이템 명칭]],ItemEffectTable23['#총 가치판단])</f>
        <v>84.999999999999986</v>
      </c>
      <c r="R22" s="19">
        <f>IFERROR(INDEX(ItemEffectTable2324['#가치판단],MATCH(ItemEffectTable23[[#This Row],['#아이템 명칭]],ItemEffectTable2324['#명칭],0)),0)</f>
        <v>-61</v>
      </c>
      <c r="S22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3">
        <f>ItemEffectTable23[[#This Row],['#종합 효력]]/ItemEffectTable23[[#This Row],['#기준 효력]]</f>
        <v>1.0899999999999996</v>
      </c>
    </row>
    <row r="23" spans="2:21">
      <c r="B23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3" s="16">
        <v>9106</v>
      </c>
      <c r="E23" s="9" t="s">
        <v>137</v>
      </c>
      <c r="F23">
        <v>1.2</v>
      </c>
      <c r="G23" t="s">
        <v>226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-74.999999999999986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3">
        <f>ItemEffectTable23[[#This Row],['#종합 효력]]/ItemEffectTable23[[#This Row],['#기준 효력]]</f>
        <v>1.0899999999999996</v>
      </c>
    </row>
    <row r="24" spans="2:21">
      <c r="B24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4">
        <v>10002</v>
      </c>
      <c r="E24" t="s">
        <v>0</v>
      </c>
      <c r="F24">
        <v>2</v>
      </c>
      <c r="G24" t="s">
        <v>226</v>
      </c>
      <c r="H24">
        <v>3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4" s="19">
        <f>INDEX(ItemEffectTable[CoolTime],MATCH(ItemEffectTable23[[#This Row],[Index]],ItemEffectTable[ApplyBuffId],0))</f>
        <v>15</v>
      </c>
      <c r="O24" s="19">
        <f>IF(ItemEffectTable23[[#This Row],['#발동율]]=-1,-1,(ItemEffectTable23[[#This Row],['#발동율]]+ItemEffectTable23[[#This Row],['#쿨타임]])/ItemEffectTable23[[#This Row],[Duration]])</f>
        <v>5</v>
      </c>
      <c r="P24" s="19">
        <f>ItemEffectTable23[[#This Row],['#효력 가치 판단]]/IF(ItemEffectTable23[[#This Row],['#발동량]]=-1,1,ItemEffectTable23[[#This Row],['#발동량]])</f>
        <v>65</v>
      </c>
      <c r="Q24" s="19">
        <f>SUMIF(ItemEffectTable23['#아이템 명칭],ItemEffectTable23[[#This Row],['#아이템 명칭]],ItemEffectTable23['#총 가치판단])</f>
        <v>41.300000000000011</v>
      </c>
      <c r="R24" s="19">
        <f>IFERROR(INDEX(ItemEffectTable2324['#가치판단],MATCH(ItemEffectTable23[[#This Row],['#아이템 명칭]],ItemEffectTable2324['#명칭],0)),0)</f>
        <v>0</v>
      </c>
      <c r="S24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3">
        <f>ItemEffectTable23[[#This Row],['#종합 효력]]/ItemEffectTable23[[#This Row],['#기준 효력]]</f>
        <v>0.82600000000000018</v>
      </c>
    </row>
    <row r="25" spans="2:21">
      <c r="B25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5">
        <v>10002</v>
      </c>
      <c r="E25" s="11" t="s">
        <v>705</v>
      </c>
      <c r="F25">
        <v>0.8</v>
      </c>
      <c r="G25" t="s">
        <v>226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-1.2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3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6">
        <v>10002</v>
      </c>
      <c r="E26" t="s">
        <v>144</v>
      </c>
      <c r="F26">
        <v>2</v>
      </c>
      <c r="G26" t="s">
        <v>226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240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3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7">
        <v>10002</v>
      </c>
      <c r="E27" t="s">
        <v>137</v>
      </c>
      <c r="F27">
        <v>0.5</v>
      </c>
      <c r="G27" t="s">
        <v>226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37.5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3">
        <f>ItemEffectTable23[[#This Row],['#종합 효력]]/ItemEffectTable23[[#This Row],['#기준 효력]]</f>
        <v>0.82600000000000018</v>
      </c>
    </row>
    <row r="28" spans="2:21">
      <c r="B28" s="32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8">
        <v>10002</v>
      </c>
      <c r="E28" t="s">
        <v>15</v>
      </c>
      <c r="F28">
        <v>2</v>
      </c>
      <c r="G28" t="s">
        <v>226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-300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3">
        <f>ItemEffectTable23[[#This Row],['#종합 효력]]/ItemEffectTable23[[#This Row],['#기준 효력]]</f>
        <v>0.82600000000000018</v>
      </c>
    </row>
    <row r="29" spans="2:21">
      <c r="B29" s="4" t="e">
        <f>IFERROR(INDEX(ItemEffectTable['#이름값],MATCH(ItemEffectTable23[[#This Row],[Index]],ItemEffectTable[Index],0)),INDEX(ItemEffectTable['#이름값],MATCH(ItemEffectTable23[[#This Row],[Index]],ItemEffectTable[ApplyBuffId],0)))</f>
        <v>#N/A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29">
        <v>10004</v>
      </c>
      <c r="E29" t="s">
        <v>0</v>
      </c>
      <c r="F29">
        <v>0.5</v>
      </c>
      <c r="G29" t="s">
        <v>226</v>
      </c>
      <c r="H29">
        <v>1.5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16</v>
      </c>
      <c r="O29" s="19">
        <f>IF(ItemEffectTable23[[#This Row],['#발동율]]=-1,-1,(ItemEffectTable23[[#This Row],['#발동율]]+ItemEffectTable23[[#This Row],['#쿨타임]])/ItemEffectTable23[[#This Row],[Duration]])</f>
        <v>10.666666666666666</v>
      </c>
      <c r="P29" s="19">
        <f>ItemEffectTable23[[#This Row],['#효력 가치 판단]]/IF(ItemEffectTable23[[#This Row],['#발동량]]=-1,1,ItemEffectTable23[[#This Row],['#발동량]])</f>
        <v>-15.234375</v>
      </c>
      <c r="Q29" s="19">
        <f>SUMIF(ItemEffectTable23['#아이템 명칭],ItemEffectTable23[[#This Row],['#아이템 명칭]],ItemEffectTable23['#총 가치판단])</f>
        <v>-15.234375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-15.234375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3">
        <f>ItemEffectTable23[[#This Row],['#종합 효력]]/ItemEffectTable23[[#This Row],['#기준 효력]]</f>
        <v>-0.3046875</v>
      </c>
    </row>
    <row r="30" spans="2:21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0">
        <v>10005</v>
      </c>
      <c r="E30" s="11" t="s">
        <v>480</v>
      </c>
      <c r="F30">
        <v>2.5</v>
      </c>
      <c r="G30" s="11" t="s">
        <v>509</v>
      </c>
      <c r="H30">
        <v>10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18</v>
      </c>
      <c r="O30" s="19">
        <f>IF(ItemEffectTable23[[#This Row],['#발동율]]=-1,-1,(ItemEffectTable23[[#This Row],['#발동율]]+ItemEffectTable23[[#This Row],['#쿨타임]])/ItemEffectTable23[[#This Row],[Duration]])</f>
        <v>1.8</v>
      </c>
      <c r="P30" s="19">
        <f>ItemEffectTable23[[#This Row],['#효력 가치 판단]]/IF(ItemEffectTable23[[#This Row],['#발동량]]=-1,1,ItemEffectTable23[[#This Row],['#발동량]])</f>
        <v>138.88888888888889</v>
      </c>
      <c r="Q30" s="19">
        <f>SUMIF(ItemEffectTable23['#아이템 명칭],ItemEffectTable23[[#This Row],['#아이템 명칭]],ItemEffectTable23['#총 가치판단])</f>
        <v>138.88888888888889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3">
        <f>ItemEffectTable23[[#This Row],['#종합 효력]]/ItemEffectTable23[[#This Row],['#기준 효력]]</f>
        <v>2.7777777777777777</v>
      </c>
    </row>
    <row r="32" spans="2:21">
      <c r="F32" s="11"/>
      <c r="G32" s="11"/>
      <c r="H32" s="68"/>
    </row>
    <row r="33" spans="3:9">
      <c r="E33" s="11"/>
    </row>
    <row r="34" spans="3:9">
      <c r="C34" s="11"/>
    </row>
    <row r="35" spans="3:9">
      <c r="C35" s="11"/>
    </row>
    <row r="37" spans="3:9">
      <c r="C37" s="11"/>
    </row>
    <row r="38" spans="3:9">
      <c r="C38" s="11"/>
    </row>
    <row r="44" spans="3:9">
      <c r="C44" s="11"/>
    </row>
    <row r="46" spans="3:9">
      <c r="D46" s="11"/>
    </row>
    <row r="47" spans="3:9">
      <c r="I47" s="11"/>
    </row>
    <row r="49" spans="3:4">
      <c r="C49" s="11"/>
      <c r="D49" s="11"/>
    </row>
  </sheetData>
  <phoneticPr fontId="12" type="noConversion"/>
  <conditionalFormatting sqref="U3:U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6"/>
  <sheetViews>
    <sheetView topLeftCell="B1" zoomScaleNormal="100" zoomScaleSheetLayoutView="100" workbookViewId="0">
      <selection activeCell="E6" sqref="E6"/>
    </sheetView>
  </sheetViews>
  <sheetFormatPr defaultColWidth="8.875" defaultRowHeight="16.5"/>
  <cols>
    <col min="1" max="1" width="8.87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  <col min="13" max="13" width="14.125" customWidth="1"/>
    <col min="14" max="14" width="14.25" customWidth="1"/>
  </cols>
  <sheetData>
    <row r="1" spans="1:14">
      <c r="B1" t="s">
        <v>26</v>
      </c>
      <c r="D1" t="s">
        <v>68</v>
      </c>
      <c r="E1" s="16" t="s">
        <v>325</v>
      </c>
      <c r="F1" s="16"/>
      <c r="G1" s="16" t="s">
        <v>334</v>
      </c>
      <c r="H1" s="16"/>
      <c r="I1" s="16" t="s">
        <v>334</v>
      </c>
      <c r="J1" s="16"/>
      <c r="K1" s="16" t="s">
        <v>334</v>
      </c>
    </row>
    <row r="2" spans="1:14">
      <c r="B2" t="s">
        <v>41</v>
      </c>
      <c r="C2" s="36" t="s">
        <v>377</v>
      </c>
      <c r="D2" s="16" t="s">
        <v>355</v>
      </c>
      <c r="E2" s="16" t="s">
        <v>331</v>
      </c>
      <c r="F2" s="34" t="s">
        <v>367</v>
      </c>
      <c r="G2" s="30" t="s">
        <v>332</v>
      </c>
      <c r="H2" s="34" t="s">
        <v>368</v>
      </c>
      <c r="I2" s="30" t="s">
        <v>333</v>
      </c>
      <c r="J2" s="34" t="s">
        <v>369</v>
      </c>
      <c r="K2" s="30" t="s">
        <v>383</v>
      </c>
      <c r="L2" s="34" t="s">
        <v>382</v>
      </c>
      <c r="M2" s="69" t="s">
        <v>854</v>
      </c>
      <c r="N2" s="74" t="s">
        <v>861</v>
      </c>
    </row>
    <row r="3" spans="1:14">
      <c r="B3" s="16">
        <v>7005</v>
      </c>
      <c r="C3" s="18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6" t="s">
        <v>452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6" t="s">
        <v>452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6" t="s">
        <v>452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6" t="s">
        <v>363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6" t="s">
        <v>363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6" t="s">
        <v>363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6" t="s">
        <v>350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6" t="s">
        <v>452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50" t="s">
        <v>482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6" t="s">
        <v>335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6" t="s">
        <v>356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6" t="s">
        <v>351</v>
      </c>
      <c r="E14">
        <v>0.5</v>
      </c>
      <c r="F14" s="14" t="s">
        <v>370</v>
      </c>
      <c r="G14">
        <v>3</v>
      </c>
      <c r="H14" s="14" t="s">
        <v>466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6" t="s">
        <v>361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A16" s="44"/>
      <c r="B16" s="20" t="s">
        <v>477</v>
      </c>
      <c r="C16" s="22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0" t="s">
        <v>471</v>
      </c>
      <c r="E16" s="20">
        <v>70</v>
      </c>
      <c r="F16" s="22" t="s">
        <v>472</v>
      </c>
      <c r="G16" s="20">
        <v>5</v>
      </c>
      <c r="H16" s="22" t="s">
        <v>473</v>
      </c>
      <c r="I16" s="20">
        <v>18</v>
      </c>
      <c r="J16" s="22" t="s">
        <v>474</v>
      </c>
      <c r="K16" s="20"/>
      <c r="L16" s="22"/>
      <c r="M16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E33" sqref="E33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138</v>
      </c>
      <c r="F2" t="s">
        <v>139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204</v>
      </c>
      <c r="E3" t="s">
        <v>33</v>
      </c>
      <c r="F3" t="s">
        <v>158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181</v>
      </c>
      <c r="F4" t="s">
        <v>236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204</v>
      </c>
      <c r="E5" t="s">
        <v>33</v>
      </c>
      <c r="F5" t="s">
        <v>235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180</v>
      </c>
      <c r="E6" t="s">
        <v>123</v>
      </c>
      <c r="F6" t="s">
        <v>113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205</v>
      </c>
      <c r="E7" t="s">
        <v>188</v>
      </c>
      <c r="F7" t="s">
        <v>238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204</v>
      </c>
      <c r="E8" t="s">
        <v>33</v>
      </c>
      <c r="F8" t="s">
        <v>237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205</v>
      </c>
      <c r="E9" t="s">
        <v>188</v>
      </c>
      <c r="F9" t="s">
        <v>162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47"/>
  <sheetViews>
    <sheetView topLeftCell="A111" zoomScaleNormal="100" zoomScaleSheetLayoutView="100" workbookViewId="0">
      <selection activeCell="C130" sqref="C130"/>
    </sheetView>
  </sheetViews>
  <sheetFormatPr defaultColWidth="8.875" defaultRowHeight="16.5"/>
  <cols>
    <col min="2" max="2" width="32.625" customWidth="1"/>
    <col min="3" max="3" width="65" style="9" customWidth="1"/>
    <col min="4" max="4" width="62.125" customWidth="1"/>
    <col min="5" max="5" width="13.625" customWidth="1"/>
    <col min="6" max="6" width="12.375" bestFit="1" customWidth="1"/>
    <col min="7" max="7" width="16.625" customWidth="1"/>
    <col min="8" max="8" width="12.375" bestFit="1" customWidth="1"/>
    <col min="9" max="9" width="34.125" customWidth="1"/>
  </cols>
  <sheetData>
    <row r="1" spans="2:9">
      <c r="B1" t="s">
        <v>30</v>
      </c>
      <c r="C1" s="9" t="s">
        <v>42</v>
      </c>
      <c r="D1" t="s">
        <v>42</v>
      </c>
      <c r="E1" t="s">
        <v>251</v>
      </c>
      <c r="F1" t="s">
        <v>251</v>
      </c>
      <c r="G1" t="s">
        <v>251</v>
      </c>
      <c r="H1" t="s">
        <v>251</v>
      </c>
      <c r="I1" t="s">
        <v>251</v>
      </c>
    </row>
    <row r="2" spans="2:9">
      <c r="B2" s="11" t="s">
        <v>618</v>
      </c>
      <c r="C2" s="9" t="s">
        <v>172</v>
      </c>
      <c r="D2" t="s">
        <v>171</v>
      </c>
      <c r="E2" s="36" t="s">
        <v>548</v>
      </c>
      <c r="F2" s="36" t="s">
        <v>549</v>
      </c>
      <c r="G2" s="36" t="s">
        <v>550</v>
      </c>
      <c r="H2" s="36" t="s">
        <v>551</v>
      </c>
      <c r="I2" s="36" t="s">
        <v>589</v>
      </c>
    </row>
    <row r="3" spans="2:9">
      <c r="B3" t="str">
        <f>LocaleTable[[#This Row],['#인덱스제너레이터]]</f>
        <v>UI_Title_Button_Start</v>
      </c>
      <c r="C3" s="53" t="s">
        <v>582</v>
      </c>
      <c r="D3" s="53" t="s">
        <v>575</v>
      </c>
      <c r="E3" s="14" t="s">
        <v>553</v>
      </c>
      <c r="F3" s="14" t="s">
        <v>587</v>
      </c>
      <c r="G3" s="14" t="s">
        <v>579</v>
      </c>
      <c r="H3" s="14" t="s">
        <v>576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3" t="s">
        <v>583</v>
      </c>
      <c r="D4" s="53" t="s">
        <v>577</v>
      </c>
      <c r="E4" s="14" t="s">
        <v>553</v>
      </c>
      <c r="F4" s="14" t="s">
        <v>587</v>
      </c>
      <c r="G4" s="14" t="s">
        <v>579</v>
      </c>
      <c r="H4" s="14" t="s">
        <v>578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UI_Title_Button_Exit</v>
      </c>
      <c r="C5" s="53" t="s">
        <v>584</v>
      </c>
      <c r="D5" s="53" t="s">
        <v>580</v>
      </c>
      <c r="E5" s="14" t="s">
        <v>553</v>
      </c>
      <c r="F5" s="14" t="s">
        <v>587</v>
      </c>
      <c r="G5" s="56" t="s">
        <v>579</v>
      </c>
      <c r="H5" s="14" t="s">
        <v>581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>
      <c r="B6" t="str">
        <f>LocaleTable[[#This Row],['#인덱스제너레이터]]</f>
        <v>UI_Title_Button_Setting</v>
      </c>
      <c r="C6" s="53" t="s">
        <v>681</v>
      </c>
      <c r="D6" s="53" t="s">
        <v>676</v>
      </c>
      <c r="E6" s="14" t="s">
        <v>553</v>
      </c>
      <c r="F6" s="14" t="s">
        <v>587</v>
      </c>
      <c r="G6" s="56" t="s">
        <v>579</v>
      </c>
      <c r="H6" s="14" t="s">
        <v>676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>
      <c r="B7" t="str">
        <f>LocaleTable[[#This Row],['#인덱스제너레이터]]</f>
        <v>UI_Tutorial_Title_Exit</v>
      </c>
      <c r="C7" s="53" t="s">
        <v>791</v>
      </c>
      <c r="D7" s="53" t="s">
        <v>580</v>
      </c>
      <c r="E7" s="14" t="s">
        <v>553</v>
      </c>
      <c r="F7" s="56" t="s">
        <v>578</v>
      </c>
      <c r="G7" s="56" t="s">
        <v>587</v>
      </c>
      <c r="H7" s="14" t="s">
        <v>581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>
      <c r="B8" t="str">
        <f>LocaleTable[[#This Row],['#인덱스제너레이터]]</f>
        <v>UI_Tutorial_Title_1</v>
      </c>
      <c r="C8" s="53" t="s">
        <v>772</v>
      </c>
      <c r="D8" s="53" t="s">
        <v>792</v>
      </c>
      <c r="E8" s="14" t="s">
        <v>553</v>
      </c>
      <c r="F8" s="56" t="s">
        <v>578</v>
      </c>
      <c r="G8" s="56" t="s">
        <v>587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>
      <c r="B9" t="str">
        <f>LocaleTable[[#This Row],['#인덱스제너레이터]]</f>
        <v>UI_Tutorial_Title_2</v>
      </c>
      <c r="C9" s="53" t="s">
        <v>773</v>
      </c>
      <c r="D9" s="53" t="s">
        <v>793</v>
      </c>
      <c r="E9" s="14" t="s">
        <v>553</v>
      </c>
      <c r="F9" s="56" t="s">
        <v>578</v>
      </c>
      <c r="G9" s="56" t="s">
        <v>587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>
      <c r="B10" t="str">
        <f>LocaleTable[[#This Row],['#인덱스제너레이터]]</f>
        <v>UI_Tutorial_Title_3</v>
      </c>
      <c r="C10" s="53" t="s">
        <v>774</v>
      </c>
      <c r="D10" s="53" t="s">
        <v>794</v>
      </c>
      <c r="E10" s="14" t="s">
        <v>553</v>
      </c>
      <c r="F10" s="56" t="s">
        <v>578</v>
      </c>
      <c r="G10" s="56" t="s">
        <v>587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>
      <c r="B11" t="str">
        <f>LocaleTable[[#This Row],['#인덱스제너레이터]]</f>
        <v>UI_Tutorial_Title_4</v>
      </c>
      <c r="C11" s="53" t="s">
        <v>775</v>
      </c>
      <c r="D11" s="53" t="s">
        <v>795</v>
      </c>
      <c r="E11" s="14" t="s">
        <v>553</v>
      </c>
      <c r="F11" s="56" t="s">
        <v>578</v>
      </c>
      <c r="G11" s="56" t="s">
        <v>587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>
      <c r="B12" t="str">
        <f>LocaleTable[[#This Row],['#인덱스제너레이터]]</f>
        <v>UI_Tutorial_Title_5</v>
      </c>
      <c r="C12" s="53" t="s">
        <v>776</v>
      </c>
      <c r="D12" s="53" t="s">
        <v>796</v>
      </c>
      <c r="E12" s="14" t="s">
        <v>553</v>
      </c>
      <c r="F12" s="56" t="s">
        <v>578</v>
      </c>
      <c r="G12" s="56" t="s">
        <v>587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>
      <c r="B13" t="str">
        <f>LocaleTable[[#This Row],['#인덱스제너레이터]]</f>
        <v>UI_Tutorial_Title_6</v>
      </c>
      <c r="C13" s="53" t="s">
        <v>777</v>
      </c>
      <c r="D13" s="53" t="s">
        <v>797</v>
      </c>
      <c r="E13" s="14" t="s">
        <v>553</v>
      </c>
      <c r="F13" s="56" t="s">
        <v>578</v>
      </c>
      <c r="G13" s="56" t="s">
        <v>587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>
      <c r="B14" t="str">
        <f>LocaleTable[[#This Row],['#인덱스제너레이터]]</f>
        <v>UI_Tutorial_Title_7</v>
      </c>
      <c r="C14" s="53" t="s">
        <v>778</v>
      </c>
      <c r="D14" s="53" t="s">
        <v>798</v>
      </c>
      <c r="E14" s="14" t="s">
        <v>553</v>
      </c>
      <c r="F14" s="56" t="s">
        <v>578</v>
      </c>
      <c r="G14" s="56" t="s">
        <v>587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>
      <c r="B15" t="str">
        <f>LocaleTable[[#This Row],['#인덱스제너레이터]]</f>
        <v>UI_Tutorial_Title_8</v>
      </c>
      <c r="C15" s="53" t="s">
        <v>588</v>
      </c>
      <c r="D15" s="53" t="s">
        <v>547</v>
      </c>
      <c r="E15" s="14" t="s">
        <v>553</v>
      </c>
      <c r="F15" s="56" t="s">
        <v>578</v>
      </c>
      <c r="G15" s="56" t="s">
        <v>587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>
      <c r="B16" t="str">
        <f>LocaleTable[[#This Row],['#인덱스제너레이터]]</f>
        <v>UI_Tutorial_MainText_1</v>
      </c>
      <c r="C16" s="53"/>
      <c r="D16" s="53"/>
      <c r="E16" s="14" t="s">
        <v>553</v>
      </c>
      <c r="F16" s="56" t="s">
        <v>578</v>
      </c>
      <c r="G16" s="56" t="s">
        <v>779</v>
      </c>
      <c r="H16" s="14">
        <v>1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17" spans="2:9">
      <c r="B17" t="str">
        <f>LocaleTable[[#This Row],['#인덱스제너레이터]]</f>
        <v>UI_Tutorial_MainText_2</v>
      </c>
      <c r="C17" s="53" t="s">
        <v>780</v>
      </c>
      <c r="D17" s="53" t="s">
        <v>799</v>
      </c>
      <c r="E17" s="14" t="s">
        <v>553</v>
      </c>
      <c r="F17" s="56" t="s">
        <v>578</v>
      </c>
      <c r="G17" s="56" t="s">
        <v>779</v>
      </c>
      <c r="H17" s="14">
        <v>2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18" spans="2:9">
      <c r="B18" t="str">
        <f>LocaleTable[[#This Row],['#인덱스제너레이터]]</f>
        <v>UI_Tutorial_MainText_3</v>
      </c>
      <c r="C18" s="53" t="s">
        <v>781</v>
      </c>
      <c r="D18" s="53" t="s">
        <v>800</v>
      </c>
      <c r="E18" s="14" t="s">
        <v>553</v>
      </c>
      <c r="F18" s="56" t="s">
        <v>578</v>
      </c>
      <c r="G18" s="56" t="s">
        <v>779</v>
      </c>
      <c r="H18" s="14">
        <v>3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19" spans="2:9">
      <c r="B19" t="str">
        <f>LocaleTable[[#This Row],['#인덱스제너레이터]]</f>
        <v>UI_Tutorial_MainText_4</v>
      </c>
      <c r="C19" s="53" t="s">
        <v>782</v>
      </c>
      <c r="D19" s="53" t="s">
        <v>801</v>
      </c>
      <c r="E19" s="14" t="s">
        <v>553</v>
      </c>
      <c r="F19" s="56" t="s">
        <v>578</v>
      </c>
      <c r="G19" s="56" t="s">
        <v>779</v>
      </c>
      <c r="H19" s="14">
        <v>4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0" spans="2:9">
      <c r="B20" t="str">
        <f>LocaleTable[[#This Row],['#인덱스제너레이터]]</f>
        <v>UI_Tutorial_MainText_5</v>
      </c>
      <c r="C20" s="53" t="s">
        <v>783</v>
      </c>
      <c r="D20" s="53" t="s">
        <v>802</v>
      </c>
      <c r="E20" s="14" t="s">
        <v>553</v>
      </c>
      <c r="F20" s="56" t="s">
        <v>578</v>
      </c>
      <c r="G20" s="56" t="s">
        <v>779</v>
      </c>
      <c r="H20" s="14">
        <v>5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1" spans="2:9">
      <c r="B21" t="str">
        <f>LocaleTable[[#This Row],['#인덱스제너레이터]]</f>
        <v>UI_Tutorial_MainText_6</v>
      </c>
      <c r="C21" s="53" t="s">
        <v>784</v>
      </c>
      <c r="D21" s="53" t="s">
        <v>803</v>
      </c>
      <c r="E21" s="14" t="s">
        <v>553</v>
      </c>
      <c r="F21" s="56" t="s">
        <v>578</v>
      </c>
      <c r="G21" s="56" t="s">
        <v>779</v>
      </c>
      <c r="H21" s="14">
        <v>6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2" spans="2:9">
      <c r="B22" t="str">
        <f>LocaleTable[[#This Row],['#인덱스제너레이터]]</f>
        <v>UI_Tutorial_MainText_7</v>
      </c>
      <c r="C22" s="53" t="s">
        <v>785</v>
      </c>
      <c r="D22" s="53" t="s">
        <v>804</v>
      </c>
      <c r="E22" s="14" t="s">
        <v>553</v>
      </c>
      <c r="F22" s="56" t="s">
        <v>578</v>
      </c>
      <c r="G22" s="56" t="s">
        <v>779</v>
      </c>
      <c r="H22" s="14">
        <v>7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23" spans="2:9">
      <c r="B23" t="str">
        <f>LocaleTable[[#This Row],['#인덱스제너레이터]]</f>
        <v>UI_Tutorial_MainText_8</v>
      </c>
      <c r="C23" s="53" t="s">
        <v>786</v>
      </c>
      <c r="D23" s="53" t="s">
        <v>805</v>
      </c>
      <c r="E23" s="14" t="s">
        <v>553</v>
      </c>
      <c r="F23" s="56" t="s">
        <v>578</v>
      </c>
      <c r="G23" s="56" t="s">
        <v>779</v>
      </c>
      <c r="H23" s="14">
        <v>8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24" spans="2:9">
      <c r="B24" t="str">
        <f>LocaleTable[[#This Row],['#인덱스제너레이터]]</f>
        <v>UI_Tutorial_SubText_1</v>
      </c>
      <c r="C24" s="53"/>
      <c r="D24" s="53"/>
      <c r="E24" s="14" t="s">
        <v>553</v>
      </c>
      <c r="F24" s="56" t="s">
        <v>578</v>
      </c>
      <c r="G24" s="56" t="s">
        <v>787</v>
      </c>
      <c r="H24" s="14">
        <v>1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25" spans="2:9" ht="33">
      <c r="B25" t="str">
        <f>LocaleTable[[#This Row],['#인덱스제너레이터]]</f>
        <v>UI_Tutorial_SubText_2</v>
      </c>
      <c r="C25" s="53" t="s">
        <v>811</v>
      </c>
      <c r="D25" s="53" t="s">
        <v>812</v>
      </c>
      <c r="E25" s="14" t="s">
        <v>553</v>
      </c>
      <c r="F25" s="56" t="s">
        <v>578</v>
      </c>
      <c r="G25" s="56" t="s">
        <v>787</v>
      </c>
      <c r="H25" s="14">
        <v>2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26" spans="2:9">
      <c r="B26" t="str">
        <f>LocaleTable[[#This Row],['#인덱스제너레이터]]</f>
        <v>UI_Tutorial_SubText_3</v>
      </c>
      <c r="C26" s="53" t="s">
        <v>788</v>
      </c>
      <c r="D26" s="53" t="s">
        <v>806</v>
      </c>
      <c r="E26" s="14" t="s">
        <v>553</v>
      </c>
      <c r="F26" s="56" t="s">
        <v>578</v>
      </c>
      <c r="G26" s="56" t="s">
        <v>787</v>
      </c>
      <c r="H26" s="14">
        <v>3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27" spans="2:9" ht="33">
      <c r="B27" t="str">
        <f>LocaleTable[[#This Row],['#인덱스제너레이터]]</f>
        <v>UI_Tutorial_SubText_4</v>
      </c>
      <c r="C27" s="53" t="s">
        <v>815</v>
      </c>
      <c r="D27" s="53" t="s">
        <v>814</v>
      </c>
      <c r="E27" s="14" t="s">
        <v>553</v>
      </c>
      <c r="F27" s="56" t="s">
        <v>578</v>
      </c>
      <c r="G27" s="56" t="s">
        <v>787</v>
      </c>
      <c r="H27" s="14">
        <v>4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28" spans="2:9" ht="33">
      <c r="B28" t="str">
        <f>LocaleTable[[#This Row],['#인덱스제너레이터]]</f>
        <v>UI_Tutorial_SubText_5</v>
      </c>
      <c r="C28" s="53" t="s">
        <v>816</v>
      </c>
      <c r="D28" s="53" t="s">
        <v>813</v>
      </c>
      <c r="E28" s="14" t="s">
        <v>553</v>
      </c>
      <c r="F28" s="56" t="s">
        <v>578</v>
      </c>
      <c r="G28" s="56" t="s">
        <v>787</v>
      </c>
      <c r="H28" s="14">
        <v>5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29" spans="2:9">
      <c r="B29" t="str">
        <f>LocaleTable[[#This Row],['#인덱스제너레이터]]</f>
        <v>UI_Tutorial_SubText_6</v>
      </c>
      <c r="C29" s="53" t="s">
        <v>789</v>
      </c>
      <c r="D29" s="53" t="s">
        <v>807</v>
      </c>
      <c r="E29" s="14" t="s">
        <v>553</v>
      </c>
      <c r="F29" s="56" t="s">
        <v>578</v>
      </c>
      <c r="G29" s="56" t="s">
        <v>787</v>
      </c>
      <c r="H29" s="14">
        <v>6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0" spans="2:9">
      <c r="B30" t="str">
        <f>LocaleTable[[#This Row],['#인덱스제너레이터]]</f>
        <v>UI_Tutorial_SubText_7</v>
      </c>
      <c r="C30" s="53" t="s">
        <v>809</v>
      </c>
      <c r="D30" s="53" t="s">
        <v>810</v>
      </c>
      <c r="E30" s="14" t="s">
        <v>553</v>
      </c>
      <c r="F30" s="56" t="s">
        <v>578</v>
      </c>
      <c r="G30" s="56" t="s">
        <v>787</v>
      </c>
      <c r="H30" s="14">
        <v>7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1" spans="2:9">
      <c r="B31" t="str">
        <f>LocaleTable[[#This Row],['#인덱스제너레이터]]</f>
        <v>UI_Tutorial_SubText_8</v>
      </c>
      <c r="C31" s="53" t="s">
        <v>790</v>
      </c>
      <c r="D31" s="53" t="s">
        <v>808</v>
      </c>
      <c r="E31" s="14" t="s">
        <v>553</v>
      </c>
      <c r="F31" s="56" t="s">
        <v>578</v>
      </c>
      <c r="G31" s="56" t="s">
        <v>787</v>
      </c>
      <c r="H31" s="14">
        <v>8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2" spans="2:9">
      <c r="B32" t="str">
        <f>LocaleTable[[#This Row],['#인덱스제너레이터]]</f>
        <v>UI_Setting_Title</v>
      </c>
      <c r="C32" s="53" t="s">
        <v>681</v>
      </c>
      <c r="D32" s="53" t="s">
        <v>676</v>
      </c>
      <c r="E32" s="14" t="s">
        <v>553</v>
      </c>
      <c r="F32" s="14" t="s">
        <v>676</v>
      </c>
      <c r="G32" s="56" t="s">
        <v>587</v>
      </c>
      <c r="H32" s="14"/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33" spans="2:9">
      <c r="B33" t="str">
        <f>LocaleTable[[#This Row],['#인덱스제너레이터]]</f>
        <v>UI_Setting_MasterVolume</v>
      </c>
      <c r="C33" s="53" t="s">
        <v>683</v>
      </c>
      <c r="D33" s="53" t="s">
        <v>682</v>
      </c>
      <c r="E33" s="14" t="s">
        <v>553</v>
      </c>
      <c r="F33" s="14" t="s">
        <v>676</v>
      </c>
      <c r="G33" s="56" t="s">
        <v>677</v>
      </c>
      <c r="H33" s="14"/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34" spans="2:9">
      <c r="B34" t="str">
        <f>LocaleTable[[#This Row],['#인덱스제너레이터]]</f>
        <v>UI_Setting_BGMVolume</v>
      </c>
      <c r="C34" s="53" t="s">
        <v>684</v>
      </c>
      <c r="D34" s="53" t="s">
        <v>687</v>
      </c>
      <c r="E34" s="14" t="s">
        <v>553</v>
      </c>
      <c r="F34" s="14" t="s">
        <v>676</v>
      </c>
      <c r="G34" s="56" t="s">
        <v>678</v>
      </c>
      <c r="H34" s="14"/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35" spans="2:9">
      <c r="B35" t="str">
        <f>LocaleTable[[#This Row],['#인덱스제너레이터]]</f>
        <v>UI_Setting_SFXVolume</v>
      </c>
      <c r="C35" s="53" t="s">
        <v>685</v>
      </c>
      <c r="D35" s="53" t="s">
        <v>686</v>
      </c>
      <c r="E35" s="14" t="s">
        <v>553</v>
      </c>
      <c r="F35" s="14" t="s">
        <v>676</v>
      </c>
      <c r="G35" s="56" t="s">
        <v>679</v>
      </c>
      <c r="H35" s="14"/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36" spans="2:9">
      <c r="B36" t="str">
        <f>LocaleTable[[#This Row],['#인덱스제너레이터]]</f>
        <v>UI_Setting_Language</v>
      </c>
      <c r="C36" s="53" t="s">
        <v>688</v>
      </c>
      <c r="D36" s="53" t="s">
        <v>680</v>
      </c>
      <c r="E36" s="14" t="s">
        <v>553</v>
      </c>
      <c r="F36" s="14" t="s">
        <v>676</v>
      </c>
      <c r="G36" s="56" t="s">
        <v>680</v>
      </c>
      <c r="H36" s="14"/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37" spans="2:9">
      <c r="B37" t="str">
        <f>LocaleTable[[#This Row],['#인덱스제너레이터]]</f>
        <v>UI_Setting_GoToTitle</v>
      </c>
      <c r="C37" s="53" t="s">
        <v>690</v>
      </c>
      <c r="D37" s="53" t="s">
        <v>691</v>
      </c>
      <c r="E37" s="14" t="s">
        <v>553</v>
      </c>
      <c r="F37" s="14" t="s">
        <v>676</v>
      </c>
      <c r="G37" s="56" t="s">
        <v>689</v>
      </c>
      <c r="H37" s="14"/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38" spans="2:9">
      <c r="B38" t="str">
        <f>LocaleTable[[#This Row],['#인덱스제너레이터]]</f>
        <v>UI_Setting_Tutorial</v>
      </c>
      <c r="C38" s="53" t="s">
        <v>692</v>
      </c>
      <c r="D38" s="53" t="s">
        <v>578</v>
      </c>
      <c r="E38" s="14" t="s">
        <v>553</v>
      </c>
      <c r="F38" s="14" t="s">
        <v>676</v>
      </c>
      <c r="G38" s="56" t="s">
        <v>578</v>
      </c>
      <c r="H38" s="14"/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39" spans="2:9">
      <c r="B39" t="str">
        <f>LocaleTable[[#This Row],['#인덱스제너레이터]]</f>
        <v>UI_Tap_Subtitle_Items</v>
      </c>
      <c r="C39" s="53" t="s">
        <v>588</v>
      </c>
      <c r="D39" s="53" t="s">
        <v>703</v>
      </c>
      <c r="E39" s="14" t="s">
        <v>553</v>
      </c>
      <c r="F39" s="14" t="s">
        <v>585</v>
      </c>
      <c r="G39" s="14" t="s">
        <v>586</v>
      </c>
      <c r="H39" s="14" t="s">
        <v>703</v>
      </c>
      <c r="I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0" spans="2:9">
      <c r="B40" t="str">
        <f>LocaleTable[[#This Row],['#인덱스제너레이터]]</f>
        <v>UI_Tap_Subtitle_Map</v>
      </c>
      <c r="C40" s="53" t="s">
        <v>568</v>
      </c>
      <c r="D40" s="53" t="s">
        <v>554</v>
      </c>
      <c r="E40" s="14" t="s">
        <v>553</v>
      </c>
      <c r="F40" s="14" t="s">
        <v>585</v>
      </c>
      <c r="G40" s="14" t="s">
        <v>586</v>
      </c>
      <c r="H40" s="14" t="s">
        <v>555</v>
      </c>
      <c r="I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1" spans="2:9">
      <c r="B41" t="str">
        <f>LocaleTable[[#This Row],['#인덱스제너레이터]]</f>
        <v>UI_Tap_Stat_AtkDmg</v>
      </c>
      <c r="C41" s="53" t="s">
        <v>569</v>
      </c>
      <c r="D41" s="53" t="s">
        <v>557</v>
      </c>
      <c r="E41" s="19" t="s">
        <v>553</v>
      </c>
      <c r="F41" s="14" t="s">
        <v>585</v>
      </c>
      <c r="G41" s="19" t="s">
        <v>556</v>
      </c>
      <c r="H41" s="14" t="s">
        <v>558</v>
      </c>
      <c r="I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42" spans="2:9">
      <c r="B42" t="str">
        <f>LocaleTable[[#This Row],['#인덱스제너레이터]]</f>
        <v>UI_Tap_Stat_AtkSpd</v>
      </c>
      <c r="C42" s="53" t="s">
        <v>570</v>
      </c>
      <c r="D42" s="53" t="s">
        <v>564</v>
      </c>
      <c r="E42" s="19" t="s">
        <v>553</v>
      </c>
      <c r="F42" s="14" t="s">
        <v>585</v>
      </c>
      <c r="G42" s="19" t="s">
        <v>556</v>
      </c>
      <c r="H42" s="14" t="s">
        <v>565</v>
      </c>
      <c r="I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43" spans="2:9">
      <c r="B43" t="str">
        <f>LocaleTable[[#This Row],['#인덱스제너레이터]]</f>
        <v>UI_Tap_Stat_AtkLength</v>
      </c>
      <c r="C43" s="53" t="s">
        <v>571</v>
      </c>
      <c r="D43" s="53" t="s">
        <v>561</v>
      </c>
      <c r="E43" s="14" t="s">
        <v>553</v>
      </c>
      <c r="F43" s="14" t="s">
        <v>585</v>
      </c>
      <c r="G43" s="14" t="s">
        <v>556</v>
      </c>
      <c r="H43" s="14" t="s">
        <v>562</v>
      </c>
      <c r="I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44" spans="2:9">
      <c r="B44" t="str">
        <f>LocaleTable[[#This Row],['#인덱스제너레이터]]</f>
        <v>UI_Tap_Stat_ChargeSpd</v>
      </c>
      <c r="C44" s="53" t="s">
        <v>573</v>
      </c>
      <c r="D44" s="53" t="s">
        <v>559</v>
      </c>
      <c r="E44" s="14" t="s">
        <v>553</v>
      </c>
      <c r="F44" s="14" t="s">
        <v>585</v>
      </c>
      <c r="G44" s="14" t="s">
        <v>556</v>
      </c>
      <c r="H44" s="14" t="s">
        <v>560</v>
      </c>
      <c r="I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45" spans="2:9">
      <c r="B45" t="str">
        <f>LocaleTable[[#This Row],['#인덱스제너레이터]]</f>
        <v>UI_Tap_Stat_MoveSpd</v>
      </c>
      <c r="C45" s="53" t="s">
        <v>572</v>
      </c>
      <c r="D45" s="53" t="s">
        <v>566</v>
      </c>
      <c r="E45" s="14" t="s">
        <v>553</v>
      </c>
      <c r="F45" s="14" t="s">
        <v>585</v>
      </c>
      <c r="G45" s="14" t="s">
        <v>556</v>
      </c>
      <c r="H45" s="14" t="s">
        <v>567</v>
      </c>
      <c r="I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46" spans="2:9">
      <c r="B46" t="str">
        <f>LocaleTable[[#This Row],['#인덱스제너레이터]]</f>
        <v>UI_Tap_Stat_GoldGain</v>
      </c>
      <c r="C46" s="53" t="s">
        <v>574</v>
      </c>
      <c r="D46" s="53" t="s">
        <v>167</v>
      </c>
      <c r="E46" s="14" t="s">
        <v>553</v>
      </c>
      <c r="F46" s="14" t="s">
        <v>585</v>
      </c>
      <c r="G46" s="14" t="s">
        <v>556</v>
      </c>
      <c r="H46" s="14" t="s">
        <v>563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47" spans="2:9">
      <c r="B47" t="str">
        <f>LocaleTable[[#This Row],['#인덱스제너레이터]]</f>
        <v>UI_GameOver_Title</v>
      </c>
      <c r="C47" s="53" t="s">
        <v>702</v>
      </c>
      <c r="D47" s="53" t="s">
        <v>587</v>
      </c>
      <c r="E47" s="14" t="s">
        <v>553</v>
      </c>
      <c r="F47" s="14" t="s">
        <v>699</v>
      </c>
      <c r="G47" s="14" t="s">
        <v>587</v>
      </c>
      <c r="H47" s="14"/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48" spans="2:9">
      <c r="B48" t="str">
        <f>LocaleTable[[#This Row],['#인덱스제너레이터]]</f>
        <v>UI_GameOver_Restart</v>
      </c>
      <c r="C48" s="53" t="s">
        <v>701</v>
      </c>
      <c r="D48" s="53" t="s">
        <v>700</v>
      </c>
      <c r="E48" s="14" t="s">
        <v>553</v>
      </c>
      <c r="F48" s="14" t="s">
        <v>699</v>
      </c>
      <c r="G48" s="14" t="s">
        <v>700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49" spans="2:9">
      <c r="B49" t="str">
        <f>LocaleTable[[#This Row],['#인덱스제너레이터]]</f>
        <v>UI_Loading_Tip_1</v>
      </c>
      <c r="C49" s="53" t="s">
        <v>748</v>
      </c>
      <c r="D49" s="53" t="s">
        <v>760</v>
      </c>
      <c r="E49" s="14" t="s">
        <v>553</v>
      </c>
      <c r="F49" s="14" t="s">
        <v>746</v>
      </c>
      <c r="G49" s="14" t="s">
        <v>747</v>
      </c>
      <c r="H49" s="14">
        <v>1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50" spans="2:9">
      <c r="B50" t="str">
        <f>LocaleTable[[#This Row],['#인덱스제너레이터]]</f>
        <v>UI_Loading_Tip_2</v>
      </c>
      <c r="C50" s="53" t="s">
        <v>749</v>
      </c>
      <c r="D50" s="53" t="s">
        <v>761</v>
      </c>
      <c r="E50" s="14" t="s">
        <v>553</v>
      </c>
      <c r="F50" s="14" t="s">
        <v>746</v>
      </c>
      <c r="G50" s="14" t="s">
        <v>747</v>
      </c>
      <c r="H50" s="14">
        <v>2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51" spans="2:9" ht="33">
      <c r="B51" t="str">
        <f>LocaleTable[[#This Row],['#인덱스제너레이터]]</f>
        <v>UI_Loading_Tip_3</v>
      </c>
      <c r="C51" s="53" t="s">
        <v>750</v>
      </c>
      <c r="D51" s="53" t="s">
        <v>762</v>
      </c>
      <c r="E51" s="14" t="s">
        <v>553</v>
      </c>
      <c r="F51" s="14" t="s">
        <v>746</v>
      </c>
      <c r="G51" s="14" t="s">
        <v>747</v>
      </c>
      <c r="H51" s="14">
        <v>3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52" spans="2:9">
      <c r="B52" t="str">
        <f>LocaleTable[[#This Row],['#인덱스제너레이터]]</f>
        <v>UI_Loading_Tip_4</v>
      </c>
      <c r="C52" s="53" t="s">
        <v>751</v>
      </c>
      <c r="D52" s="53" t="s">
        <v>763</v>
      </c>
      <c r="E52" s="14" t="s">
        <v>553</v>
      </c>
      <c r="F52" s="14" t="s">
        <v>746</v>
      </c>
      <c r="G52" s="14" t="s">
        <v>747</v>
      </c>
      <c r="H52" s="14">
        <v>4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53" spans="2:9" ht="33">
      <c r="B53" t="str">
        <f>LocaleTable[[#This Row],['#인덱스제너레이터]]</f>
        <v>UI_Loading_Tip_5</v>
      </c>
      <c r="C53" s="53" t="s">
        <v>752</v>
      </c>
      <c r="D53" s="53" t="s">
        <v>764</v>
      </c>
      <c r="E53" s="14" t="s">
        <v>553</v>
      </c>
      <c r="F53" s="14" t="s">
        <v>746</v>
      </c>
      <c r="G53" s="14" t="s">
        <v>747</v>
      </c>
      <c r="H53" s="14">
        <v>5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54" spans="2:9">
      <c r="B54" t="str">
        <f>LocaleTable[[#This Row],['#인덱스제너레이터]]</f>
        <v>UI_Loading_Tip_6</v>
      </c>
      <c r="C54" s="53" t="s">
        <v>753</v>
      </c>
      <c r="D54" s="53" t="s">
        <v>765</v>
      </c>
      <c r="E54" s="14" t="s">
        <v>553</v>
      </c>
      <c r="F54" s="14" t="s">
        <v>746</v>
      </c>
      <c r="G54" s="14" t="s">
        <v>747</v>
      </c>
      <c r="H54" s="14">
        <v>6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55" spans="2:9" ht="33">
      <c r="B55" t="str">
        <f>LocaleTable[[#This Row],['#인덱스제너레이터]]</f>
        <v>UI_Loading_Tip_7</v>
      </c>
      <c r="C55" s="53" t="s">
        <v>754</v>
      </c>
      <c r="D55" s="53" t="s">
        <v>766</v>
      </c>
      <c r="E55" s="14" t="s">
        <v>553</v>
      </c>
      <c r="F55" s="14" t="s">
        <v>746</v>
      </c>
      <c r="G55" s="14" t="s">
        <v>747</v>
      </c>
      <c r="H55" s="14">
        <v>7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56" spans="2:9">
      <c r="B56" t="str">
        <f>LocaleTable[[#This Row],['#인덱스제너레이터]]</f>
        <v>UI_Loading_Tip_8</v>
      </c>
      <c r="C56" s="53" t="s">
        <v>755</v>
      </c>
      <c r="D56" s="53" t="s">
        <v>767</v>
      </c>
      <c r="E56" s="14" t="s">
        <v>553</v>
      </c>
      <c r="F56" s="14" t="s">
        <v>746</v>
      </c>
      <c r="G56" s="14" t="s">
        <v>747</v>
      </c>
      <c r="H56" s="14">
        <v>8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57" spans="2:9">
      <c r="B57" t="str">
        <f>LocaleTable[[#This Row],['#인덱스제너레이터]]</f>
        <v>UI_Loading_Tip_9</v>
      </c>
      <c r="C57" s="53" t="s">
        <v>756</v>
      </c>
      <c r="D57" s="53" t="s">
        <v>768</v>
      </c>
      <c r="E57" s="14" t="s">
        <v>553</v>
      </c>
      <c r="F57" s="14" t="s">
        <v>746</v>
      </c>
      <c r="G57" s="14" t="s">
        <v>747</v>
      </c>
      <c r="H57" s="14">
        <v>9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58" spans="2:9">
      <c r="B58" t="str">
        <f>LocaleTable[[#This Row],['#인덱스제너레이터]]</f>
        <v>UI_Loading_Tip_10</v>
      </c>
      <c r="C58" s="53" t="s">
        <v>757</v>
      </c>
      <c r="D58" s="53" t="s">
        <v>769</v>
      </c>
      <c r="E58" s="14" t="s">
        <v>553</v>
      </c>
      <c r="F58" s="14" t="s">
        <v>746</v>
      </c>
      <c r="G58" s="14" t="s">
        <v>747</v>
      </c>
      <c r="H58" s="14">
        <v>10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59" spans="2:9">
      <c r="B59" t="str">
        <f>LocaleTable[[#This Row],['#인덱스제너레이터]]</f>
        <v>UI_Loading_Tip_11</v>
      </c>
      <c r="C59" s="53" t="s">
        <v>758</v>
      </c>
      <c r="D59" s="53" t="s">
        <v>770</v>
      </c>
      <c r="E59" s="14" t="s">
        <v>553</v>
      </c>
      <c r="F59" s="14" t="s">
        <v>746</v>
      </c>
      <c r="G59" s="14" t="s">
        <v>747</v>
      </c>
      <c r="H59" s="14">
        <v>11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60" spans="2:9">
      <c r="B60" t="str">
        <f>LocaleTable[[#This Row],['#인덱스제너레이터]]</f>
        <v>UI_Loading_Tip_12</v>
      </c>
      <c r="C60" s="53" t="s">
        <v>759</v>
      </c>
      <c r="D60" s="53" t="s">
        <v>771</v>
      </c>
      <c r="E60" s="14" t="s">
        <v>553</v>
      </c>
      <c r="F60" s="14" t="s">
        <v>746</v>
      </c>
      <c r="G60" s="14" t="s">
        <v>747</v>
      </c>
      <c r="H60" s="14">
        <v>12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61" spans="2:9">
      <c r="B61" t="str">
        <f>LocaleTable[[#This Row],['#인덱스제너레이터]]</f>
        <v>UI_Boss_Dulahan_Title</v>
      </c>
      <c r="C61" s="53" t="s">
        <v>695</v>
      </c>
      <c r="D61" s="53" t="s">
        <v>698</v>
      </c>
      <c r="E61" s="14" t="s">
        <v>553</v>
      </c>
      <c r="F61" s="14" t="s">
        <v>693</v>
      </c>
      <c r="G61" s="14" t="s">
        <v>694</v>
      </c>
      <c r="H61" s="14" t="s">
        <v>587</v>
      </c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62" spans="2:9">
      <c r="B62" t="str">
        <f>LocaleTable[[#This Row],['#인덱스제너레이터]]</f>
        <v>UI_Boss_Dulahan_Name</v>
      </c>
      <c r="C62" s="53" t="s">
        <v>696</v>
      </c>
      <c r="D62" s="53" t="s">
        <v>697</v>
      </c>
      <c r="E62" s="14" t="s">
        <v>553</v>
      </c>
      <c r="F62" s="14" t="s">
        <v>693</v>
      </c>
      <c r="G62" s="14" t="s">
        <v>694</v>
      </c>
      <c r="H62" s="14" t="s">
        <v>338</v>
      </c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63" spans="2:9">
      <c r="B63" t="str">
        <f>LocaleTable[[#This Row],['#인덱스제너레이터]]</f>
        <v>Item_Name_2000</v>
      </c>
      <c r="C63" s="53" t="s">
        <v>219</v>
      </c>
      <c r="D63" s="53" t="s">
        <v>517</v>
      </c>
      <c r="E63" s="14" t="s">
        <v>547</v>
      </c>
      <c r="F63" s="14" t="s">
        <v>338</v>
      </c>
      <c r="G63" s="19">
        <v>2000</v>
      </c>
      <c r="H63" s="19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64" spans="2:9">
      <c r="B64" t="str">
        <f>LocaleTable[[#This Row],['#인덱스제너레이터]]</f>
        <v>Item_Name_2001</v>
      </c>
      <c r="C64" s="53" t="s">
        <v>100</v>
      </c>
      <c r="D64" s="53" t="s">
        <v>590</v>
      </c>
      <c r="E64" s="14" t="s">
        <v>547</v>
      </c>
      <c r="F64" s="14" t="s">
        <v>338</v>
      </c>
      <c r="G64" s="19">
        <v>2001</v>
      </c>
      <c r="H64" s="19"/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65" spans="2:9">
      <c r="B65" t="str">
        <f>LocaleTable[[#This Row],['#인덱스제너레이터]]</f>
        <v>Item_Name_2002</v>
      </c>
      <c r="C65" s="53" t="s">
        <v>103</v>
      </c>
      <c r="D65" s="53" t="s">
        <v>519</v>
      </c>
      <c r="E65" s="14" t="s">
        <v>547</v>
      </c>
      <c r="F65" s="14" t="s">
        <v>338</v>
      </c>
      <c r="G65" s="19">
        <v>2002</v>
      </c>
      <c r="H65" s="19"/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66" spans="2:9">
      <c r="B66" t="str">
        <f>LocaleTable[[#This Row],['#인덱스제너레이터]]</f>
        <v>Item_Name_2003</v>
      </c>
      <c r="C66" s="53" t="s">
        <v>102</v>
      </c>
      <c r="D66" s="53" t="s">
        <v>591</v>
      </c>
      <c r="E66" s="14" t="s">
        <v>547</v>
      </c>
      <c r="F66" s="14" t="s">
        <v>338</v>
      </c>
      <c r="G66" s="19">
        <v>2003</v>
      </c>
      <c r="H66" s="19"/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67" spans="2:9">
      <c r="B67" t="str">
        <f>LocaleTable[[#This Row],['#인덱스제너레이터]]</f>
        <v>Item_Name_2004</v>
      </c>
      <c r="C67" s="53" t="s">
        <v>98</v>
      </c>
      <c r="D67" s="53" t="s">
        <v>532</v>
      </c>
      <c r="E67" s="14" t="s">
        <v>547</v>
      </c>
      <c r="F67" s="14" t="s">
        <v>338</v>
      </c>
      <c r="G67" s="19">
        <v>2004</v>
      </c>
      <c r="H67" s="19"/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68" spans="2:9">
      <c r="B68" t="str">
        <f>LocaleTable[[#This Row],['#인덱스제너레이터]]</f>
        <v>Item_Name_2005</v>
      </c>
      <c r="C68" s="53" t="s">
        <v>104</v>
      </c>
      <c r="D68" s="53" t="s">
        <v>602</v>
      </c>
      <c r="E68" s="14" t="s">
        <v>547</v>
      </c>
      <c r="F68" s="14" t="s">
        <v>338</v>
      </c>
      <c r="G68" s="19">
        <v>2005</v>
      </c>
      <c r="H68" s="19"/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69" spans="2:9">
      <c r="B69" t="str">
        <f>LocaleTable[[#This Row],['#인덱스제너레이터]]</f>
        <v>Item_Name_3000</v>
      </c>
      <c r="C69" s="53" t="s">
        <v>36</v>
      </c>
      <c r="D69" s="53" t="s">
        <v>521</v>
      </c>
      <c r="E69" s="14" t="s">
        <v>547</v>
      </c>
      <c r="F69" s="14" t="s">
        <v>338</v>
      </c>
      <c r="G69" s="19">
        <v>3000</v>
      </c>
      <c r="H69" s="19"/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70" spans="2:9">
      <c r="B70" t="str">
        <f>LocaleTable[[#This Row],['#인덱스제너레이터]]</f>
        <v>Item_Name_3001</v>
      </c>
      <c r="C70" s="53" t="s">
        <v>241</v>
      </c>
      <c r="D70" s="53" t="s">
        <v>535</v>
      </c>
      <c r="E70" s="14" t="s">
        <v>547</v>
      </c>
      <c r="F70" s="14" t="s">
        <v>338</v>
      </c>
      <c r="G70" s="19">
        <v>3001</v>
      </c>
      <c r="H70" s="19"/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71" spans="2:9">
      <c r="B71" t="str">
        <f>LocaleTable[[#This Row],['#인덱스제너레이터]]</f>
        <v>Item_Name_3002</v>
      </c>
      <c r="C71" s="53" t="s">
        <v>38</v>
      </c>
      <c r="D71" s="53" t="s">
        <v>537</v>
      </c>
      <c r="E71" s="14" t="s">
        <v>547</v>
      </c>
      <c r="F71" s="14" t="s">
        <v>338</v>
      </c>
      <c r="G71" s="19">
        <v>3002</v>
      </c>
      <c r="H71" s="19"/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72" spans="2:9">
      <c r="B72" t="str">
        <f>LocaleTable[[#This Row],['#인덱스제너레이터]]</f>
        <v>Item_Name_3003</v>
      </c>
      <c r="C72" s="53" t="s">
        <v>216</v>
      </c>
      <c r="D72" s="53" t="s">
        <v>592</v>
      </c>
      <c r="E72" s="14" t="s">
        <v>547</v>
      </c>
      <c r="F72" s="14" t="s">
        <v>338</v>
      </c>
      <c r="G72" s="19">
        <v>3003</v>
      </c>
      <c r="H72" s="19"/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73" spans="2:9">
      <c r="B73" t="str">
        <f>LocaleTable[[#This Row],['#인덱스제너레이터]]</f>
        <v>Item_Name_3004</v>
      </c>
      <c r="C73" s="53" t="s">
        <v>227</v>
      </c>
      <c r="D73" s="53" t="s">
        <v>593</v>
      </c>
      <c r="E73" s="14" t="s">
        <v>547</v>
      </c>
      <c r="F73" s="14" t="s">
        <v>338</v>
      </c>
      <c r="G73" s="19">
        <v>3004</v>
      </c>
      <c r="H73" s="19"/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74" spans="2:9">
      <c r="B74" t="str">
        <f>LocaleTable[[#This Row],['#인덱스제너레이터]]</f>
        <v>Item_Name_3005</v>
      </c>
      <c r="C74" s="53" t="s">
        <v>106</v>
      </c>
      <c r="D74" s="53" t="s">
        <v>594</v>
      </c>
      <c r="E74" s="14" t="s">
        <v>547</v>
      </c>
      <c r="F74" s="14" t="s">
        <v>338</v>
      </c>
      <c r="G74" s="19">
        <v>3005</v>
      </c>
      <c r="H74" s="19"/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75" spans="2:9">
      <c r="B75" t="str">
        <f>LocaleTable[[#This Row],['#인덱스제너레이터]]</f>
        <v>Item_Name_3006</v>
      </c>
      <c r="C75" s="54" t="s">
        <v>375</v>
      </c>
      <c r="D75" s="53" t="s">
        <v>595</v>
      </c>
      <c r="E75" s="14" t="s">
        <v>547</v>
      </c>
      <c r="F75" s="14" t="s">
        <v>338</v>
      </c>
      <c r="G75" s="19">
        <v>3006</v>
      </c>
      <c r="H75" s="19"/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76" spans="2:9">
      <c r="B76" t="str">
        <f>LocaleTable[[#This Row],['#인덱스제너레이터]]</f>
        <v>Item_Name_4000</v>
      </c>
      <c r="C76" s="53" t="s">
        <v>101</v>
      </c>
      <c r="D76" s="53" t="s">
        <v>596</v>
      </c>
      <c r="E76" s="14" t="s">
        <v>547</v>
      </c>
      <c r="F76" s="14" t="s">
        <v>338</v>
      </c>
      <c r="G76" s="19">
        <v>4000</v>
      </c>
      <c r="H76" s="19"/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77" spans="2:9">
      <c r="B77" t="str">
        <f>LocaleTable[[#This Row],['#인덱스제너레이터]]</f>
        <v>Item_Name_4001</v>
      </c>
      <c r="C77" s="53" t="s">
        <v>97</v>
      </c>
      <c r="D77" s="53" t="s">
        <v>524</v>
      </c>
      <c r="E77" s="14" t="s">
        <v>547</v>
      </c>
      <c r="F77" s="14" t="s">
        <v>338</v>
      </c>
      <c r="G77" s="19">
        <v>4001</v>
      </c>
      <c r="H77" s="19"/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78" spans="2:9">
      <c r="B78" t="str">
        <f>LocaleTable[[#This Row],['#인덱스제너레이터]]</f>
        <v>Item_Name_4002</v>
      </c>
      <c r="C78" s="53" t="s">
        <v>225</v>
      </c>
      <c r="D78" s="53" t="s">
        <v>617</v>
      </c>
      <c r="E78" s="14" t="s">
        <v>547</v>
      </c>
      <c r="F78" s="14" t="s">
        <v>338</v>
      </c>
      <c r="G78" s="19">
        <v>4002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79" spans="2:9">
      <c r="B79" t="str">
        <f>LocaleTable[[#This Row],['#인덱스제너레이터]]</f>
        <v>Item_Name_4003</v>
      </c>
      <c r="C79" s="53" t="s">
        <v>217</v>
      </c>
      <c r="D79" s="53" t="s">
        <v>603</v>
      </c>
      <c r="E79" s="14" t="s">
        <v>547</v>
      </c>
      <c r="F79" s="14" t="s">
        <v>338</v>
      </c>
      <c r="G79" s="19">
        <v>4003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80" spans="2:9">
      <c r="B80" t="str">
        <f>LocaleTable[[#This Row],['#인덱스제너레이터]]</f>
        <v>Item_Name_4004</v>
      </c>
      <c r="C80" s="53" t="s">
        <v>380</v>
      </c>
      <c r="D80" s="53" t="s">
        <v>597</v>
      </c>
      <c r="E80" s="14" t="s">
        <v>547</v>
      </c>
      <c r="F80" s="14" t="s">
        <v>338</v>
      </c>
      <c r="G80" s="19">
        <v>4004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81" spans="2:9">
      <c r="B81" t="str">
        <f>LocaleTable[[#This Row],['#인덱스제너레이터]]</f>
        <v>Item_Name_4005</v>
      </c>
      <c r="C81" s="53" t="s">
        <v>459</v>
      </c>
      <c r="D81" s="53" t="s">
        <v>598</v>
      </c>
      <c r="E81" s="14" t="s">
        <v>547</v>
      </c>
      <c r="F81" s="14" t="s">
        <v>338</v>
      </c>
      <c r="G81" s="19">
        <v>4005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82" spans="2:9">
      <c r="B82" t="str">
        <f>LocaleTable[[#This Row],['#인덱스제너레이터]]</f>
        <v>Item_Name_4006</v>
      </c>
      <c r="C82" s="53" t="s">
        <v>464</v>
      </c>
      <c r="D82" s="53" t="s">
        <v>621</v>
      </c>
      <c r="E82" s="14" t="s">
        <v>547</v>
      </c>
      <c r="F82" s="14" t="s">
        <v>338</v>
      </c>
      <c r="G82" s="19">
        <v>4006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83" spans="2:9">
      <c r="B83" t="str">
        <f>LocaleTable[[#This Row],['#인덱스제너레이터]]</f>
        <v>Item_Name_10000</v>
      </c>
      <c r="C83" s="53" t="s">
        <v>371</v>
      </c>
      <c r="D83" s="53" t="s">
        <v>599</v>
      </c>
      <c r="E83" s="14" t="s">
        <v>547</v>
      </c>
      <c r="F83" s="14" t="s">
        <v>338</v>
      </c>
      <c r="G83" s="19">
        <v>10000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84" spans="2:9">
      <c r="B84" t="str">
        <f>LocaleTable[[#This Row],['#인덱스제너레이터]]</f>
        <v>Item_Name_10001</v>
      </c>
      <c r="C84" s="54" t="s">
        <v>385</v>
      </c>
      <c r="D84" s="53" t="s">
        <v>600</v>
      </c>
      <c r="E84" s="14" t="s">
        <v>547</v>
      </c>
      <c r="F84" s="14" t="s">
        <v>338</v>
      </c>
      <c r="G84" s="19">
        <v>10001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85" spans="2:9">
      <c r="B85" t="str">
        <f>LocaleTable[[#This Row],['#인덱스제너레이터]]</f>
        <v>Item_Name_10002</v>
      </c>
      <c r="C85" s="54" t="s">
        <v>514</v>
      </c>
      <c r="D85" s="53" t="s">
        <v>527</v>
      </c>
      <c r="E85" s="14" t="s">
        <v>547</v>
      </c>
      <c r="F85" s="14" t="s">
        <v>338</v>
      </c>
      <c r="G85" s="19">
        <v>10002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86" spans="2:9">
      <c r="B86" t="str">
        <f>LocaleTable[[#This Row],['#인덱스제너레이터]]</f>
        <v>Item_Name_10003</v>
      </c>
      <c r="C86" s="54" t="s">
        <v>373</v>
      </c>
      <c r="D86" s="53" t="s">
        <v>601</v>
      </c>
      <c r="E86" s="14" t="s">
        <v>547</v>
      </c>
      <c r="F86" s="14" t="s">
        <v>338</v>
      </c>
      <c r="G86" s="19">
        <v>10003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87" spans="2:9">
      <c r="B87" t="str">
        <f>LocaleTable[[#This Row],['#인덱스제너레이터]]</f>
        <v>Item_Name_10004</v>
      </c>
      <c r="C87" s="53" t="s">
        <v>468</v>
      </c>
      <c r="D87" s="53" t="s">
        <v>529</v>
      </c>
      <c r="E87" s="14" t="s">
        <v>547</v>
      </c>
      <c r="F87" s="14" t="s">
        <v>338</v>
      </c>
      <c r="G87" s="19">
        <v>10004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88" spans="2:9">
      <c r="B88" t="str">
        <f>LocaleTable[[#This Row],['#인덱스제너레이터]]</f>
        <v>Item_Name_10005</v>
      </c>
      <c r="C88" s="53" t="s">
        <v>478</v>
      </c>
      <c r="D88" s="53" t="s">
        <v>545</v>
      </c>
      <c r="E88" s="14" t="s">
        <v>547</v>
      </c>
      <c r="F88" s="14" t="s">
        <v>338</v>
      </c>
      <c r="G88" s="19">
        <v>10005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89" spans="2:9">
      <c r="B89" t="str">
        <f>LocaleTable[[#This Row],['#인덱스제너레이터]]</f>
        <v>Item_Desc_2000</v>
      </c>
      <c r="C89" s="53" t="s">
        <v>416</v>
      </c>
      <c r="D89" s="53" t="s">
        <v>609</v>
      </c>
      <c r="E89" s="14" t="s">
        <v>547</v>
      </c>
      <c r="F89" s="14" t="s">
        <v>552</v>
      </c>
      <c r="G89" s="19">
        <v>2000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90" spans="2:9">
      <c r="B90" t="str">
        <f>LocaleTable[[#This Row],['#인덱스제너레이터]]</f>
        <v>Item_Desc_2001</v>
      </c>
      <c r="C90" s="54" t="s">
        <v>248</v>
      </c>
      <c r="D90" s="53" t="s">
        <v>625</v>
      </c>
      <c r="E90" s="14" t="s">
        <v>547</v>
      </c>
      <c r="F90" s="14" t="s">
        <v>552</v>
      </c>
      <c r="G90" s="19">
        <v>2001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91" spans="2:9">
      <c r="B91" t="str">
        <f>LocaleTable[[#This Row],['#인덱스제너레이터]]</f>
        <v>Item_Desc_2002</v>
      </c>
      <c r="C91" s="54" t="s">
        <v>239</v>
      </c>
      <c r="D91" s="53" t="s">
        <v>610</v>
      </c>
      <c r="E91" s="14" t="s">
        <v>547</v>
      </c>
      <c r="F91" s="14" t="s">
        <v>552</v>
      </c>
      <c r="G91" s="19">
        <v>2002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92" spans="2:9" ht="33">
      <c r="B92" t="str">
        <f>LocaleTable[[#This Row],['#인덱스제너레이터]]</f>
        <v>Item_Desc_2003</v>
      </c>
      <c r="C92" s="53" t="s">
        <v>240</v>
      </c>
      <c r="D92" s="53" t="s">
        <v>817</v>
      </c>
      <c r="E92" s="14" t="s">
        <v>547</v>
      </c>
      <c r="F92" s="14" t="s">
        <v>552</v>
      </c>
      <c r="G92" s="19">
        <v>2003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93" spans="2:9" ht="33">
      <c r="B93" t="str">
        <f>LocaleTable[[#This Row],['#인덱스제너레이터]]</f>
        <v>Item_Desc_2004</v>
      </c>
      <c r="C93" s="55" t="s">
        <v>387</v>
      </c>
      <c r="D93" s="53" t="s">
        <v>611</v>
      </c>
      <c r="E93" s="14" t="s">
        <v>547</v>
      </c>
      <c r="F93" s="14" t="s">
        <v>552</v>
      </c>
      <c r="G93" s="19">
        <v>2004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94" spans="2:9" ht="33">
      <c r="B94" t="str">
        <f>LocaleTable[[#This Row],['#인덱스제너레이터]]</f>
        <v>Item_Desc_2005</v>
      </c>
      <c r="C94" s="53" t="s">
        <v>247</v>
      </c>
      <c r="D94" s="53" t="s">
        <v>818</v>
      </c>
      <c r="E94" s="14" t="s">
        <v>547</v>
      </c>
      <c r="F94" s="14" t="s">
        <v>552</v>
      </c>
      <c r="G94" s="19">
        <v>2005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95" spans="2:9">
      <c r="B95" t="str">
        <f>LocaleTable[[#This Row],['#인덱스제너레이터]]</f>
        <v>Item_Desc_3000</v>
      </c>
      <c r="C95" s="55" t="s">
        <v>612</v>
      </c>
      <c r="D95" s="53" t="s">
        <v>819</v>
      </c>
      <c r="E95" s="14" t="s">
        <v>547</v>
      </c>
      <c r="F95" s="14" t="s">
        <v>552</v>
      </c>
      <c r="G95" s="19">
        <v>3000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96" spans="2:9" ht="33">
      <c r="B96" t="str">
        <f>LocaleTable[[#This Row],['#인덱스제너레이터]]</f>
        <v>Item_Desc_3001</v>
      </c>
      <c r="C96" s="54" t="s">
        <v>250</v>
      </c>
      <c r="D96" s="53" t="s">
        <v>820</v>
      </c>
      <c r="E96" s="14" t="s">
        <v>547</v>
      </c>
      <c r="F96" s="14" t="s">
        <v>552</v>
      </c>
      <c r="G96" s="19">
        <v>3001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97" spans="2:9" ht="33">
      <c r="B97" t="str">
        <f>LocaleTable[[#This Row],['#인덱스제너레이터]]</f>
        <v>Item_Desc_3002</v>
      </c>
      <c r="C97" s="54" t="s">
        <v>388</v>
      </c>
      <c r="D97" s="53" t="s">
        <v>821</v>
      </c>
      <c r="E97" s="14" t="s">
        <v>547</v>
      </c>
      <c r="F97" s="14" t="s">
        <v>552</v>
      </c>
      <c r="G97" s="19">
        <v>3002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98" spans="2:9" ht="33">
      <c r="B98" t="str">
        <f>LocaleTable[[#This Row],['#인덱스제너레이터]]</f>
        <v>Item_Desc_3003</v>
      </c>
      <c r="C98" s="54" t="s">
        <v>242</v>
      </c>
      <c r="D98" s="53" t="s">
        <v>822</v>
      </c>
      <c r="E98" s="14" t="s">
        <v>547</v>
      </c>
      <c r="F98" s="14" t="s">
        <v>552</v>
      </c>
      <c r="G98" s="19">
        <v>3003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99" spans="2:9">
      <c r="B99" t="str">
        <f>LocaleTable[[#This Row],['#인덱스제너레이터]]</f>
        <v>Item_Desc_3004</v>
      </c>
      <c r="C99" s="54" t="s">
        <v>244</v>
      </c>
      <c r="D99" s="53" t="s">
        <v>828</v>
      </c>
      <c r="E99" s="14" t="s">
        <v>547</v>
      </c>
      <c r="F99" s="14" t="s">
        <v>552</v>
      </c>
      <c r="G99" s="19">
        <v>3004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00" spans="2:9">
      <c r="B100" t="str">
        <f>LocaleTable[[#This Row],['#인덱스제너레이터]]</f>
        <v>Item_Desc_3005</v>
      </c>
      <c r="C100" s="54" t="s">
        <v>604</v>
      </c>
      <c r="D100" s="53" t="s">
        <v>613</v>
      </c>
      <c r="E100" s="14" t="s">
        <v>547</v>
      </c>
      <c r="F100" s="14" t="s">
        <v>552</v>
      </c>
      <c r="G100" s="19">
        <v>3005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01" spans="2:9">
      <c r="B101" t="str">
        <f>LocaleTable[[#This Row],['#인덱스제너레이터]]</f>
        <v>Item_Desc_3006</v>
      </c>
      <c r="C101" s="54" t="s">
        <v>376</v>
      </c>
      <c r="D101" s="53" t="s">
        <v>614</v>
      </c>
      <c r="E101" s="14" t="s">
        <v>547</v>
      </c>
      <c r="F101" s="14" t="s">
        <v>552</v>
      </c>
      <c r="G101" s="19">
        <v>3006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02" spans="2:9" ht="33">
      <c r="B102" t="str">
        <f>LocaleTable[[#This Row],['#인덱스제너레이터]]</f>
        <v>Item_Desc_4000</v>
      </c>
      <c r="C102" s="53" t="s">
        <v>246</v>
      </c>
      <c r="D102" s="53" t="s">
        <v>827</v>
      </c>
      <c r="E102" s="14" t="s">
        <v>547</v>
      </c>
      <c r="F102" s="14" t="s">
        <v>552</v>
      </c>
      <c r="G102" s="19">
        <v>4000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03" spans="2:9">
      <c r="B103" t="str">
        <f>LocaleTable[[#This Row],['#인덱스제너레이터]]</f>
        <v>Item_Desc_4001</v>
      </c>
      <c r="C103" s="53" t="s">
        <v>391</v>
      </c>
      <c r="D103" s="53" t="s">
        <v>615</v>
      </c>
      <c r="E103" s="14" t="s">
        <v>547</v>
      </c>
      <c r="F103" s="14" t="s">
        <v>552</v>
      </c>
      <c r="G103" s="19">
        <v>4001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04" spans="2:9" ht="33">
      <c r="B104" t="str">
        <f>LocaleTable[[#This Row],['#인덱스제너레이터]]</f>
        <v>Item_Desc_4002</v>
      </c>
      <c r="C104" s="54" t="s">
        <v>245</v>
      </c>
      <c r="D104" s="53" t="s">
        <v>823</v>
      </c>
      <c r="E104" s="14" t="s">
        <v>547</v>
      </c>
      <c r="F104" s="14" t="s">
        <v>552</v>
      </c>
      <c r="G104" s="19">
        <v>4002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05" spans="2:9" ht="33">
      <c r="B105" t="str">
        <f>LocaleTable[[#This Row],['#인덱스제너레이터]]</f>
        <v>Item_Desc_4003</v>
      </c>
      <c r="C105" s="53" t="s">
        <v>243</v>
      </c>
      <c r="D105" s="53" t="s">
        <v>620</v>
      </c>
      <c r="E105" s="14" t="s">
        <v>547</v>
      </c>
      <c r="F105" s="14" t="s">
        <v>552</v>
      </c>
      <c r="G105" s="19">
        <v>4003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06" spans="2:9" ht="33">
      <c r="B106" t="str">
        <f>LocaleTable[[#This Row],['#인덱스제너레이터]]</f>
        <v>Item_Desc_4004</v>
      </c>
      <c r="C106" s="53" t="s">
        <v>249</v>
      </c>
      <c r="D106" s="53" t="s">
        <v>619</v>
      </c>
      <c r="E106" s="14" t="s">
        <v>547</v>
      </c>
      <c r="F106" s="14" t="s">
        <v>552</v>
      </c>
      <c r="G106" s="19">
        <v>4004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07" spans="2:9">
      <c r="B107" t="str">
        <f>LocaleTable[[#This Row],['#인덱스제너레이터]]</f>
        <v>Item_Desc_4005</v>
      </c>
      <c r="C107" s="53" t="s">
        <v>460</v>
      </c>
      <c r="D107" s="53" t="s">
        <v>824</v>
      </c>
      <c r="E107" s="14" t="s">
        <v>547</v>
      </c>
      <c r="F107" s="14" t="s">
        <v>552</v>
      </c>
      <c r="G107" s="19">
        <v>4005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08" spans="2:9" ht="33">
      <c r="B108" t="str">
        <f>LocaleTable[[#This Row],['#인덱스제너레이터]]</f>
        <v>Item_Desc_4006</v>
      </c>
      <c r="C108" s="53" t="s">
        <v>465</v>
      </c>
      <c r="D108" s="53" t="s">
        <v>622</v>
      </c>
      <c r="E108" s="14" t="s">
        <v>547</v>
      </c>
      <c r="F108" s="14" t="s">
        <v>552</v>
      </c>
      <c r="G108" s="19">
        <v>4006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09" spans="2:9" ht="33">
      <c r="B109" t="str">
        <f>LocaleTable[[#This Row],['#인덱스제너레이터]]</f>
        <v>Item_Desc_10000</v>
      </c>
      <c r="C109" s="53" t="s">
        <v>398</v>
      </c>
      <c r="D109" s="53" t="s">
        <v>825</v>
      </c>
      <c r="E109" s="14" t="s">
        <v>547</v>
      </c>
      <c r="F109" s="14" t="s">
        <v>552</v>
      </c>
      <c r="G109" s="19">
        <v>10000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10" spans="2:9">
      <c r="B110" t="str">
        <f>LocaleTable[[#This Row],['#인덱스제너레이터]]</f>
        <v>Item_Desc_10001</v>
      </c>
      <c r="C110" s="54" t="s">
        <v>389</v>
      </c>
      <c r="D110" s="53" t="s">
        <v>623</v>
      </c>
      <c r="E110" s="14" t="s">
        <v>547</v>
      </c>
      <c r="F110" s="14" t="s">
        <v>552</v>
      </c>
      <c r="G110" s="19">
        <v>10001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11" spans="2:9" ht="33">
      <c r="B111" t="str">
        <f>LocaleTable[[#This Row],['#인덱스제너레이터]]</f>
        <v>Item_Desc_10002</v>
      </c>
      <c r="C111" s="54" t="s">
        <v>515</v>
      </c>
      <c r="D111" s="55" t="s">
        <v>826</v>
      </c>
      <c r="E111" s="14" t="s">
        <v>547</v>
      </c>
      <c r="F111" s="14" t="s">
        <v>552</v>
      </c>
      <c r="G111" s="19">
        <v>10002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12" spans="2:9" ht="33">
      <c r="B112" t="str">
        <f>LocaleTable[[#This Row],['#인덱스제너레이터]]</f>
        <v>Item_Desc_10003</v>
      </c>
      <c r="C112" s="54" t="s">
        <v>386</v>
      </c>
      <c r="D112" s="53" t="s">
        <v>630</v>
      </c>
      <c r="E112" s="14" t="s">
        <v>547</v>
      </c>
      <c r="F112" s="14" t="s">
        <v>552</v>
      </c>
      <c r="G112" s="19">
        <v>10003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13" spans="2:9">
      <c r="B113" t="str">
        <f>LocaleTable[[#This Row],['#인덱스제너레이터]]</f>
        <v>Item_Desc_10004</v>
      </c>
      <c r="C113" s="53" t="s">
        <v>469</v>
      </c>
      <c r="D113" s="53" t="s">
        <v>631</v>
      </c>
      <c r="E113" s="14" t="s">
        <v>547</v>
      </c>
      <c r="F113" s="14" t="s">
        <v>552</v>
      </c>
      <c r="G113" s="19">
        <v>10004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14" spans="2:9">
      <c r="B114" t="str">
        <f>LocaleTable[[#This Row],['#인덱스제너레이터]]</f>
        <v>Item_Desc_10005</v>
      </c>
      <c r="C114" s="53" t="s">
        <v>479</v>
      </c>
      <c r="D114" s="53" t="s">
        <v>632</v>
      </c>
      <c r="E114" s="14" t="s">
        <v>547</v>
      </c>
      <c r="F114" s="14" t="s">
        <v>552</v>
      </c>
      <c r="G114" s="19">
        <v>10005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15" spans="2:9">
      <c r="B115" t="str">
        <f>LocaleTable[[#This Row],['#인덱스제너레이터]]</f>
        <v>Item_PlusDesc_2000</v>
      </c>
      <c r="C115" s="54" t="s">
        <v>421</v>
      </c>
      <c r="D115" s="53" t="s">
        <v>633</v>
      </c>
      <c r="E115" s="14" t="s">
        <v>547</v>
      </c>
      <c r="F115" s="14" t="s">
        <v>365</v>
      </c>
      <c r="G115" s="19">
        <v>2000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16" spans="2:9">
      <c r="B116" t="str">
        <f>LocaleTable[[#This Row],['#인덱스제너레이터]]</f>
        <v>Item_PlusDesc_2001</v>
      </c>
      <c r="C116" s="53" t="s">
        <v>863</v>
      </c>
      <c r="D116" s="53" t="s">
        <v>634</v>
      </c>
      <c r="E116" s="14" t="s">
        <v>547</v>
      </c>
      <c r="F116" s="14" t="s">
        <v>365</v>
      </c>
      <c r="G116" s="19">
        <v>2001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17" spans="2:9">
      <c r="B117" t="str">
        <f>LocaleTable[[#This Row],['#인덱스제너레이터]]</f>
        <v>Item_PlusDesc_2002</v>
      </c>
      <c r="C117" s="53" t="s">
        <v>864</v>
      </c>
      <c r="D117" s="53" t="s">
        <v>635</v>
      </c>
      <c r="E117" s="14" t="s">
        <v>547</v>
      </c>
      <c r="F117" s="14" t="s">
        <v>365</v>
      </c>
      <c r="G117" s="19">
        <v>2002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18" spans="2:9">
      <c r="B118" t="str">
        <f>LocaleTable[[#This Row],['#인덱스제너레이터]]</f>
        <v>Item_PlusDesc_2003</v>
      </c>
      <c r="C118" s="53" t="s">
        <v>417</v>
      </c>
      <c r="D118" s="53" t="s">
        <v>636</v>
      </c>
      <c r="E118" s="14" t="s">
        <v>547</v>
      </c>
      <c r="F118" s="14" t="s">
        <v>365</v>
      </c>
      <c r="G118" s="19">
        <v>2003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19" spans="2:9">
      <c r="B119" t="str">
        <f>LocaleTable[[#This Row],['#인덱스제너레이터]]</f>
        <v>Item_PlusDesc_2004</v>
      </c>
      <c r="C119" s="53" t="s">
        <v>865</v>
      </c>
      <c r="D119" s="53" t="s">
        <v>637</v>
      </c>
      <c r="E119" s="14" t="s">
        <v>547</v>
      </c>
      <c r="F119" s="14" t="s">
        <v>365</v>
      </c>
      <c r="G119" s="19">
        <v>2004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20" spans="2:9">
      <c r="B120" t="str">
        <f>LocaleTable[[#This Row],['#인덱스제너레이터]]</f>
        <v>Item_PlusDesc_2005</v>
      </c>
      <c r="C120" t="s">
        <v>862</v>
      </c>
      <c r="D120" s="53" t="s">
        <v>638</v>
      </c>
      <c r="E120" s="14" t="s">
        <v>547</v>
      </c>
      <c r="F120" s="14" t="s">
        <v>365</v>
      </c>
      <c r="G120" s="19">
        <v>2005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21" spans="2:9" ht="33">
      <c r="B121" t="str">
        <f>LocaleTable[[#This Row],['#인덱스제너레이터]]</f>
        <v>Item_PlusDesc_3000</v>
      </c>
      <c r="C121" s="55" t="s">
        <v>456</v>
      </c>
      <c r="D121" s="53" t="s">
        <v>639</v>
      </c>
      <c r="E121" s="14" t="s">
        <v>547</v>
      </c>
      <c r="F121" s="14" t="s">
        <v>365</v>
      </c>
      <c r="G121" s="19">
        <v>3000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22" spans="2:9">
      <c r="B122" t="str">
        <f>LocaleTable[[#This Row],['#인덱스제너레이터]]</f>
        <v>Item_PlusDesc_3001</v>
      </c>
      <c r="C122" s="53" t="s">
        <v>737</v>
      </c>
      <c r="D122" s="53" t="s">
        <v>738</v>
      </c>
      <c r="E122" s="14" t="s">
        <v>547</v>
      </c>
      <c r="F122" s="14" t="s">
        <v>365</v>
      </c>
      <c r="G122" s="19">
        <v>3001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23" spans="2:9" ht="33">
      <c r="B123" t="str">
        <f>LocaleTable[[#This Row],['#인덱스제너레이터]]</f>
        <v>Item_PlusDesc_3002</v>
      </c>
      <c r="C123" s="53" t="s">
        <v>868</v>
      </c>
      <c r="D123" s="53" t="s">
        <v>640</v>
      </c>
      <c r="E123" s="14" t="s">
        <v>547</v>
      </c>
      <c r="F123" s="14" t="s">
        <v>365</v>
      </c>
      <c r="G123" s="19">
        <v>3002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24" spans="2:9">
      <c r="B124" t="str">
        <f>LocaleTable[[#This Row],['#인덱스제너레이터]]</f>
        <v>Item_PlusDesc_3003</v>
      </c>
      <c r="C124" s="53" t="s">
        <v>384</v>
      </c>
      <c r="D124" s="53" t="s">
        <v>641</v>
      </c>
      <c r="E124" s="14" t="s">
        <v>547</v>
      </c>
      <c r="F124" s="14" t="s">
        <v>365</v>
      </c>
      <c r="G124" s="19">
        <v>3003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25" spans="2:9">
      <c r="B125" t="str">
        <f>LocaleTable[[#This Row],['#인덱스제너레이터]]</f>
        <v>Item_PlusDesc_3004</v>
      </c>
      <c r="C125" s="53" t="s">
        <v>394</v>
      </c>
      <c r="D125" s="53" t="s">
        <v>642</v>
      </c>
      <c r="E125" s="14" t="s">
        <v>547</v>
      </c>
      <c r="F125" s="14" t="s">
        <v>365</v>
      </c>
      <c r="G125" s="19">
        <v>3004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26" spans="2:9">
      <c r="B126" t="str">
        <f>LocaleTable[[#This Row],['#인덱스제너레이터]]</f>
        <v>Item_PlusDesc_3005</v>
      </c>
      <c r="C126" s="11" t="s">
        <v>869</v>
      </c>
      <c r="D126" s="53" t="s">
        <v>643</v>
      </c>
      <c r="E126" s="14" t="s">
        <v>547</v>
      </c>
      <c r="F126" s="14" t="s">
        <v>365</v>
      </c>
      <c r="G126" s="19">
        <v>3005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27" spans="2:9">
      <c r="B127" t="str">
        <f>LocaleTable[[#This Row],['#인덱스제너레이터]]</f>
        <v>Item_PlusDesc_3006</v>
      </c>
      <c r="C127" s="54" t="s">
        <v>457</v>
      </c>
      <c r="D127" s="53" t="s">
        <v>644</v>
      </c>
      <c r="E127" s="14" t="s">
        <v>547</v>
      </c>
      <c r="F127" s="14" t="s">
        <v>365</v>
      </c>
      <c r="G127" s="19">
        <v>3006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28" spans="2:9">
      <c r="B128" t="str">
        <f>LocaleTable[[#This Row],['#인덱스제너레이터]]</f>
        <v>Item_PlusDesc_4000</v>
      </c>
      <c r="C128" s="53" t="s">
        <v>427</v>
      </c>
      <c r="D128" s="53" t="s">
        <v>645</v>
      </c>
      <c r="E128" s="14" t="s">
        <v>547</v>
      </c>
      <c r="F128" s="14" t="s">
        <v>365</v>
      </c>
      <c r="G128" s="19">
        <v>4000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29" spans="2:9" ht="33">
      <c r="B129" t="str">
        <f>LocaleTable[[#This Row],['#인덱스제너레이터]]</f>
        <v>Item_PlusDesc_4001</v>
      </c>
      <c r="C129" s="53" t="s">
        <v>870</v>
      </c>
      <c r="D129" s="53" t="s">
        <v>646</v>
      </c>
      <c r="E129" s="14" t="s">
        <v>547</v>
      </c>
      <c r="F129" s="14" t="s">
        <v>365</v>
      </c>
      <c r="G129" s="19">
        <v>4001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30" spans="2:9">
      <c r="B130" t="str">
        <f>LocaleTable[[#This Row],['#인덱스제너레이터]]</f>
        <v>Item_PlusDesc_4002</v>
      </c>
      <c r="C130" s="53" t="s">
        <v>312</v>
      </c>
      <c r="D130" s="53" t="s">
        <v>647</v>
      </c>
      <c r="E130" s="14" t="s">
        <v>547</v>
      </c>
      <c r="F130" s="14" t="s">
        <v>365</v>
      </c>
      <c r="G130" s="19">
        <v>4002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31" spans="2:9">
      <c r="B131" t="str">
        <f>LocaleTable[[#This Row],['#인덱스제너레이터]]</f>
        <v>Item_PlusDesc_4003</v>
      </c>
      <c r="C131" s="53" t="s">
        <v>397</v>
      </c>
      <c r="D131" s="53" t="s">
        <v>648</v>
      </c>
      <c r="E131" s="14" t="s">
        <v>547</v>
      </c>
      <c r="F131" s="14" t="s">
        <v>365</v>
      </c>
      <c r="G131" s="19">
        <v>4003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32" spans="2:9">
      <c r="B132" t="str">
        <f>LocaleTable[[#This Row],['#인덱스제너레이터]]</f>
        <v>Item_PlusDesc_4004</v>
      </c>
      <c r="C132" s="53" t="s">
        <v>461</v>
      </c>
      <c r="D132" s="53" t="s">
        <v>649</v>
      </c>
      <c r="E132" s="14" t="s">
        <v>547</v>
      </c>
      <c r="F132" s="14" t="s">
        <v>365</v>
      </c>
      <c r="G132" s="19">
        <v>4004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33" spans="2:9">
      <c r="B133" t="str">
        <f>LocaleTable[[#This Row],['#인덱스제너레이터]]</f>
        <v>Item_PlusDesc_4005</v>
      </c>
      <c r="C133" s="53" t="s">
        <v>419</v>
      </c>
      <c r="D133" s="53" t="s">
        <v>650</v>
      </c>
      <c r="E133" s="14" t="s">
        <v>547</v>
      </c>
      <c r="F133" s="14" t="s">
        <v>365</v>
      </c>
      <c r="G133" s="19">
        <v>4005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34" spans="2:9">
      <c r="B134" t="str">
        <f>LocaleTable[[#This Row],['#인덱스제너레이터]]</f>
        <v>Item_PlusDesc_4006</v>
      </c>
      <c r="C134" s="53" t="s">
        <v>867</v>
      </c>
      <c r="D134" s="53" t="s">
        <v>651</v>
      </c>
      <c r="E134" s="14" t="s">
        <v>547</v>
      </c>
      <c r="F134" s="14" t="s">
        <v>365</v>
      </c>
      <c r="G134" s="19">
        <v>4006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35" spans="2:9">
      <c r="B135" t="str">
        <f>LocaleTable[[#This Row],['#인덱스제너레이터]]</f>
        <v>Item_PlusDesc_10000</v>
      </c>
      <c r="C135" s="54" t="s">
        <v>372</v>
      </c>
      <c r="D135" s="53" t="s">
        <v>652</v>
      </c>
      <c r="E135" s="14" t="s">
        <v>547</v>
      </c>
      <c r="F135" s="14" t="s">
        <v>365</v>
      </c>
      <c r="G135" s="19">
        <v>10000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36" spans="2:9">
      <c r="B136" t="str">
        <f>LocaleTable[[#This Row],['#인덱스제너레이터]]</f>
        <v>Item_PlusDesc_10001</v>
      </c>
      <c r="C136" s="54" t="s">
        <v>512</v>
      </c>
      <c r="D136" s="53" t="s">
        <v>653</v>
      </c>
      <c r="E136" s="14" t="s">
        <v>547</v>
      </c>
      <c r="F136" s="14" t="s">
        <v>365</v>
      </c>
      <c r="G136" s="19">
        <v>10001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37" spans="2:9">
      <c r="B137" t="str">
        <f>LocaleTable[[#This Row],['#인덱스제너레이터]]</f>
        <v>Item_PlusDesc_10002</v>
      </c>
      <c r="C137" s="54" t="s">
        <v>516</v>
      </c>
      <c r="D137" s="53" t="s">
        <v>654</v>
      </c>
      <c r="E137" s="14" t="s">
        <v>547</v>
      </c>
      <c r="F137" s="14" t="s">
        <v>365</v>
      </c>
      <c r="G137" s="19">
        <v>10002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38" spans="2:9">
      <c r="B138" t="str">
        <f>LocaleTable[[#This Row],['#인덱스제너레이터]]</f>
        <v>Item_PlusDesc_10003</v>
      </c>
      <c r="C138" s="54" t="s">
        <v>510</v>
      </c>
      <c r="D138" s="53" t="s">
        <v>655</v>
      </c>
      <c r="E138" s="14" t="s">
        <v>547</v>
      </c>
      <c r="F138" s="14" t="s">
        <v>365</v>
      </c>
      <c r="G138" s="19">
        <v>10003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39" spans="2:9">
      <c r="B139" t="str">
        <f>LocaleTable[[#This Row],['#인덱스제너레이터]]</f>
        <v>Item_PlusDesc_10004</v>
      </c>
      <c r="C139" s="53" t="s">
        <v>470</v>
      </c>
      <c r="D139" s="53" t="s">
        <v>656</v>
      </c>
      <c r="E139" s="14" t="s">
        <v>547</v>
      </c>
      <c r="F139" s="14" t="s">
        <v>365</v>
      </c>
      <c r="G139" s="19">
        <v>10004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40" spans="2:9">
      <c r="B140" t="str">
        <f>LocaleTable[[#This Row],['#인덱스제너레이터]]</f>
        <v>Item_PlusDesc_10005</v>
      </c>
      <c r="C140" s="53" t="s">
        <v>511</v>
      </c>
      <c r="D140" s="53" t="s">
        <v>657</v>
      </c>
      <c r="E140" s="14" t="s">
        <v>547</v>
      </c>
      <c r="F140" s="14" t="s">
        <v>365</v>
      </c>
      <c r="G140" s="19">
        <v>10005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41" spans="2:9">
      <c r="B141" t="str">
        <f>LocaleTable[[#This Row],['#인덱스제너레이터]]</f>
        <v>Item_MinusDesc_4000</v>
      </c>
      <c r="C141" s="53" t="s">
        <v>426</v>
      </c>
      <c r="D141" s="63" t="s">
        <v>658</v>
      </c>
      <c r="E141" s="14" t="s">
        <v>547</v>
      </c>
      <c r="F141" s="14" t="s">
        <v>366</v>
      </c>
      <c r="G141" s="19">
        <v>4000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42" spans="2:9">
      <c r="B142" t="str">
        <f>LocaleTable[[#This Row],['#인덱스제너레이터]]</f>
        <v>Item_MinusDesc_4001</v>
      </c>
      <c r="C142" s="53" t="s">
        <v>390</v>
      </c>
      <c r="D142" s="63" t="s">
        <v>659</v>
      </c>
      <c r="E142" s="14" t="s">
        <v>547</v>
      </c>
      <c r="F142" s="14" t="s">
        <v>366</v>
      </c>
      <c r="G142" s="19">
        <v>4001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43" spans="2:9">
      <c r="B143" t="str">
        <f>LocaleTable[[#This Row],['#인덱스제너레이터]]</f>
        <v>Item_MinusDesc_4002</v>
      </c>
      <c r="C143" s="53" t="s">
        <v>155</v>
      </c>
      <c r="D143" s="53" t="s">
        <v>660</v>
      </c>
      <c r="E143" s="14" t="s">
        <v>547</v>
      </c>
      <c r="F143" s="14" t="s">
        <v>366</v>
      </c>
      <c r="G143" s="19">
        <v>4002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44" spans="2:9">
      <c r="B144" t="str">
        <f>LocaleTable[[#This Row],['#인덱스제너레이터]]</f>
        <v>Item_MinusDesc_4003</v>
      </c>
      <c r="C144" s="53" t="s">
        <v>866</v>
      </c>
      <c r="D144" s="53" t="s">
        <v>661</v>
      </c>
      <c r="E144" s="14" t="s">
        <v>547</v>
      </c>
      <c r="F144" s="14" t="s">
        <v>366</v>
      </c>
      <c r="G144" s="19">
        <v>4003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45" spans="2:9">
      <c r="B145" t="str">
        <f>LocaleTable[[#This Row],['#인덱스제너레이터]]</f>
        <v>Item_MinusDesc_4004</v>
      </c>
      <c r="C145" s="53" t="s">
        <v>508</v>
      </c>
      <c r="D145" s="53" t="s">
        <v>662</v>
      </c>
      <c r="E145" s="14" t="s">
        <v>547</v>
      </c>
      <c r="F145" s="14" t="s">
        <v>366</v>
      </c>
      <c r="G145" s="19">
        <v>4004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46" spans="2:9">
      <c r="B146" t="str">
        <f>LocaleTable[[#This Row],['#인덱스제너레이터]]</f>
        <v>Item_MinusDesc_4005</v>
      </c>
      <c r="C146" s="53" t="s">
        <v>463</v>
      </c>
      <c r="D146" s="53" t="s">
        <v>663</v>
      </c>
      <c r="E146" s="14" t="s">
        <v>547</v>
      </c>
      <c r="F146" s="14" t="s">
        <v>366</v>
      </c>
      <c r="G146" s="19">
        <v>4005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47" spans="2:9">
      <c r="B147" t="str">
        <f>LocaleTable[[#This Row],['#인덱스제너레이터]]</f>
        <v>Item_MinusDesc_4006</v>
      </c>
      <c r="C147" s="53" t="s">
        <v>513</v>
      </c>
      <c r="D147" s="53" t="s">
        <v>664</v>
      </c>
      <c r="E147" s="14" t="s">
        <v>547</v>
      </c>
      <c r="F147" s="14" t="s">
        <v>366</v>
      </c>
      <c r="G147" s="19">
        <v>4006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2023-10-16T17:18:20Z</dcterms:modified>
  <cp:version>1200.0100.01</cp:version>
</cp:coreProperties>
</file>