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5587F0F5-C907-4065-AE84-BC38456C8E6E}" xr6:coauthVersionLast="47" xr6:coauthVersionMax="47" xr10:uidLastSave="{00000000-0000-0000-0000-000000000000}"/>
  <bookViews>
    <workbookView xWindow="-108" yWindow="-108" windowWidth="23256" windowHeight="12456" firstSheet="9" activeTab="16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4" l="1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M9" i="2"/>
  <c r="L9" i="2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M19" i="2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<sst xmlns="http://schemas.openxmlformats.org/spreadsheetml/2006/main" count="1219" uniqueCount="646">
  <si>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</si>
  <si>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</si>
  <si>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</si>
  <si>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</si>
  <si>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</si>
  <si>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</si>
  <si>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</si>
  <si>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</si>
  <si>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</si>
  <si>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</si>
  <si>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</si>
  <si>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</si>
  <si>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</si>
  <si>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</si>
  <si>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</si>
  <si>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</si>
  <si>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</si>
  <si>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</si>
  <si>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</si>
  <si>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</si>
  <si>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</si>
  <si>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</si>
  <si>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</si>
  <si>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</si>
  <si>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</si>
  <si>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</si>
  <si>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</si>
  <si>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</si>
  <si>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</si>
  <si>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</si>
  <si>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</si>
  <si>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</si>
  <si>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</si>
  <si>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</si>
  <si>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</si>
  <si>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</si>
  <si>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</si>
  <si>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</si>
  <si>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</si>
  <si>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</si>
  <si>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</si>
  <si>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</si>
  <si>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</si>
  <si>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</si>
  <si>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</si>
  <si>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</si>
  <si>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</si>
  <si>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</si>
  <si>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</si>
  <si>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</si>
  <si>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</si>
  <si>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</si>
  <si>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</si>
  <si>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</si>
  <si>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</si>
  <si>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</si>
  <si>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</si>
  <si>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</si>
  <si>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</si>
  <si>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</si>
  <si>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</si>
  <si>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</si>
  <si>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</si>
  <si>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</si>
  <si>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</si>
  <si>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</si>
  <si>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</si>
  <si>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</si>
  <si>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</si>
  <si>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</si>
  <si>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</si>
  <si>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</si>
  <si>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</si>
  <si>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</si>
  <si>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</si>
  <si>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</si>
  <si>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</si>
  <si>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</si>
  <si>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</si>
  <si>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</si>
  <si>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</si>
  <si>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</si>
  <si>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</si>
  <si>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</si>
  <si>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</si>
  <si>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</si>
  <si>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</si>
  <si>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</si>
  <si>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</si>
  <si>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</si>
  <si>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</si>
  <si>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</si>
  <si>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</si>
  <si>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</si>
  <si>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</si>
  <si>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</si>
  <si>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</si>
  <si>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</si>
  <si>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</si>
  <si>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</si>
  <si>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</si>
  <si>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</si>
  <si>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</si>
  <si>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</si>
  <si>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</si>
  <si>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</si>
  <si>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</si>
  <si>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</si>
  <si>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</si>
  <si>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</si>
  <si>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</si>
  <si>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</si>
  <si>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</si>
  <si>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</si>
  <si>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</si>
  <si>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</si>
  <si>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</si>
  <si>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</si>
  <si>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</si>
  <si>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</si>
  <si>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</si>
  <si>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</si>
  <si>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</si>
  <si>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</si>
  <si>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</si>
  <si>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</si>
  <si>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</si>
  <si>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</si>
  <si>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</si>
  <si>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</si>
  <si>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</si>
  <si>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</si>
  <si>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</si>
  <si>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</si>
  <si>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</si>
  <si>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</si>
  <si>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</si>
  <si>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</si>
  <si>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</si>
  <si>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</si>
  <si>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</si>
  <si>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</si>
  <si>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</si>
  <si>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</si>
  <si>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</si>
  <si>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</si>
  <si>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</si>
  <si>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</si>
  <si>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</si>
  <si>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</si>
  <si>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</si>
  <si>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</si>
  <si>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</si>
  <si>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</si>
  <si>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</si>
  <si>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</si>
  <si>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</si>
  <si>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</si>
  <si>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</si>
  <si>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</si>
  <si>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</si>
  <si>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</si>
  <si>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</si>
  <si>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</si>
  <si>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</si>
  <si>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</si>
  <si>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</si>
  <si>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</si>
  <si>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</si>
  <si>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</si>
  <si>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</si>
  <si>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</si>
  <si>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</si>
  <si>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</si>
  <si>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</si>
  <si>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</si>
  <si>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</si>
  <si>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</si>
  <si>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</si>
  <si>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</si>
  <si>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</si>
  <si>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</si>
  <si>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</si>
  <si>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</si>
  <si>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</si>
  <si>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</si>
  <si>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</si>
  <si>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</si>
  <si>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</si>
  <si>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</si>
  <si>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</si>
  <si>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</si>
  <si>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</si>
  <si>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</si>
  <si>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</si>
  <si>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</si>
  <si>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</si>
  <si>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</si>
  <si>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</si>
  <si>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</si>
  <si>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</si>
  <si>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</si>
  <si>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</si>
  <si>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</si>
  <si>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</si>
  <si>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</si>
  <si>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</si>
  <si>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</si>
  <si>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</si>
  <si>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</si>
  <si>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</si>
  <si>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</si>
  <si>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</si>
  <si>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</si>
  <si>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</si>
  <si>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</si>
  <si>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</si>
  <si>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</si>
  <si>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</si>
  <si>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</si>
  <si>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</si>
  <si>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</si>
  <si>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</si>
  <si>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</si>
  <si>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</si>
  <si>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</si>
  <si>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</si>
  <si>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</si>
  <si>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</si>
  <si>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</si>
  <si>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</si>
  <si>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</si>
  <si>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</si>
  <si>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</si>
  <si>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</si>
  <si>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</si>
  <si>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</si>
  <si>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</si>
  <si>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</si>
  <si>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</si>
  <si>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</si>
  <si>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</si>
  <si>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</si>
  <si>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</si>
  <si>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</si>
  <si>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</si>
  <si>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</si>
  <si>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</si>
  <si>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</si>
  <si>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</si>
  <si>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</si>
  <si>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</si>
  <si>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</si>
  <si>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</si>
  <si>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</si>
  <si>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</si>
  <si>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</si>
  <si>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</si>
  <si>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</si>
  <si>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</si>
  <si>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</si>
  <si>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</si>
  <si>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</si>
  <si>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</si>
  <si>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</si>
  <si>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</si>
  <si>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</si>
  <si>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</si>
  <si>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</si>
  <si>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</si>
  <si>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</si>
  <si>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</si>
  <si>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</si>
  <si>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</si>
  <si>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</si>
  <si>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</si>
  <si>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</si>
  <si>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</si>
  <si>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</si>
  <si>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</si>
  <si>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</si>
  <si>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</si>
  <si>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</si>
  <si>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</si>
  <si>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</si>
  <si>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</si>
  <si>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</si>
  <si>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</si>
  <si>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</si>
  <si>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</si>
  <si>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</si>
  <si>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</si>
  <si>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</si>
  <si>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</si>
  <si>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</si>
  <si>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</si>
  <si>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</si>
  <si>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</si>
  <si>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</si>
  <si>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</si>
  <si>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</si>
  <si>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</si>
  <si>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</si>
  <si>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</si>
  <si>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</si>
  <si>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</si>
  <si>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</si>
  <si>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</si>
  <si>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</si>
  <si>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</si>
  <si>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</si>
  <si>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</si>
  <si>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</si>
  <si>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</si>
  <si>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</si>
  <si>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</si>
  <si>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</si>
  <si>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</si>
  <si>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</si>
  <si>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</si>
  <si>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</si>
  <si>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</si>
  <si>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</si>
  <si>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</si>
  <si>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</si>
  <si>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</si>
  <si>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</si>
  <si>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</si>
  <si>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</si>
  <si>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</si>
  <si>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</si>
  <si>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</si>
  <si>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</si>
  <si>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</si>
  <si>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</si>
  <si>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</si>
  <si>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</si>
  <si>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</si>
  <si>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</si>
  <si>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</si>
  <si>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</si>
  <si>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</si>
  <si>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</si>
  <si>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</si>
  <si>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</si>
  <si>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</si>
  <si>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</si>
  <si>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</si>
  <si>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</si>
  <si>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</si>
  <si>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</si>
  <si>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</si>
  <si>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</si>
  <si>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</si>
  <si>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</si>
  <si>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</si>
  <si>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</si>
  <si>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</si>
  <si>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</si>
  <si>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</si>
  <si>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</si>
  <si>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</si>
  <si>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</si>
  <si>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</si>
  <si>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</si>
  <si>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</si>
  <si>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</si>
  <si>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</si>
  <si>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</si>
  <si>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</si>
  <si>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</si>
  <si>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</si>
  <si>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</si>
  <si>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</si>
  <si>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</si>
  <si>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</si>
  <si>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</si>
  <si>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</si>
  <si>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</si>
  <si>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</si>
  <si>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</si>
  <si>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</si>
  <si>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</si>
  <si>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</si>
  <si>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</si>
  <si>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</si>
  <si>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</si>
  <si>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</si>
  <si>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</si>
  <si>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</si>
  <si>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</si>
  <si>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</si>
  <si>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</si>
  <si>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</si>
  <si>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</si>
  <si>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</si>
  <si>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</si>
  <si>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</si>
  <si>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</si>
  <si>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</si>
  <si>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</si>
  <si>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</si>
  <si>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</si>
  <si>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</si>
  <si>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</si>
  <si>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</si>
  <si>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</si>
  <si>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</si>
  <si>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</si>
  <si>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</si>
  <si>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</si>
  <si>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</si>
  <si>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</si>
  <si>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</si>
  <si>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</si>
  <si>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</si>
  <si>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</si>
  <si>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</si>
  <si>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</si>
  <si>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</si>
  <si>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</si>
  <si>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</si>
  <si>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</si>
  <si>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</si>
  <si>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</si>
  <si>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</si>
  <si>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</si>
  <si>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</si>
  <si>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</si>
  <si>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</si>
  <si>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</si>
  <si>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</si>
  <si>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</si>
  <si>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</si>
  <si>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</si>
  <si>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</si>
  <si>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</si>
  <si>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</si>
  <si>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</si>
  <si>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</si>
  <si>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</si>
  <si>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</si>
  <si>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</si>
  <si>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</si>
  <si>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</si>
  <si>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</si>
  <si>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</si>
  <si>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</si>
  <si>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</si>
  <si>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</si>
  <si>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</si>
  <si>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</si>
  <si>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</si>
  <si>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</si>
  <si>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</si>
  <si>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</si>
  <si>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</si>
  <si>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</si>
  <si>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</si>
  <si>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</si>
  <si>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</si>
  <si>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</si>
  <si>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</si>
  <si>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</si>
  <si>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</si>
  <si>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</si>
  <si>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</si>
  <si>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</si>
  <si>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</si>
  <si>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</si>
  <si>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</si>
  <si>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</si>
  <si>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</si>
  <si>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</si>
  <si>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</si>
  <si>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</si>
  <si>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</si>
  <si>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</si>
  <si>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</si>
  <si>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</si>
  <si>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</si>
  <si>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</si>
  <si>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</si>
  <si>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</si>
  <si>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</si>
  <si>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</si>
  <si>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</si>
  <si>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</si>
  <si>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</si>
  <si>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</si>
  <si>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</si>
  <si>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</si>
  <si>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</si>
  <si>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</si>
  <si>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</si>
  <si>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</si>
  <si>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</si>
  <si>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</si>
  <si>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</si>
  <si>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</si>
  <si>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</si>
  <si>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</si>
  <si>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</si>
  <si>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</si>
  <si>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</si>
  <si>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</si>
  <si>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</si>
  <si>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</si>
  <si>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</si>
  <si>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</si>
  <si>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</si>
  <si>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</si>
  <si>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</si>
  <si>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</si>
  <si>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</si>
  <si>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</si>
  <si>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</si>
  <si>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</si>
  <si>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</si>
  <si>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</si>
  <si>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</si>
  <si>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</si>
  <si>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</si>
  <si>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</si>
  <si>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</si>
  <si>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</si>
  <si>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</si>
  <si>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</si>
  <si>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</si>
  <si>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</si>
  <si>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</si>
  <si>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</si>
  <si>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</si>
  <si>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</si>
  <si>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</si>
  <si>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</si>
  <si>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</si>
  <si>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</si>
  <si>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</si>
  <si>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</si>
  <si>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</si>
  <si>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</si>
  <si>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</si>
  <si>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</si>
  <si>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차징속도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</si>
  <si>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</si>
  <si>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</si>
  <si>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</si>
  <si>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</si>
  <si>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</si>
  <si>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</si>
  <si>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</si>
  <si>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</si>
  <si>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</si>
  <si>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</si>
  <si>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</si>
  <si>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</si>
  <si>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</si>
  <si>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</si>
  <si>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</si>
  <si>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</si>
  <si>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</si>
  <si>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</si>
  <si>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</si>
  <si>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</si>
  <si>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</si>
  <si>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</si>
  <si>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</si>
  <si>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</si>
  <si>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</si>
  <si>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</si>
  <si>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</si>
  <si>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</si>
  <si>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</si>
  <si>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</si>
  <si>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</si>
  <si>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</si>
  <si>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</si>
  <si>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</si>
  <si>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</si>
  <si>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</si>
  <si>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</si>
  <si>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</si>
  <si>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</si>
  <si>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</si>
  <si>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일반 공격이 차징 공격이 됩니다.</t>
    <phoneticPr fontId="8" type="noConversion"/>
  </si>
  <si>
    <t>공격속도 -40%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</si>
  <si>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</si>
  <si>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</si>
  <si>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</si>
  <si>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</si>
  <si>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</si>
  <si>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</si>
  <si>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</si>
  <si>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</si>
  <si>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</si>
  <si>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공격속도 40% 감소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</si>
  <si>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</si>
  <si>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</si>
  <si>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</si>
  <si>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</si>
  <si>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</si>
  <si>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</si>
  <si>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</si>
  <si>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</si>
  <si>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</si>
  <si>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</si>
  <si>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</si>
  <si>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</si>
  <si>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</si>
  <si>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</si>
  <si>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</si>
  <si>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</si>
  <si>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</si>
  <si>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</si>
  <si>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</si>
  <si>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</si>
  <si>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</si>
  <si>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</si>
  <si>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</si>
  <si>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일반5 희귀5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</si>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</sst>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8" totalsRowShown="0" headerRowDxfId="17">
  <autoFilter ref="B2:H28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10" sqref="L10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  <col min="9" max="9" width="11.796875" customWidth="1"/>
    <col min="11" max="11" width="8.3984375" customWidth="1"/>
    <col min="12" max="13" width="13.6992187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3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4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3.5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607</v>
      </c>
    </row>
    <row r="12" spans="2:13">
      <c r="B12" s="14" t="s">
        <v>606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615</v>
      </c>
      <c r="H12" s="14"/>
      <c r="J12" s="14" t="s">
        <v>606</v>
      </c>
      <c r="K12" s="14" t="s">
        <v>614</v>
      </c>
      <c r="L12" s="14" t="s">
        <v>616</v>
      </c>
      <c r="M12" s="14" t="s">
        <v>617</v>
      </c>
    </row>
    <row r="13" spans="2:13">
      <c r="B13" s="14" t="s">
        <v>609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10.5</v>
      </c>
      <c r="J13" s="14" t="s">
        <v>609</v>
      </c>
      <c r="K13">
        <f>INDEX(ProductialTable[MaxRoomValue],MATCH(표24[[#This Row],[층]],ProductialTable['#이름],0))</f>
        <v>10</v>
      </c>
      <c r="L13">
        <f>(SUMIFS(표11[평균획득골드],표11[층],표24[[#This Row],[층]])/_xlfn.MAXIFS(표11[스테이지],표11[층],표24[[#This Row],[층]]))</f>
        <v>9.4499999999999993</v>
      </c>
      <c r="M13">
        <f>(SUMIFS(표11[평균획득골드],표11[층],표24[[#This Row],[층]])/_xlfn.MAXIFS(표11[스테이지],표11[층],표24[[#This Row],[층]]))*
(표24[[#This Row],[개수]]-3)</f>
        <v>66.149999999999991</v>
      </c>
    </row>
    <row r="14" spans="2:13">
      <c r="B14" s="14" t="s">
        <v>609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10.5</v>
      </c>
      <c r="J14" s="14" t="s">
        <v>611</v>
      </c>
      <c r="K14">
        <f>INDEX(ProductialTable[MaxRoomValue],MATCH(표24[[#This Row],[층]],ProductialTable['#이름],0))</f>
        <v>12</v>
      </c>
      <c r="L14">
        <f>(SUMIFS(표11[평균획득골드],표11[층],표24[[#This Row],[층]])/_xlfn.MAXIFS(표11[스테이지],표11[층],표24[[#This Row],[층]]))</f>
        <v>14.35</v>
      </c>
      <c r="M14">
        <f>(SUMIFS(표11[평균획득골드],표11[층],표24[[#This Row],[층]])/_xlfn.MAXIFS(표11[스테이지],표11[층],표24[[#This Row],[층]]))*
(표24[[#This Row],[개수]]-3)</f>
        <v>129.15</v>
      </c>
    </row>
    <row r="15" spans="2:13">
      <c r="B15" s="14" t="s">
        <v>608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7</v>
      </c>
      <c r="J15" s="14" t="s">
        <v>613</v>
      </c>
      <c r="K15">
        <f>INDEX(ProductialTable[MaxRoomValue],MATCH(표24[[#This Row],[층]],ProductialTable['#이름],0))</f>
        <v>14</v>
      </c>
      <c r="L15">
        <f>(SUMIFS(표11[평균획득골드],표11[층],표24[[#This Row],[층]])/_xlfn.MAXIFS(표11[스테이지],표11[층],표24[[#This Row],[층]]))</f>
        <v>25.95</v>
      </c>
      <c r="M15">
        <f>(SUMIFS(표11[평균획득골드],표11[층],표24[[#This Row],[층]])/_xlfn.MAXIFS(표11[스테이지],표11[층],표24[[#This Row],[층]]))*
(표24[[#This Row],[개수]]-3)</f>
        <v>285.45</v>
      </c>
    </row>
    <row r="16" spans="2:13">
      <c r="B16" s="14" t="s">
        <v>608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10.5</v>
      </c>
      <c r="J16" s="14" t="s">
        <v>467</v>
      </c>
      <c r="M16">
        <f>SUBTOTAL(109,표24[층 완료 획득])</f>
        <v>480.75</v>
      </c>
    </row>
    <row r="17" spans="2:13">
      <c r="B17" s="14" t="s">
        <v>608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10.5</v>
      </c>
    </row>
    <row r="18" spans="2:13">
      <c r="B18" s="14" t="s">
        <v>608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7</v>
      </c>
      <c r="L18" s="14" t="s">
        <v>618</v>
      </c>
      <c r="M18" s="14">
        <f>표24[[#Totals],[층 완료 획득]]/30</f>
        <v>16.024999999999999</v>
      </c>
    </row>
    <row r="19" spans="2:13">
      <c r="B19" s="14" t="s">
        <v>608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10.5</v>
      </c>
      <c r="L19" s="14" t="s">
        <v>619</v>
      </c>
      <c r="M19" s="14">
        <f>표24[[#Totals],[층 완료 획득]]/60</f>
        <v>8.0124999999999993</v>
      </c>
    </row>
    <row r="20" spans="2:13">
      <c r="B20" s="14" t="s">
        <v>608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10.5</v>
      </c>
      <c r="L20" s="14" t="s">
        <v>620</v>
      </c>
    </row>
    <row r="21" spans="2:13">
      <c r="B21" s="14" t="s">
        <v>608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7</v>
      </c>
    </row>
    <row r="22" spans="2:13">
      <c r="B22" s="14" t="s">
        <v>608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10.5</v>
      </c>
    </row>
    <row r="23" spans="2:13">
      <c r="B23" s="14" t="s">
        <v>611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14</v>
      </c>
    </row>
    <row r="24" spans="2:13">
      <c r="B24" s="14" t="s">
        <v>611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17.5</v>
      </c>
    </row>
    <row r="25" spans="2:13">
      <c r="B25" s="14" t="s">
        <v>610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10.5</v>
      </c>
    </row>
    <row r="26" spans="2:13">
      <c r="B26" s="14" t="s">
        <v>610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14</v>
      </c>
    </row>
    <row r="27" spans="2:13">
      <c r="B27" s="14" t="s">
        <v>610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14</v>
      </c>
    </row>
    <row r="28" spans="2:13">
      <c r="B28" s="14" t="s">
        <v>610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14</v>
      </c>
    </row>
    <row r="29" spans="2:13">
      <c r="B29" s="14" t="s">
        <v>610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14</v>
      </c>
    </row>
    <row r="30" spans="2:13">
      <c r="B30" s="14" t="s">
        <v>610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14</v>
      </c>
    </row>
    <row r="31" spans="2:13">
      <c r="B31" s="14" t="s">
        <v>610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14</v>
      </c>
    </row>
    <row r="32" spans="2:13">
      <c r="B32" s="14" t="s">
        <v>610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17.5</v>
      </c>
    </row>
    <row r="33" spans="2:7">
      <c r="B33" s="14" t="s">
        <v>613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23.5</v>
      </c>
    </row>
    <row r="34" spans="2:7">
      <c r="B34" s="14" t="s">
        <v>613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27</v>
      </c>
    </row>
    <row r="35" spans="2:7">
      <c r="B35" s="14" t="s">
        <v>612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27</v>
      </c>
    </row>
    <row r="36" spans="2:7">
      <c r="B36" s="14" t="s">
        <v>612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23.5</v>
      </c>
    </row>
    <row r="37" spans="2:7">
      <c r="B37" s="14" t="s">
        <v>612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27</v>
      </c>
    </row>
    <row r="38" spans="2:7">
      <c r="B38" s="14" t="s">
        <v>612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27</v>
      </c>
    </row>
    <row r="39" spans="2:7">
      <c r="B39" s="14" t="s">
        <v>612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30.5</v>
      </c>
    </row>
    <row r="40" spans="2:7">
      <c r="B40" s="14" t="s">
        <v>612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27</v>
      </c>
    </row>
    <row r="41" spans="2:7">
      <c r="B41" s="14" t="s">
        <v>612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20</v>
      </c>
    </row>
    <row r="42" spans="2:7">
      <c r="B42" s="14" t="s">
        <v>612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27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I5" sqref="I5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565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M1" zoomScaleNormal="75" zoomScaleSheetLayoutView="100" workbookViewId="0">
      <selection activeCell="O4" sqref="O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5" width="22.69921875" bestFit="1" customWidth="1"/>
    <col min="16" max="16" width="18.8984375" bestFit="1" customWidth="1"/>
    <col min="17" max="18" width="19.5" bestFit="1" customWidth="1"/>
    <col min="19" max="20" width="23.3984375" bestFit="1" customWidth="1"/>
    <col min="21" max="22" width="23.19921875" bestFit="1" customWidth="1"/>
    <col min="23" max="23" width="13.3984375" bestFit="1" customWidth="1"/>
    <col min="24" max="24" width="14.09765625" bestFit="1" customWidth="1"/>
    <col min="25" max="25" width="25.19921875" bestFit="1" customWidth="1"/>
    <col min="26" max="28" width="22.296875" bestFit="1" customWidth="1"/>
    <col min="29" max="29" width="21.19921875" customWidth="1"/>
    <col min="30" max="30" width="27.1992187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640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30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E1" zoomScaleNormal="75" zoomScaleSheetLayoutView="100" workbookViewId="0">
      <selection activeCell="N4" sqref="N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609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611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613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308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3</v>
      </c>
      <c r="R4">
        <v>4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3.5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3</v>
      </c>
      <c r="R5">
        <v>4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3.5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3</v>
      </c>
      <c r="R6">
        <v>4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3.5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3</v>
      </c>
      <c r="R9">
        <v>4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3.5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3</v>
      </c>
      <c r="R11">
        <v>4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3.5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t="s">
        <v>308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3"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3" zoomScaleNormal="75" zoomScaleSheetLayoutView="100" workbookViewId="0">
      <selection activeCell="F103" sqref="F103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561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561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561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624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624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624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624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562</v>
      </c>
      <c r="D4" t="b">
        <v>1</v>
      </c>
      <c r="E4">
        <v>0.8</v>
      </c>
      <c r="F4">
        <v>15</v>
      </c>
      <c r="G4" s="14" t="s">
        <v>626</v>
      </c>
    </row>
    <row r="5" spans="2:7">
      <c r="B5">
        <v>203</v>
      </c>
      <c r="C5" s="14" t="s">
        <v>625</v>
      </c>
      <c r="D5" t="b">
        <v>1</v>
      </c>
      <c r="E5">
        <v>1.2</v>
      </c>
      <c r="F5">
        <v>30</v>
      </c>
      <c r="G5" s="14" t="s">
        <v>643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70" zoomScaleNormal="70" zoomScaleSheetLayoutView="100" workbookViewId="0">
      <selection activeCell="F26" sqref="F26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631</v>
      </c>
      <c r="E8" s="19" t="s">
        <v>639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634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580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598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597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573</v>
      </c>
      <c r="E15" s="14" t="s">
        <v>623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581</v>
      </c>
      <c r="E16" s="14" t="s">
        <v>473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571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589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591</v>
      </c>
      <c r="E19" s="27" t="s">
        <v>603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557</v>
      </c>
      <c r="D20" s="19" t="s">
        <v>558</v>
      </c>
      <c r="E20" s="19" t="s">
        <v>642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574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585</v>
      </c>
      <c r="F21" s="27" t="s">
        <v>586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584</v>
      </c>
      <c r="E22" s="27" t="s">
        <v>629</v>
      </c>
      <c r="F22" s="27" t="s">
        <v>583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602</v>
      </c>
      <c r="F24" s="52" t="s">
        <v>601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564</v>
      </c>
      <c r="D25" s="27" t="s">
        <v>395</v>
      </c>
      <c r="E25" s="27" t="s">
        <v>636</v>
      </c>
      <c r="F25" s="27" t="s">
        <v>645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553</v>
      </c>
      <c r="D26" s="17" t="s">
        <v>604</v>
      </c>
      <c r="E26" s="21" t="s">
        <v>554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569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575</v>
      </c>
      <c r="D27" s="40" t="s">
        <v>582</v>
      </c>
      <c r="E27" s="40" t="s">
        <v>572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570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576</v>
      </c>
      <c r="D28" s="40" t="s">
        <v>578</v>
      </c>
      <c r="E28" s="40" t="s">
        <v>579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605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555</v>
      </c>
      <c r="D29" s="40" t="s">
        <v>577</v>
      </c>
      <c r="E29" s="40" t="s">
        <v>563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568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F30" sqref="F30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588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556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594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635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8"/>
  <sheetViews>
    <sheetView zoomScale="70" zoomScaleNormal="70" zoomScaleSheetLayoutView="100" workbookViewId="0">
      <selection activeCell="D24" sqref="D24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546</v>
      </c>
    </row>
    <row r="3" spans="2:11">
      <c r="B3">
        <v>7000</v>
      </c>
      <c r="C3" s="19" t="s">
        <v>186</v>
      </c>
      <c r="D3" s="19">
        <v>1</v>
      </c>
      <c r="E3" s="14" t="s">
        <v>637</v>
      </c>
      <c r="F3" s="19">
        <v>-1</v>
      </c>
      <c r="G3" s="21" t="s">
        <v>638</v>
      </c>
      <c r="H3" s="21"/>
    </row>
    <row r="4" spans="2:11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0.8</v>
      </c>
      <c r="E5" t="s">
        <v>346</v>
      </c>
      <c r="F5">
        <v>-1</v>
      </c>
      <c r="G5" s="17" t="s">
        <v>544</v>
      </c>
      <c r="H5" s="17"/>
    </row>
    <row r="6" spans="2:11">
      <c r="B6" s="27">
        <v>7003</v>
      </c>
      <c r="C6" s="48" t="s">
        <v>587</v>
      </c>
      <c r="D6" s="27">
        <v>0.2</v>
      </c>
      <c r="E6" t="s">
        <v>514</v>
      </c>
      <c r="F6" s="27">
        <v>5</v>
      </c>
      <c r="G6" s="20" t="s">
        <v>632</v>
      </c>
      <c r="H6" s="17"/>
    </row>
    <row r="7" spans="2:11">
      <c r="B7" s="19">
        <v>7004</v>
      </c>
      <c r="C7" s="11" t="s">
        <v>217</v>
      </c>
      <c r="D7">
        <v>0.7</v>
      </c>
      <c r="E7" t="s">
        <v>514</v>
      </c>
      <c r="F7">
        <v>-1</v>
      </c>
      <c r="G7" s="17" t="s">
        <v>542</v>
      </c>
      <c r="H7" s="17"/>
    </row>
    <row r="8" spans="2:11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545</v>
      </c>
      <c r="H8" s="17"/>
    </row>
    <row r="9" spans="2:11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621</v>
      </c>
      <c r="H9" s="46"/>
    </row>
    <row r="10" spans="2:11">
      <c r="B10" s="19">
        <v>8001</v>
      </c>
      <c r="C10" s="11" t="s">
        <v>317</v>
      </c>
      <c r="D10" s="14" t="s">
        <v>622</v>
      </c>
      <c r="E10" t="s">
        <v>514</v>
      </c>
      <c r="F10">
        <v>-1</v>
      </c>
      <c r="G10" s="17" t="s">
        <v>547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550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548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549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551</v>
      </c>
      <c r="H14" s="22"/>
    </row>
    <row r="15" spans="2:11">
      <c r="B15" s="19">
        <v>8004</v>
      </c>
      <c r="C15" s="51" t="s">
        <v>630</v>
      </c>
      <c r="D15">
        <v>3</v>
      </c>
      <c r="E15" t="s">
        <v>514</v>
      </c>
      <c r="F15">
        <v>-1</v>
      </c>
      <c r="G15" s="17" t="s">
        <v>590</v>
      </c>
      <c r="H15" s="22"/>
    </row>
    <row r="16" spans="2:11">
      <c r="B16" s="27">
        <v>9000</v>
      </c>
      <c r="C16" s="48" t="s">
        <v>217</v>
      </c>
      <c r="D16" s="27">
        <v>1.4</v>
      </c>
      <c r="E16" s="27" t="s">
        <v>346</v>
      </c>
      <c r="F16" s="27">
        <v>-1</v>
      </c>
      <c r="G16" s="20" t="s">
        <v>596</v>
      </c>
      <c r="H16" s="22"/>
    </row>
    <row r="17" spans="2:8">
      <c r="B17" s="27">
        <v>9000</v>
      </c>
      <c r="C17" s="48" t="s">
        <v>338</v>
      </c>
      <c r="D17" s="27">
        <v>0</v>
      </c>
      <c r="E17" s="27" t="s">
        <v>346</v>
      </c>
      <c r="F17" s="27">
        <v>-1</v>
      </c>
      <c r="G17" s="20" t="s">
        <v>592</v>
      </c>
      <c r="H17" s="22"/>
    </row>
    <row r="18" spans="2:8">
      <c r="B18" s="27">
        <v>9001</v>
      </c>
      <c r="C18" s="48" t="s">
        <v>595</v>
      </c>
      <c r="D18" s="27">
        <v>0.85</v>
      </c>
      <c r="E18" s="27" t="s">
        <v>346</v>
      </c>
      <c r="F18" s="27">
        <v>4</v>
      </c>
      <c r="G18" s="20" t="s">
        <v>628</v>
      </c>
      <c r="H18" s="22"/>
    </row>
    <row r="19" spans="2:8">
      <c r="B19" s="27">
        <v>9101</v>
      </c>
      <c r="C19" s="48" t="s">
        <v>595</v>
      </c>
      <c r="D19" s="27">
        <v>1.3</v>
      </c>
      <c r="E19" s="27" t="s">
        <v>346</v>
      </c>
      <c r="F19" s="27">
        <v>-1</v>
      </c>
      <c r="G19" s="20" t="s">
        <v>593</v>
      </c>
      <c r="H19" s="22"/>
    </row>
    <row r="20" spans="2:8">
      <c r="B20" s="19">
        <v>9002</v>
      </c>
      <c r="C20" t="s">
        <v>317</v>
      </c>
      <c r="D20">
        <v>1</v>
      </c>
      <c r="E20" t="s">
        <v>514</v>
      </c>
      <c r="F20">
        <v>-1</v>
      </c>
      <c r="G20" s="17" t="s">
        <v>552</v>
      </c>
      <c r="H20" s="22"/>
    </row>
    <row r="21" spans="2:8">
      <c r="B21" s="19">
        <v>9003</v>
      </c>
      <c r="C21" s="11" t="s">
        <v>55</v>
      </c>
      <c r="D21">
        <v>-50</v>
      </c>
      <c r="E21" t="s">
        <v>514</v>
      </c>
      <c r="F21">
        <v>-1</v>
      </c>
      <c r="G21" s="17" t="s">
        <v>599</v>
      </c>
      <c r="H21" s="22"/>
    </row>
    <row r="22" spans="2:8">
      <c r="B22" s="19">
        <v>9003</v>
      </c>
      <c r="C22" s="51" t="s">
        <v>587</v>
      </c>
      <c r="D22">
        <v>0.6</v>
      </c>
      <c r="E22" t="s">
        <v>514</v>
      </c>
      <c r="F22">
        <v>-1</v>
      </c>
      <c r="G22" s="17" t="s">
        <v>600</v>
      </c>
      <c r="H22" s="22"/>
    </row>
    <row r="23" spans="2:8">
      <c r="B23" s="19">
        <v>9104</v>
      </c>
      <c r="C23" s="14" t="s">
        <v>641</v>
      </c>
      <c r="D23">
        <v>2</v>
      </c>
      <c r="E23" s="14" t="s">
        <v>627</v>
      </c>
      <c r="F23">
        <v>-1</v>
      </c>
      <c r="G23" s="17" t="s">
        <v>644</v>
      </c>
      <c r="H23" s="22"/>
    </row>
    <row r="24" spans="2:8">
      <c r="B24" s="39">
        <v>10002</v>
      </c>
      <c r="C24" t="s">
        <v>2</v>
      </c>
      <c r="D24">
        <v>2.5</v>
      </c>
      <c r="E24" t="s">
        <v>346</v>
      </c>
      <c r="F24">
        <v>5</v>
      </c>
      <c r="G24" s="22"/>
      <c r="H24" s="22"/>
    </row>
    <row r="25" spans="2:8">
      <c r="B25" s="39">
        <v>10002</v>
      </c>
      <c r="C25" t="s">
        <v>28</v>
      </c>
      <c r="D25">
        <v>0.2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226</v>
      </c>
      <c r="D26">
        <v>3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217</v>
      </c>
      <c r="D27">
        <v>0.3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29</v>
      </c>
      <c r="D28">
        <v>2.5</v>
      </c>
      <c r="E28" t="s">
        <v>346</v>
      </c>
      <c r="F28">
        <v>5</v>
      </c>
      <c r="G28" s="22"/>
      <c r="H2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559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567</v>
      </c>
      <c r="L2" s="37" t="s">
        <v>566</v>
      </c>
    </row>
    <row r="3" spans="2:12">
      <c r="B3" s="19">
        <v>8006</v>
      </c>
      <c r="C3" s="21" t="s">
        <v>560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633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tabSelected="1"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2023-08-23T11:28:35Z</dcterms:modified>
  <cp:version>1200.0100.01</cp:version>
</cp:coreProperties>
</file>