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16A4BC1F-EF29-4D3C-AE95-6898755677A0}" xr6:coauthVersionLast="47" xr6:coauthVersionMax="47" xr10:uidLastSave="{00000000-0000-0000-0000-000000000000}"/>
  <bookViews>
    <workbookView xWindow="-108" yWindow="-108" windowWidth="23256" windowHeight="12456" firstSheet="11" activeTab="13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9" l="1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P25" i="19" s="1"/>
  <c r="G28" i="13"/>
  <c r="G31" i="13"/>
  <c r="G30" i="13"/>
  <c r="G29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7" i="19" l="1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<sst xmlns="http://schemas.openxmlformats.org/spreadsheetml/2006/main" count="2609" uniqueCount="1062">
  <si>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</si>
  <si>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</si>
  <si>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</si>
  <si>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</si>
  <si>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</si>
  <si>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</si>
  <si>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</si>
  <si>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</si>
  <si>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</si>
  <si>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</si>
  <si>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</si>
  <si>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</si>
  <si>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</si>
  <si>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</si>
  <si>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</si>
  <si>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</si>
  <si>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</si>
  <si>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</si>
  <si>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</si>
  <si>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</si>
  <si>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</si>
  <si>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</si>
  <si>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</si>
  <si>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</si>
  <si>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</si>
  <si>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</si>
  <si>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</si>
  <si>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</si>
  <si>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</si>
  <si>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</si>
  <si>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</si>
  <si>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</si>
  <si>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</si>
  <si>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</si>
  <si>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</si>
  <si>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</si>
  <si>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</si>
  <si>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</si>
  <si>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</si>
  <si>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</si>
  <si>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</si>
  <si>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</si>
  <si>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</si>
  <si>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</si>
  <si>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</si>
  <si>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</si>
  <si>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</si>
  <si>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</si>
  <si>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</si>
  <si>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</si>
  <si>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</si>
  <si>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</si>
  <si>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</si>
  <si>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</si>
  <si>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</si>
  <si>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</si>
  <si>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</si>
  <si>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</si>
  <si>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</si>
  <si>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</si>
  <si>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</si>
  <si>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</si>
  <si>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</si>
  <si>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</si>
  <si>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</si>
  <si>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</si>
  <si>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</si>
  <si>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</si>
  <si>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</si>
  <si>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</si>
  <si>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</si>
  <si>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</si>
  <si>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</si>
  <si>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</si>
  <si>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</si>
  <si>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</si>
  <si>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</si>
  <si>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</si>
  <si>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</si>
  <si>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</si>
  <si>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</si>
  <si>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</si>
  <si>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</si>
  <si>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</si>
  <si>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</si>
  <si>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</si>
  <si>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</si>
  <si>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</si>
  <si>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</si>
  <si>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</si>
  <si>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</si>
  <si>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</si>
  <si>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</si>
  <si>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</si>
  <si>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</si>
  <si>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</si>
  <si>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</si>
  <si>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</si>
  <si>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</si>
  <si>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</si>
  <si>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</si>
  <si>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</si>
  <si>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</si>
  <si>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</si>
  <si>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</si>
  <si>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</si>
  <si>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</si>
  <si>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</si>
  <si>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</si>
  <si>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</si>
  <si>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</si>
  <si>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</si>
  <si>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</si>
  <si>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</si>
  <si>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</si>
  <si>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</si>
  <si>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</si>
  <si>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</si>
  <si>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</si>
  <si>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</si>
  <si>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</si>
  <si>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</si>
  <si>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</si>
  <si>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</si>
  <si>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</si>
  <si>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</si>
  <si>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</si>
  <si>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</si>
  <si>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</si>
  <si>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</si>
  <si>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</si>
  <si>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</si>
  <si>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</si>
  <si>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</si>
  <si>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</si>
  <si>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</si>
  <si>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</si>
  <si>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</si>
  <si>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</si>
  <si>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</si>
  <si>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</si>
  <si>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</si>
  <si>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</si>
  <si>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</si>
  <si>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</si>
  <si>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</si>
  <si>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</si>
  <si>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</si>
  <si>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</si>
  <si>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</si>
  <si>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</si>
  <si>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</si>
  <si>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</si>
  <si>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</si>
  <si>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</si>
  <si>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</si>
  <si>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</si>
  <si>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</si>
  <si>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</si>
  <si>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</si>
  <si>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</si>
  <si>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</si>
  <si>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</si>
  <si>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</si>
  <si>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</si>
  <si>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</si>
  <si>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</si>
  <si>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</si>
  <si>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</si>
  <si>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</si>
  <si>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</si>
  <si>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</si>
  <si>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</si>
  <si>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</si>
  <si>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</si>
  <si>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</si>
  <si>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</si>
  <si>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</si>
  <si>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</si>
  <si>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</si>
  <si>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</si>
  <si>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</si>
  <si>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</si>
  <si>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</si>
  <si>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</si>
  <si>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</si>
  <si>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</si>
  <si>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</si>
  <si>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</si>
  <si>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</si>
  <si>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</si>
  <si>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</si>
  <si>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</si>
  <si>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</si>
  <si>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</si>
  <si>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</si>
  <si>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</si>
  <si>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</si>
  <si>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</si>
  <si>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</si>
  <si>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</si>
  <si>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</si>
  <si>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</si>
  <si>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</si>
  <si>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</si>
  <si>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</si>
  <si>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</si>
  <si>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</si>
  <si>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</si>
  <si>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</si>
  <si>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</si>
  <si>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</si>
  <si>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</si>
  <si>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</si>
  <si>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</si>
  <si>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</si>
  <si>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</si>
  <si>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</si>
  <si>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</si>
  <si>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</si>
  <si>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</si>
  <si>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</si>
  <si>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</si>
  <si>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</si>
  <si>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</si>
  <si>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</si>
  <si>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</si>
  <si>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</si>
  <si>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</si>
  <si>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</si>
  <si>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</si>
  <si>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</si>
  <si>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</si>
  <si>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</si>
  <si>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</si>
  <si>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</si>
  <si>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</si>
  <si>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</si>
  <si>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</si>
  <si>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</si>
  <si>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</si>
  <si>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</si>
  <si>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</si>
  <si>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</si>
  <si>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</si>
  <si>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</si>
  <si>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</si>
  <si>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</si>
  <si>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</si>
  <si>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</si>
  <si>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</si>
  <si>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</si>
  <si>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</si>
  <si>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</si>
  <si>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</si>
  <si>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</si>
  <si>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</si>
  <si>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</si>
  <si>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</si>
  <si>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</si>
  <si>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</si>
  <si>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</si>
  <si>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</si>
  <si>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</si>
  <si>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</si>
  <si>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</si>
  <si>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</si>
  <si>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</si>
  <si>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</si>
  <si>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</si>
  <si>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</si>
  <si>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</si>
  <si>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</si>
  <si>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</si>
  <si>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</si>
  <si>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</si>
  <si>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</si>
  <si>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</si>
  <si>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</si>
  <si>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</si>
  <si>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</si>
  <si>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</si>
  <si>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</si>
  <si>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</si>
  <si>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</si>
  <si>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</si>
  <si>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</si>
  <si>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</si>
  <si>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</si>
  <si>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</si>
  <si>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</si>
  <si>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</si>
  <si>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</si>
  <si>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</si>
  <si>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</si>
  <si>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</si>
  <si>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</si>
  <si>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</si>
  <si>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</si>
  <si>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</si>
  <si>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</si>
  <si>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</si>
  <si>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</si>
  <si>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</si>
  <si>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</si>
  <si>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</si>
  <si>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</si>
  <si>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</si>
  <si>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</si>
  <si>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</si>
  <si>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</si>
  <si>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</si>
  <si>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</si>
  <si>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</si>
  <si>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</si>
  <si>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</si>
  <si>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</si>
  <si>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</si>
  <si>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</si>
  <si>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</si>
  <si>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</si>
  <si>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</si>
  <si>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</si>
  <si>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</si>
  <si>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</si>
  <si>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</si>
  <si>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</si>
  <si>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</si>
  <si>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</si>
  <si>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</si>
  <si>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</si>
  <si>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</si>
  <si>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</si>
  <si>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</si>
  <si>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</si>
  <si>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</si>
  <si>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</si>
  <si>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</si>
  <si>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</si>
  <si>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</si>
  <si>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</si>
  <si>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</si>
  <si>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</si>
  <si>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</si>
  <si>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</si>
  <si>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</si>
  <si>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</si>
  <si>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</si>
  <si>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</si>
  <si>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</si>
  <si>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</si>
  <si>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</si>
  <si>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</si>
  <si>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</si>
  <si>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</si>
  <si>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</si>
  <si>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</si>
  <si>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</si>
  <si>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</si>
  <si>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</si>
  <si>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</si>
  <si>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</si>
  <si>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</si>
  <si>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</si>
  <si>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</si>
  <si>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</si>
  <si>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</si>
  <si>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</si>
  <si>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</si>
  <si>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</si>
  <si>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</si>
  <si>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</si>
  <si>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</si>
  <si>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</si>
  <si>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</si>
  <si>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</si>
  <si>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</si>
  <si>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</si>
  <si>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</si>
  <si>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</si>
  <si>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</si>
  <si>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</si>
  <si>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</si>
  <si>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</si>
  <si>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</si>
  <si>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</si>
  <si>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</si>
  <si>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</si>
  <si>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</si>
  <si>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</si>
  <si>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</si>
  <si>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</si>
  <si>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</si>
  <si>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</si>
  <si>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</si>
  <si>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</si>
  <si>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</si>
  <si>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</si>
  <si>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</si>
  <si>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</si>
  <si>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</si>
  <si>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</si>
  <si>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</si>
  <si>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</si>
  <si>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</si>
  <si>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</si>
  <si>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</si>
  <si>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</si>
  <si>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</si>
  <si>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</si>
  <si>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</si>
  <si>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</si>
  <si>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</si>
  <si>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</si>
  <si>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</si>
  <si>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</si>
  <si>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</si>
  <si>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</si>
  <si>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</si>
  <si>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</si>
  <si>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</si>
  <si>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</si>
  <si>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</si>
  <si>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</si>
  <si>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</si>
  <si>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</si>
  <si>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</si>
  <si>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</si>
  <si>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</si>
  <si>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</si>
  <si>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</si>
  <si>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</si>
  <si>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</si>
  <si>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</si>
  <si>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</si>
  <si>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</si>
  <si>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</si>
  <si>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</si>
  <si>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</si>
  <si>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</si>
  <si>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</si>
  <si>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</si>
  <si>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</si>
  <si>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</si>
  <si>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</si>
  <si>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</si>
  <si>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</si>
  <si>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</si>
  <si>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</si>
  <si>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</si>
  <si>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</si>
  <si>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</si>
  <si>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</si>
  <si>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</si>
  <si>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</si>
  <si>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</si>
  <si>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</si>
  <si>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</si>
  <si>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</si>
  <si>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</si>
  <si>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</si>
  <si>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</si>
  <si>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</si>
  <si>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</si>
  <si>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</si>
  <si>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</si>
  <si>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</si>
  <si>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</si>
  <si>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</si>
  <si>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</si>
  <si>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</si>
  <si>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</si>
  <si>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</si>
  <si>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</si>
  <si>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</si>
  <si>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</si>
  <si>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</si>
  <si>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</si>
  <si>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</si>
  <si>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</si>
  <si>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</si>
  <si>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</si>
  <si>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</si>
  <si>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</si>
  <si>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</si>
  <si>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</si>
  <si>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</si>
  <si>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</si>
  <si>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</si>
  <si>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</si>
  <si>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</si>
  <si>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</si>
  <si>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</si>
  <si>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</si>
  <si>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</si>
  <si>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</si>
  <si>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</si>
  <si>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</si>
  <si>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</si>
  <si>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</si>
  <si>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</si>
  <si>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</si>
  <si>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</si>
  <si>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</si>
  <si>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</si>
  <si>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</si>
  <si>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</si>
  <si>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</si>
  <si>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</si>
  <si>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</si>
  <si>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</si>
  <si>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</si>
  <si>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</si>
  <si>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</si>
  <si>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</si>
  <si>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</si>
  <si>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</si>
  <si>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</si>
  <si>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</si>
  <si>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</si>
  <si>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</si>
  <si>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</si>
  <si>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</si>
  <si>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</si>
  <si>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</si>
  <si>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</si>
  <si>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</si>
  <si>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</si>
  <si>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</si>
  <si>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</si>
  <si>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</si>
  <si>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</si>
  <si>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</si>
  <si>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</si>
  <si>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</si>
  <si>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</si>
  <si>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</si>
  <si>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</si>
  <si>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</si>
  <si>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</si>
  <si>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</si>
  <si>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</si>
  <si>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</si>
  <si>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</si>
  <si>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</si>
  <si>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</si>
  <si>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</si>
  <si>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</si>
  <si>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</si>
  <si>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</si>
  <si>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</si>
  <si>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</si>
  <si>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</si>
  <si>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</si>
  <si>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</si>
  <si>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</si>
  <si>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</si>
  <si>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</si>
  <si>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</si>
  <si>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</si>
  <si>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</si>
  <si>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</si>
  <si>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</si>
  <si>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</si>
  <si>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</si>
  <si>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</si>
  <si>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</si>
  <si>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</si>
  <si>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</si>
  <si>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</si>
  <si>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</si>
  <si>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</si>
  <si>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</si>
  <si>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</si>
  <si>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</si>
  <si>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</si>
  <si>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</si>
  <si>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</si>
  <si>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</si>
  <si>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</si>
  <si>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</si>
  <si>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</si>
  <si>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</si>
  <si>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</si>
  <si>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</si>
  <si>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</si>
  <si>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</si>
  <si>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</si>
  <si>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</si>
  <si>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</si>
  <si>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</si>
  <si>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</si>
  <si>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</si>
  <si>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</si>
  <si>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</si>
  <si>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</si>
  <si>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</si>
  <si>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</si>
  <si>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</si>
  <si>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</si>
  <si>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</si>
  <si>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</si>
  <si>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</si>
  <si>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</si>
  <si>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</si>
  <si>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</si>
  <si>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</si>
  <si>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</si>
  <si>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</si>
  <si>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</si>
  <si>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</si>
  <si>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</si>
  <si>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</si>
  <si>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</si>
  <si>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</si>
  <si>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</si>
  <si>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</si>
  <si>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</si>
  <si>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</si>
  <si>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</si>
  <si>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</si>
  <si>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</si>
  <si>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</si>
  <si>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</si>
  <si>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</si>
  <si>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</si>
  <si>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</si>
  <si>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</si>
  <si>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</si>
  <si>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</si>
  <si>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</si>
  <si>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</si>
  <si>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</si>
  <si>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</si>
  <si>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</si>
  <si>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</si>
  <si>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</si>
  <si>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</si>
  <si>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</si>
  <si>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</si>
  <si>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</si>
  <si>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</si>
  <si>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</si>
  <si>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</si>
  <si>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</si>
  <si>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</si>
  <si>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</si>
  <si>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</si>
  <si>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</si>
  <si>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</si>
  <si>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</si>
  <si>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</si>
  <si>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</si>
  <si>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</si>
  <si>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</si>
  <si>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</si>
  <si>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</si>
  <si>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</si>
  <si>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</si>
  <si>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</si>
  <si>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</si>
  <si>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</si>
  <si>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</si>
  <si>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</si>
  <si>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</si>
  <si>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</si>
  <si>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</si>
  <si>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</si>
  <si>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</si>
  <si>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</si>
  <si>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</si>
  <si>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</si>
  <si>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</si>
  <si>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</si>
  <si>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</si>
  <si>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</si>
  <si>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</si>
  <si>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</si>
  <si>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</si>
  <si>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</si>
  <si>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</si>
  <si>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</si>
  <si>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</si>
  <si>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</si>
  <si>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</si>
  <si>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</si>
  <si>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</si>
  <si>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</si>
  <si>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</si>
  <si>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</si>
  <si>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</si>
  <si>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</si>
  <si>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</si>
  <si>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</si>
  <si>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</si>
  <si>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</si>
  <si>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</si>
  <si>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</si>
  <si>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</si>
  <si>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</si>
  <si>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</si>
  <si>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</si>
  <si>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</si>
  <si>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</si>
  <si>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</si>
  <si>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</si>
  <si>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</si>
  <si>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</si>
  <si>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</si>
  <si>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</si>
  <si>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</si>
  <si>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</si>
  <si>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</si>
  <si>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</si>
  <si>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</si>
  <si>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</si>
  <si>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</si>
  <si>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</si>
  <si>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</si>
  <si>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</si>
  <si>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</si>
  <si>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</si>
  <si>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</si>
  <si>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</si>
  <si>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</si>
  <si>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</si>
  <si>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</si>
  <si>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</si>
  <si>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</si>
  <si>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</si>
  <si>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</si>
  <si>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</si>
  <si>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</si>
  <si>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</si>
  <si>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</si>
  <si>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</si>
  <si>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</si>
  <si>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</si>
  <si>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</si>
  <si>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</si>
  <si>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</si>
  <si>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</si>
  <si>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</si>
  <si>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</si>
  <si>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</si>
  <si>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</si>
  <si>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</si>
  <si>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</si>
  <si>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</si>
  <si>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</si>
  <si>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</si>
  <si>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</si>
  <si>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</si>
  <si>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</si>
  <si>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</si>
  <si>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</si>
  <si>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</si>
  <si>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</si>
  <si>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</si>
  <si>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</si>
  <si>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</si>
  <si>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</si>
  <si>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</si>
  <si>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</si>
  <si>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</si>
  <si>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</si>
  <si>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</si>
  <si>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</si>
  <si>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</si>
  <si>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</si>
  <si>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</si>
  <si>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</si>
  <si>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</si>
  <si>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</si>
  <si>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</si>
  <si>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</si>
  <si>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</si>
  <si>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</si>
  <si>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</si>
  <si>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</si>
  <si>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</si>
  <si>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</si>
  <si>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</si>
  <si>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</si>
  <si>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</si>
  <si>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</si>
  <si>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</si>
  <si>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</si>
  <si>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</si>
  <si>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</si>
  <si>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</si>
  <si>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</si>
  <si>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</si>
  <si>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</si>
  <si>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</si>
  <si>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</si>
  <si>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</si>
  <si>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</si>
  <si>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</si>
  <si>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</si>
  <si>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</si>
  <si>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</si>
  <si>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</si>
  <si>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</si>
  <si>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</si>
  <si>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</si>
  <si>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</si>
  <si>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</si>
  <si>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</si>
  <si>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</si>
  <si>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</si>
  <si>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</si>
  <si>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</si>
  <si>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</si>
  <si>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</si>
  <si>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</si>
  <si>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</si>
  <si>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</si>
  <si>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</si>
  <si>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</si>
  <si>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</si>
  <si>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</si>
  <si>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</si>
  <si>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</si>
  <si>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</si>
  <si>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</si>
  <si>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</si>
  <si>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</si>
  <si>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</si>
  <si>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</si>
  <si>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</si>
  <si>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</si>
  <si>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</si>
  <si>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</si>
  <si>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</si>
  <si>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</si>
  <si>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</si>
  <si>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</si>
  <si>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</si>
  <si>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</si>
  <si>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</si>
  <si>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</si>
  <si>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</si>
  <si>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</si>
  <si>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</si>
  <si>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</si>
  <si>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</si>
  <si>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</si>
  <si>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</si>
  <si>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</si>
  <si>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</si>
  <si>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</si>
  <si>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</si>
  <si>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</si>
  <si>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</si>
  <si>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</si>
  <si>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</si>
  <si>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</si>
  <si>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</si>
  <si>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</si>
  <si>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</si>
  <si>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</si>
  <si>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</si>
  <si>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</si>
  <si>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</si>
  <si>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</si>
  <si>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</si>
  <si>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</si>
  <si>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</si>
  <si>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</si>
  <si>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</si>
  <si>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</si>
  <si>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</si>
  <si>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</si>
  <si>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</si>
  <si>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</si>
  <si>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</si>
  <si>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</si>
  <si>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</si>
  <si>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</si>
  <si>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</si>
  <si>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</si>
  <si>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</si>
  <si>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</si>
  <si>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</si>
  <si>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</si>
  <si>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</si>
  <si>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</si>
  <si>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</si>
  <si>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</si>
  <si>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</si>
  <si>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</si>
  <si>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</si>
  <si>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</si>
  <si>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</si>
  <si>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</si>
  <si>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</si>
  <si>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</si>
  <si>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</si>
  <si>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</si>
  <si>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</si>
  <si>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</si>
  <si>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</si>
  <si>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</si>
  <si>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</si>
  <si>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</si>
  <si>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</si>
  <si>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</si>
  <si>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</si>
  <si>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</si>
  <si>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</si>
  <si>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</si>
  <si>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</si>
  <si>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</si>
  <si>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</si>
  <si>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</si>
  <si>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</si>
  <si>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</si>
  <si>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</si>
  <si>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</si>
  <si>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</si>
  <si>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</si>
  <si>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</si>
  <si>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</si>
  <si>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</si>
  <si>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</si>
  <si>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</si>
  <si>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</si>
  <si>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</si>
  <si>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</si>
  <si>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</si>
  <si>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</si>
  <si>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</si>
  <si>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</si>
  <si>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</si>
  <si>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</si>
  <si>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</si>
  <si>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</si>
  <si>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</si>
  <si>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</si>
  <si>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</si>
  <si>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</si>
  <si>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</si>
  <si>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</si>
  <si>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</si>
  <si>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</si>
  <si>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</si>
  <si>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</si>
  <si>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</si>
  <si>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</si>
  <si>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</si>
  <si>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</si>
  <si>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</si>
  <si>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</si>
  <si>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</si>
  <si>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</si>
  <si>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</si>
  <si>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</si>
  <si>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</si>
  <si>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</si>
  <si>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</si>
  <si>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</si>
  <si>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</si>
  <si>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</si>
  <si>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</si>
  <si>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</si>
  <si>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</si>
  <si>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</si>
  <si>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</si>
  <si>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</si>
  <si>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</si>
  <si>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</si>
  <si>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</si>
  <si>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</si>
  <si>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</si>
  <si>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</si>
  <si>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</si>
  <si>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</si>
  <si>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</si>
  <si>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</si>
  <si>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</si>
  <si>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</si>
  <si>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</si>
  <si>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</si>
  <si>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</si>
  <si>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</si>
  <si>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</si>
  <si>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</si>
  <si>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</si>
  <si>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</si>
  <si>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</si>
  <si>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</si>
  <si>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</si>
  <si>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</si>
  <si>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</si>
  <si>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</si>
  <si>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</si>
  <si>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</si>
  <si>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</si>
  <si>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</si>
  <si>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</si>
  <si>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</si>
  <si>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</si>
  <si>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</si>
  <si>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</si>
  <si>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</si>
  <si>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</si>
  <si>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패링 시 5초간\n차징 속도 +20%</t>
    <phoneticPr fontId="6" type="noConversion"/>
  </si>
  <si>
    <t>When Parry,\nincreases Charge speed by 20% for 5 seconds.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</si>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</sst>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3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Light Style 1 - Accent 1" table="0" count="7" xr9:uid="{00000000-0011-0000-FFFF-FFFF01000000}">
      <tableStyleElement type="wholeTable" dxfId="175"/>
      <tableStyleElement type="headerRow" dxfId="174"/>
      <tableStyleElement type="totalRow" dxfId="173"/>
      <tableStyleElement type="firstColumn" dxfId="172"/>
      <tableStyleElement type="lastColumn" dxfId="171"/>
      <tableStyleElement type="firstRowStripe" dxfId="170"/>
      <tableStyleElement type="firstColumnStripe" dxfId="169"/>
    </tableStyle>
    <tableStyle name="표 스타일 1" pivot="0" count="4" xr9:uid="{00000000-0011-0000-FFFF-FFFF02000000}">
      <tableStyleElement type="wholeTable" dxfId="168"/>
      <tableStyleElement type="headerRow" dxfId="167"/>
      <tableStyleElement type="firstRowStripe" dxfId="166"/>
      <tableStyleElement type="secondRowStripe" dxfId="165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3">
  <autoFilter ref="B12:G42" xr:uid="{00000000-0009-0000-0100-00000B000000}"/>
  <tableColumns count="6">
    <tableColumn id="11" xr3:uid="{00000000-0010-0000-0100-00000B000000}" name="층" dataDxfId="16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1"/>
    <tableColumn id="6" xr3:uid="{00000000-0010-0000-0100-000006000000}" name="평균획득골드" totalsRowFunction="average" dataDxfId="16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8" totalsRowDxfId="157"/>
    <tableColumn id="2" xr3:uid="{00000000-0010-0000-0300-000002000000}" name="개수" dataDxfId="15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2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0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4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48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4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6" dataDxfId="145">
  <autoFilter ref="B11:F42" xr:uid="{00000000-0009-0000-0100-000008000000}"/>
  <tableColumns count="5">
    <tableColumn id="1" xr3:uid="{00000000-0010-0000-0600-000001000000}" name="스텟" dataDxfId="144"/>
    <tableColumn id="2" xr3:uid="{00000000-0010-0000-0600-000002000000}" name="참조 테이블" dataDxfId="143"/>
    <tableColumn id="3" xr3:uid="{00000000-0010-0000-0600-000003000000}" name="설명" dataDxfId="142"/>
    <tableColumn id="4" xr3:uid="{00000000-0010-0000-0600-000004000000}" name="Value 1당 가치" dataDxfId="141"/>
    <tableColumn id="5" xr3:uid="{00000000-0010-0000-0600-000005000000}" name="OP계수" dataDxfId="14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39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38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37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6">
      <calculatedColumnFormula array="1">표27[최종 DPS]</calculatedColumnFormula>
    </tableColumn>
    <tableColumn id="10" xr3:uid="{00000000-0010-0000-0900-00000A000000}" name="예상 전투 시간" dataDxfId="13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4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2">
  <autoFilter ref="H12:L13" xr:uid="{00000000-0009-0000-0100-000019000000}"/>
  <tableColumns count="5">
    <tableColumn id="1" xr3:uid="{00000000-0010-0000-0B00-000001000000}" name="직접 공격 DPS" dataDxfId="131">
      <calculatedColumnFormula array="1">CharacterAtkTable[ChargeRigidDmg1]/CharacterAtkTable[SwingCooldown]</calculatedColumnFormula>
    </tableColumn>
    <tableColumn id="2" xr3:uid="{00000000-0010-0000-0B00-000002000000}" name="직접 차징 DPS" dataDxfId="130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29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28">
      <calculatedColumnFormula array="1">CharacterAtkTable[EnemyProjectileDmg]*표26[적에게 튕김 기댓값]</calculatedColumnFormula>
    </tableColumn>
    <tableColumn id="5" xr3:uid="{00000000-0010-0000-0B00-000005000000}" name="차징공격 DPS" dataDxfId="12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6"/>
    <tableColumn id="2" xr3:uid="{00000000-0010-0000-0D00-000002000000}" name="최종 DPS" dataDxfId="125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3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2" dataDxfId="121">
  <autoFilter ref="B45:F54" xr:uid="{00000000-0009-0000-0100-00001C000000}"/>
  <tableColumns count="5">
    <tableColumn id="1" xr3:uid="{00000000-0010-0000-0F00-000001000000}" name="트리거" dataDxfId="120"/>
    <tableColumn id="2" xr3:uid="{00000000-0010-0000-0F00-000002000000}" name="발동 여부" dataDxfId="119"/>
    <tableColumn id="3" xr3:uid="{00000000-0010-0000-0F00-000003000000}" name="발동에 걸리는 시간" dataDxfId="118"/>
    <tableColumn id="4" xr3:uid="{00000000-0010-0000-0F00-000004000000}" name="발동율" dataDxfId="117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5">
  <autoFilter ref="B57:F66" xr:uid="{00000000-0009-0000-0100-00001D000000}"/>
  <tableColumns count="5">
    <tableColumn id="1" xr3:uid="{00000000-0010-0000-1000-000001000000}" name="특수 이펙트 명칭" dataDxfId="114"/>
    <tableColumn id="2" xr3:uid="{00000000-0010-0000-1000-000002000000}" name="열1" dataDxfId="113"/>
    <tableColumn id="3" xr3:uid="{00000000-0010-0000-1000-000003000000}" name="설명" dataDxfId="112"/>
    <tableColumn id="4" xr3:uid="{00000000-0010-0000-1000-000004000000}" name="1당 가치" dataDxfId="111">
      <calculatedColumnFormula>E14</calculatedColumnFormula>
    </tableColumn>
    <tableColumn id="5" xr3:uid="{00000000-0010-0000-1000-000005000000}" name="OP계수" dataDxfId="11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09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08"/>
    <tableColumn id="3" xr3:uid="{00000000-0010-0000-1100-000003000000}" name="value"/>
    <tableColumn id="4" xr3:uid="{00000000-0010-0000-1100-000004000000}" name="#설명" dataDxfId="10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6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5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4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3"/>
    <tableColumn id="7" xr3:uid="{00000000-0010-0000-1300-000007000000}" name="SwingCooldown" dataDxfId="102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1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0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99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98"/>
    <tableColumn id="14" xr3:uid="{00000000-0010-0000-1400-00000E000000}" name="#드랍테이블2" dataDxfId="97"/>
    <tableColumn id="15" xr3:uid="{00000000-0010-0000-1400-00000F000000}" name="#드랍테이블3" dataDxfId="96"/>
    <tableColumn id="16" xr3:uid="{00000000-0010-0000-1400-000010000000}" name="#드랍테이블4" dataDxfId="95"/>
    <tableColumn id="17" xr3:uid="{00000000-0010-0000-1400-000011000000}" name="#드랍테이블5" dataDxfId="94"/>
    <tableColumn id="18" xr3:uid="{00000000-0010-0000-1400-000012000000}" name="#드랍테이블6" dataDxfId="9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2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1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0"/>
    <tableColumn id="19" xr3:uid="{00000000-0010-0000-1600-000013000000}" name="#desc" dataDxfId="89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88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87"/>
    <tableColumn id="17" xr3:uid="{00000000-0010-0000-1600-000011000000}" name="#기준 적 체력 비율"/>
    <tableColumn id="18" xr3:uid="{00000000-0010-0000-1600-000012000000}" name="#평균 드랍 골드" dataDxfId="8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5"/>
    <tableColumn id="3" xr3:uid="{00000000-0010-0000-1700-000003000000}" name="ShootDataId" dataDxfId="84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3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1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0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79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1" dataDxfId="70">
  <autoFilter ref="B2:R33" xr:uid="{00000000-0009-0000-0100-000004000000}"/>
  <tableColumns count="17">
    <tableColumn id="1" xr3:uid="{00000000-0010-0000-1A00-000001000000}" name="#Index 참조용" dataDxfId="6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68">
      <calculatedColumnFormula>INDEX(LocaleTable[LocaleKR],MATCH(ItemTable[[#This Row],[Name]],LocaleTable[StringKey],0))</calculatedColumnFormula>
    </tableColumn>
    <tableColumn id="13" xr3:uid="{00000000-0010-0000-1A00-00000D000000}" name="#설명" dataDxfId="67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6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5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4">
      <calculatedColumnFormula>ItemTable[[#This Row],['#Index 참조용]]</calculatedColumnFormula>
    </tableColumn>
    <tableColumn id="2" xr3:uid="{00000000-0010-0000-1A00-000002000000}" name="Name" dataDxfId="63"/>
    <tableColumn id="3" xr3:uid="{00000000-0010-0000-1A00-000003000000}" name="Desc" dataDxfId="62"/>
    <tableColumn id="18" xr3:uid="{00000000-0010-0000-1A00-000012000000}" name="PlusDesc" dataDxfId="61"/>
    <tableColumn id="19" xr3:uid="{00000000-0010-0000-1A00-000013000000}" name="MinusDesc" dataDxfId="60"/>
    <tableColumn id="4" xr3:uid="{00000000-0010-0000-1A00-000004000000}" name="GradeType" dataDxfId="59"/>
    <tableColumn id="10" xr3:uid="{00000000-0010-0000-1A00-00000A000000}" name="MaxStack" dataDxfId="58"/>
    <tableColumn id="5" xr3:uid="{00000000-0010-0000-1A00-000005000000}" name="Value" dataDxfId="57"/>
    <tableColumn id="6" xr3:uid="{00000000-0010-0000-1A00-000006000000}" name="CostHp" dataDxfId="56"/>
    <tableColumn id="7" xr3:uid="{00000000-0010-0000-1A00-000007000000}" name="CostGold" dataDxfId="55"/>
    <tableColumn id="8" xr3:uid="{00000000-0010-0000-1A00-000008000000}" name="ItemEffectDataId" dataDxfId="54"/>
    <tableColumn id="9" xr3:uid="{00000000-0010-0000-1A00-000009000000}" name="ItemIconPath" dataDxfId="5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2">
  <autoFilter ref="B2:S41" xr:uid="{00000000-0009-0000-0100-000001000000}"/>
  <tableColumns count="18">
    <tableColumn id="2" xr3:uid="{00000000-0010-0000-1B00-000002000000}" name="#이름" dataDxfId="51">
      <calculatedColumnFormula>INDEX(ItemTable['#이름],MATCH(ItemEffectTable[[#This Row],[Index]],ItemTable[ItemEffectDataId],0))</calculatedColumnFormula>
    </tableColumn>
    <tableColumn id="3" xr3:uid="{00000000-0010-0000-1B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B00-000004000000}" name="Index" dataDxfId="49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48"/>
    <tableColumn id="12" xr3:uid="{00000000-0010-0000-1B00-00000C000000}" name="ConditionValue"/>
    <tableColumn id="1" xr3:uid="{00000000-0010-0000-1B00-000001000000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39">
  <autoFilter ref="B2:U35" xr:uid="{00000000-0009-0000-0100-000016000000}"/>
  <tableColumns count="20">
    <tableColumn id="3" xr3:uid="{00000000-0010-0000-1C00-000003000000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6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3"/>
    <tableColumn id="8" xr3:uid="{00000000-0010-0000-1C00-000008000000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0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2">
  <autoFilter ref="B2:N25" xr:uid="{00000000-0009-0000-0100-000017000000}"/>
  <tableColumns count="13">
    <tableColumn id="4" xr3:uid="{00000000-0010-0000-1D00-000004000000}" name="Index" dataDxfId="21"/>
    <tableColumn id="7" xr3:uid="{00000000-0010-0000-1D00-000007000000}" name="#명칭" dataDxfId="2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19"/>
    <tableColumn id="13" xr3:uid="{00000000-0010-0000-1D00-00000D000000}" name="Param2"/>
    <tableColumn id="2" xr3:uid="{00000000-0010-0000-1D00-000002000000}" name="#Param2설명" dataDxfId="18"/>
    <tableColumn id="14" xr3:uid="{00000000-0010-0000-1D00-00000E000000}" name="Param3"/>
    <tableColumn id="3" xr3:uid="{00000000-0010-0000-1D00-000003000000}" name="#Param3설명" dataDxfId="17"/>
    <tableColumn id="8" xr3:uid="{00000000-0010-0000-1D00-000008000000}" name="Param4" dataDxfId="16"/>
    <tableColumn id="9" xr3:uid="{00000000-0010-0000-1D00-000009000000}" name="#Param3설명3" dataDxfId="15"/>
    <tableColumn id="10" xr3:uid="{00000000-0010-0000-1D00-00000A000000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2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1"/>
    <tableColumn id="3" xr3:uid="{00000000-0010-0000-1E00-000003000000}" name="#리소스 유형" dataDxfId="10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F00-000001000000}" name="StringKey" dataDxfId="7"/>
    <tableColumn id="2" xr3:uid="{00000000-0010-0000-1F00-000002000000}" name="LocaleKR" dataDxfId="6"/>
    <tableColumn id="3" xr3:uid="{00000000-0010-0000-1F00-000003000000}" name="LocaleUS" dataDxfId="5"/>
    <tableColumn id="6" xr3:uid="{00000000-0010-0000-1F00-000006000000}" name="#컴포넌트1" dataDxfId="4"/>
    <tableColumn id="7" xr3:uid="{00000000-0010-0000-1F00-000007000000}" name="#컴포넌트2" dataDxfId="3"/>
    <tableColumn id="8" xr3:uid="{00000000-0010-0000-1F00-000008000000}" name="#컴포넌트3" dataDxfId="2"/>
    <tableColumn id="9" xr3:uid="{00000000-0010-0000-1F00-000009000000}" name="#컴포넌트4" dataDxfId="1"/>
    <tableColumn id="5" xr3:uid="{00000000-0010-0000-1F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9921875" defaultRowHeight="17.399999999999999"/>
  <sheetData>
    <row r="1" spans="2:5" s="1" customFormat="1">
      <c r="B1" s="87" t="s">
        <v>184</v>
      </c>
      <c r="C1" s="88"/>
      <c r="D1" s="88"/>
      <c r="E1" s="88"/>
    </row>
    <row r="2" spans="2:5" s="1" customFormat="1">
      <c r="B2" s="88"/>
      <c r="C2" s="88"/>
      <c r="D2" s="88"/>
      <c r="E2" s="88"/>
    </row>
    <row r="3" spans="2:5" s="1" customFormat="1">
      <c r="B3" s="88"/>
      <c r="C3" s="88"/>
      <c r="D3" s="88"/>
      <c r="E3" s="88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69921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19921875" bestFit="1" customWidth="1"/>
    <col min="6" max="6" width="11.19921875" customWidth="1"/>
    <col min="7" max="7" width="15.19921875" customWidth="1"/>
    <col min="8" max="8" width="13.19921875" customWidth="1"/>
    <col min="9" max="9" width="11.69921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69921875" customWidth="1"/>
    <col min="18" max="18" width="15.69921875" customWidth="1"/>
  </cols>
  <sheetData>
    <row r="1" spans="2:18" s="1" customFormat="1">
      <c r="B1" s="87" t="s">
        <v>117</v>
      </c>
      <c r="C1" s="88"/>
      <c r="D1" s="88"/>
      <c r="E1" s="88"/>
    </row>
    <row r="2" spans="2:18" s="1" customFormat="1">
      <c r="B2" s="88"/>
      <c r="C2" s="88"/>
      <c r="D2" s="88"/>
      <c r="E2" s="88"/>
    </row>
    <row r="3" spans="2:18" s="1" customFormat="1">
      <c r="B3" s="88"/>
      <c r="C3" s="88"/>
      <c r="D3" s="88"/>
      <c r="E3" s="88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69921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7" t="s">
        <v>164</v>
      </c>
      <c r="C1" s="88"/>
      <c r="D1" s="88"/>
      <c r="E1" s="88"/>
      <c r="F1" s="88"/>
      <c r="G1" s="88"/>
    </row>
    <row r="2" spans="1:17" s="1" customFormat="1">
      <c r="B2" s="88"/>
      <c r="C2" s="88"/>
      <c r="D2" s="88"/>
      <c r="E2" s="88"/>
      <c r="F2" s="88"/>
      <c r="G2" s="88"/>
    </row>
    <row r="3" spans="1:17" s="1" customFormat="1">
      <c r="B3" s="88"/>
      <c r="C3" s="88"/>
      <c r="D3" s="88"/>
      <c r="E3" s="88"/>
      <c r="F3" s="88"/>
      <c r="G3" s="88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718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30/(CharacterAtkTable[SwingCooldown]*-0.08)</f>
        <v>-750</v>
      </c>
      <c r="F24" s="61">
        <v>0</v>
      </c>
    </row>
    <row r="25" spans="1:15">
      <c r="A25" s="9"/>
      <c r="B25" s="71" t="s">
        <v>814</v>
      </c>
      <c r="C25" s="9" t="s">
        <v>9</v>
      </c>
      <c r="D25" s="16" t="s">
        <v>818</v>
      </c>
      <c r="E25" s="19">
        <v>50</v>
      </c>
      <c r="F25" s="61">
        <v>0</v>
      </c>
    </row>
    <row r="26" spans="1:15">
      <c r="A26" s="9"/>
      <c r="B26" s="71" t="s">
        <v>815</v>
      </c>
      <c r="C26" s="9" t="s">
        <v>9</v>
      </c>
      <c r="D26" s="16" t="s">
        <v>817</v>
      </c>
      <c r="E26" s="19">
        <v>30</v>
      </c>
      <c r="F26" s="61">
        <v>0</v>
      </c>
    </row>
    <row r="27" spans="1:15">
      <c r="A27" s="9"/>
      <c r="B27" s="71" t="s">
        <v>811</v>
      </c>
      <c r="C27" s="9" t="s">
        <v>9</v>
      </c>
      <c r="D27" s="16" t="s">
        <v>816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9921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69921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69921875" bestFit="1" customWidth="1"/>
    <col min="6" max="6" width="17" bestFit="1" customWidth="1"/>
    <col min="7" max="7" width="23.69921875" bestFit="1" customWidth="1"/>
    <col min="8" max="8" width="22.69921875" bestFit="1" customWidth="1"/>
    <col min="9" max="9" width="19" bestFit="1" customWidth="1"/>
    <col min="10" max="10" width="23.19921875" bestFit="1" customWidth="1"/>
    <col min="11" max="12" width="23.19921875" customWidth="1"/>
    <col min="13" max="13" width="11.69921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69921875" defaultRowHeight="17.399999999999999"/>
  <cols>
    <col min="2" max="2" width="8.69921875" bestFit="1" customWidth="1"/>
    <col min="3" max="3" width="16" bestFit="1" customWidth="1"/>
    <col min="4" max="4" width="17.19921875" bestFit="1" customWidth="1"/>
    <col min="5" max="5" width="12.19921875" bestFit="1" customWidth="1"/>
    <col min="6" max="6" width="20.19921875" bestFit="1" customWidth="1"/>
    <col min="7" max="7" width="13.69921875" bestFit="1" customWidth="1"/>
    <col min="8" max="8" width="22.19921875" customWidth="1"/>
    <col min="9" max="9" width="17.69921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69921875" bestFit="1" customWidth="1"/>
    <col min="14" max="15" width="19.5" bestFit="1" customWidth="1"/>
    <col min="16" max="17" width="23.19921875" bestFit="1" customWidth="1"/>
    <col min="18" max="18" width="13.19921875" bestFit="1" customWidth="1"/>
    <col min="19" max="19" width="14.19921875" bestFit="1" customWidth="1"/>
    <col min="20" max="20" width="25.19921875" bestFit="1" customWidth="1"/>
    <col min="21" max="23" width="22.19921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813</v>
      </c>
      <c r="I2" s="33" t="s">
        <v>815</v>
      </c>
      <c r="J2" s="33" t="s">
        <v>811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69921875" defaultRowHeight="17.399999999999999"/>
  <cols>
    <col min="2" max="2" width="8.5" bestFit="1" customWidth="1"/>
    <col min="3" max="3" width="12.69921875" bestFit="1" customWidth="1"/>
    <col min="4" max="4" width="18.19921875" bestFit="1" customWidth="1"/>
    <col min="5" max="5" width="16.69921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19921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69921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69921875" defaultRowHeight="17.399999999999999"/>
  <cols>
    <col min="3" max="3" width="19.19921875" customWidth="1"/>
    <col min="4" max="4" width="10.19921875" bestFit="1" customWidth="1"/>
    <col min="7" max="7" width="10.69921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defaultColWidth="8.69921875" defaultRowHeight="17.399999999999999"/>
  <cols>
    <col min="2" max="2" width="8.69921875" bestFit="1" customWidth="1"/>
    <col min="3" max="4" width="30.19921875" customWidth="1"/>
    <col min="5" max="5" width="10.19921875" customWidth="1"/>
    <col min="6" max="6" width="14.5" customWidth="1"/>
    <col min="7" max="7" width="12.69921875" customWidth="1"/>
    <col min="8" max="8" width="14" customWidth="1"/>
    <col min="9" max="9" width="27.69921875" customWidth="1"/>
    <col min="10" max="10" width="17" customWidth="1"/>
    <col min="11" max="11" width="19.19921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19921875" bestFit="1" customWidth="1"/>
    <col min="19" max="19" width="18.19921875" bestFit="1" customWidth="1"/>
    <col min="20" max="20" width="47.19921875" customWidth="1"/>
    <col min="21" max="21" width="20.69921875" bestFit="1" customWidth="1"/>
    <col min="22" max="22" width="17.6992187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1042</v>
      </c>
      <c r="D2" s="12" t="s">
        <v>1043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1040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1041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1039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800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839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801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840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837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842</v>
      </c>
      <c r="V21" s="20"/>
    </row>
    <row r="22" spans="2:22" s="39" customFormat="1">
      <c r="B22" s="39">
        <v>1103</v>
      </c>
      <c r="C22" s="45" t="s">
        <v>838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843</v>
      </c>
      <c r="V22" s="20"/>
    </row>
    <row r="23" spans="2:22" s="39" customFormat="1">
      <c r="B23" s="39">
        <v>1003</v>
      </c>
      <c r="C23" s="40" t="s">
        <v>799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841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69921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19921875" bestFit="1" customWidth="1"/>
    <col min="7" max="7" width="14.69921875" bestFit="1" customWidth="1"/>
    <col min="8" max="8" width="23.69921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803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807</v>
      </c>
      <c r="D60">
        <v>2002</v>
      </c>
      <c r="E60" s="16" t="s">
        <v>810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808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809</v>
      </c>
      <c r="D62">
        <v>2002</v>
      </c>
      <c r="E62" s="16" t="s">
        <v>810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819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819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819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819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819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819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819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819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819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836</v>
      </c>
      <c r="D72">
        <v>3104</v>
      </c>
      <c r="E72" s="16" t="s">
        <v>810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836</v>
      </c>
      <c r="D73">
        <v>3114</v>
      </c>
      <c r="E73" s="16" t="s">
        <v>810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836</v>
      </c>
      <c r="D74">
        <v>3109</v>
      </c>
      <c r="E74" s="16" t="s">
        <v>810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836</v>
      </c>
      <c r="D75">
        <v>3101</v>
      </c>
      <c r="E75" s="16" t="s">
        <v>810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836</v>
      </c>
      <c r="D76">
        <v>3102</v>
      </c>
      <c r="E76" s="16" t="s">
        <v>810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836</v>
      </c>
      <c r="D77">
        <v>3108</v>
      </c>
      <c r="E77" s="16" t="s">
        <v>810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836</v>
      </c>
      <c r="D78">
        <v>3111</v>
      </c>
      <c r="E78" s="16" t="s">
        <v>810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836</v>
      </c>
      <c r="D79">
        <v>3116</v>
      </c>
      <c r="E79" s="16" t="s">
        <v>810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836</v>
      </c>
      <c r="D80">
        <v>3115</v>
      </c>
      <c r="E80" s="16" t="s">
        <v>810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836</v>
      </c>
      <c r="D81">
        <v>3106</v>
      </c>
      <c r="E81" s="16" t="s">
        <v>810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836</v>
      </c>
      <c r="D82">
        <v>3103</v>
      </c>
      <c r="E82" s="16" t="s">
        <v>810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836</v>
      </c>
      <c r="D83">
        <v>3105</v>
      </c>
      <c r="E83" s="16" t="s">
        <v>810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836</v>
      </c>
      <c r="D84">
        <v>3113</v>
      </c>
      <c r="E84" s="16" t="s">
        <v>810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836</v>
      </c>
      <c r="D85">
        <v>3112</v>
      </c>
      <c r="E85" s="16" t="s">
        <v>810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836</v>
      </c>
      <c r="D86">
        <v>3110</v>
      </c>
      <c r="E86" s="16" t="s">
        <v>810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836</v>
      </c>
      <c r="D87">
        <v>3107</v>
      </c>
      <c r="E87" s="16" t="s">
        <v>810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836</v>
      </c>
      <c r="D88">
        <v>3110</v>
      </c>
      <c r="E88" s="16" t="s">
        <v>810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836</v>
      </c>
      <c r="D89">
        <v>3101</v>
      </c>
      <c r="E89" s="16" t="s">
        <v>810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836</v>
      </c>
      <c r="D90">
        <v>3116</v>
      </c>
      <c r="E90" s="16" t="s">
        <v>810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836</v>
      </c>
      <c r="D91">
        <v>3105</v>
      </c>
      <c r="E91" s="16" t="s">
        <v>810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836</v>
      </c>
      <c r="D92">
        <v>3115</v>
      </c>
      <c r="E92" s="16" t="s">
        <v>810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836</v>
      </c>
      <c r="D93">
        <v>3111</v>
      </c>
      <c r="E93" s="16" t="s">
        <v>810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836</v>
      </c>
      <c r="D94">
        <v>3112</v>
      </c>
      <c r="E94" s="16" t="s">
        <v>810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836</v>
      </c>
      <c r="D95">
        <v>3108</v>
      </c>
      <c r="E95" s="16" t="s">
        <v>810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836</v>
      </c>
      <c r="D96">
        <v>3107</v>
      </c>
      <c r="E96" s="16" t="s">
        <v>810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836</v>
      </c>
      <c r="D97">
        <v>3102</v>
      </c>
      <c r="E97" s="16" t="s">
        <v>810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836</v>
      </c>
      <c r="D98">
        <v>3106</v>
      </c>
      <c r="E98" s="16" t="s">
        <v>810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836</v>
      </c>
      <c r="D99">
        <v>3114</v>
      </c>
      <c r="E99" s="16" t="s">
        <v>810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836</v>
      </c>
      <c r="D100">
        <v>3103</v>
      </c>
      <c r="E100" s="16" t="s">
        <v>810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836</v>
      </c>
      <c r="D101">
        <v>3113</v>
      </c>
      <c r="E101" s="16" t="s">
        <v>810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836</v>
      </c>
      <c r="D102">
        <v>3104</v>
      </c>
      <c r="E102" s="16" t="s">
        <v>810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836</v>
      </c>
      <c r="D103">
        <v>3109</v>
      </c>
      <c r="E103" s="16" t="s">
        <v>810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836</v>
      </c>
      <c r="D104">
        <v>3110</v>
      </c>
      <c r="E104" s="16" t="s">
        <v>810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836</v>
      </c>
      <c r="D105">
        <v>3116</v>
      </c>
      <c r="E105" s="16" t="s">
        <v>810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836</v>
      </c>
      <c r="D106">
        <v>3108</v>
      </c>
      <c r="E106" s="16" t="s">
        <v>810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836</v>
      </c>
      <c r="D107">
        <v>3115</v>
      </c>
      <c r="E107" s="16" t="s">
        <v>810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836</v>
      </c>
      <c r="D108">
        <v>3103</v>
      </c>
      <c r="E108" s="16" t="s">
        <v>810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836</v>
      </c>
      <c r="D109">
        <v>3102</v>
      </c>
      <c r="E109" s="16" t="s">
        <v>810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836</v>
      </c>
      <c r="D110">
        <v>3114</v>
      </c>
      <c r="E110" s="16" t="s">
        <v>810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836</v>
      </c>
      <c r="D111">
        <v>3113</v>
      </c>
      <c r="E111" s="16" t="s">
        <v>810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836</v>
      </c>
      <c r="D112">
        <v>3111</v>
      </c>
      <c r="E112" s="16" t="s">
        <v>810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836</v>
      </c>
      <c r="D113">
        <v>3107</v>
      </c>
      <c r="E113" s="16" t="s">
        <v>810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836</v>
      </c>
      <c r="D114">
        <v>3106</v>
      </c>
      <c r="E114" s="16" t="s">
        <v>810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836</v>
      </c>
      <c r="D115">
        <v>3104</v>
      </c>
      <c r="E115" s="16" t="s">
        <v>810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836</v>
      </c>
      <c r="D116">
        <v>3112</v>
      </c>
      <c r="E116" s="16" t="s">
        <v>810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836</v>
      </c>
      <c r="D117">
        <v>3101</v>
      </c>
      <c r="E117" s="16" t="s">
        <v>810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836</v>
      </c>
      <c r="D118">
        <v>3105</v>
      </c>
      <c r="E118" s="16" t="s">
        <v>810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836</v>
      </c>
      <c r="D119">
        <v>3109</v>
      </c>
      <c r="E119" s="16" t="s">
        <v>810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836</v>
      </c>
      <c r="D120">
        <v>3101</v>
      </c>
      <c r="E120" s="16" t="s">
        <v>810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836</v>
      </c>
      <c r="D121">
        <v>3110</v>
      </c>
      <c r="E121" s="16" t="s">
        <v>810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836</v>
      </c>
      <c r="D122">
        <v>3103</v>
      </c>
      <c r="E122" s="16" t="s">
        <v>810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836</v>
      </c>
      <c r="D123">
        <v>3116</v>
      </c>
      <c r="E123" s="16" t="s">
        <v>810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836</v>
      </c>
      <c r="D124">
        <v>3109</v>
      </c>
      <c r="E124" s="16" t="s">
        <v>810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836</v>
      </c>
      <c r="D125">
        <v>3107</v>
      </c>
      <c r="E125" s="16" t="s">
        <v>810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836</v>
      </c>
      <c r="D126">
        <v>3113</v>
      </c>
      <c r="E126" s="16" t="s">
        <v>810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836</v>
      </c>
      <c r="D127">
        <v>3106</v>
      </c>
      <c r="E127" s="16" t="s">
        <v>810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836</v>
      </c>
      <c r="D128">
        <v>3102</v>
      </c>
      <c r="E128" s="16" t="s">
        <v>810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836</v>
      </c>
      <c r="D129">
        <v>3111</v>
      </c>
      <c r="E129" s="16" t="s">
        <v>810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836</v>
      </c>
      <c r="D130">
        <v>3115</v>
      </c>
      <c r="E130" s="16" t="s">
        <v>810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836</v>
      </c>
      <c r="D131">
        <v>3112</v>
      </c>
      <c r="E131" s="16" t="s">
        <v>810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836</v>
      </c>
      <c r="D132">
        <v>3114</v>
      </c>
      <c r="E132" s="16" t="s">
        <v>810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836</v>
      </c>
      <c r="D133">
        <v>3105</v>
      </c>
      <c r="E133" s="16" t="s">
        <v>810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836</v>
      </c>
      <c r="D134">
        <v>3104</v>
      </c>
      <c r="E134" s="16" t="s">
        <v>810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836</v>
      </c>
      <c r="D135">
        <v>3108</v>
      </c>
      <c r="E135" s="16" t="s">
        <v>810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876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876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876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69921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19921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829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834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834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834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834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834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834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894</v>
      </c>
      <c r="D94">
        <v>0</v>
      </c>
      <c r="E94">
        <v>206</v>
      </c>
      <c r="F94">
        <v>0</v>
      </c>
      <c r="G94">
        <v>16</v>
      </c>
      <c r="H94" s="11" t="s">
        <v>990</v>
      </c>
    </row>
    <row r="95" spans="2:8">
      <c r="B95">
        <v>806</v>
      </c>
      <c r="C95" s="11" t="s">
        <v>894</v>
      </c>
      <c r="D95">
        <v>15</v>
      </c>
      <c r="E95">
        <v>206</v>
      </c>
      <c r="F95">
        <v>0</v>
      </c>
      <c r="G95">
        <v>16</v>
      </c>
      <c r="H95" s="11" t="s">
        <v>990</v>
      </c>
    </row>
    <row r="96" spans="2:8">
      <c r="B96">
        <v>806</v>
      </c>
      <c r="C96" s="11" t="s">
        <v>894</v>
      </c>
      <c r="D96">
        <v>-15</v>
      </c>
      <c r="E96">
        <v>206</v>
      </c>
      <c r="F96">
        <v>0</v>
      </c>
      <c r="G96">
        <v>16</v>
      </c>
      <c r="H96" s="11" t="s">
        <v>990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803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804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804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804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820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820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820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821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821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821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822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822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822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823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823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823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824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824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824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831</v>
      </c>
      <c r="D205">
        <v>-90</v>
      </c>
      <c r="E205">
        <v>3001</v>
      </c>
      <c r="F205">
        <v>1</v>
      </c>
      <c r="G205">
        <v>5.5</v>
      </c>
      <c r="H205" s="11" t="s">
        <v>834</v>
      </c>
    </row>
    <row r="206" spans="2:8">
      <c r="B206">
        <v>3002</v>
      </c>
      <c r="C206" s="11" t="s">
        <v>830</v>
      </c>
      <c r="D206">
        <v>-90</v>
      </c>
      <c r="E206">
        <v>3002</v>
      </c>
      <c r="F206">
        <v>1</v>
      </c>
      <c r="G206">
        <v>5</v>
      </c>
      <c r="H206" s="11" t="s">
        <v>834</v>
      </c>
    </row>
    <row r="207" spans="2:8">
      <c r="B207">
        <v>3101</v>
      </c>
      <c r="C207" s="11" t="s">
        <v>836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836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836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836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836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836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836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836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836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836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836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836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836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836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836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836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835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835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835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835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835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835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835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835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835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835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835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835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835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835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835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835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883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6" sqref="F6"/>
    </sheetView>
  </sheetViews>
  <sheetFormatPr defaultColWidth="8.69921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19921875" bestFit="1" customWidth="1"/>
    <col min="7" max="7" width="38.69921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781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894</v>
      </c>
      <c r="D7" t="b">
        <v>1</v>
      </c>
      <c r="E7">
        <v>2</v>
      </c>
      <c r="F7">
        <v>40</v>
      </c>
      <c r="G7" s="11" t="s">
        <v>781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806</v>
      </c>
      <c r="D16" t="b">
        <v>1</v>
      </c>
      <c r="E16">
        <v>2</v>
      </c>
      <c r="F16">
        <v>25</v>
      </c>
      <c r="G16" s="16" t="s">
        <v>802</v>
      </c>
    </row>
    <row r="17" spans="2:7">
      <c r="B17">
        <v>2001</v>
      </c>
      <c r="C17" s="18" t="s">
        <v>805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833</v>
      </c>
      <c r="D18" t="b">
        <v>1</v>
      </c>
      <c r="E18">
        <v>2</v>
      </c>
      <c r="F18">
        <v>25</v>
      </c>
      <c r="G18" s="16" t="s">
        <v>881</v>
      </c>
    </row>
    <row r="19" spans="2:7">
      <c r="B19">
        <v>3002</v>
      </c>
      <c r="C19" s="14" t="s">
        <v>832</v>
      </c>
      <c r="D19" t="b">
        <v>1</v>
      </c>
      <c r="E19">
        <v>2</v>
      </c>
      <c r="F19">
        <v>25</v>
      </c>
      <c r="G19" s="16" t="s">
        <v>882</v>
      </c>
    </row>
    <row r="20" spans="2:7">
      <c r="B20">
        <v>3003</v>
      </c>
      <c r="C20" s="14" t="s">
        <v>878</v>
      </c>
      <c r="D20" t="b">
        <v>1</v>
      </c>
      <c r="E20">
        <v>1</v>
      </c>
      <c r="F20">
        <v>25</v>
      </c>
      <c r="G20" s="16" t="s">
        <v>879</v>
      </c>
    </row>
    <row r="21" spans="2:7">
      <c r="B21">
        <v>3004</v>
      </c>
      <c r="C21" s="14" t="s">
        <v>877</v>
      </c>
      <c r="D21" t="b">
        <v>1</v>
      </c>
      <c r="E21">
        <v>1</v>
      </c>
      <c r="F21">
        <v>25</v>
      </c>
      <c r="G21" s="16" t="s">
        <v>880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E1" activePane="topRight" state="frozen"/>
      <selection pane="topRight" activeCell="G27" sqref="G27"/>
    </sheetView>
  </sheetViews>
  <sheetFormatPr defaultColWidth="8.69921875" defaultRowHeight="17.399999999999999"/>
  <cols>
    <col min="1" max="1" width="8.69921875" style="72"/>
    <col min="2" max="2" width="11.5" style="42" customWidth="1"/>
    <col min="3" max="3" width="17.69921875" style="42" customWidth="1"/>
    <col min="4" max="4" width="62.19921875" style="42" customWidth="1"/>
    <col min="5" max="5" width="68.8984375" style="42" customWidth="1"/>
    <col min="6" max="6" width="31.69921875" style="42" customWidth="1"/>
    <col min="7" max="7" width="8.19921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99218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19921875" style="42" customWidth="1"/>
    <col min="19" max="16384" width="8.69921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874</v>
      </c>
      <c r="C2" s="73" t="s">
        <v>787</v>
      </c>
      <c r="D2" s="73" t="s">
        <v>846</v>
      </c>
      <c r="E2" s="73" t="s">
        <v>847</v>
      </c>
      <c r="F2" s="73" t="s">
        <v>848</v>
      </c>
      <c r="G2" s="75" t="s">
        <v>875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788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849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+20%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884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853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1053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+ 2칸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1022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1024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1054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852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1055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850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851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893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10001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991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78" priority="5">
      <formula>$L1="Active"</formula>
    </cfRule>
    <cfRule type="expression" dxfId="77" priority="6">
      <formula>$L1="Cursed"</formula>
    </cfRule>
    <cfRule type="expression" dxfId="76" priority="7">
      <formula>$L1="Rare"</formula>
    </cfRule>
    <cfRule type="expression" dxfId="75" priority="8">
      <formula>$L1="Normal"</formula>
    </cfRule>
  </conditionalFormatting>
  <conditionalFormatting sqref="A1:XFD1048576">
    <cfRule type="expression" dxfId="74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3" priority="4">
      <formula>LEFT(B$2,1)="#"</formula>
    </cfRule>
  </conditionalFormatting>
  <conditionalFormatting sqref="B34:B1048576">
    <cfRule type="expression" dxfId="72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tabSelected="1" topLeftCell="A7" zoomScale="85" zoomScaleNormal="85" zoomScaleSheetLayoutView="100" workbookViewId="0">
      <selection activeCell="H29" sqref="H29"/>
    </sheetView>
  </sheetViews>
  <sheetFormatPr defaultColWidth="8.69921875" defaultRowHeight="17.399999999999999"/>
  <cols>
    <col min="1" max="1" width="8.69921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19921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787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1009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1000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826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825</v>
      </c>
      <c r="J16" s="16" t="s">
        <v>996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825</v>
      </c>
      <c r="J17" s="11" t="s">
        <v>997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888</v>
      </c>
      <c r="I18" s="11" t="s">
        <v>825</v>
      </c>
      <c r="J18" s="11" t="s">
        <v>870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888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1014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1023</v>
      </c>
      <c r="I21" s="11" t="s">
        <v>825</v>
      </c>
      <c r="J21" s="16" t="s">
        <v>996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1023</v>
      </c>
      <c r="I22" s="16" t="s">
        <v>825</v>
      </c>
      <c r="J22" s="11" t="s">
        <v>997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1034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992</v>
      </c>
      <c r="J33" s="11" t="s">
        <v>870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1000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992</v>
      </c>
      <c r="J35" s="11" t="s">
        <v>870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26" sqref="F26"/>
    </sheetView>
  </sheetViews>
  <sheetFormatPr defaultColWidth="8.69921875" defaultRowHeight="17.399999999999999"/>
  <cols>
    <col min="2" max="2" width="17.69921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69921875" bestFit="1" customWidth="1"/>
    <col min="15" max="15" width="13.69921875" customWidth="1"/>
    <col min="16" max="16" width="13.69921875" bestFit="1" customWidth="1"/>
    <col min="17" max="19" width="13.6992187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812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 (5초)</v>
      </c>
      <c r="D6" s="42">
        <v>7003</v>
      </c>
      <c r="E6" s="51" t="s">
        <v>205</v>
      </c>
      <c r="F6" s="51">
        <v>0.8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0.48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40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24.096385542168672</v>
      </c>
      <c r="Q6" s="19">
        <f>SUMIF(ItemEffectTable23['#아이템 명칭],ItemEffectTable23[[#This Row],['#아이템 명칭]],ItemEffectTable23['#총 가치판단])</f>
        <v>24.096385542168672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24.096385542168672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0.80321285140562237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1021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887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1032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1033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1031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171.42857142857139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1.1785714285714275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-112.50000000000001</v>
      </c>
      <c r="Q20" s="19">
        <f>SUMIF(ItemEffectTable23['#아이템 명칭],ItemEffectTable23[[#This Row],['#아이템 명칭]],ItemEffectTable23['#총 가치판단])</f>
        <v>58.928571428571374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1.1785714285714275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812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defaultColWidth="8.69921875" defaultRowHeight="17.399999999999999"/>
  <cols>
    <col min="1" max="1" width="8.69921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19921875" customWidth="1"/>
    <col min="7" max="7" width="11.69921875" customWidth="1"/>
    <col min="8" max="8" width="20.69921875" customWidth="1"/>
    <col min="9" max="9" width="17.5" customWidth="1"/>
    <col min="10" max="10" width="25.69921875" customWidth="1"/>
    <col min="11" max="11" width="11.69921875" bestFit="1" customWidth="1"/>
    <col min="12" max="12" width="22.19921875" customWidth="1"/>
    <col min="13" max="14" width="14.1992187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789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995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789</v>
      </c>
      <c r="E10">
        <v>1</v>
      </c>
      <c r="F10" s="14" t="s">
        <v>873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789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995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69921875" defaultRowHeight="17.399999999999999"/>
  <cols>
    <col min="3" max="3" width="15.19921875" bestFit="1" customWidth="1"/>
    <col min="4" max="4" width="28.19921875" customWidth="1"/>
    <col min="5" max="5" width="16.19921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191" zoomScale="85" zoomScaleNormal="85" zoomScaleSheetLayoutView="100" workbookViewId="0">
      <selection activeCell="D213" sqref="D213"/>
    </sheetView>
  </sheetViews>
  <sheetFormatPr defaultColWidth="8.69921875" defaultRowHeight="17.399999999999999"/>
  <cols>
    <col min="2" max="2" width="22.69921875" customWidth="1"/>
    <col min="3" max="3" width="73.5" style="9" customWidth="1"/>
    <col min="4" max="4" width="64.19921875" customWidth="1"/>
    <col min="5" max="5" width="13.69921875" style="79" customWidth="1"/>
    <col min="6" max="6" width="12.19921875" style="79" bestFit="1" customWidth="1"/>
    <col min="7" max="7" width="16.69921875" style="79" customWidth="1"/>
    <col min="8" max="8" width="12.19921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725</v>
      </c>
      <c r="D8" s="51" t="s">
        <v>724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721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722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744</v>
      </c>
      <c r="D16" s="51" t="s">
        <v>750</v>
      </c>
      <c r="E16" s="81" t="s">
        <v>757</v>
      </c>
      <c r="F16" s="82" t="s">
        <v>498</v>
      </c>
      <c r="G16" s="82" t="s">
        <v>723</v>
      </c>
      <c r="H16" s="81" t="s">
        <v>750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745</v>
      </c>
      <c r="D17" s="51" t="s">
        <v>751</v>
      </c>
      <c r="E17" s="81" t="s">
        <v>757</v>
      </c>
      <c r="F17" s="82" t="s">
        <v>498</v>
      </c>
      <c r="G17" s="82" t="s">
        <v>723</v>
      </c>
      <c r="H17" s="81" t="s">
        <v>751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746</v>
      </c>
      <c r="D18" s="51" t="s">
        <v>752</v>
      </c>
      <c r="E18" s="81" t="s">
        <v>757</v>
      </c>
      <c r="F18" s="82" t="s">
        <v>498</v>
      </c>
      <c r="G18" s="82" t="s">
        <v>723</v>
      </c>
      <c r="H18" s="81" t="s">
        <v>752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747</v>
      </c>
      <c r="D19" s="51" t="s">
        <v>653</v>
      </c>
      <c r="E19" s="81" t="s">
        <v>757</v>
      </c>
      <c r="F19" s="82" t="s">
        <v>498</v>
      </c>
      <c r="G19" s="82" t="s">
        <v>723</v>
      </c>
      <c r="H19" s="81" t="s">
        <v>758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757</v>
      </c>
      <c r="F20" s="82" t="s">
        <v>498</v>
      </c>
      <c r="G20" s="82" t="s">
        <v>723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748</v>
      </c>
      <c r="D21" s="51" t="s">
        <v>753</v>
      </c>
      <c r="E21" s="81" t="s">
        <v>757</v>
      </c>
      <c r="F21" s="82" t="s">
        <v>498</v>
      </c>
      <c r="G21" s="82" t="s">
        <v>723</v>
      </c>
      <c r="H21" s="81" t="s">
        <v>759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749</v>
      </c>
      <c r="D22" s="51" t="s">
        <v>754</v>
      </c>
      <c r="E22" s="81" t="s">
        <v>757</v>
      </c>
      <c r="F22" s="82" t="s">
        <v>498</v>
      </c>
      <c r="G22" s="82" t="s">
        <v>723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719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720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755</v>
      </c>
      <c r="D26" s="51" t="s">
        <v>756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762</v>
      </c>
      <c r="D48" s="51" t="s">
        <v>774</v>
      </c>
      <c r="E48" s="81" t="s">
        <v>473</v>
      </c>
      <c r="F48" s="81" t="s">
        <v>505</v>
      </c>
      <c r="G48" s="81" t="s">
        <v>763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767</v>
      </c>
      <c r="D49" s="51" t="s">
        <v>773</v>
      </c>
      <c r="E49" s="81" t="s">
        <v>473</v>
      </c>
      <c r="F49" s="81" t="s">
        <v>505</v>
      </c>
      <c r="G49" s="81" t="s">
        <v>763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768</v>
      </c>
      <c r="D50" s="51" t="s">
        <v>764</v>
      </c>
      <c r="E50" s="81" t="s">
        <v>473</v>
      </c>
      <c r="F50" s="81" t="s">
        <v>505</v>
      </c>
      <c r="G50" s="81" t="s">
        <v>763</v>
      </c>
      <c r="H50" s="81" t="s">
        <v>764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769</v>
      </c>
      <c r="D51" s="51" t="s">
        <v>765</v>
      </c>
      <c r="E51" s="81" t="s">
        <v>473</v>
      </c>
      <c r="F51" s="81" t="s">
        <v>505</v>
      </c>
      <c r="G51" s="81" t="s">
        <v>763</v>
      </c>
      <c r="H51" s="81" t="s">
        <v>765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770</v>
      </c>
      <c r="D52" s="51" t="s">
        <v>772</v>
      </c>
      <c r="E52" s="81" t="s">
        <v>473</v>
      </c>
      <c r="F52" s="81" t="s">
        <v>505</v>
      </c>
      <c r="G52" s="81" t="s">
        <v>763</v>
      </c>
      <c r="H52" s="81" t="s">
        <v>766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771</v>
      </c>
      <c r="D53" s="51" t="s">
        <v>571</v>
      </c>
      <c r="E53" s="81" t="s">
        <v>473</v>
      </c>
      <c r="F53" s="81" t="s">
        <v>505</v>
      </c>
      <c r="G53" s="81" t="s">
        <v>763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786</v>
      </c>
      <c r="D62" s="51" t="s">
        <v>784</v>
      </c>
      <c r="E62" s="81" t="s">
        <v>473</v>
      </c>
      <c r="F62" s="81" t="s">
        <v>782</v>
      </c>
      <c r="G62" s="81" t="s">
        <v>784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785</v>
      </c>
      <c r="D63" s="51" t="s">
        <v>783</v>
      </c>
      <c r="E63" s="81" t="s">
        <v>473</v>
      </c>
      <c r="F63" s="81" t="s">
        <v>782</v>
      </c>
      <c r="G63" s="81" t="s">
        <v>783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775</v>
      </c>
      <c r="D64" s="51" t="s">
        <v>776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624</v>
      </c>
      <c r="D65" s="51" t="s">
        <v>737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625</v>
      </c>
      <c r="D66" s="51" t="s">
        <v>736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626</v>
      </c>
      <c r="D67" s="51" t="s">
        <v>738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739</v>
      </c>
      <c r="D68" s="51" t="s">
        <v>740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628</v>
      </c>
      <c r="D70" s="51" t="s">
        <v>741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743</v>
      </c>
      <c r="D72" s="51" t="s">
        <v>742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779</v>
      </c>
      <c r="D73" s="51" t="s">
        <v>780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777</v>
      </c>
      <c r="D74" s="51" t="s">
        <v>778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760</v>
      </c>
      <c r="D75" s="51" t="s">
        <v>761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920</v>
      </c>
      <c r="D78" s="51" t="s">
        <v>921</v>
      </c>
      <c r="E78" s="81" t="s">
        <v>905</v>
      </c>
      <c r="F78" s="81" t="s">
        <v>906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922</v>
      </c>
      <c r="D79" s="51" t="s">
        <v>923</v>
      </c>
      <c r="E79" s="83" t="s">
        <v>905</v>
      </c>
      <c r="F79" s="83" t="s">
        <v>906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924</v>
      </c>
      <c r="D80" s="51" t="s">
        <v>925</v>
      </c>
      <c r="E80" s="83" t="s">
        <v>905</v>
      </c>
      <c r="F80" s="83" t="s">
        <v>906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926</v>
      </c>
      <c r="D81" s="51" t="s">
        <v>927</v>
      </c>
      <c r="E81" s="83" t="s">
        <v>905</v>
      </c>
      <c r="F81" s="83" t="s">
        <v>906</v>
      </c>
      <c r="G81" s="83" t="s">
        <v>907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928</v>
      </c>
      <c r="D82" s="51" t="s">
        <v>929</v>
      </c>
      <c r="E82" s="83" t="s">
        <v>905</v>
      </c>
      <c r="F82" s="83" t="s">
        <v>906</v>
      </c>
      <c r="G82" s="83" t="s">
        <v>907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930</v>
      </c>
      <c r="D83" s="51" t="s">
        <v>931</v>
      </c>
      <c r="E83" s="83" t="s">
        <v>905</v>
      </c>
      <c r="F83" s="83" t="s">
        <v>906</v>
      </c>
      <c r="G83" s="83" t="s">
        <v>908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932</v>
      </c>
      <c r="D84" s="51" t="s">
        <v>933</v>
      </c>
      <c r="E84" s="83" t="s">
        <v>905</v>
      </c>
      <c r="F84" s="83" t="s">
        <v>906</v>
      </c>
      <c r="G84" s="83" t="s">
        <v>908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934</v>
      </c>
      <c r="D85" s="51" t="s">
        <v>935</v>
      </c>
      <c r="E85" s="83" t="s">
        <v>905</v>
      </c>
      <c r="F85" s="83" t="s">
        <v>906</v>
      </c>
      <c r="G85" s="83" t="s">
        <v>908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936</v>
      </c>
      <c r="D86" s="51" t="s">
        <v>937</v>
      </c>
      <c r="E86" s="83" t="s">
        <v>905</v>
      </c>
      <c r="F86" s="83" t="s">
        <v>906</v>
      </c>
      <c r="G86" s="83" t="s">
        <v>909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938</v>
      </c>
      <c r="D87" s="51" t="s">
        <v>939</v>
      </c>
      <c r="E87" s="83" t="s">
        <v>905</v>
      </c>
      <c r="F87" s="83" t="s">
        <v>906</v>
      </c>
      <c r="G87" s="83" t="s">
        <v>910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940</v>
      </c>
      <c r="D88" s="51" t="s">
        <v>941</v>
      </c>
      <c r="E88" s="83" t="s">
        <v>905</v>
      </c>
      <c r="F88" s="83" t="s">
        <v>906</v>
      </c>
      <c r="G88" s="83" t="s">
        <v>911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942</v>
      </c>
      <c r="D89" s="51" t="s">
        <v>943</v>
      </c>
      <c r="E89" s="83" t="s">
        <v>905</v>
      </c>
      <c r="F89" s="83" t="s">
        <v>906</v>
      </c>
      <c r="G89" s="83" t="s">
        <v>912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944</v>
      </c>
      <c r="D90" s="51" t="s">
        <v>945</v>
      </c>
      <c r="E90" s="83" t="s">
        <v>905</v>
      </c>
      <c r="F90" s="83" t="s">
        <v>906</v>
      </c>
      <c r="G90" s="83" t="s">
        <v>912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946</v>
      </c>
      <c r="D91" s="51" t="s">
        <v>947</v>
      </c>
      <c r="E91" s="83" t="s">
        <v>905</v>
      </c>
      <c r="F91" s="83" t="s">
        <v>906</v>
      </c>
      <c r="G91" s="83" t="s">
        <v>912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948</v>
      </c>
      <c r="D92" s="51" t="s">
        <v>949</v>
      </c>
      <c r="E92" s="83" t="s">
        <v>905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950</v>
      </c>
      <c r="D93" s="51" t="s">
        <v>951</v>
      </c>
      <c r="E93" s="83" t="s">
        <v>905</v>
      </c>
      <c r="F93" s="83" t="s">
        <v>497</v>
      </c>
      <c r="G93" s="83" t="s">
        <v>913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>
      <c r="B94" t="str">
        <f>LocaleTable[[#This Row],['#인덱스제너레이터]]</f>
        <v>Caster_Tutorial_Attack_2</v>
      </c>
      <c r="C94" s="9" t="s">
        <v>952</v>
      </c>
      <c r="D94" s="51" t="s">
        <v>1049</v>
      </c>
      <c r="E94" s="83" t="s">
        <v>905</v>
      </c>
      <c r="F94" s="83" t="s">
        <v>497</v>
      </c>
      <c r="G94" s="83" t="s">
        <v>913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953</v>
      </c>
      <c r="D95" s="51" t="s">
        <v>954</v>
      </c>
      <c r="E95" s="83" t="s">
        <v>905</v>
      </c>
      <c r="F95" s="83" t="s">
        <v>497</v>
      </c>
      <c r="G95" s="83" t="s">
        <v>913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955</v>
      </c>
      <c r="D96" s="51" t="s">
        <v>1050</v>
      </c>
      <c r="E96" s="83" t="s">
        <v>905</v>
      </c>
      <c r="F96" s="83" t="s">
        <v>497</v>
      </c>
      <c r="G96" s="83" t="s">
        <v>913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956</v>
      </c>
      <c r="D97" s="51" t="s">
        <v>957</v>
      </c>
      <c r="E97" s="83" t="s">
        <v>905</v>
      </c>
      <c r="F97" s="83" t="s">
        <v>497</v>
      </c>
      <c r="G97" s="83" t="s">
        <v>913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958</v>
      </c>
      <c r="D98" s="51" t="s">
        <v>959</v>
      </c>
      <c r="E98" s="83" t="s">
        <v>905</v>
      </c>
      <c r="F98" s="83" t="s">
        <v>497</v>
      </c>
      <c r="G98" s="83" t="s">
        <v>913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58" t="s">
        <v>1051</v>
      </c>
      <c r="D99" s="51" t="s">
        <v>1052</v>
      </c>
      <c r="E99" s="83" t="s">
        <v>905</v>
      </c>
      <c r="F99" s="83" t="s">
        <v>497</v>
      </c>
      <c r="G99" s="83" t="s">
        <v>913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960</v>
      </c>
      <c r="D100" s="51" t="s">
        <v>961</v>
      </c>
      <c r="E100" s="83" t="s">
        <v>905</v>
      </c>
      <c r="F100" s="83" t="s">
        <v>497</v>
      </c>
      <c r="G100" s="83" t="s">
        <v>913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962</v>
      </c>
      <c r="D101" s="51" t="s">
        <v>963</v>
      </c>
      <c r="E101" s="83" t="s">
        <v>905</v>
      </c>
      <c r="F101" s="83" t="s">
        <v>497</v>
      </c>
      <c r="G101" s="83" t="s">
        <v>913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964</v>
      </c>
      <c r="D102" s="51" t="s">
        <v>965</v>
      </c>
      <c r="E102" s="83" t="s">
        <v>905</v>
      </c>
      <c r="F102" s="83" t="s">
        <v>497</v>
      </c>
      <c r="G102" s="83" t="s">
        <v>913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966</v>
      </c>
      <c r="D103" s="51" t="s">
        <v>967</v>
      </c>
      <c r="E103" s="83" t="s">
        <v>905</v>
      </c>
      <c r="F103" s="83" t="s">
        <v>497</v>
      </c>
      <c r="G103" s="83" t="s">
        <v>914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968</v>
      </c>
      <c r="D104" s="51" t="s">
        <v>969</v>
      </c>
      <c r="E104" s="83" t="s">
        <v>905</v>
      </c>
      <c r="F104" s="83" t="s">
        <v>497</v>
      </c>
      <c r="G104" s="83" t="s">
        <v>914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970</v>
      </c>
      <c r="D105" s="51" t="s">
        <v>971</v>
      </c>
      <c r="E105" s="83" t="s">
        <v>905</v>
      </c>
      <c r="F105" s="83" t="s">
        <v>497</v>
      </c>
      <c r="G105" s="83" t="s">
        <v>915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972</v>
      </c>
      <c r="D106" s="51" t="s">
        <v>973</v>
      </c>
      <c r="E106" s="83" t="s">
        <v>905</v>
      </c>
      <c r="F106" s="83" t="s">
        <v>497</v>
      </c>
      <c r="G106" s="83" t="s">
        <v>915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974</v>
      </c>
      <c r="D107" s="51" t="s">
        <v>975</v>
      </c>
      <c r="E107" s="83" t="s">
        <v>905</v>
      </c>
      <c r="F107" s="83" t="s">
        <v>497</v>
      </c>
      <c r="G107" s="83" t="s">
        <v>915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976</v>
      </c>
      <c r="D108" s="51" t="s">
        <v>977</v>
      </c>
      <c r="E108" s="83" t="s">
        <v>905</v>
      </c>
      <c r="F108" s="83" t="s">
        <v>497</v>
      </c>
      <c r="G108" s="83" t="s">
        <v>915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978</v>
      </c>
      <c r="D109" s="51" t="s">
        <v>979</v>
      </c>
      <c r="E109" s="83" t="s">
        <v>905</v>
      </c>
      <c r="F109" s="83" t="s">
        <v>497</v>
      </c>
      <c r="G109" s="83" t="s">
        <v>916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980</v>
      </c>
      <c r="D110" s="51" t="s">
        <v>981</v>
      </c>
      <c r="E110" s="83" t="s">
        <v>905</v>
      </c>
      <c r="F110" s="83" t="s">
        <v>497</v>
      </c>
      <c r="G110" s="83" t="s">
        <v>916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982</v>
      </c>
      <c r="D111" s="51" t="s">
        <v>983</v>
      </c>
      <c r="E111" s="83" t="s">
        <v>905</v>
      </c>
      <c r="F111" s="83" t="s">
        <v>497</v>
      </c>
      <c r="G111" s="83" t="s">
        <v>916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9" t="s">
        <v>984</v>
      </c>
      <c r="D112" s="51" t="s">
        <v>985</v>
      </c>
      <c r="E112" s="83" t="s">
        <v>905</v>
      </c>
      <c r="F112" s="83" t="s">
        <v>917</v>
      </c>
      <c r="G112" s="83" t="s">
        <v>918</v>
      </c>
      <c r="H112" s="83" t="s">
        <v>909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9" t="s">
        <v>986</v>
      </c>
      <c r="D113" s="51" t="s">
        <v>987</v>
      </c>
      <c r="E113" s="83" t="s">
        <v>905</v>
      </c>
      <c r="F113" s="83" t="s">
        <v>917</v>
      </c>
      <c r="G113" s="83" t="s">
        <v>918</v>
      </c>
      <c r="H113" s="83" t="s">
        <v>910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9" t="s">
        <v>988</v>
      </c>
      <c r="D114" s="51" t="s">
        <v>989</v>
      </c>
      <c r="E114" s="83" t="s">
        <v>905</v>
      </c>
      <c r="F114" s="83" t="s">
        <v>917</v>
      </c>
      <c r="G114" s="83" t="s">
        <v>918</v>
      </c>
      <c r="H114" s="83" t="s">
        <v>919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844</v>
      </c>
      <c r="D116" s="51" t="s">
        <v>845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1015</v>
      </c>
      <c r="D121" s="51" t="s">
        <v>1016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854</v>
      </c>
      <c r="D123" s="51" t="s">
        <v>855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871</v>
      </c>
      <c r="D129" s="51" t="s">
        <v>872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1025</v>
      </c>
      <c r="D131" s="51" t="s">
        <v>1026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1037</v>
      </c>
      <c r="D132" s="51" t="s">
        <v>1038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859</v>
      </c>
      <c r="D134" s="51" t="s">
        <v>856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1056</v>
      </c>
      <c r="D135" s="51" t="s">
        <v>1057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427</v>
      </c>
      <c r="D138" s="51" t="s">
        <v>726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865</v>
      </c>
      <c r="D139" s="51" t="s">
        <v>864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433</v>
      </c>
      <c r="D145" s="51" t="s">
        <v>727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4.799999999999997">
      <c r="B147" t="str">
        <f>LocaleTable[[#This Row],['#인덱스제너레이터]]</f>
        <v>Item_Desc_2001</v>
      </c>
      <c r="C147" s="52" t="s">
        <v>860</v>
      </c>
      <c r="D147" s="51" t="s">
        <v>861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4.799999999999997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4.799999999999997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1017</v>
      </c>
      <c r="D152" s="51" t="s">
        <v>1018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862</v>
      </c>
      <c r="D154" s="77" t="s">
        <v>863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363</v>
      </c>
      <c r="D155" s="51" t="s">
        <v>790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4.799999999999997">
      <c r="B156" t="str">
        <f>LocaleTable[[#This Row],['#인덱스제너레이터]]</f>
        <v>Item_Desc_3003</v>
      </c>
      <c r="C156" s="52" t="s">
        <v>791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522</v>
      </c>
      <c r="D158" s="51" t="s">
        <v>792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352</v>
      </c>
      <c r="D159" s="51" t="s">
        <v>793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4.799999999999997">
      <c r="B160" t="str">
        <f>LocaleTable[[#This Row],['#인덱스제너레이터]]</f>
        <v>Item_Desc_3007</v>
      </c>
      <c r="C160" s="52" t="s">
        <v>885</v>
      </c>
      <c r="D160" s="51" t="s">
        <v>886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4.799999999999997">
      <c r="B161" t="str">
        <f>LocaleTable[[#This Row],['#인덱스제너레이터]]</f>
        <v>Item_Desc_3008</v>
      </c>
      <c r="C161" s="51" t="s">
        <v>226</v>
      </c>
      <c r="D161" s="51" t="s">
        <v>794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1027</v>
      </c>
      <c r="D162" s="51" t="s">
        <v>1028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1035</v>
      </c>
      <c r="D163" s="51" t="s">
        <v>1036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>
      <c r="B164" t="str">
        <f>LocaleTable[[#This Row],['#인덱스제너레이터]]</f>
        <v>Item_Desc_4001</v>
      </c>
      <c r="C164" s="51" t="s">
        <v>366</v>
      </c>
      <c r="D164" s="51" t="s">
        <v>795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4.799999999999997">
      <c r="B165" t="str">
        <f>LocaleTable[[#This Row],['#인덱스제너레이터]]</f>
        <v>Item_Desc_4002</v>
      </c>
      <c r="C165" s="52" t="s">
        <v>857</v>
      </c>
      <c r="D165" s="51" t="s">
        <v>858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>
      <c r="B166" t="str">
        <f>LocaleTable[[#This Row],['#인덱스제너레이터]]</f>
        <v>Item_Desc_4003</v>
      </c>
      <c r="C166" s="51" t="s">
        <v>1059</v>
      </c>
      <c r="D166" s="51" t="s">
        <v>1058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4.799999999999997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734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796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4.799999999999997">
      <c r="B170" t="str">
        <f>LocaleTable[[#This Row],['#인덱스제너레이터]]</f>
        <v>Item_Desc_4007</v>
      </c>
      <c r="C170" s="78" t="s">
        <v>889</v>
      </c>
      <c r="D170" s="77" t="s">
        <v>890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4.799999999999997">
      <c r="B171" t="str">
        <f>LocaleTable[[#This Row],['#인덱스제너레이터]]</f>
        <v>Item_Desc_10000</v>
      </c>
      <c r="C171" s="51" t="s">
        <v>798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4.799999999999997">
      <c r="B173" t="str">
        <f>LocaleTable[[#This Row],['#인덱스제너레이터]]</f>
        <v>Item_Desc_10002</v>
      </c>
      <c r="C173" s="52" t="s">
        <v>797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>
      <c r="B174" t="str">
        <f>LocaleTable[[#This Row],['#인덱스제너레이터]]</f>
        <v>Item_Desc_10003</v>
      </c>
      <c r="C174" s="52" t="s">
        <v>361</v>
      </c>
      <c r="D174" s="51" t="s">
        <v>732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710</v>
      </c>
      <c r="D178" s="51" t="s">
        <v>717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711</v>
      </c>
      <c r="D179" s="51" t="s">
        <v>716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1007</v>
      </c>
      <c r="D180" s="51" t="s">
        <v>1008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712</v>
      </c>
      <c r="D181" s="51" t="s">
        <v>715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728</v>
      </c>
      <c r="D182" s="51" t="s">
        <v>866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1019</v>
      </c>
      <c r="D183" s="51" t="s">
        <v>1020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1010</v>
      </c>
      <c r="D184" s="51" t="s">
        <v>1011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1046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4.799999999999997">
      <c r="B186" t="str">
        <f>LocaleTable[[#This Row],['#인덱스제너레이터]]</f>
        <v>Item_PlusDesc_3002</v>
      </c>
      <c r="C186" s="51" t="s">
        <v>713</v>
      </c>
      <c r="D186" s="51" t="s">
        <v>731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891</v>
      </c>
      <c r="D187" s="51" t="s">
        <v>892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368</v>
      </c>
      <c r="D188" s="51" t="s">
        <v>730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868</v>
      </c>
      <c r="D189" s="51" t="s">
        <v>867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993</v>
      </c>
      <c r="D190" s="51" t="s">
        <v>994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1044</v>
      </c>
      <c r="D191" s="51" t="s">
        <v>1045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1012</v>
      </c>
      <c r="D192" s="51" t="s">
        <v>1013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1029</v>
      </c>
      <c r="D193" s="51" t="s">
        <v>1030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1047</v>
      </c>
      <c r="D194" s="51" t="s">
        <v>1048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4.799999999999997">
      <c r="B195" t="str">
        <f>LocaleTable[[#This Row],['#인덱스제너레이터]]</f>
        <v>Item_PlusDesc_4001</v>
      </c>
      <c r="C195" s="51" t="s">
        <v>714</v>
      </c>
      <c r="D195" s="51" t="s">
        <v>733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1003</v>
      </c>
      <c r="D198" s="51" t="s">
        <v>1004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389</v>
      </c>
      <c r="D199" s="51" t="s">
        <v>735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1001</v>
      </c>
      <c r="D200" s="51" t="s">
        <v>1002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1005</v>
      </c>
      <c r="D201" s="51" t="s">
        <v>1006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903</v>
      </c>
      <c r="D202" s="51" t="s">
        <v>902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899</v>
      </c>
      <c r="D203" s="51" t="s">
        <v>895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900</v>
      </c>
      <c r="D204" s="51" t="s">
        <v>896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456</v>
      </c>
      <c r="D205" s="51" t="s">
        <v>897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904</v>
      </c>
      <c r="D206" s="51" t="s">
        <v>901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457</v>
      </c>
      <c r="D207" s="51" t="s">
        <v>898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729</v>
      </c>
      <c r="D210" s="51" t="s">
        <v>869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827</v>
      </c>
      <c r="D211" s="51" t="s">
        <v>828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1060</v>
      </c>
      <c r="D212" s="51" t="s">
        <v>1061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998</v>
      </c>
      <c r="D213" s="51" t="s">
        <v>999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2023-11-17T08:15:40Z</dcterms:modified>
  <cp:version>1200.0100.01</cp:version>
</cp:coreProperties>
</file>