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8711C0C1-C986-D241-8797-ABCCAAB9526B}" xr6:coauthVersionLast="47" xr6:coauthVersionMax="47" xr10:uidLastSave="{00000000-0000-0000-0000-000000000000}"/>
  <bookViews>
    <workbookView xWindow="6420" yWindow="7260" windowWidth="36160" windowHeight="17060" firstSheet="7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13" l="1"/>
  <c r="Q25" i="13" s="1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0" i="3" a="1"/>
  <c r="O9" i="3" a="1"/>
  <c r="O8" i="3" a="1"/>
  <c r="O11" i="3"/>
  <c r="P11" i="3" s="1"/>
  <c r="O10" i="3"/>
  <c r="O9" i="3"/>
  <c r="O8" i="3"/>
  <c r="P10" i="3"/>
  <c r="P8" i="3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9" i="3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B5" i="14" l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6" i="14" l="1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B25" i="14" s="1"/>
  <c r="B19" i="13" a="1"/>
  <c r="B19" i="13" s="1"/>
  <c r="I19" i="13" s="1" a="1"/>
  <c r="I19" i="13" s="1"/>
  <c r="C23" i="14" s="1"/>
  <c r="B12" i="14" l="1"/>
  <c r="C13" i="14"/>
  <c r="C15" i="14"/>
  <c r="B24" i="14"/>
  <c r="C8" i="14"/>
  <c r="B14" i="14"/>
  <c r="C12" i="14"/>
  <c r="C16" i="14"/>
  <c r="B22" i="14"/>
  <c r="C17" i="14"/>
  <c r="C26" i="14"/>
  <c r="C22" i="14"/>
  <c r="C21" i="14"/>
  <c r="C25" i="14"/>
  <c r="B17" i="14"/>
  <c r="B15" i="14"/>
  <c r="C24" i="14"/>
  <c r="B23" i="14"/>
  <c r="B21" i="14"/>
  <c r="B16" i="14"/>
  <c r="B13" i="14"/>
  <c r="B26" i="14"/>
  <c r="C14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<sst xmlns="http://schemas.openxmlformats.org/spreadsheetml/2006/main" count="1077" uniqueCount="557">
  <si>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</si>
  <si>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</si>
  <si>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</si>
  <si>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</si>
  <si>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</si>
  <si>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</si>
  <si>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</si>
  <si>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</si>
  <si>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</si>
  <si>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</si>
  <si>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</si>
  <si>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</si>
  <si>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</si>
  <si>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</si>
  <si>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</si>
  <si>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</si>
  <si>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</si>
  <si>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</si>
  <si>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</si>
  <si>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</si>
  <si>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</si>
  <si>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</si>
  <si>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</si>
  <si>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</si>
  <si>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</si>
  <si>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</si>
  <si>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</si>
  <si>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</si>
  <si>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</si>
  <si>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</si>
  <si>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</si>
  <si>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</si>
  <si>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</si>
  <si>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</si>
  <si>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</si>
  <si>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</si>
  <si>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</si>
  <si>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</si>
  <si>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</si>
  <si>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</si>
  <si>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</si>
  <si>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</si>
  <si>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</si>
  <si>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</si>
  <si>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</si>
  <si>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</si>
  <si>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</si>
  <si>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</si>
  <si>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</si>
  <si>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</si>
  <si>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</si>
  <si>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</si>
  <si>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</si>
  <si>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</si>
  <si>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</si>
  <si>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</si>
  <si>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</si>
  <si>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</si>
  <si>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</si>
  <si>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</si>
  <si>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</si>
  <si>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</si>
  <si>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</si>
  <si>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</si>
  <si>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</si>
  <si>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</si>
  <si>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</si>
  <si>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</si>
  <si>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</si>
  <si>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</si>
  <si>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</si>
  <si>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</si>
  <si>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</si>
  <si>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</si>
  <si>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</si>
  <si>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</si>
  <si>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</si>
  <si>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</si>
  <si>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</si>
  <si>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</si>
  <si>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</si>
  <si>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</si>
  <si>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</si>
  <si>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</si>
  <si>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</si>
  <si>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</si>
  <si>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</si>
  <si>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</si>
  <si>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</si>
  <si>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</si>
  <si>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</si>
  <si>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</si>
  <si>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</si>
  <si>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</si>
  <si>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</si>
  <si>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</si>
  <si>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</si>
  <si>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</si>
  <si>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</si>
  <si>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</si>
  <si>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</si>
  <si>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</si>
  <si>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</si>
  <si>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</si>
  <si>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</si>
  <si>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</si>
  <si>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</si>
  <si>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</si>
  <si>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</si>
  <si>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</si>
  <si>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</si>
  <si>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</si>
  <si>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</si>
  <si>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</si>
  <si>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</si>
  <si>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</si>
  <si>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</si>
  <si>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</si>
  <si>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</si>
  <si>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</si>
  <si>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</si>
  <si>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</si>
  <si>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</si>
  <si>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</si>
  <si>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</si>
  <si>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</si>
  <si>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</si>
  <si>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</si>
  <si>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</si>
  <si>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</si>
  <si>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</si>
  <si>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</si>
  <si>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</si>
  <si>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</si>
  <si>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</si>
  <si>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</si>
  <si>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</si>
  <si>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</si>
  <si>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</si>
  <si>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</si>
  <si>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</si>
  <si>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</si>
  <si>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</si>
  <si>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</si>
  <si>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</si>
  <si>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</si>
  <si>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</si>
  <si>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</si>
  <si>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</si>
  <si>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</si>
  <si>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</si>
  <si>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</si>
  <si>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</si>
  <si>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</si>
  <si>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</si>
  <si>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</si>
  <si>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</si>
  <si>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</si>
  <si>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</si>
  <si>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</si>
  <si>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</si>
  <si>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</si>
  <si>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</si>
  <si>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</si>
  <si>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</si>
  <si>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</si>
  <si>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</si>
  <si>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</si>
  <si>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</si>
  <si>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</si>
  <si>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</si>
  <si>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</si>
  <si>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</si>
  <si>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</si>
  <si>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</si>
  <si>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</si>
  <si>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</si>
  <si>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</si>
  <si>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</si>
  <si>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</si>
  <si>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</si>
  <si>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</si>
  <si>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</si>
  <si>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</si>
  <si>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</si>
  <si>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</si>
  <si>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</si>
  <si>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</si>
  <si>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</si>
  <si>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</si>
  <si>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</si>
  <si>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</si>
  <si>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</si>
  <si>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</si>
  <si>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</si>
  <si>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</si>
  <si>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</si>
  <si>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</si>
  <si>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</si>
  <si>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</si>
  <si>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</si>
  <si>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</si>
  <si>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</si>
  <si>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</si>
  <si>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</si>
  <si>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</si>
  <si>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</si>
  <si>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</si>
  <si>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</si>
  <si>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</si>
  <si>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</si>
  <si>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</si>
  <si>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</si>
  <si>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</si>
  <si>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</si>
  <si>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</si>
  <si>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</si>
  <si>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</si>
  <si>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</si>
  <si>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</si>
  <si>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</si>
  <si>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</si>
  <si>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</si>
  <si>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</si>
  <si>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</si>
  <si>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</si>
  <si>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</si>
  <si>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</si>
  <si>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</si>
  <si>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</si>
  <si>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</si>
  <si>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</si>
  <si>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</si>
  <si>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</si>
  <si>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</si>
  <si>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</si>
  <si>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</si>
  <si>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</si>
  <si>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</si>
  <si>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</si>
  <si>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</si>
  <si>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</si>
  <si>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</si>
  <si>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</si>
  <si>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</si>
  <si>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</si>
  <si>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</si>
  <si>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</si>
  <si>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</si>
  <si>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</si>
  <si>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</si>
  <si>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</si>
  <si>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</si>
  <si>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</si>
  <si>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</si>
  <si>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</si>
  <si>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</si>
  <si>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</si>
  <si>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</si>
  <si>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</si>
  <si>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</si>
  <si>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</si>
  <si>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</si>
  <si>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</si>
  <si>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</si>
  <si>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</si>
  <si>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</si>
  <si>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</si>
  <si>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</si>
  <si>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</si>
  <si>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</si>
  <si>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</si>
  <si>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</si>
  <si>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</si>
  <si>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</si>
  <si>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</si>
  <si>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</si>
  <si>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</si>
  <si>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</si>
  <si>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</si>
  <si>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</si>
  <si>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</si>
  <si>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</si>
  <si>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</si>
  <si>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</si>
  <si>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</si>
  <si>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</si>
  <si>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</si>
  <si>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</si>
  <si>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</si>
  <si>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</si>
  <si>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</si>
  <si>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</si>
  <si>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</si>
  <si>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</si>
  <si>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</si>
  <si>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</si>
  <si>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</si>
  <si>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</si>
  <si>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</si>
  <si>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</si>
  <si>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</si>
  <si>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</si>
  <si>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</si>
  <si>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</si>
  <si>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</si>
  <si>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</si>
  <si>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</si>
  <si>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</si>
  <si>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</si>
  <si>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</si>
  <si>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</si>
  <si>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</si>
  <si>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</si>
  <si>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</si>
  <si>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</si>
  <si>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</si>
  <si>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</si>
  <si>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</si>
  <si>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</si>
  <si>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</si>
  <si>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</si>
  <si>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</si>
  <si>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</si>
  <si>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</si>
  <si>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</si>
  <si>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</si>
  <si>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</si>
  <si>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</si>
  <si>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</si>
  <si>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</si>
  <si>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</si>
  <si>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</si>
  <si>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</si>
  <si>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</si>
  <si>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</si>
  <si>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</si>
  <si>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</si>
  <si>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</si>
  <si>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</si>
  <si>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</si>
  <si>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</si>
  <si>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</si>
  <si>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</si>
  <si>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</si>
  <si>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</si>
  <si>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</si>
  <si>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</si>
  <si>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</si>
  <si>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</si>
  <si>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</si>
  <si>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</si>
  <si>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</si>
  <si>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</si>
  <si>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</si>
  <si>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</si>
  <si>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</si>
  <si>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</si>
  <si>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</si>
  <si>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</si>
  <si>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</si>
  <si>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</si>
  <si>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</si>
  <si>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</si>
  <si>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</si>
  <si>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</si>
  <si>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</si>
  <si>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</si>
  <si>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</si>
  <si>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</si>
  <si>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</si>
  <si>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</si>
  <si>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</si>
  <si>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</si>
  <si>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</si>
  <si>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</si>
  <si>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</si>
  <si>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</si>
  <si>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</si>
  <si>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</si>
  <si>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</si>
  <si>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</si>
  <si>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</si>
  <si>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</si>
  <si>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</si>
  <si>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</si>
  <si>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</si>
  <si>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</si>
  <si>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</si>
  <si>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</si>
  <si>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</si>
  <si>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</si>
  <si>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</si>
  <si>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</si>
  <si>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</si>
  <si>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</si>
  <si>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</si>
  <si>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</si>
  <si>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</si>
  <si>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</si>
  <si>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</si>
  <si>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</si>
  <si>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</si>
  <si>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</si>
  <si>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</si>
  <si>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</si>
  <si>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</si>
  <si>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</si>
  <si>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</si>
  <si>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</si>
  <si>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</si>
  <si>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</si>
  <si>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</si>
  <si>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</si>
  <si>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</si>
  <si>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</si>
  <si>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</si>
  <si>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</si>
  <si>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</si>
  <si>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</si>
  <si>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</si>
  <si>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</si>
  <si>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</si>
  <si>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</si>
  <si>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</si>
  <si>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</si>
  <si>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</si>
  <si>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</si>
  <si>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</si>
  <si>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</si>
  <si>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</si>
  <si>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</si>
  <si>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</si>
  <si>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</si>
  <si>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</si>
  <si>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</si>
  <si>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</si>
  <si>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</si>
  <si>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</si>
  <si>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</si>
  <si>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</si>
  <si>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</si>
  <si>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</si>
  <si>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</si>
  <si>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</si>
  <si>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</si>
  <si>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</si>
  <si>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</si>
  <si>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</si>
  <si>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</si>
  <si>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</si>
  <si>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</si>
  <si>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</si>
  <si>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</si>
  <si>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</si>
  <si>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</si>
  <si>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</si>
  <si>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</si>
  <si>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</si>
  <si>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</si>
  <si>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</si>
  <si>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</si>
  <si>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</si>
  <si>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</si>
  <si>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</si>
  <si>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</si>
  <si>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</si>
  <si>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</si>
  <si>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</si>
  <si>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</si>
  <si>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</si>
  <si>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</si>
  <si>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</si>
  <si>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</si>
  <si>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</si>
  <si>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</si>
  <si>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</si>
  <si>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</si>
  <si>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</si>
  <si>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</si>
  <si>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</si>
  <si>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</si>
  <si>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</si>
  <si>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</si>
  <si>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</si>
  <si>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</si>
  <si>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</si>
  <si>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</si>
  <si>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</si>
  <si>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</si>
  <si>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</si>
  <si>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</si>
  <si>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</si>
  <si>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</si>
  <si>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</si>
  <si>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</si>
  <si>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</si>
  <si>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</si>
  <si>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</si>
  <si>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</si>
  <si>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</si>
  <si>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</si>
  <si>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</si>
  <si>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</si>
  <si>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</si>
  <si>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</si>
  <si>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</si>
  <si>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</si>
  <si>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</si>
  <si>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</si>
  <si>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</si>
  <si>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</si>
  <si>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</si>
  <si>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</si>
  <si>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</si>
  <si>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</si>
  <si>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</si>
  <si>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</si>
  <si>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</si>
  <si>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</si>
  <si>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</si>
  <si>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</si>
  <si>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</si>
  <si>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ActiveEffectType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</si>
  <si>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</si>
  <si>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</si>
  <si>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</si>
  <si>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</si>
  <si>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</si>
  <si>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</si>
  <si>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</si>
  <si>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</si>
  <si>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</si>
  <si>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</si>
  <si>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</si>
  <si>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</si>
  <si>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</si>
  <si>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HP_Per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</si>
  <si>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</si>
  <si>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</si>
  <si>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</si>
  <si>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</si>
  <si>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</si>
  <si>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</si>
  <si>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</si>
  <si>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</si>
  <si>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</si>
  <si>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</si>
  <si>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OnMovementSpdChanged</t>
  </si>
  <si>
    <t>OnHpChanged</t>
  </si>
  <si>
    <t>OnChargeBounceCountChanged</t>
  </si>
  <si>
    <t>테스트</t>
    <phoneticPr fontId="8" type="noConversion"/>
  </si>
  <si>
    <t>OnHpChanged, OnGoldChanged</t>
    <phoneticPr fontId="8" type="noConversion"/>
  </si>
  <si>
    <t>hp에 변화가 생기거나 골드에 변화가 생기면 3초동안 4배 빨라짐 테스트용 hp가 절반이면 축복을 내려줌</t>
    <phoneticPr fontId="8" type="noConversion"/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</si>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</sst>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10" borderId="0" xfId="0" applyFont="1" applyFill="1">
      <alignment vertical="center"/>
    </xf>
    <xf numFmtId="0" fontId="14" fillId="0" borderId="0" xfId="0" applyFont="1" applyAlignment="1">
      <alignment vertical="center" wrapText="1"/>
    </xf>
    <xf numFmtId="0" fontId="0" fillId="11" borderId="0" xfId="0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57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5" totalsRowShown="0" headerRowDxfId="31">
  <autoFilter ref="B2:Q25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14">
  <autoFilter ref="B2:K26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5" totalsRowShown="0" headerRowDxfId="9">
  <autoFilter ref="B2:F35" xr:uid="{00000000-0009-0000-0100-000001000000}"/>
  <tableColumns count="5">
    <tableColumn id="4" xr3:uid="{DE2DDF71-E208-9D48-B1BD-ADAF1A04A4E7}" name="Index" dataDxfId="8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4" totalsRowShown="0" headerRowDxfId="7">
  <autoFilter ref="B2:F4" xr:uid="{00000000-0009-0000-0100-000001000000}"/>
  <tableColumns count="5">
    <tableColumn id="4" xr3:uid="{9F0C2145-5739-D948-B51C-59C2F70F8333}" name="Index" dataDxfId="6"/>
    <tableColumn id="5" xr3:uid="{68F4A981-62AA-3A4B-BE01-0227C535B866}" name="Active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5" t="s">
        <v>315</v>
      </c>
      <c r="C1" s="46"/>
      <c r="D1" s="46"/>
      <c r="E1" s="46"/>
    </row>
    <row r="2" spans="2:5" s="1" customFormat="1">
      <c r="B2" s="46"/>
      <c r="C2" s="46"/>
      <c r="D2" s="46"/>
      <c r="E2" s="46"/>
    </row>
    <row r="3" spans="2:5" s="1" customFormat="1">
      <c r="B3" s="46"/>
      <c r="C3" s="46"/>
      <c r="D3" s="46"/>
      <c r="E3" s="46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5" t="s">
        <v>202</v>
      </c>
      <c r="C1" s="46"/>
      <c r="D1" s="46"/>
      <c r="E1" s="46"/>
    </row>
    <row r="2" spans="2:12" s="1" customFormat="1">
      <c r="B2" s="46"/>
      <c r="C2" s="46"/>
      <c r="D2" s="46"/>
      <c r="E2" s="46"/>
    </row>
    <row r="3" spans="2:12" s="1" customFormat="1">
      <c r="B3" s="46"/>
      <c r="C3" s="46"/>
      <c r="D3" s="46"/>
      <c r="E3" s="46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477</v>
      </c>
      <c r="C10" s="2"/>
      <c r="D10" s="2"/>
      <c r="I10" s="2" t="s">
        <v>478</v>
      </c>
      <c r="J10" s="2"/>
      <c r="K10" s="2"/>
    </row>
    <row r="11" spans="2:12">
      <c r="B11" s="14" t="s">
        <v>475</v>
      </c>
      <c r="C11" s="14" t="s">
        <v>476</v>
      </c>
      <c r="D11" s="14" t="s">
        <v>473</v>
      </c>
      <c r="E11" s="14" t="s">
        <v>474</v>
      </c>
      <c r="F11" s="14" t="s">
        <v>479</v>
      </c>
      <c r="I11" s="14" t="s">
        <v>480</v>
      </c>
      <c r="J11" s="14" t="s">
        <v>476</v>
      </c>
      <c r="K11" s="14" t="s">
        <v>473</v>
      </c>
      <c r="L11" s="14" t="s">
        <v>474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481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482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483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483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5" t="s">
        <v>293</v>
      </c>
      <c r="C1" s="46"/>
      <c r="D1" s="46"/>
      <c r="E1" s="46"/>
      <c r="F1" s="46"/>
    </row>
    <row r="2" spans="1:21" s="1" customFormat="1">
      <c r="B2" s="46"/>
      <c r="C2" s="46"/>
      <c r="D2" s="46"/>
      <c r="E2" s="46"/>
      <c r="F2" s="46"/>
    </row>
    <row r="3" spans="1:21" s="1" customFormat="1">
      <c r="B3" s="46"/>
      <c r="C3" s="46"/>
      <c r="D3" s="46"/>
      <c r="E3" s="46"/>
      <c r="F3" s="46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484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t="s">
        <v>198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opLeftCell="U1" zoomScaleNormal="75" zoomScaleSheetLayoutView="100" workbookViewId="0">
      <selection activeCell="E28" sqref="E28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28.83203125" bestFit="1" customWidth="1"/>
    <col min="27" max="27" width="17" customWidth="1"/>
    <col min="28" max="28" width="26.6640625" bestFit="1" customWidth="1"/>
    <col min="29" max="29" width="25" bestFit="1" customWidth="1"/>
    <col min="30" max="31" width="26.1640625" bestFit="1" customWidth="1"/>
    <col min="32" max="32" width="26" bestFit="1" customWidth="1"/>
    <col min="33" max="33" width="27.1640625" bestFit="1" customWidth="1"/>
  </cols>
  <sheetData>
    <row r="1" spans="2:33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F1" s="10" t="s">
        <v>167</v>
      </c>
    </row>
    <row r="2" spans="2:33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8" t="s">
        <v>219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509</v>
      </c>
      <c r="X2" s="35" t="s">
        <v>510</v>
      </c>
      <c r="Y2" s="1" t="s">
        <v>320</v>
      </c>
      <c r="Z2" s="1" t="s">
        <v>375</v>
      </c>
      <c r="AA2" s="5" t="s">
        <v>335</v>
      </c>
      <c r="AB2" s="5" t="s">
        <v>224</v>
      </c>
      <c r="AC2" s="5" t="s">
        <v>247</v>
      </c>
      <c r="AD2" s="5" t="s">
        <v>227</v>
      </c>
      <c r="AE2" s="5" t="s">
        <v>246</v>
      </c>
      <c r="AF2" s="5" t="s">
        <v>238</v>
      </c>
      <c r="AG2" s="5" t="s">
        <v>26</v>
      </c>
    </row>
    <row r="3" spans="2:33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487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488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489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508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507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504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506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532</v>
      </c>
      <c r="D1" s="14" t="s">
        <v>413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513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531</v>
      </c>
      <c r="D2" s="17" t="s">
        <v>413</v>
      </c>
      <c r="E2" t="s">
        <v>129</v>
      </c>
      <c r="F2" s="21" t="s">
        <v>503</v>
      </c>
      <c r="G2" t="s">
        <v>302</v>
      </c>
      <c r="H2" t="s">
        <v>304</v>
      </c>
      <c r="I2" s="21" t="s">
        <v>536</v>
      </c>
      <c r="J2" t="s">
        <v>2</v>
      </c>
      <c r="K2" s="21" t="s">
        <v>514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414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448</v>
      </c>
      <c r="D4" s="18" t="s">
        <v>416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t="s">
        <v>217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530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419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530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438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530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446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530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446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530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444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530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450</v>
      </c>
      <c r="D11" s="18" t="s">
        <v>449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530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442</v>
      </c>
      <c r="D12" s="18" t="s">
        <v>415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530</v>
      </c>
      <c r="U12">
        <v>1.4</v>
      </c>
      <c r="V12">
        <v>7</v>
      </c>
    </row>
    <row r="13" spans="2:22">
      <c r="B13" s="37">
        <v>551</v>
      </c>
      <c r="C13" s="38" t="s">
        <v>440</v>
      </c>
      <c r="D13" s="38" t="s">
        <v>420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530</v>
      </c>
      <c r="U13" s="37">
        <v>1.6</v>
      </c>
      <c r="V13" s="37">
        <v>7</v>
      </c>
    </row>
    <row r="14" spans="2:22">
      <c r="B14">
        <v>552</v>
      </c>
      <c r="C14" s="18" t="s">
        <v>441</v>
      </c>
      <c r="D14" s="18" t="s">
        <v>439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530</v>
      </c>
      <c r="U14">
        <v>1.4</v>
      </c>
      <c r="V14">
        <v>7</v>
      </c>
    </row>
    <row r="15" spans="2:22">
      <c r="B15">
        <v>553</v>
      </c>
      <c r="C15" s="19" t="s">
        <v>445</v>
      </c>
      <c r="D15" s="18" t="s">
        <v>443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530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447</v>
      </c>
      <c r="D16" s="26" t="s">
        <v>446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529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413</v>
      </c>
      <c r="I1" s="14" t="s">
        <v>413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413</v>
      </c>
      <c r="I2" s="14" t="s">
        <v>472</v>
      </c>
    </row>
    <row r="3" spans="2:9">
      <c r="B3">
        <v>600</v>
      </c>
      <c r="C3" s="20" t="s">
        <v>464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421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421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421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421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421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421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421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421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421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460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468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468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468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459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458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465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466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467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494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494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494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494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494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494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494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494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494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494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494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494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494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494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494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494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469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470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471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453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453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453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453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453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453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453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453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453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453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453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453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454</v>
      </c>
      <c r="D57">
        <v>725</v>
      </c>
      <c r="E57" s="21" t="s">
        <v>451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454</v>
      </c>
      <c r="D58">
        <v>725</v>
      </c>
      <c r="E58" s="21" t="s">
        <v>451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455</v>
      </c>
      <c r="D59">
        <v>999</v>
      </c>
      <c r="E59" s="21" t="s">
        <v>452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424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425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426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427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428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429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430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431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432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433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434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422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435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423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436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437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418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418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417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417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417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417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417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417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511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456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462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463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457</v>
      </c>
      <c r="D11" t="b">
        <v>1</v>
      </c>
      <c r="E11">
        <v>1</v>
      </c>
      <c r="F11">
        <v>25</v>
      </c>
      <c r="G11" s="21" t="s">
        <v>502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I22" sqref="I22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395</v>
      </c>
      <c r="N2" s="1" t="s">
        <v>396</v>
      </c>
      <c r="O2" s="1" t="s">
        <v>397</v>
      </c>
      <c r="P2" s="28" t="s">
        <v>495</v>
      </c>
      <c r="Q2" s="28" t="s">
        <v>486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399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382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400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398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401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380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402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381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515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498</v>
      </c>
      <c r="M12" s="16" t="s">
        <v>490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403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394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500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411</v>
      </c>
      <c r="M14" s="16" t="s">
        <v>491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499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383</v>
      </c>
      <c r="D15" t="s">
        <v>412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410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493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393</v>
      </c>
      <c r="M16" s="16" t="s">
        <v>492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404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384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405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388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406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385</v>
      </c>
      <c r="M19" s="16" t="s">
        <v>389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407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392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516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386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496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391</v>
      </c>
      <c r="M22" s="16" t="s">
        <v>485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497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408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387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501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409</v>
      </c>
      <c r="M24" s="16" t="s">
        <v>390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>
      <c r="B25" s="41">
        <v>5000</v>
      </c>
      <c r="C25" s="42" t="s">
        <v>551</v>
      </c>
      <c r="D25" s="42" t="s">
        <v>553</v>
      </c>
      <c r="E25" t="s">
        <v>82</v>
      </c>
      <c r="F25" s="15">
        <v>1</v>
      </c>
      <c r="G25" s="15">
        <v>50</v>
      </c>
      <c r="H25" s="15">
        <v>60</v>
      </c>
      <c r="I25" s="15">
        <v>9005</v>
      </c>
      <c r="J25" t="s">
        <v>262</v>
      </c>
      <c r="K25" s="15"/>
      <c r="L25" s="15"/>
      <c r="M25" s="15"/>
      <c r="N25" s="15"/>
      <c r="O25" s="15" t="str">
        <f>_xlfn.CONCAT(
_xlfn.CONCAT("&lt;size=16&gt;",L25,"&lt;/size&gt;\n\n",
"&lt;size=20&gt;&lt;color=#97C456&gt;",M25,"&lt;/color&gt;&lt;/size&gt;"),
IF(ISBLANK(N25),"",_xlfn.CONCAT("\n","&lt;size=24&gt;&lt;color=#FF6A6A&gt;",N25,"&lt;/color&gt;&lt;/size&gt;"))
)</f>
        <v>&lt;size=16&gt;&lt;/size&gt;\n\n&lt;size=20&gt;&lt;color=#97C456&gt;&lt;/color&gt;&lt;/size&gt;</v>
      </c>
      <c r="P25" s="44"/>
      <c r="Q25" s="15" t="str">
        <f>IF(ItemTable[[#This Row],['#4]]=ItemTable[[#This Row],[Desc]],"T","F")</f>
        <v>F</v>
      </c>
    </row>
    <row r="26" spans="2:17">
      <c r="I26" s="14"/>
    </row>
    <row r="27" spans="2:17">
      <c r="I27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6"/>
  <sheetViews>
    <sheetView zoomScale="129" zoomScaleNormal="129" zoomScaleSheetLayoutView="100" workbookViewId="0">
      <selection activeCell="F23" sqref="F23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0.6640625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513</v>
      </c>
      <c r="F1" s="21" t="s">
        <v>513</v>
      </c>
      <c r="G1" s="21" t="s">
        <v>517</v>
      </c>
      <c r="H1" t="s">
        <v>125</v>
      </c>
      <c r="I1" s="21" t="s">
        <v>532</v>
      </c>
      <c r="J1" t="s">
        <v>125</v>
      </c>
      <c r="K1" s="21" t="s">
        <v>517</v>
      </c>
    </row>
    <row r="2" spans="2:11">
      <c r="B2" s="5" t="s">
        <v>126</v>
      </c>
      <c r="C2" s="5" t="s">
        <v>128</v>
      </c>
      <c r="D2" t="s">
        <v>76</v>
      </c>
      <c r="E2" s="21" t="s">
        <v>554</v>
      </c>
      <c r="F2" s="21" t="s">
        <v>555</v>
      </c>
      <c r="G2" s="21" t="s">
        <v>518</v>
      </c>
      <c r="H2" s="21" t="s">
        <v>519</v>
      </c>
      <c r="I2" s="39" t="s">
        <v>521</v>
      </c>
      <c r="J2" s="21" t="s">
        <v>520</v>
      </c>
      <c r="K2" s="39" t="s">
        <v>538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540</v>
      </c>
      <c r="I3" s="21"/>
      <c r="J3" s="21" t="s">
        <v>539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540</v>
      </c>
      <c r="J4" s="21" t="s">
        <v>539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540</v>
      </c>
      <c r="I5" s="21"/>
      <c r="J5" s="21" t="s">
        <v>539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540</v>
      </c>
      <c r="J6" s="21" t="s">
        <v>539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540</v>
      </c>
      <c r="J7" s="21" t="s">
        <v>539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540</v>
      </c>
      <c r="J8" s="21" t="s">
        <v>539</v>
      </c>
    </row>
    <row r="9" spans="2:11">
      <c r="B9" s="4"/>
      <c r="C9" s="4"/>
      <c r="D9" s="21"/>
      <c r="J9" s="21"/>
    </row>
    <row r="10" spans="2:11">
      <c r="B10" s="4"/>
      <c r="C10" s="4"/>
      <c r="D10" s="21"/>
      <c r="J10" s="21"/>
    </row>
    <row r="11" spans="2:11">
      <c r="B11" s="4"/>
      <c r="C11" s="4"/>
      <c r="D11" s="21"/>
      <c r="J11" s="21"/>
    </row>
    <row r="12" spans="2:11">
      <c r="B12" s="4" t="str">
        <f>INDEX(ItemTable[Name],MATCH(ItemEffectTable[[#This Row],[Index]],ItemTable[ItemEffectDataId],0))</f>
        <v>데빌불</v>
      </c>
      <c r="C12" s="4" t="str">
        <f>INDEX(ItemTable[GradeType],MATCH(ItemEffectTable[[#This Row],[Index]],ItemTable[ItemEffectDataId],0))</f>
        <v>Rare</v>
      </c>
      <c r="D12" s="21">
        <v>8000</v>
      </c>
      <c r="E12" s="21">
        <v>8000</v>
      </c>
      <c r="F12" s="21"/>
      <c r="G12">
        <v>0</v>
      </c>
      <c r="H12" t="s">
        <v>548</v>
      </c>
      <c r="J12" s="21" t="s">
        <v>539</v>
      </c>
    </row>
    <row r="13" spans="2:11">
      <c r="B13" s="4" t="str">
        <f>INDEX(ItemTable[Name],MATCH(ItemEffectTable[[#This Row],[Index]],ItemTable[ItemEffectDataId],0))</f>
        <v>대인 지뢰</v>
      </c>
      <c r="C13" s="4" t="str">
        <f>INDEX(ItemTable[GradeType],MATCH(ItemEffectTable[[#This Row],[Index]],ItemTable[ItemEffectDataId],0))</f>
        <v>Rare</v>
      </c>
      <c r="D13" s="21">
        <v>8001</v>
      </c>
      <c r="E13" s="21">
        <v>8001</v>
      </c>
      <c r="F13" s="21"/>
      <c r="G13">
        <v>0</v>
      </c>
      <c r="H13" t="s">
        <v>549</v>
      </c>
      <c r="J13" s="21" t="s">
        <v>539</v>
      </c>
    </row>
    <row r="14" spans="2:11">
      <c r="B14" s="4" t="str">
        <f>INDEX(ItemTable[Name],MATCH(ItemEffectTable[[#This Row],[Index]],ItemTable[ItemEffectDataId],0))</f>
        <v>돌가면</v>
      </c>
      <c r="C14" s="4" t="str">
        <f>INDEX(ItemTable[GradeType],MATCH(ItemEffectTable[[#This Row],[Index]],ItemTable[ItemEffectDataId],0))</f>
        <v>Rare</v>
      </c>
      <c r="D14" s="21">
        <v>8002</v>
      </c>
      <c r="E14" s="21">
        <v>8002</v>
      </c>
      <c r="F14" s="21"/>
      <c r="G14">
        <v>0</v>
      </c>
      <c r="H14" s="21" t="s">
        <v>540</v>
      </c>
      <c r="J14" s="21" t="s">
        <v>539</v>
      </c>
    </row>
    <row r="15" spans="2:11">
      <c r="B15" s="4" t="str">
        <f>INDEX(ItemTable[Name],MATCH(ItemEffectTable[[#This Row],[Index]],ItemTable[ItemEffectDataId],0))</f>
        <v>사나운 돼지저금통</v>
      </c>
      <c r="C15" s="4" t="str">
        <f>INDEX(ItemTable[GradeType],MATCH(ItemEffectTable[[#This Row],[Index]],ItemTable[ItemEffectDataId],0))</f>
        <v>Rare</v>
      </c>
      <c r="D15" s="21">
        <v>8003</v>
      </c>
      <c r="E15" s="21">
        <v>8003</v>
      </c>
      <c r="F15" s="21"/>
      <c r="G15">
        <v>0</v>
      </c>
      <c r="H15" s="21" t="s">
        <v>540</v>
      </c>
      <c r="J15" s="21" t="s">
        <v>539</v>
      </c>
    </row>
    <row r="16" spans="2:11">
      <c r="B16" s="4" t="str">
        <f>INDEX(ItemTable[Name],MATCH(ItemEffectTable[[#This Row],[Index]],ItemTable[ItemEffectDataId],0))</f>
        <v>성배 속 무언가</v>
      </c>
      <c r="C16" s="4" t="str">
        <f>INDEX(ItemTable[GradeType],MATCH(ItemEffectTable[[#This Row],[Index]],ItemTable[ItemEffectDataId],0))</f>
        <v>Rare</v>
      </c>
      <c r="D16" s="21">
        <v>8004</v>
      </c>
      <c r="E16" s="21">
        <v>8004</v>
      </c>
      <c r="F16" s="21"/>
      <c r="G16">
        <v>0</v>
      </c>
      <c r="H16" s="21" t="s">
        <v>540</v>
      </c>
      <c r="J16" s="21" t="s">
        <v>539</v>
      </c>
    </row>
    <row r="17" spans="2:11">
      <c r="B17" s="4" t="str">
        <f>INDEX(ItemTable[Name],MATCH(ItemEffectTable[[#This Row],[Index]],ItemTable[ItemEffectDataId],0))</f>
        <v>이상한 사탕</v>
      </c>
      <c r="C17" s="4" t="str">
        <f>INDEX(ItemTable[GradeType],MATCH(ItemEffectTable[[#This Row],[Index]],ItemTable[ItemEffectDataId],0))</f>
        <v>Rare</v>
      </c>
      <c r="D17" s="21">
        <v>8005</v>
      </c>
      <c r="E17" s="21">
        <v>8005</v>
      </c>
      <c r="F17" s="21"/>
      <c r="G17">
        <v>0</v>
      </c>
      <c r="H17" t="s">
        <v>550</v>
      </c>
      <c r="J17" s="21" t="s">
        <v>539</v>
      </c>
    </row>
    <row r="18" spans="2:11">
      <c r="B18" s="4"/>
      <c r="C18" s="4"/>
      <c r="D18" s="21"/>
      <c r="J18" s="21"/>
    </row>
    <row r="19" spans="2:11">
      <c r="B19" s="4"/>
      <c r="C19" s="4"/>
      <c r="D19" s="21"/>
      <c r="J19" s="21"/>
    </row>
    <row r="20" spans="2:11">
      <c r="B20" s="4"/>
      <c r="C20" s="4"/>
      <c r="D20" s="21"/>
      <c r="J20" s="21"/>
    </row>
    <row r="21" spans="2:11">
      <c r="B21" s="4" t="str">
        <f>INDEX(ItemTable[Name],MATCH(ItemEffectTable[[#This Row],[Index]],ItemTable[ItemEffectDataId],0))</f>
        <v>코코아 한통</v>
      </c>
      <c r="C21" s="4" t="str">
        <f>INDEX(ItemTable[GradeType],MATCH(ItemEffectTable[[#This Row],[Index]],ItemTable[ItemEffectDataId],0))</f>
        <v>Cursed</v>
      </c>
      <c r="D21" s="21">
        <v>9000</v>
      </c>
      <c r="E21" s="21">
        <v>9000</v>
      </c>
      <c r="F21" s="21"/>
      <c r="G21">
        <v>0</v>
      </c>
      <c r="H21" s="21" t="s">
        <v>540</v>
      </c>
      <c r="J21" s="21" t="s">
        <v>539</v>
      </c>
    </row>
    <row r="22" spans="2:11">
      <c r="B22" s="4" t="str">
        <f>INDEX(ItemTable[Name],MATCH(ItemEffectTable[[#This Row],[Index]],ItemTable[ItemEffectDataId],0))</f>
        <v>슬픈 캔리오</v>
      </c>
      <c r="C22" s="4" t="str">
        <f>INDEX(ItemTable[GradeType],MATCH(ItemEffectTable[[#This Row],[Index]],ItemTable[ItemEffectDataId],0))</f>
        <v>Cursed</v>
      </c>
      <c r="D22" s="21">
        <v>9001</v>
      </c>
      <c r="E22" s="21">
        <v>9001</v>
      </c>
      <c r="F22" s="21"/>
      <c r="G22">
        <v>0</v>
      </c>
      <c r="H22" s="21" t="s">
        <v>540</v>
      </c>
      <c r="J22" s="21" t="s">
        <v>539</v>
      </c>
    </row>
    <row r="23" spans="2:11">
      <c r="B23" s="4" t="str">
        <f>INDEX(ItemTable[Name],MATCH(ItemEffectTable[[#This Row],[Index]],ItemTable[ItemEffectDataId],0))</f>
        <v>청개굴 버섯구이</v>
      </c>
      <c r="C23" s="4" t="str">
        <f>INDEX(ItemTable[GradeType],MATCH(ItemEffectTable[[#This Row],[Index]],ItemTable[ItemEffectDataId],0))</f>
        <v>Cursed</v>
      </c>
      <c r="D23" s="21">
        <v>9002</v>
      </c>
      <c r="E23" s="21">
        <v>9002</v>
      </c>
      <c r="F23" s="21">
        <v>9002</v>
      </c>
      <c r="G23">
        <v>0</v>
      </c>
      <c r="H23" s="21" t="s">
        <v>540</v>
      </c>
      <c r="J23" s="21" t="s">
        <v>539</v>
      </c>
    </row>
    <row r="24" spans="2:11">
      <c r="B24" s="4" t="str">
        <f>INDEX(ItemTable[Name],MATCH(ItemEffectTable[[#This Row],[Index]],ItemTable[ItemEffectDataId],0))</f>
        <v>누군가의 일기장</v>
      </c>
      <c r="C24" s="4" t="str">
        <f>INDEX(ItemTable[GradeType],MATCH(ItemEffectTable[[#This Row],[Index]],ItemTable[ItemEffectDataId],0))</f>
        <v>Cursed</v>
      </c>
      <c r="D24" s="21">
        <v>9003</v>
      </c>
      <c r="E24" s="21">
        <v>9003</v>
      </c>
      <c r="F24" s="21"/>
      <c r="G24">
        <v>0</v>
      </c>
      <c r="H24" s="21" t="s">
        <v>540</v>
      </c>
      <c r="J24" s="21" t="s">
        <v>539</v>
      </c>
    </row>
    <row r="25" spans="2:11">
      <c r="B25" s="4" t="str">
        <f>INDEX(ItemTable[Name],MATCH(ItemEffectTable[[#This Row],[Index]],ItemTable[ItemEffectDataId],0))</f>
        <v>태양</v>
      </c>
      <c r="C25" s="4" t="str">
        <f>INDEX(ItemTable[GradeType],MATCH(ItemEffectTable[[#This Row],[Index]],ItemTable[ItemEffectDataId],0))</f>
        <v>Cursed</v>
      </c>
      <c r="D25" s="21">
        <v>9004</v>
      </c>
      <c r="E25" s="21">
        <v>9004</v>
      </c>
      <c r="F25" s="21"/>
      <c r="G25">
        <v>0</v>
      </c>
      <c r="H25" s="21" t="s">
        <v>540</v>
      </c>
      <c r="J25" s="21" t="s">
        <v>539</v>
      </c>
    </row>
    <row r="26" spans="2:11">
      <c r="B26" s="4" t="str">
        <f>INDEX(ItemTable[Name],MATCH(ItemEffectTable[[#This Row],[Index]],ItemTable[ItemEffectDataId],0))</f>
        <v>테스트</v>
      </c>
      <c r="C26" s="41" t="str">
        <f>INDEX(ItemTable[GradeType],MATCH(ItemEffectTable[[#This Row],[Index]],ItemTable[ItemEffectDataId],0))</f>
        <v>Rare</v>
      </c>
      <c r="D26" s="21">
        <v>9005</v>
      </c>
      <c r="E26">
        <v>9005</v>
      </c>
      <c r="G26">
        <v>0</v>
      </c>
      <c r="H26" s="21" t="s">
        <v>552</v>
      </c>
      <c r="I26" s="21" t="s">
        <v>537</v>
      </c>
      <c r="J26" s="21" t="s">
        <v>539</v>
      </c>
      <c r="K26">
        <v>0.5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5"/>
  <sheetViews>
    <sheetView topLeftCell="A14" zoomScale="129" zoomScaleNormal="129" zoomScaleSheetLayoutView="100" workbookViewId="0">
      <selection activeCell="F36" sqref="F36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532</v>
      </c>
      <c r="E1" s="21" t="s">
        <v>534</v>
      </c>
      <c r="F1" s="21" t="s">
        <v>527</v>
      </c>
    </row>
    <row r="2" spans="2:6">
      <c r="B2" t="s">
        <v>76</v>
      </c>
      <c r="C2" s="21" t="s">
        <v>522</v>
      </c>
      <c r="D2" s="21" t="s">
        <v>533</v>
      </c>
      <c r="E2" s="1" t="s">
        <v>13</v>
      </c>
      <c r="F2" s="39" t="s">
        <v>535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3</v>
      </c>
      <c r="E4" t="s">
        <v>349</v>
      </c>
      <c r="F4">
        <v>-1</v>
      </c>
    </row>
    <row r="5" spans="2:6">
      <c r="B5" s="21">
        <v>7002</v>
      </c>
      <c r="C5" t="s">
        <v>2</v>
      </c>
      <c r="D5" s="11">
        <v>4</v>
      </c>
      <c r="E5" t="s">
        <v>349</v>
      </c>
      <c r="F5">
        <v>-1</v>
      </c>
    </row>
    <row r="6" spans="2:6" ht="18">
      <c r="B6" s="21">
        <v>7003</v>
      </c>
      <c r="C6" s="43" t="s">
        <v>541</v>
      </c>
      <c r="D6">
        <v>1</v>
      </c>
      <c r="E6" t="s">
        <v>543</v>
      </c>
      <c r="F6">
        <v>-1</v>
      </c>
    </row>
    <row r="7" spans="2:6" ht="18">
      <c r="B7" s="21">
        <v>7003</v>
      </c>
      <c r="C7" s="43" t="s">
        <v>542</v>
      </c>
      <c r="D7">
        <v>1</v>
      </c>
      <c r="E7" t="s">
        <v>543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543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543</v>
      </c>
      <c r="F9">
        <v>-1</v>
      </c>
    </row>
    <row r="13" spans="2:6" ht="18">
      <c r="B13" s="21">
        <v>8000</v>
      </c>
      <c r="C13" s="11" t="s">
        <v>320</v>
      </c>
      <c r="D13" s="14" t="s">
        <v>544</v>
      </c>
      <c r="E13" t="s">
        <v>543</v>
      </c>
      <c r="F13">
        <v>-1</v>
      </c>
    </row>
    <row r="14" spans="2:6" ht="18">
      <c r="B14" s="21">
        <v>8001</v>
      </c>
      <c r="C14" s="11" t="s">
        <v>320</v>
      </c>
      <c r="D14" s="14" t="s">
        <v>545</v>
      </c>
      <c r="E14" t="s">
        <v>543</v>
      </c>
      <c r="F14">
        <v>-1</v>
      </c>
    </row>
    <row r="15" spans="2:6">
      <c r="B15" s="21">
        <v>8002</v>
      </c>
      <c r="C15" t="s">
        <v>320</v>
      </c>
      <c r="D15">
        <v>0.1</v>
      </c>
      <c r="E15" t="s">
        <v>543</v>
      </c>
      <c r="F15">
        <v>-1</v>
      </c>
    </row>
    <row r="16" spans="2:6">
      <c r="B16" s="21">
        <v>8002</v>
      </c>
      <c r="C16" t="s">
        <v>2</v>
      </c>
      <c r="D16">
        <v>0.5</v>
      </c>
      <c r="E16" t="s">
        <v>543</v>
      </c>
      <c r="F16">
        <v>-1</v>
      </c>
    </row>
    <row r="17" spans="2:6">
      <c r="B17" s="21">
        <v>8002</v>
      </c>
      <c r="C17" t="s">
        <v>219</v>
      </c>
      <c r="D17">
        <v>-0.1</v>
      </c>
      <c r="E17" t="s">
        <v>543</v>
      </c>
      <c r="F17">
        <v>-1</v>
      </c>
    </row>
    <row r="18" spans="2:6">
      <c r="B18" s="21">
        <v>8003</v>
      </c>
      <c r="C18" t="s">
        <v>281</v>
      </c>
      <c r="D18">
        <v>0.5</v>
      </c>
      <c r="E18" t="s">
        <v>543</v>
      </c>
      <c r="F18">
        <v>-1</v>
      </c>
    </row>
    <row r="19" spans="2:6" ht="18">
      <c r="B19" s="21">
        <v>8004</v>
      </c>
      <c r="C19" s="11" t="s">
        <v>24</v>
      </c>
      <c r="D19">
        <v>2</v>
      </c>
      <c r="E19" t="s">
        <v>543</v>
      </c>
      <c r="F19">
        <v>-1</v>
      </c>
    </row>
    <row r="20" spans="2:6" ht="18">
      <c r="B20" s="21">
        <v>8004</v>
      </c>
      <c r="C20" s="11" t="s">
        <v>30</v>
      </c>
      <c r="D20">
        <v>2</v>
      </c>
      <c r="E20" t="s">
        <v>543</v>
      </c>
      <c r="F20">
        <v>-1</v>
      </c>
    </row>
    <row r="21" spans="2:6" ht="18">
      <c r="B21" s="21">
        <v>8005</v>
      </c>
      <c r="C21" s="11" t="s">
        <v>320</v>
      </c>
      <c r="D21" t="s">
        <v>546</v>
      </c>
      <c r="E21" t="s">
        <v>543</v>
      </c>
      <c r="F21">
        <v>-1</v>
      </c>
    </row>
    <row r="25" spans="2:6" ht="18">
      <c r="B25" s="21">
        <v>9000</v>
      </c>
      <c r="C25" s="11" t="s">
        <v>219</v>
      </c>
      <c r="D25">
        <v>1.2</v>
      </c>
      <c r="E25" t="s">
        <v>349</v>
      </c>
      <c r="F25">
        <v>-1</v>
      </c>
    </row>
    <row r="26" spans="2:6" ht="18">
      <c r="B26" s="21">
        <v>9000</v>
      </c>
      <c r="C26" s="11" t="s">
        <v>341</v>
      </c>
      <c r="D26">
        <v>0.55000000000000004</v>
      </c>
      <c r="E26" t="s">
        <v>349</v>
      </c>
      <c r="F26">
        <v>-1</v>
      </c>
    </row>
    <row r="27" spans="2:6">
      <c r="B27" s="21">
        <v>9001</v>
      </c>
      <c r="C27" t="s">
        <v>2</v>
      </c>
      <c r="D27">
        <v>0.7</v>
      </c>
      <c r="E27" t="s">
        <v>349</v>
      </c>
      <c r="F27">
        <v>-1</v>
      </c>
    </row>
    <row r="28" spans="2:6" ht="18">
      <c r="B28" s="21">
        <v>9001</v>
      </c>
      <c r="C28" s="11" t="s">
        <v>56</v>
      </c>
      <c r="D28">
        <v>75</v>
      </c>
      <c r="E28" t="s">
        <v>543</v>
      </c>
      <c r="F28">
        <v>-1</v>
      </c>
    </row>
    <row r="29" spans="2:6">
      <c r="B29" s="21">
        <v>9002</v>
      </c>
      <c r="C29" t="s">
        <v>320</v>
      </c>
      <c r="D29">
        <v>1</v>
      </c>
      <c r="E29" t="s">
        <v>543</v>
      </c>
      <c r="F29">
        <v>-1</v>
      </c>
    </row>
    <row r="30" spans="2:6" ht="18">
      <c r="B30" s="21">
        <v>9003</v>
      </c>
      <c r="C30" s="11" t="s">
        <v>56</v>
      </c>
      <c r="D30">
        <v>-50</v>
      </c>
      <c r="E30" t="s">
        <v>543</v>
      </c>
      <c r="F30">
        <v>-1</v>
      </c>
    </row>
    <row r="31" spans="2:6">
      <c r="B31" s="21">
        <v>9003</v>
      </c>
      <c r="C31" t="s">
        <v>320</v>
      </c>
      <c r="D31">
        <v>0.6</v>
      </c>
      <c r="E31" t="s">
        <v>543</v>
      </c>
      <c r="F31">
        <v>-1</v>
      </c>
    </row>
    <row r="32" spans="2:6" ht="18">
      <c r="B32" s="21">
        <v>9004</v>
      </c>
      <c r="C32" s="11" t="s">
        <v>24</v>
      </c>
      <c r="D32">
        <v>-1</v>
      </c>
      <c r="E32" t="s">
        <v>543</v>
      </c>
      <c r="F32">
        <v>-1</v>
      </c>
    </row>
    <row r="33" spans="2:6" ht="18">
      <c r="B33" s="21">
        <v>9004</v>
      </c>
      <c r="C33" s="11" t="s">
        <v>30</v>
      </c>
      <c r="D33">
        <v>-1</v>
      </c>
      <c r="E33" t="s">
        <v>543</v>
      </c>
      <c r="F33">
        <v>-1</v>
      </c>
    </row>
    <row r="34" spans="2:6">
      <c r="B34" s="21">
        <v>9004</v>
      </c>
      <c r="C34" t="s">
        <v>187</v>
      </c>
      <c r="D34">
        <v>1</v>
      </c>
      <c r="E34" t="s">
        <v>547</v>
      </c>
      <c r="F34">
        <v>-1</v>
      </c>
    </row>
    <row r="35" spans="2:6">
      <c r="B35" s="42">
        <v>9005</v>
      </c>
      <c r="C35" t="s">
        <v>2</v>
      </c>
      <c r="D35">
        <v>4</v>
      </c>
      <c r="E35" t="s">
        <v>349</v>
      </c>
      <c r="F35">
        <v>3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4"/>
  <sheetViews>
    <sheetView tabSelected="1" zoomScale="129" zoomScaleNormal="129" zoomScaleSheetLayoutView="100" workbookViewId="0">
      <selection activeCell="H13" sqref="H13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517</v>
      </c>
      <c r="E1" s="21" t="s">
        <v>527</v>
      </c>
      <c r="F1" s="21" t="s">
        <v>527</v>
      </c>
    </row>
    <row r="2" spans="2:6">
      <c r="B2" t="s">
        <v>76</v>
      </c>
      <c r="C2" s="21" t="s">
        <v>523</v>
      </c>
      <c r="D2" s="21" t="s">
        <v>524</v>
      </c>
      <c r="E2" s="39" t="s">
        <v>525</v>
      </c>
      <c r="F2" s="39" t="s">
        <v>526</v>
      </c>
    </row>
    <row r="3" spans="2:6">
      <c r="B3" s="21">
        <v>5000</v>
      </c>
      <c r="C3" s="21" t="s">
        <v>528</v>
      </c>
      <c r="D3" s="11">
        <v>0</v>
      </c>
    </row>
    <row r="4" spans="2:6">
      <c r="B4" s="21">
        <v>9002</v>
      </c>
      <c r="C4" s="21" t="s">
        <v>556</v>
      </c>
      <c r="D4" s="11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2023-07-30T19:06:29Z</dcterms:modified>
  <cp:version>1200.0100.01</cp:version>
</cp:coreProperties>
</file>