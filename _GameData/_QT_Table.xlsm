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omments1.xml" ContentType="application/vnd.openxmlformats-officedocument.spreadsheetml.comment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omments2.xml" ContentType="application/vnd.openxmlformats-officedocument.spreadsheetml.comments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4" codeName="{BC58C6B1-8752-B0C3-C2C4-DFD462C6FBC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/Users/bangseoghyeon/Develop/QT_Proto_Dev/_GameData/"/>
    </mc:Choice>
  </mc:AlternateContent>
  <xr:revisionPtr revIDLastSave="0" documentId="13_ncr:1_{2F6BF9F1-F337-EF46-A050-B0EF822F00CE}" xr6:coauthVersionLast="47" xr6:coauthVersionMax="47" xr10:uidLastSave="{00000000-0000-0000-0000-000000000000}"/>
  <bookViews>
    <workbookView xWindow="13520" yWindow="3280" windowWidth="29040" windowHeight="15840" firstSheet="7" activeTab="9" xr2:uid="{00000000-000D-0000-FFFF-FFFF00000000}"/>
  </bookViews>
  <sheets>
    <sheet name="#시트별저장버튼" sheetId="1" r:id="rId1"/>
    <sheet name="#아이템 밸런스 시트" sheetId="2" r:id="rId2"/>
    <sheet name="#전투 밸런스 시트" sheetId="3" r:id="rId3"/>
    <sheet name="#공용데이터(참고용)" sheetId="4" r:id="rId4"/>
    <sheet name="CharacterGameData" sheetId="5" r:id="rId5"/>
    <sheet name="CharacterAtkGameData" sheetId="6" r:id="rId6"/>
    <sheet name="ProductialMapGameData" sheetId="7" r:id="rId7"/>
    <sheet name="DropGameData" sheetId="8" r:id="rId8"/>
    <sheet name="EnemyGameData" sheetId="9" r:id="rId9"/>
    <sheet name="EnemyAtkGameData" sheetId="10" r:id="rId10"/>
    <sheet name="ShootGameData" sheetId="11" r:id="rId11"/>
    <sheet name="ProjectileGameData" sheetId="12" r:id="rId12"/>
    <sheet name="ItemGameData" sheetId="13" r:id="rId13"/>
    <sheet name="ItemEffectGameData" sheetId="14" r:id="rId14"/>
    <sheet name="ItemResourceGameData" sheetId="15" r:id="rId15"/>
    <sheet name="LocaleGameData" sheetId="16" r:id="rId1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9" i="13" l="1"/>
  <c r="O10" i="13"/>
  <c r="O11" i="13"/>
  <c r="O12" i="13"/>
  <c r="O13" i="13"/>
  <c r="O14" i="13"/>
  <c r="O15" i="13"/>
  <c r="O16" i="13"/>
  <c r="O17" i="13"/>
  <c r="O18" i="13"/>
  <c r="O19" i="13"/>
  <c r="O20" i="13"/>
  <c r="O21" i="13"/>
  <c r="O22" i="13"/>
  <c r="O23" i="13"/>
  <c r="O24" i="13"/>
  <c r="O8" i="13"/>
  <c r="D76" i="16" a="1"/>
  <c r="D76" i="16" s="1"/>
  <c r="D75" i="16" a="1"/>
  <c r="D75" i="16" s="1"/>
  <c r="D74" i="16" a="1"/>
  <c r="D74" i="16" s="1"/>
  <c r="D73" i="16" a="1"/>
  <c r="D73" i="16" s="1"/>
  <c r="D72" i="16" a="1"/>
  <c r="D72" i="16" s="1"/>
  <c r="D71" i="16" a="1"/>
  <c r="D71" i="16" s="1"/>
  <c r="D70" i="16" a="1"/>
  <c r="D70" i="16" s="1"/>
  <c r="D69" i="16" a="1"/>
  <c r="D69" i="16" s="1"/>
  <c r="D68" i="16" a="1"/>
  <c r="D68" i="16" s="1"/>
  <c r="D67" i="16" a="1"/>
  <c r="D67" i="16" s="1"/>
  <c r="D66" i="16" a="1"/>
  <c r="D66" i="16" s="1"/>
  <c r="D65" i="16" a="1"/>
  <c r="D65" i="16" s="1"/>
  <c r="D64" i="16" a="1"/>
  <c r="D64" i="16" s="1"/>
  <c r="D63" i="16" a="1"/>
  <c r="D63" i="16" s="1"/>
  <c r="D62" i="16" a="1"/>
  <c r="D62" i="16" s="1"/>
  <c r="D61" i="16" a="1"/>
  <c r="D61" i="16" s="1"/>
  <c r="D60" i="16" a="1"/>
  <c r="D60" i="16" s="1"/>
  <c r="D59" i="16" a="1"/>
  <c r="D59" i="16" s="1"/>
  <c r="D58" i="16" a="1"/>
  <c r="D58" i="16" s="1"/>
  <c r="D57" i="16" a="1"/>
  <c r="D57" i="16" s="1"/>
  <c r="D56" i="16" a="1"/>
  <c r="D56" i="16" s="1"/>
  <c r="D55" i="16" a="1"/>
  <c r="D55" i="16" s="1"/>
  <c r="D54" i="16" a="1"/>
  <c r="D54" i="16" s="1"/>
  <c r="D53" i="16" a="1"/>
  <c r="D53" i="16" s="1"/>
  <c r="D52" i="16" a="1"/>
  <c r="D52" i="16" s="1"/>
  <c r="D51" i="16" a="1"/>
  <c r="D51" i="16" s="1"/>
  <c r="D50" i="16" a="1"/>
  <c r="D50" i="16" s="1"/>
  <c r="D49" i="16" a="1"/>
  <c r="D49" i="16" s="1"/>
  <c r="D48" i="16" a="1"/>
  <c r="D48" i="16" s="1"/>
  <c r="C9" i="15"/>
  <c r="C8" i="15"/>
  <c r="C7" i="15"/>
  <c r="C6" i="15"/>
  <c r="C5" i="15"/>
  <c r="C4" i="15"/>
  <c r="C3" i="15"/>
  <c r="N29" i="14" a="1"/>
  <c r="N29" i="14" s="1"/>
  <c r="P29" i="14" s="1" a="1"/>
  <c r="P29" i="14" s="1"/>
  <c r="Q29" i="14" s="1" a="1"/>
  <c r="Q29" i="14" s="1"/>
  <c r="M29" i="14"/>
  <c r="H29" i="14"/>
  <c r="M28" i="14"/>
  <c r="N28" i="14" s="1" a="1"/>
  <c r="N28" i="14" s="1"/>
  <c r="P28" i="14" s="1" a="1"/>
  <c r="P28" i="14" s="1"/>
  <c r="Q28" i="14" s="1" a="1"/>
  <c r="Q28" i="14" s="1"/>
  <c r="H28" i="14"/>
  <c r="N27" i="14" a="1"/>
  <c r="N27" i="14" s="1"/>
  <c r="P27" i="14" s="1" a="1"/>
  <c r="P27" i="14" s="1"/>
  <c r="Q27" i="14" s="1" a="1"/>
  <c r="Q27" i="14" s="1"/>
  <c r="M27" i="14"/>
  <c r="H27" i="14"/>
  <c r="N26" i="14" a="1"/>
  <c r="N26" i="14" s="1"/>
  <c r="P26" i="14" s="1" a="1"/>
  <c r="P26" i="14" s="1"/>
  <c r="Q26" i="14" s="1" a="1"/>
  <c r="Q26" i="14" s="1"/>
  <c r="M26" i="14"/>
  <c r="H26" i="14"/>
  <c r="M25" i="14"/>
  <c r="N25" i="14" s="1" a="1"/>
  <c r="N25" i="14" s="1"/>
  <c r="P25" i="14" s="1" a="1"/>
  <c r="P25" i="14" s="1"/>
  <c r="Q25" i="14" s="1" a="1"/>
  <c r="Q25" i="14" s="1"/>
  <c r="H25" i="14"/>
  <c r="M24" i="14"/>
  <c r="N24" i="14" s="1" a="1"/>
  <c r="N24" i="14" s="1"/>
  <c r="P24" i="14" s="1" a="1"/>
  <c r="P24" i="14" s="1"/>
  <c r="Q24" i="14" s="1" a="1"/>
  <c r="Q24" i="14" s="1"/>
  <c r="H24" i="14"/>
  <c r="M23" i="14"/>
  <c r="N23" i="14" s="1" a="1"/>
  <c r="N23" i="14" s="1"/>
  <c r="P23" i="14" s="1" a="1"/>
  <c r="P23" i="14" s="1"/>
  <c r="Q23" i="14" s="1" a="1"/>
  <c r="Q23" i="14" s="1"/>
  <c r="H23" i="14"/>
  <c r="N22" i="14" a="1"/>
  <c r="N22" i="14" s="1"/>
  <c r="P22" i="14" s="1" a="1"/>
  <c r="P22" i="14" s="1"/>
  <c r="Q22" i="14" s="1" a="1"/>
  <c r="Q22" i="14" s="1"/>
  <c r="M22" i="14"/>
  <c r="H22" i="14"/>
  <c r="N21" i="14" a="1"/>
  <c r="N21" i="14" s="1"/>
  <c r="P21" i="14" s="1" a="1"/>
  <c r="P21" i="14" s="1"/>
  <c r="Q21" i="14" s="1" a="1"/>
  <c r="Q21" i="14" s="1"/>
  <c r="M21" i="14"/>
  <c r="H21" i="14"/>
  <c r="N20" i="14" a="1"/>
  <c r="N20" i="14" s="1"/>
  <c r="P20" i="14" s="1" a="1"/>
  <c r="P20" i="14" s="1"/>
  <c r="Q20" i="14" s="1" a="1"/>
  <c r="Q20" i="14" s="1"/>
  <c r="M20" i="14"/>
  <c r="H20" i="14"/>
  <c r="M19" i="14"/>
  <c r="N19" i="14" s="1" a="1"/>
  <c r="N19" i="14" s="1"/>
  <c r="P19" i="14" s="1" a="1"/>
  <c r="P19" i="14" s="1"/>
  <c r="Q19" i="14" s="1" a="1"/>
  <c r="Q19" i="14" s="1"/>
  <c r="H19" i="14"/>
  <c r="O18" i="14"/>
  <c r="N18" i="14" a="1"/>
  <c r="N18" i="14" s="1"/>
  <c r="P18" i="14" s="1" a="1"/>
  <c r="P18" i="14" s="1"/>
  <c r="Q18" i="14" s="1" a="1"/>
  <c r="Q18" i="14" s="1"/>
  <c r="M18" i="14"/>
  <c r="H18" i="14"/>
  <c r="M17" i="14"/>
  <c r="N17" i="14" s="1" a="1"/>
  <c r="N17" i="14" s="1"/>
  <c r="P17" i="14" s="1" a="1"/>
  <c r="P17" i="14" s="1"/>
  <c r="Q17" i="14" s="1" a="1"/>
  <c r="Q17" i="14" s="1"/>
  <c r="H17" i="14"/>
  <c r="N16" i="14" a="1"/>
  <c r="N16" i="14" s="1"/>
  <c r="P16" i="14" s="1" a="1"/>
  <c r="P16" i="14" s="1"/>
  <c r="Q16" i="14" s="1" a="1"/>
  <c r="Q16" i="14" s="1"/>
  <c r="M16" i="14"/>
  <c r="H16" i="14"/>
  <c r="N15" i="14" a="1"/>
  <c r="N15" i="14" s="1"/>
  <c r="P15" i="14" s="1" a="1"/>
  <c r="P15" i="14" s="1"/>
  <c r="Q15" i="14" s="1" a="1"/>
  <c r="Q15" i="14" s="1"/>
  <c r="M15" i="14"/>
  <c r="H15" i="14"/>
  <c r="N14" i="14" a="1"/>
  <c r="N14" i="14" s="1"/>
  <c r="P14" i="14" s="1" a="1"/>
  <c r="P14" i="14" s="1"/>
  <c r="Q14" i="14" s="1" a="1"/>
  <c r="Q14" i="14" s="1"/>
  <c r="M14" i="14"/>
  <c r="H14" i="14"/>
  <c r="M13" i="14"/>
  <c r="N13" i="14" s="1" a="1"/>
  <c r="N13" i="14" s="1"/>
  <c r="P13" i="14" s="1" a="1"/>
  <c r="P13" i="14" s="1"/>
  <c r="Q13" i="14" s="1" a="1"/>
  <c r="Q13" i="14" s="1"/>
  <c r="H13" i="14"/>
  <c r="M12" i="14"/>
  <c r="N12" i="14" s="1" a="1"/>
  <c r="N12" i="14" s="1"/>
  <c r="P12" i="14" s="1" a="1"/>
  <c r="P12" i="14" s="1"/>
  <c r="Q12" i="14" s="1" a="1"/>
  <c r="Q12" i="14" s="1"/>
  <c r="H12" i="14"/>
  <c r="O11" i="14"/>
  <c r="N11" i="14" a="1"/>
  <c r="N11" i="14" s="1"/>
  <c r="M11" i="14"/>
  <c r="H11" i="14"/>
  <c r="O10" i="14"/>
  <c r="M10" i="14"/>
  <c r="N10" i="14" s="1" a="1"/>
  <c r="N10" i="14" s="1"/>
  <c r="P10" i="14" s="1" a="1"/>
  <c r="P10" i="14" s="1"/>
  <c r="Q10" i="14" s="1" a="1"/>
  <c r="Q10" i="14" s="1"/>
  <c r="H10" i="14"/>
  <c r="M9" i="14"/>
  <c r="N9" i="14" s="1" a="1"/>
  <c r="N9" i="14" s="1"/>
  <c r="P9" i="14" s="1" a="1"/>
  <c r="P9" i="14" s="1"/>
  <c r="Q9" i="14" s="1" a="1"/>
  <c r="Q9" i="14" s="1"/>
  <c r="H9" i="14"/>
  <c r="N8" i="14" a="1"/>
  <c r="N8" i="14" s="1"/>
  <c r="P8" i="14" s="1" a="1"/>
  <c r="P8" i="14" s="1"/>
  <c r="Q8" i="14" s="1" a="1"/>
  <c r="Q8" i="14" s="1"/>
  <c r="M8" i="14"/>
  <c r="H8" i="14"/>
  <c r="M7" i="14"/>
  <c r="N7" i="14" s="1" a="1"/>
  <c r="N7" i="14" s="1"/>
  <c r="P7" i="14" s="1" a="1"/>
  <c r="P7" i="14" s="1"/>
  <c r="Q7" i="14" s="1" a="1"/>
  <c r="Q7" i="14" s="1"/>
  <c r="H7" i="14"/>
  <c r="N6" i="14" a="1"/>
  <c r="N6" i="14" s="1"/>
  <c r="P6" i="14" s="1" a="1"/>
  <c r="P6" i="14" s="1"/>
  <c r="Q6" i="14" s="1" a="1"/>
  <c r="Q6" i="14" s="1"/>
  <c r="M6" i="14"/>
  <c r="H6" i="14"/>
  <c r="N5" i="14" a="1"/>
  <c r="N5" i="14" s="1"/>
  <c r="P5" i="14" s="1" a="1"/>
  <c r="P5" i="14" s="1"/>
  <c r="Q5" i="14" s="1" a="1"/>
  <c r="Q5" i="14" s="1"/>
  <c r="M5" i="14"/>
  <c r="H5" i="14"/>
  <c r="N4" i="14" a="1"/>
  <c r="N4" i="14" s="1"/>
  <c r="P4" i="14" s="1" a="1"/>
  <c r="P4" i="14" s="1"/>
  <c r="Q4" i="14" s="1" a="1"/>
  <c r="Q4" i="14" s="1"/>
  <c r="M4" i="14"/>
  <c r="H4" i="14"/>
  <c r="M3" i="14"/>
  <c r="N3" i="14" s="1" a="1"/>
  <c r="N3" i="14" s="1"/>
  <c r="P3" i="14" s="1" a="1"/>
  <c r="P3" i="14" s="1"/>
  <c r="Q3" i="14" s="1" a="1"/>
  <c r="Q3" i="14" s="1"/>
  <c r="H3" i="14"/>
  <c r="K24" i="13"/>
  <c r="G24" i="13" a="1"/>
  <c r="G24" i="13" s="1"/>
  <c r="K23" i="13"/>
  <c r="K22" i="13"/>
  <c r="G22" i="13" a="1"/>
  <c r="G22" i="13" s="1"/>
  <c r="K21" i="13"/>
  <c r="G21" i="13" a="1"/>
  <c r="G21" i="13" s="1"/>
  <c r="K20" i="13"/>
  <c r="G20" i="13" a="1"/>
  <c r="G20" i="13" s="1"/>
  <c r="B20" i="13" a="1"/>
  <c r="B20" i="13" s="1"/>
  <c r="B21" i="13" s="1" a="1"/>
  <c r="B21" i="13" s="1"/>
  <c r="K19" i="13"/>
  <c r="G19" i="13" a="1"/>
  <c r="G19" i="13" s="1"/>
  <c r="K18" i="13"/>
  <c r="G18" i="13" a="1"/>
  <c r="G18" i="13" s="1"/>
  <c r="K17" i="13"/>
  <c r="G17" i="13" a="1"/>
  <c r="G17" i="13" s="1"/>
  <c r="K16" i="13"/>
  <c r="G16" i="13" a="1"/>
  <c r="G16" i="13" s="1"/>
  <c r="K15" i="13"/>
  <c r="G15" i="13" a="1"/>
  <c r="G15" i="13" s="1"/>
  <c r="K14" i="13"/>
  <c r="G14" i="13" a="1"/>
  <c r="G14" i="13" s="1"/>
  <c r="B14" i="13" a="1"/>
  <c r="B14" i="13" s="1"/>
  <c r="B15" i="13" s="1" a="1"/>
  <c r="B15" i="13" s="1"/>
  <c r="K13" i="13"/>
  <c r="G13" i="13" a="1"/>
  <c r="G13" i="13" s="1"/>
  <c r="K12" i="13"/>
  <c r="G12" i="13" a="1"/>
  <c r="G12" i="13" s="1"/>
  <c r="K11" i="13"/>
  <c r="G11" i="13" a="1"/>
  <c r="G11" i="13" s="1"/>
  <c r="K10" i="13"/>
  <c r="G10" i="13" a="1"/>
  <c r="G10" i="13" s="1"/>
  <c r="K9" i="13"/>
  <c r="G9" i="13" a="1"/>
  <c r="G9" i="13" s="1"/>
  <c r="K8" i="13"/>
  <c r="G8" i="13" a="1"/>
  <c r="G8" i="13" s="1"/>
  <c r="B8" i="13" a="1"/>
  <c r="B8" i="13" s="1"/>
  <c r="B9" i="13" s="1" a="1"/>
  <c r="B9" i="13" s="1"/>
  <c r="K7" i="13"/>
  <c r="H7" i="13"/>
  <c r="K6" i="13"/>
  <c r="H6" i="13"/>
  <c r="K5" i="13"/>
  <c r="H5" i="13"/>
  <c r="B5" i="13" a="1"/>
  <c r="B5" i="13" s="1"/>
  <c r="K4" i="13"/>
  <c r="G4" i="13"/>
  <c r="K3" i="13"/>
  <c r="G3" i="13"/>
  <c r="B3" i="13" a="1"/>
  <c r="B3" i="13" s="1"/>
  <c r="S11" i="9"/>
  <c r="D11" i="9"/>
  <c r="S10" i="9"/>
  <c r="D10" i="9"/>
  <c r="S9" i="9"/>
  <c r="D9" i="9"/>
  <c r="S8" i="9"/>
  <c r="D8" i="9"/>
  <c r="S7" i="9"/>
  <c r="D7" i="9"/>
  <c r="S6" i="9"/>
  <c r="D6" i="9"/>
  <c r="S5" i="9"/>
  <c r="D5" i="9"/>
  <c r="S4" i="9"/>
  <c r="D4" i="9"/>
  <c r="S3" i="9"/>
  <c r="D3" i="9"/>
  <c r="S4" i="7"/>
  <c r="R4" i="7"/>
  <c r="Q4" i="7"/>
  <c r="P4" i="7"/>
  <c r="O4" i="7"/>
  <c r="N4" i="7"/>
  <c r="S3" i="7"/>
  <c r="R3" i="7"/>
  <c r="Q3" i="7"/>
  <c r="P3" i="7"/>
  <c r="O3" i="7"/>
  <c r="N3" i="7"/>
  <c r="AE3" i="6"/>
  <c r="O7" i="3" s="1" a="1"/>
  <c r="O7" i="3" s="1"/>
  <c r="AD3" i="6"/>
  <c r="AC3" i="6"/>
  <c r="AB3" i="6"/>
  <c r="AA3" i="6"/>
  <c r="Z3" i="6"/>
  <c r="Y3" i="6"/>
  <c r="E24" i="3"/>
  <c r="E23" i="3"/>
  <c r="E22" i="3"/>
  <c r="E21" i="3"/>
  <c r="E20" i="3"/>
  <c r="E19" i="3"/>
  <c r="E18" i="3"/>
  <c r="E17" i="3"/>
  <c r="J15" i="3"/>
  <c r="E15" i="3"/>
  <c r="E14" i="3"/>
  <c r="E13" i="3"/>
  <c r="O12" i="3" a="1"/>
  <c r="O12" i="3" s="1"/>
  <c r="L12" i="3" a="1"/>
  <c r="L12" i="3" s="1"/>
  <c r="K12" i="3" a="1"/>
  <c r="K12" i="3" s="1"/>
  <c r="J12" i="3"/>
  <c r="E12" i="3"/>
  <c r="O11" i="3" a="1"/>
  <c r="O11" i="3"/>
  <c r="L11" i="3" a="1"/>
  <c r="L11" i="3"/>
  <c r="P11" i="3" s="1"/>
  <c r="K11" i="3" a="1"/>
  <c r="K11" i="3"/>
  <c r="I11" i="3" s="1"/>
  <c r="J11" i="3"/>
  <c r="O10" i="3" a="1"/>
  <c r="O10" i="3"/>
  <c r="L10" i="3" a="1"/>
  <c r="L10" i="3"/>
  <c r="P10" i="3" s="1"/>
  <c r="K10" i="3" a="1"/>
  <c r="K10" i="3"/>
  <c r="I10" i="3" s="1"/>
  <c r="J10" i="3"/>
  <c r="E10" i="3"/>
  <c r="O9" i="3" a="1"/>
  <c r="O9" i="3" s="1"/>
  <c r="L9" i="3" a="1"/>
  <c r="L9" i="3" s="1"/>
  <c r="K9" i="3" a="1"/>
  <c r="K9" i="3" s="1"/>
  <c r="J9" i="3"/>
  <c r="E9" i="3"/>
  <c r="O8" i="3" a="1"/>
  <c r="O8" i="3"/>
  <c r="L8" i="3" a="1"/>
  <c r="L8" i="3"/>
  <c r="P8" i="3" s="1"/>
  <c r="K8" i="3" a="1"/>
  <c r="K8" i="3"/>
  <c r="I8" i="3" s="1"/>
  <c r="J8" i="3"/>
  <c r="E8" i="3"/>
  <c r="R7" i="3"/>
  <c r="L7" i="3" a="1"/>
  <c r="L7" i="3"/>
  <c r="K7" i="3" a="1"/>
  <c r="K7" i="3"/>
  <c r="H7" i="3" s="1"/>
  <c r="J7" i="3"/>
  <c r="I7" i="3"/>
  <c r="D7" i="2"/>
  <c r="P11" i="14" l="1" a="1"/>
  <c r="P11" i="14" s="1"/>
  <c r="Q11" i="14" s="1" a="1"/>
  <c r="Q11" i="14" s="1"/>
  <c r="R24" i="14" s="1" a="1"/>
  <c r="R24" i="14" s="1"/>
  <c r="I12" i="3"/>
  <c r="H12" i="3"/>
  <c r="P12" i="3"/>
  <c r="I21" i="13" a="1"/>
  <c r="I21" i="13" s="1"/>
  <c r="B22" i="13" a="1"/>
  <c r="B22" i="13" s="1"/>
  <c r="I15" i="13" a="1"/>
  <c r="I15" i="13" s="1"/>
  <c r="B16" i="13" a="1"/>
  <c r="B16" i="13" s="1"/>
  <c r="I9" i="3"/>
  <c r="H9" i="3"/>
  <c r="B4" i="13" a="1"/>
  <c r="B4" i="13" s="1"/>
  <c r="I3" i="13" a="1"/>
  <c r="I3" i="13" s="1"/>
  <c r="A3" i="16"/>
  <c r="I9" i="13" a="1"/>
  <c r="I9" i="13" s="1"/>
  <c r="A9" i="16"/>
  <c r="B10" i="13" a="1"/>
  <c r="B10" i="13" s="1"/>
  <c r="P9" i="3"/>
  <c r="P7" i="3"/>
  <c r="B6" i="13" a="1"/>
  <c r="B6" i="13" s="1"/>
  <c r="I5" i="13" a="1"/>
  <c r="I5" i="13" s="1"/>
  <c r="A5" i="16"/>
  <c r="I8" i="13" a="1"/>
  <c r="I8" i="13" s="1"/>
  <c r="I14" i="13" a="1"/>
  <c r="I14" i="13" s="1"/>
  <c r="I20" i="13" a="1"/>
  <c r="I20" i="13" s="1"/>
  <c r="A8" i="16"/>
  <c r="H11" i="3"/>
  <c r="H10" i="3"/>
  <c r="H8" i="3"/>
  <c r="R8" i="14" l="1" a="1"/>
  <c r="R8" i="14" s="1"/>
  <c r="R4" i="14" a="1"/>
  <c r="R4" i="14" s="1"/>
  <c r="R26" i="14" a="1"/>
  <c r="R26" i="14" s="1"/>
  <c r="R6" i="14" a="1"/>
  <c r="R6" i="14" s="1"/>
  <c r="R19" i="14" a="1"/>
  <c r="R19" i="14" s="1"/>
  <c r="R5" i="14" a="1"/>
  <c r="R5" i="14" s="1"/>
  <c r="R10" i="14" a="1"/>
  <c r="R10" i="14" s="1"/>
  <c r="R15" i="14" a="1"/>
  <c r="R15" i="14" s="1"/>
  <c r="R20" i="14" a="1"/>
  <c r="R20" i="14" s="1"/>
  <c r="R29" i="14" a="1"/>
  <c r="R29" i="14" s="1"/>
  <c r="R25" i="14" a="1"/>
  <c r="R25" i="14" s="1"/>
  <c r="R16" i="14" a="1"/>
  <c r="R16" i="14" s="1"/>
  <c r="R21" i="14" a="1"/>
  <c r="R21" i="14" s="1"/>
  <c r="R12" i="14" a="1"/>
  <c r="R12" i="14" s="1"/>
  <c r="R9" i="14" a="1"/>
  <c r="R9" i="14" s="1"/>
  <c r="R18" i="14" a="1"/>
  <c r="R18" i="14" s="1"/>
  <c r="R27" i="14" a="1"/>
  <c r="R27" i="14" s="1"/>
  <c r="R7" i="14" a="1"/>
  <c r="R7" i="14" s="1"/>
  <c r="R17" i="14" a="1"/>
  <c r="R17" i="14" s="1"/>
  <c r="R11" i="14" a="1"/>
  <c r="R11" i="14" s="1"/>
  <c r="R28" i="14" a="1"/>
  <c r="R28" i="14" s="1"/>
  <c r="R22" i="14" a="1"/>
  <c r="R22" i="14" s="1"/>
  <c r="R14" i="14" a="1"/>
  <c r="R14" i="14" s="1"/>
  <c r="R23" i="14" a="1"/>
  <c r="R23" i="14" s="1"/>
  <c r="R3" i="14" a="1"/>
  <c r="R3" i="14" s="1"/>
  <c r="R13" i="14" a="1"/>
  <c r="R13" i="14" s="1"/>
  <c r="A6" i="16"/>
  <c r="B7" i="13" a="1"/>
  <c r="B7" i="13" s="1"/>
  <c r="I6" i="13" a="1"/>
  <c r="I6" i="13" s="1"/>
  <c r="B17" i="13" a="1"/>
  <c r="B17" i="13" s="1"/>
  <c r="I16" i="13" a="1"/>
  <c r="I16" i="13" s="1"/>
  <c r="B23" i="13" a="1"/>
  <c r="B23" i="13" s="1"/>
  <c r="I22" i="13" a="1"/>
  <c r="I22" i="13" s="1"/>
  <c r="A4" i="16"/>
  <c r="I4" i="13" a="1"/>
  <c r="I4" i="13" s="1"/>
  <c r="B11" i="13" a="1"/>
  <c r="B11" i="13" s="1"/>
  <c r="A10" i="16"/>
  <c r="D10" i="16" s="1" a="1"/>
  <c r="D10" i="16" s="1"/>
  <c r="I10" i="13" a="1"/>
  <c r="I10" i="13" s="1"/>
  <c r="I7" i="13" l="1" a="1"/>
  <c r="I7" i="13" s="1"/>
  <c r="D3" i="14" s="1"/>
  <c r="S3" i="14" s="1"/>
  <c r="A7" i="16"/>
  <c r="D7" i="16" s="1" a="1"/>
  <c r="D7" i="16" s="1"/>
  <c r="D40" i="16" a="1"/>
  <c r="D40" i="16" s="1"/>
  <c r="D34" i="16" a="1"/>
  <c r="D34" i="16" s="1"/>
  <c r="D28" i="16" a="1"/>
  <c r="D28" i="16" s="1"/>
  <c r="D22" i="16" a="1"/>
  <c r="D22" i="16" s="1"/>
  <c r="D16" i="16" a="1"/>
  <c r="D16" i="16" s="1"/>
  <c r="D6" i="16" a="1"/>
  <c r="D6" i="16" s="1"/>
  <c r="D39" i="16" a="1"/>
  <c r="D39" i="16" s="1"/>
  <c r="D33" i="16" a="1"/>
  <c r="D33" i="16" s="1"/>
  <c r="D27" i="16" a="1"/>
  <c r="D27" i="16" s="1"/>
  <c r="D21" i="16" a="1"/>
  <c r="D21" i="16" s="1"/>
  <c r="D15" i="16" a="1"/>
  <c r="D15" i="16" s="1"/>
  <c r="D38" i="16" a="1"/>
  <c r="D38" i="16" s="1"/>
  <c r="D32" i="16" a="1"/>
  <c r="D32" i="16" s="1"/>
  <c r="D26" i="16" a="1"/>
  <c r="D26" i="16" s="1"/>
  <c r="D20" i="16" a="1"/>
  <c r="D20" i="16" s="1"/>
  <c r="D14" i="16" a="1"/>
  <c r="D14" i="16" s="1"/>
  <c r="D37" i="16" a="1"/>
  <c r="D37" i="16" s="1"/>
  <c r="D31" i="16" a="1"/>
  <c r="D31" i="16" s="1"/>
  <c r="D25" i="16" a="1"/>
  <c r="D25" i="16" s="1"/>
  <c r="D19" i="16" a="1"/>
  <c r="D19" i="16" s="1"/>
  <c r="D13" i="16" a="1"/>
  <c r="D13" i="16" s="1"/>
  <c r="D42" i="16" a="1"/>
  <c r="D42" i="16" s="1"/>
  <c r="D36" i="16" a="1"/>
  <c r="D36" i="16" s="1"/>
  <c r="D30" i="16" a="1"/>
  <c r="D30" i="16" s="1"/>
  <c r="D24" i="16" a="1"/>
  <c r="D24" i="16" s="1"/>
  <c r="D18" i="16" a="1"/>
  <c r="D18" i="16" s="1"/>
  <c r="D12" i="16" a="1"/>
  <c r="D12" i="16" s="1"/>
  <c r="D41" i="16" a="1"/>
  <c r="D41" i="16" s="1"/>
  <c r="D35" i="16" a="1"/>
  <c r="D35" i="16" s="1"/>
  <c r="D29" i="16" a="1"/>
  <c r="D29" i="16" s="1"/>
  <c r="D23" i="16" a="1"/>
  <c r="D23" i="16" s="1"/>
  <c r="D17" i="16" a="1"/>
  <c r="D17" i="16" s="1"/>
  <c r="D11" i="16" a="1"/>
  <c r="D11" i="16" s="1"/>
  <c r="B12" i="13" a="1"/>
  <c r="B12" i="13" s="1"/>
  <c r="I11" i="13" a="1"/>
  <c r="I11" i="13" s="1"/>
  <c r="D8" i="16" a="1"/>
  <c r="D8" i="16" s="1"/>
  <c r="D9" i="16" a="1"/>
  <c r="D9" i="16" s="1"/>
  <c r="D4" i="16" a="1"/>
  <c r="D4" i="16" s="1"/>
  <c r="B18" i="13" a="1"/>
  <c r="B18" i="13" s="1"/>
  <c r="I17" i="13" a="1"/>
  <c r="I17" i="13" s="1"/>
  <c r="B24" i="13" a="1"/>
  <c r="B24" i="13" s="1"/>
  <c r="I24" i="13" s="1" a="1"/>
  <c r="I24" i="13" s="1"/>
  <c r="I23" i="13" a="1"/>
  <c r="I23" i="13" s="1"/>
  <c r="D5" i="16" a="1"/>
  <c r="D5" i="16" s="1"/>
  <c r="D3" i="16" a="1"/>
  <c r="D3" i="16" s="1"/>
  <c r="D44" i="16" l="1" a="1"/>
  <c r="D44" i="16" s="1"/>
  <c r="D47" i="16" a="1"/>
  <c r="D47" i="16" s="1"/>
  <c r="D6" i="14"/>
  <c r="S6" i="14" s="1"/>
  <c r="D5" i="14"/>
  <c r="S5" i="14" s="1"/>
  <c r="C5" i="14"/>
  <c r="C3" i="14"/>
  <c r="D4" i="14"/>
  <c r="S4" i="14" s="1"/>
  <c r="C4" i="14"/>
  <c r="C7" i="14"/>
  <c r="D43" i="16" a="1"/>
  <c r="D43" i="16" s="1"/>
  <c r="D45" i="16" a="1"/>
  <c r="D45" i="16" s="1"/>
  <c r="D46" i="16" a="1"/>
  <c r="D46" i="16" s="1"/>
  <c r="C6" i="14"/>
  <c r="D7" i="14"/>
  <c r="S7" i="14" s="1"/>
  <c r="I12" i="13" a="1"/>
  <c r="I12" i="13" s="1"/>
  <c r="B13" i="13" a="1"/>
  <c r="B13" i="13" s="1"/>
  <c r="I13" i="13" s="1" a="1"/>
  <c r="I13" i="13" s="1"/>
  <c r="I18" i="13" a="1"/>
  <c r="I18" i="13" s="1"/>
  <c r="B19" i="13" a="1"/>
  <c r="B19" i="13" s="1"/>
  <c r="I19" i="13" s="1" a="1"/>
  <c r="I19" i="13" s="1"/>
  <c r="D18" i="14" l="1"/>
  <c r="S18" i="14" s="1"/>
  <c r="D21" i="14"/>
  <c r="S21" i="14" s="1"/>
  <c r="D11" i="14"/>
  <c r="S11" i="14" s="1"/>
  <c r="C22" i="14"/>
  <c r="D27" i="14"/>
  <c r="S27" i="14" s="1"/>
  <c r="C28" i="14"/>
  <c r="D16" i="14"/>
  <c r="S16" i="14" s="1"/>
  <c r="C12" i="14"/>
  <c r="D25" i="14"/>
  <c r="S25" i="14" s="1"/>
  <c r="C10" i="14"/>
  <c r="C14" i="14"/>
  <c r="D22" i="14"/>
  <c r="S22" i="14" s="1"/>
  <c r="D29" i="14"/>
  <c r="S29" i="14" s="1"/>
  <c r="C17" i="14"/>
  <c r="D14" i="14"/>
  <c r="S14" i="14" s="1"/>
  <c r="C15" i="14"/>
  <c r="D9" i="14"/>
  <c r="S9" i="14" s="1"/>
  <c r="D20" i="14"/>
  <c r="S20" i="14" s="1"/>
  <c r="D26" i="14"/>
  <c r="S26" i="14" s="1"/>
  <c r="C24" i="14"/>
  <c r="C16" i="14"/>
  <c r="C9" i="14"/>
  <c r="C26" i="14"/>
  <c r="D28" i="14"/>
  <c r="S28" i="14" s="1"/>
  <c r="D12" i="14"/>
  <c r="S12" i="14" s="1"/>
  <c r="C18" i="14"/>
  <c r="D17" i="14"/>
  <c r="S17" i="14" s="1"/>
  <c r="C8" i="14"/>
  <c r="C20" i="14"/>
  <c r="D23" i="14"/>
  <c r="S23" i="14" s="1"/>
  <c r="C13" i="14"/>
  <c r="C29" i="14"/>
  <c r="D8" i="14"/>
  <c r="S8" i="14" s="1"/>
  <c r="D13" i="14"/>
  <c r="S13" i="14" s="1"/>
  <c r="D24" i="14"/>
  <c r="S24" i="14" s="1"/>
  <c r="C21" i="14"/>
  <c r="C25" i="14"/>
  <c r="C19" i="14"/>
  <c r="D15" i="14"/>
  <c r="S15" i="14" s="1"/>
  <c r="D19" i="14"/>
  <c r="S19" i="14" s="1"/>
  <c r="C11" i="14"/>
  <c r="C27" i="14"/>
  <c r="C23" i="14"/>
  <c r="D10" i="14"/>
  <c r="S10" i="1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E16" authorId="0" shapeId="0" xr:uid="{00000000-0006-0000-0200-000001000000}">
      <text>
        <r>
          <rPr>
            <b/>
            <sz val="9"/>
            <color rgb="FF000000"/>
            <rFont val="Tahoma"/>
            <family val="2"/>
          </rPr>
          <t xml:space="preserve">Kim_Dongju:
</t>
        </r>
        <r>
          <rPr>
            <sz val="9"/>
            <color rgb="FF000000"/>
            <rFont val="Tahoma"/>
            <family val="2"/>
          </rPr>
          <t>2</t>
        </r>
        <r>
          <rPr>
            <sz val="9"/>
            <color rgb="FF000000"/>
            <rFont val="돋움"/>
            <family val="3"/>
            <charset val="129"/>
          </rPr>
          <t>진수를</t>
        </r>
        <r>
          <rPr>
            <sz val="9"/>
            <color rgb="FF000000"/>
            <rFont val="Tahoma"/>
            <family val="2"/>
          </rPr>
          <t xml:space="preserve"> 10</t>
        </r>
        <r>
          <rPr>
            <sz val="9"/>
            <color rgb="FF000000"/>
            <rFont val="돋움"/>
            <family val="3"/>
            <charset val="129"/>
          </rPr>
          <t>진수로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변환한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값에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가치를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매긴거라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매우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비정확함</t>
        </r>
        <r>
          <rPr>
            <sz val="9"/>
            <color rgb="FF000000"/>
            <rFont val="Tahoma"/>
            <family val="2"/>
          </rPr>
          <t>;;
15(</t>
        </r>
        <r>
          <rPr>
            <sz val="9"/>
            <color rgb="FF000000"/>
            <rFont val="돋움"/>
            <family val="3"/>
            <charset val="129"/>
          </rPr>
          <t>모든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공격에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차징샷가능</t>
        </r>
        <r>
          <rPr>
            <sz val="9"/>
            <color rgb="FF000000"/>
            <rFont val="Tahoma"/>
            <family val="2"/>
          </rPr>
          <t xml:space="preserve">)
</t>
        </r>
        <r>
          <rPr>
            <sz val="9"/>
            <color rgb="FF000000"/>
            <rFont val="돋움"/>
            <family val="3"/>
            <charset val="129"/>
          </rPr>
          <t xml:space="preserve">기준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Kim_Dongju</author>
  </authors>
  <commentList>
    <comment ref="S2" authorId="0" shapeId="0" xr:uid="{00000000-0006-0000-0D00-000001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무기는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크게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차이나도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상관없습니다</t>
        </r>
        <r>
          <rPr>
            <sz val="9"/>
            <color rgb="FF000000"/>
            <rFont val="Tahoma"/>
            <family val="2"/>
          </rPr>
          <t xml:space="preserve">.
</t>
        </r>
        <r>
          <rPr>
            <sz val="9"/>
            <color rgb="FF000000"/>
            <rFont val="돋움"/>
            <family val="3"/>
            <charset val="129"/>
          </rPr>
          <t>다른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아이템들은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오차범위</t>
        </r>
        <r>
          <rPr>
            <sz val="9"/>
            <color rgb="FF000000"/>
            <rFont val="Tahoma"/>
            <family val="2"/>
          </rPr>
          <t xml:space="preserve"> 5 </t>
        </r>
        <r>
          <rPr>
            <sz val="9"/>
            <color rgb="FF000000"/>
            <rFont val="돋움"/>
            <family val="3"/>
            <charset val="129"/>
          </rPr>
          <t>이내로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맞추는걸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목표로함</t>
        </r>
        <r>
          <rPr>
            <sz val="9"/>
            <color rgb="FF000000"/>
            <rFont val="Tahoma"/>
            <family val="2"/>
          </rPr>
          <t>.</t>
        </r>
      </text>
    </comment>
    <comment ref="S24" authorId="0" shapeId="0" xr:uid="{00000000-0006-0000-0D00-000002000000}">
      <text>
        <r>
          <rPr>
            <b/>
            <sz val="9"/>
            <color rgb="FF000000"/>
            <rFont val="Tahoma"/>
            <family val="2"/>
          </rPr>
          <t>Kim_Dongju: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돋움"/>
            <family val="3"/>
            <charset val="129"/>
          </rPr>
          <t>인덱스의</t>
        </r>
        <r>
          <rPr>
            <sz val="9"/>
            <color rgb="FF000000"/>
            <rFont val="Tahoma"/>
            <family val="2"/>
          </rPr>
          <t xml:space="preserve"> # </t>
        </r>
        <r>
          <rPr>
            <sz val="9"/>
            <color rgb="FF000000"/>
            <rFont val="돋움"/>
            <family val="3"/>
            <charset val="129"/>
          </rPr>
          <t>빼면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정상작동</t>
        </r>
        <r>
          <rPr>
            <sz val="9"/>
            <color rgb="FF000000"/>
            <rFont val="Tahoma"/>
            <family val="2"/>
          </rPr>
          <t xml:space="preserve">.
# </t>
        </r>
        <r>
          <rPr>
            <sz val="9"/>
            <color rgb="FF000000"/>
            <rFont val="돋움"/>
            <family val="3"/>
            <charset val="129"/>
          </rPr>
          <t>빼보고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오차값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괜찮은지</t>
        </r>
        <r>
          <rPr>
            <sz val="9"/>
            <color rgb="FF000000"/>
            <rFont val="Tahoma"/>
            <family val="2"/>
          </rPr>
          <t xml:space="preserve"> </t>
        </r>
        <r>
          <rPr>
            <sz val="9"/>
            <color rgb="FF000000"/>
            <rFont val="돋움"/>
            <family val="3"/>
            <charset val="129"/>
          </rPr>
          <t>확인하세요</t>
        </r>
        <r>
          <rPr>
            <sz val="9"/>
            <color rgb="FF000000"/>
            <rFont val="Tahoma"/>
            <family val="2"/>
          </rPr>
          <t>.</t>
        </r>
      </text>
    </comment>
  </commentList>
</comments>
</file>

<file path=xl/sharedStrings.xml><?xml version="1.0" encoding="utf-8"?>
<sst xmlns="http://schemas.openxmlformats.org/spreadsheetml/2006/main" count="974" uniqueCount="500">
  <si>
    <t>나자렛의 몽키스패너</t>
  </si>
  <si>
    <t>이카루스의 날개</t>
  </si>
  <si>
    <t>MovementSpd</t>
  </si>
  <si>
    <t>저주받은 테니스채</t>
  </si>
  <si>
    <t>“실례지만 불타고 계십니다” 현재의 이동속도 비례하여 공격속도 증가</t>
  </si>
  <si>
    <t>더 이상 골드를 획득할 수 없습니다. 데미지가 30% 상승합니다.</t>
  </si>
  <si>
    <t>[하트]가 1개 증가합니다. 이동속도, 공격속도가 10% 빨라집니다.</t>
  </si>
  <si>
    <t>공 던지기 개수 3개 감소. 직접 공격 데미지가 450% 상승합니다.</t>
  </si>
  <si>
    <t>플레이어가 던진 공이 충돌 횟수만큼 튕기고 포물선으로 떨어지는 거리</t>
  </si>
  <si>
    <t>빈 하트 1개당 피해량 5% 상승</t>
  </si>
  <si>
    <t>골드를 20%씩 더 획득합니다.</t>
  </si>
  <si>
    <t>ProjectileDataId</t>
  </si>
  <si>
    <t>DodgeInvincibleTime</t>
  </si>
  <si>
    <t>ValueOperatorType</t>
  </si>
  <si>
    <t>MercyInvincibleTime</t>
  </si>
  <si>
    <t>EnemyHpIncreasePer</t>
  </si>
  <si>
    <t>ItemEffectDataId</t>
  </si>
  <si>
    <t>SwingCentralAngle</t>
  </si>
  <si>
    <t>DefaultBallDataId</t>
  </si>
  <si>
    <t>이동하지 않을 때 시간이 멈춤</t>
  </si>
  <si>
    <t>ThrowBounceCount</t>
  </si>
  <si>
    <t>행동하지 않을 때 시간이 멈춤.</t>
  </si>
  <si>
    <t>CharacterAtkTable</t>
  </si>
  <si>
    <t>공격 방향이 반대 방향이 됨.</t>
  </si>
  <si>
    <t>ChargeBounceCount1</t>
  </si>
  <si>
    <t>공격 방향이 무작위 방향이 됨.</t>
  </si>
  <si>
    <t>#던진공 차징1 튕겨내기 DPS</t>
  </si>
  <si>
    <t>DeadAfterStunTime</t>
  </si>
  <si>
    <t>DodgeDurationTime</t>
  </si>
  <si>
    <t>ChargeMovementSpd</t>
  </si>
  <si>
    <t>ChargeBounceCount2</t>
  </si>
  <si>
    <t>ReflectCorrection</t>
  </si>
  <si>
    <t>방사 상하좌우4발 + 대각4발</t>
  </si>
  <si>
    <t>휘두르기 공격 범위 반지름 변경</t>
  </si>
  <si>
    <t>ItemResourceTable</t>
  </si>
  <si>
    <t>휘두르기 공격 범위 각도 변경</t>
  </si>
  <si>
    <t>icon/item/coin.png</t>
  </si>
  <si>
    <t>최대체력 -2하트, 공격력 +60%</t>
  </si>
  <si>
    <t>빈 하트 1개당 공격력 +10%</t>
  </si>
  <si>
    <t>공 충돌횟수당 공격력 +20%</t>
  </si>
  <si>
    <t>트럼펫</t>
  </si>
  <si>
    <t>주인공</t>
  </si>
  <si>
    <t>기본공</t>
  </si>
  <si>
    <t>박쥐</t>
  </si>
  <si>
    <t>#메모</t>
  </si>
  <si>
    <t>층</t>
  </si>
  <si>
    <t>#설명</t>
  </si>
  <si>
    <t>석가면</t>
  </si>
  <si>
    <t>재화</t>
  </si>
  <si>
    <t>int</t>
  </si>
  <si>
    <t>복사기</t>
  </si>
  <si>
    <t>Hp</t>
  </si>
  <si>
    <t>#</t>
  </si>
  <si>
    <t>Fly</t>
  </si>
  <si>
    <t>Int</t>
  </si>
  <si>
    <t>스텟</t>
  </si>
  <si>
    <t>미정1</t>
  </si>
  <si>
    <t>미정2</t>
  </si>
  <si>
    <t>태양</t>
  </si>
  <si>
    <t>HP</t>
  </si>
  <si>
    <t>Bat</t>
  </si>
  <si>
    <t>-</t>
  </si>
  <si>
    <t>설명</t>
  </si>
  <si>
    <t>데빌불</t>
  </si>
  <si>
    <t>#이름</t>
  </si>
  <si>
    <t>돌가면</t>
  </si>
  <si>
    <t>무해한 불꽃</t>
  </si>
  <si>
    <t>신성한 종</t>
  </si>
  <si>
    <t>거인의 주먹</t>
  </si>
  <si>
    <t>목없는 갑옷</t>
  </si>
  <si>
    <t>황금왕의 갑옷</t>
  </si>
  <si>
    <t>슈퍼콜드</t>
  </si>
  <si>
    <t>불길한 깃발</t>
  </si>
  <si>
    <t>빗바랜 천가죽</t>
  </si>
  <si>
    <t>저주받은 갑옷</t>
  </si>
  <si>
    <t>value</t>
  </si>
  <si>
    <t>불운의 황금상</t>
  </si>
  <si>
    <t>None</t>
  </si>
  <si>
    <t>신성한 수류탄</t>
  </si>
  <si>
    <t>Index</t>
  </si>
  <si>
    <t>String</t>
  </si>
  <si>
    <t>Enum</t>
  </si>
  <si>
    <t>청개구리 총</t>
  </si>
  <si>
    <t>Name</t>
  </si>
  <si>
    <t>Normal</t>
  </si>
  <si>
    <t>Rare</t>
  </si>
  <si>
    <t>회광반조</t>
  </si>
  <si>
    <t>Weapon</t>
  </si>
  <si>
    <t>무언가 담긴병</t>
  </si>
  <si>
    <t>어른의 카드</t>
  </si>
  <si>
    <t>유리 대포</t>
  </si>
  <si>
    <t>작은 십자가</t>
  </si>
  <si>
    <t>Value</t>
  </si>
  <si>
    <t>개당 가격</t>
  </si>
  <si>
    <t>Cursed</t>
  </si>
  <si>
    <t>15 골드</t>
  </si>
  <si>
    <t>CostHp</t>
  </si>
  <si>
    <t>Gold</t>
  </si>
  <si>
    <t>하트 1개</t>
  </si>
  <si>
    <t>하트 2개</t>
  </si>
  <si>
    <t>30 골드</t>
  </si>
  <si>
    <t>45 골드</t>
  </si>
  <si>
    <t>60 골드</t>
  </si>
  <si>
    <t>string</t>
  </si>
  <si>
    <t>float</t>
  </si>
  <si>
    <t>HP 1</t>
  </si>
  <si>
    <t>HP 2</t>
  </si>
  <si>
    <t>15 Gold</t>
  </si>
  <si>
    <t>골드 가치</t>
  </si>
  <si>
    <t>스텟별 가치</t>
  </si>
  <si>
    <t>1층_보스</t>
  </si>
  <si>
    <t>1층_선택지</t>
  </si>
  <si>
    <t>롱기누스</t>
  </si>
  <si>
    <t>게이볼그</t>
  </si>
  <si>
    <t>2층_서커스단</t>
  </si>
  <si>
    <t>적 방어성</t>
  </si>
  <si>
    <t>적 체력</t>
  </si>
  <si>
    <t>적 기준 체력</t>
  </si>
  <si>
    <t>1층_폐가</t>
  </si>
  <si>
    <t>방 개수</t>
  </si>
  <si>
    <t>골드 밸런스</t>
  </si>
  <si>
    <t>획득 골드</t>
  </si>
  <si>
    <t>획득 무기</t>
  </si>
  <si>
    <t>#변수명</t>
  </si>
  <si>
    <t>#설명값참조</t>
  </si>
  <si>
    <t>#대상 아이템</t>
  </si>
  <si>
    <t>#리소스 유형</t>
  </si>
  <si>
    <t>이동 사운드</t>
  </si>
  <si>
    <t>2층_보스</t>
  </si>
  <si>
    <t>2층_선택지</t>
  </si>
  <si>
    <t>Spacing</t>
  </si>
  <si>
    <t>#효과 한글</t>
  </si>
  <si>
    <t>#개발여부</t>
  </si>
  <si>
    <t>Sight</t>
  </si>
  <si>
    <t>enum</t>
  </si>
  <si>
    <t>#이름값</t>
  </si>
  <si>
    <t>AimType</t>
  </si>
  <si>
    <t>#Grade</t>
  </si>
  <si>
    <t>MaxHp</t>
  </si>
  <si>
    <t>적 공격2</t>
  </si>
  <si>
    <t>#드랍테이블1</t>
  </si>
  <si>
    <t>bool</t>
  </si>
  <si>
    <t>적 공격1</t>
  </si>
  <si>
    <t>#드랍테이블6</t>
  </si>
  <si>
    <t>장난감 배트</t>
  </si>
  <si>
    <t>Toy Bat</t>
  </si>
  <si>
    <t>리소스변경</t>
  </si>
  <si>
    <t>공격력변경</t>
  </si>
  <si>
    <t>#드랍테이블2</t>
  </si>
  <si>
    <t>#드랍테이블3</t>
  </si>
  <si>
    <t>#드랍테이블4</t>
  </si>
  <si>
    <t>#드랍테이블5</t>
  </si>
  <si>
    <t>골드획득량변경</t>
  </si>
  <si>
    <t>#효력 가치</t>
  </si>
  <si>
    <t>참조 테이블</t>
  </si>
  <si>
    <t>Reverse</t>
  </si>
  <si>
    <t>#참조 테이블</t>
  </si>
  <si>
    <t>이동속도변경</t>
  </si>
  <si>
    <t>공크기변경</t>
  </si>
  <si>
    <t>최대체력변경</t>
  </si>
  <si>
    <t>효력 검사 ▶</t>
  </si>
  <si>
    <t>Target</t>
  </si>
  <si>
    <t>정방향 발사</t>
  </si>
  <si>
    <t>#총 효력가치</t>
  </si>
  <si>
    <t>#적용 후</t>
  </si>
  <si>
    <t>#기본값</t>
  </si>
  <si>
    <t>#오차값</t>
  </si>
  <si>
    <t>MaxHP</t>
  </si>
  <si>
    <t>야구공전사</t>
  </si>
  <si>
    <t>World</t>
  </si>
  <si>
    <t>flaot</t>
  </si>
  <si>
    <t>샷건 발사</t>
  </si>
  <si>
    <t>슬픈 캔리오</t>
  </si>
  <si>
    <t>적토목마</t>
  </si>
  <si>
    <t>3발 발사</t>
  </si>
  <si>
    <t>샷건 3연발</t>
  </si>
  <si>
    <t>챔피언 모자</t>
  </si>
  <si>
    <t>코코아 한통</t>
  </si>
  <si>
    <t>QT 파우더</t>
  </si>
  <si>
    <t>쿨 - 도그</t>
  </si>
  <si>
    <t>#효과 한글2</t>
  </si>
  <si>
    <t>Hard</t>
  </si>
  <si>
    <t>삼각김곰</t>
  </si>
  <si>
    <t>Equip</t>
  </si>
  <si>
    <t>Desc</t>
  </si>
  <si>
    <t>이상한 사탕</t>
  </si>
  <si>
    <t>기절 후 사망까지 걸리는 시간 *투사체 상태로 전이될 경우 해당 값은 사용되지 않는다.</t>
  </si>
  <si>
    <t>지금 휘두르기 쿨타임 단위계 이상해서 밸런스 툴 오작동중임. 수정후 정상작동할거임.</t>
  </si>
  <si>
    <t>차징 속도가 40% 느려집니다. 대신 공을 튕겨내는 속도가 30% 상승합니다.</t>
  </si>
  <si>
    <t>ColliderRad</t>
  </si>
  <si>
    <t>적이 직접공격 당한 후 일반 상태가 되기까지 걸리는 시간</t>
  </si>
  <si>
    <t>[하트]가 3개 감소, 피해량이 35% 증가합니다.</t>
  </si>
  <si>
    <t>아무 능력이 없지만 이동할 때 뾱뾱 소리가 납니다.</t>
  </si>
  <si>
    <t>[하트]가 3개 증가, 이동속도가 40% 느려집니다.</t>
  </si>
  <si>
    <t>최대 [하트] 1개 당 5% 만큼 피해량이 증가합니다.</t>
  </si>
  <si>
    <t>공을 칠 때 자동으로 가장 가까운 적을 향해 날라감</t>
  </si>
  <si>
    <t>공격을 반대로 합니다. 대신 피해량이 25% 증가합니다.</t>
  </si>
  <si>
    <t>“공이 복사가 된다고” 공 던지기 개수가 2개 증가합니다.</t>
  </si>
  <si>
    <t>이동속도가 20% 감소합니다. 피해량이 20% 감소합니다.</t>
  </si>
  <si>
    <t>이동속도가 30% 감소합니다. 차징 속도가 40% 빨라집니다.</t>
  </si>
  <si>
    <t>차징 중 ApplyValue반지름 주변 공을 끌어당김.</t>
  </si>
  <si>
    <t>플레이어가 던진 공이 멈추고 삭제되기까지 대기 시간</t>
  </si>
  <si>
    <t>ProjectileSpdDecelerationValue</t>
  </si>
  <si>
    <t>/Resource/Effect/RainbowTrail</t>
  </si>
  <si>
    <t>공격 범위가 2 증가합니다.</t>
  </si>
  <si>
    <t>ResourceChange</t>
  </si>
  <si>
    <t>공 크기가 3 커집니다.</t>
  </si>
  <si>
    <t>ChargeAtkPierce</t>
  </si>
  <si>
    <t>차징중에 공을 끌어당김</t>
  </si>
  <si>
    <t>차징 속도 20% 상승</t>
  </si>
  <si>
    <t>이동속도가 조금 빨라집니다.</t>
  </si>
  <si>
    <t>Dys : 0N Mk2</t>
  </si>
  <si>
    <t>GuideProjectile</t>
  </si>
  <si>
    <t>RandomDirection</t>
  </si>
  <si>
    <t>ItemIconPath</t>
  </si>
  <si>
    <t>BallStackMax</t>
  </si>
  <si>
    <t>AtkStartType</t>
  </si>
  <si>
    <t>투사체 공용 충돌 시 감속량</t>
  </si>
  <si>
    <t>DodgeCooldown</t>
  </si>
  <si>
    <t>AtkStartParam</t>
  </si>
  <si>
    <t>ProjectileTrail</t>
  </si>
  <si>
    <t>AtkCheckDelay</t>
  </si>
  <si>
    <t>QT 재화 밸런스 시트</t>
  </si>
  <si>
    <t>ThrowCooldown</t>
  </si>
  <si>
    <t>[하트]가 1개 증가합니다.</t>
  </si>
  <si>
    <t>GoldShopProb</t>
  </si>
  <si>
    <t>투사체 공용 시간당 감속량</t>
  </si>
  <si>
    <t>ChoiceDropId</t>
  </si>
  <si>
    <t>DeadAtkDataId</t>
  </si>
  <si>
    <t>ChargeShootSpd1</t>
  </si>
  <si>
    <t>ThrowAfterDelay</t>
  </si>
  <si>
    <t>GoldShopDropId</t>
  </si>
  <si>
    <t>피해량이 20% 증가합니다.</t>
  </si>
  <si>
    <t>HpShopDropId</t>
  </si>
  <si>
    <t>WeaponDropId</t>
  </si>
  <si>
    <t>MaxRoomValue</t>
  </si>
  <si>
    <t>성장에 따른 예상 전투 시간</t>
  </si>
  <si>
    <t>AfterIdleSec</t>
  </si>
  <si>
    <t>MaxBounceCount</t>
  </si>
  <si>
    <t>SwingCooldown</t>
  </si>
  <si>
    <t>ResourceType</t>
  </si>
  <si>
    <t>ResourcePath</t>
  </si>
  <si>
    <t>SwingAfterDelay</t>
  </si>
  <si>
    <t>ChargeRigidDmg1</t>
  </si>
  <si>
    <t>#휘두르기 직접 공격 DPS</t>
  </si>
  <si>
    <t>ProjectileTable</t>
  </si>
  <si>
    <t>가장 가까운 적을 추격</t>
  </si>
  <si>
    <t>#차징2 직접 공격 DPS</t>
  </si>
  <si>
    <t>4발 대각상하좌우 뿌리기</t>
  </si>
  <si>
    <t>DodgeAddForce</t>
  </si>
  <si>
    <t>샷건 8불릿 발사 랜덤1</t>
  </si>
  <si>
    <t>ChargeRigidDmg2</t>
  </si>
  <si>
    <t>튕겨내기탄환속도변경-미차징</t>
  </si>
  <si>
    <t>휘두르기 재사용 시간 변경</t>
  </si>
  <si>
    <t>샷건 8불릿 발사 랜덤3</t>
  </si>
  <si>
    <t>튕겨내기탄환속도변경-1단계</t>
  </si>
  <si>
    <t>#ApplyValue 수식</t>
  </si>
  <si>
    <t>플레이어조준 샷건 1회 발사</t>
  </si>
  <si>
    <t>플레이어조준 샷건 3연발</t>
  </si>
  <si>
    <t>#던진공 튕겨내기 DPS</t>
  </si>
  <si>
    <t>CharacterTable</t>
  </si>
  <si>
    <t>플레이어조준 3발 3연발</t>
  </si>
  <si>
    <t>ChargeShootSpd2</t>
  </si>
  <si>
    <t>샷건 8불릿 발사 랜덤2</t>
  </si>
  <si>
    <t>공격 방향이 반대가 됩니다.</t>
  </si>
  <si>
    <t>차징에 따른 관통샷 변경</t>
  </si>
  <si>
    <t>플레이어조준 튕김공 발사</t>
  </si>
  <si>
    <t>#차징3 직접 공격 DPS</t>
  </si>
  <si>
    <t>#차징1 직접 공격 DPS</t>
  </si>
  <si>
    <t>ProjectileDestroyDelay</t>
  </si>
  <si>
    <t>/Resource/Bat/ToyBat</t>
  </si>
  <si>
    <t>ChargeProjectileDmg1</t>
  </si>
  <si>
    <t>차징에 따른 충돌 횟수 변경 - 1단계</t>
  </si>
  <si>
    <t>icon/item/item_07.png</t>
  </si>
  <si>
    <t>냥냥냥. 모든 탄환이 적을 관통합니다.</t>
  </si>
  <si>
    <t>icon/item/item_05.png</t>
  </si>
  <si>
    <t>icon/item/item_11.png</t>
  </si>
  <si>
    <t>icon/item/item_15.png</t>
  </si>
  <si>
    <t>icon/item/item_02.png</t>
  </si>
  <si>
    <t>icon/item/item_17.png</t>
  </si>
  <si>
    <t>차징에 따른 충돌 횟수 변경 - 미차징</t>
  </si>
  <si>
    <t>icon/item/item_04.png</t>
  </si>
  <si>
    <t>icon/item/item_12.png</t>
  </si>
  <si>
    <t>icon/item/item_13.png</t>
  </si>
  <si>
    <t>icon/item/item_09.png</t>
  </si>
  <si>
    <t>icon/item/item_10.png</t>
  </si>
  <si>
    <t>icon/item/item_16.png</t>
  </si>
  <si>
    <t>[배트]로 쳐낸 공이 적을 관통합니다.</t>
  </si>
  <si>
    <t>MoveTargetUpdatePeroid</t>
  </si>
  <si>
    <t>icon/item/item_03.png</t>
  </si>
  <si>
    <t>공 던지기 가능 개수가 1개 증가합니다.</t>
  </si>
  <si>
    <t>아이템 등급 별 가질 수 있는 효력 총량</t>
  </si>
  <si>
    <t>RowCollider을 무시하고 이동함.</t>
  </si>
  <si>
    <t>/Resource/Bat/Trumpet</t>
  </si>
  <si>
    <t>ChargeProjectileDmg2</t>
  </si>
  <si>
    <t>ProjectileStopDistance</t>
  </si>
  <si>
    <t>소지중인 골드의 1%만큼 데미지 상승</t>
  </si>
  <si>
    <t>BounceSpdReductionRate</t>
  </si>
  <si>
    <t>OnMovementSpdChanged</t>
  </si>
  <si>
    <t>이동속도 -25%, 최대체력 +4하트</t>
  </si>
  <si>
    <t>공격속도 -20%, 차징속도 +45%</t>
  </si>
  <si>
    <t>변화된 이동속도 1당 공격력 +20%</t>
  </si>
  <si>
    <t>(HP_Base - HP)*0.002</t>
  </si>
  <si>
    <t>icon/item/item_06.png</t>
  </si>
  <si>
    <t>icon/item/item_14.png</t>
  </si>
  <si>
    <t>icon/item/item_01.png</t>
  </si>
  <si>
    <t>icon/item/item_08.png</t>
  </si>
  <si>
    <t>BlackHole</t>
  </si>
  <si>
    <t>ApplyValue</t>
  </si>
  <si>
    <t>ApplyPoint</t>
  </si>
  <si>
    <t>GoldGain</t>
  </si>
  <si>
    <t>TimeStop</t>
  </si>
  <si>
    <t>GradeType</t>
  </si>
  <si>
    <t>CostGold</t>
  </si>
  <si>
    <t>1층_시작무기선택</t>
  </si>
  <si>
    <t>ApplyType</t>
  </si>
  <si>
    <t>ItemSlotMax</t>
  </si>
  <si>
    <t>LocaleUS</t>
  </si>
  <si>
    <t>Glorygun</t>
  </si>
  <si>
    <t>LocaleKR</t>
  </si>
  <si>
    <t>PCHitboxRad</t>
  </si>
  <si>
    <t>HpShopProb</t>
  </si>
  <si>
    <t>적 체력 상승량</t>
  </si>
  <si>
    <t>아저씨의 금구슬</t>
  </si>
  <si>
    <t>QT 밸런스 시트</t>
  </si>
  <si>
    <t>BossDropId</t>
  </si>
  <si>
    <t>1층_Hp상점_슬롯</t>
  </si>
  <si>
    <t>1층_골드상점_슬롯</t>
  </si>
  <si>
    <t>예상 전투 시간</t>
  </si>
  <si>
    <t>휘두르기/던지기</t>
  </si>
  <si>
    <t>레벨당 평균 적</t>
  </si>
  <si>
    <t>적 개체당 드랍골드</t>
  </si>
  <si>
    <t>휘두르기 탄환 트레일</t>
  </si>
  <si>
    <t>MoveSound</t>
  </si>
  <si>
    <t>1층_아이템보상</t>
  </si>
  <si>
    <t>2층_아이템보상</t>
  </si>
  <si>
    <t>2층_골드상점_슬롯</t>
  </si>
  <si>
    <t>AtkDataId</t>
  </si>
  <si>
    <t>MoveType</t>
  </si>
  <si>
    <t>DirectDmg</t>
  </si>
  <si>
    <t>SpacingRad</t>
  </si>
  <si>
    <t>GoldDropMax</t>
  </si>
  <si>
    <t>SwingSound</t>
  </si>
  <si>
    <t>GoldDropMin</t>
  </si>
  <si>
    <t>ItemDropId</t>
  </si>
  <si>
    <t>2층_시작무기선택</t>
  </si>
  <si>
    <t>PrefabPath</t>
  </si>
  <si>
    <t>SpacingLeft</t>
  </si>
  <si>
    <t>#기준 적 체력 비율</t>
  </si>
  <si>
    <t>AfterDelay</t>
  </si>
  <si>
    <t>무지개빛 총공격</t>
  </si>
  <si>
    <t>QT 시트 저장 버튼</t>
  </si>
  <si>
    <t>BeforeDelay</t>
  </si>
  <si>
    <t>ShootDataId</t>
  </si>
  <si>
    <t>ShootAngle</t>
  </si>
  <si>
    <t>SwingRad</t>
  </si>
  <si>
    <t>AtkDmgPer</t>
  </si>
  <si>
    <t>InitalSpd</t>
  </si>
  <si>
    <t>ThrowSpd</t>
  </si>
  <si>
    <t>RigidSpd</t>
  </si>
  <si>
    <t>2층_Hp상점_슬롯</t>
  </si>
  <si>
    <t>배트 스프라이트</t>
  </si>
  <si>
    <t>휘두르기 사운드</t>
  </si>
  <si>
    <t>RigidTime</t>
  </si>
  <si>
    <t>직접공격피해량-미차징</t>
  </si>
  <si>
    <t>직접공격피해량-1단계</t>
  </si>
  <si>
    <t>공최대소지개수변경</t>
  </si>
  <si>
    <t>#평균 드랍 골드</t>
  </si>
  <si>
    <t>차징속도변경-1단계</t>
  </si>
  <si>
    <t>PC 최대 DPS</t>
  </si>
  <si>
    <t>IsBounce</t>
  </si>
  <si>
    <t>Value 1당 가치</t>
  </si>
  <si>
    <t>#던지기 DPS</t>
  </si>
  <si>
    <t>기관총 난사 4도</t>
  </si>
  <si>
    <t>기관총 난사 -4도</t>
  </si>
  <si>
    <t>기관총 난사 -6도</t>
  </si>
  <si>
    <t>기관총 난사 2도</t>
  </si>
  <si>
    <t>공격1_상하좌우뿌리기</t>
  </si>
  <si>
    <t>기관총 난사 6도</t>
  </si>
  <si>
    <t>공격2_기관총난사</t>
  </si>
  <si>
    <t>기관총 난사 10도</t>
  </si>
  <si>
    <t>기관총 난사 -2도</t>
  </si>
  <si>
    <t>공격1_대각뿌리기</t>
  </si>
  <si>
    <t>기관총 난사 12도</t>
  </si>
  <si>
    <t>기관총 난사 14도</t>
  </si>
  <si>
    <t>기관총 난사 16도</t>
  </si>
  <si>
    <t>4발 상하좌우 뿌리기</t>
  </si>
  <si>
    <t>기관총 난사 8도</t>
  </si>
  <si>
    <t>기관총 난사 -12도</t>
  </si>
  <si>
    <t>기관총 난사 -14도</t>
  </si>
  <si>
    <t>정방향 발사 튕김</t>
  </si>
  <si>
    <t>튕김 공 한발쏘기</t>
  </si>
  <si>
    <t>플레이어조준 기관총</t>
  </si>
  <si>
    <t>ApplyStat</t>
  </si>
  <si>
    <t>기관총 난사 -10도</t>
  </si>
  <si>
    <t>기관총 난사 -8도</t>
  </si>
  <si>
    <t>기관총 난사 -16도</t>
  </si>
  <si>
    <t>적 공격2 튕김</t>
  </si>
  <si>
    <t>사나운 돼지저금통</t>
  </si>
  <si>
    <t>누군가의 일기장</t>
  </si>
  <si>
    <t>ChargeTime</t>
  </si>
  <si>
    <t>메탈유니콘 키링</t>
  </si>
  <si>
    <t>3발 발사 연발</t>
  </si>
  <si>
    <t>샷건 8불릿 발사</t>
  </si>
  <si>
    <t>적 공격1 튕김</t>
  </si>
  <si>
    <t>차징피해량-미차징</t>
  </si>
  <si>
    <t>차징피해량-1단계</t>
  </si>
  <si>
    <t>Addition</t>
  </si>
  <si>
    <t>청개굴 버섯구이</t>
  </si>
  <si>
    <t>PlayerStat</t>
  </si>
  <si>
    <t>Multiply</t>
  </si>
  <si>
    <t>OnHpChanged</t>
  </si>
  <si>
    <t>골드획득량 +50%</t>
  </si>
  <si>
    <t>최대 체력 +1하트</t>
  </si>
  <si>
    <t>공 충돌횟수 +2</t>
  </si>
  <si>
    <t>이동속도 +10%</t>
  </si>
  <si>
    <t>공 충돌횟수 +1</t>
  </si>
  <si>
    <t>차징속도 +20%</t>
  </si>
  <si>
    <t>공격력 +60%</t>
  </si>
  <si>
    <t>성배 속 무언가</t>
  </si>
  <si>
    <t>#자료 위치 변환기</t>
  </si>
  <si>
    <t>공격력 +50%</t>
  </si>
  <si>
    <t>공격속도 +30%</t>
  </si>
  <si>
    <t>최대체력 +4하트</t>
  </si>
  <si>
    <t>공격속도 -20%</t>
  </si>
  <si>
    <t>이동속도 -25%</t>
  </si>
  <si>
    <t>보스1 - 듀라한</t>
  </si>
  <si>
    <t>최대체력 -2하트</t>
  </si>
  <si>
    <t>차징속도 +45%</t>
  </si>
  <si>
    <t>공격범위 +20%</t>
  </si>
  <si>
    <t>공 충돌횟수 -1</t>
  </si>
  <si>
    <t>Prefabs/EnemyProjectile.prefab</t>
  </si>
  <si>
    <t>Prefabs/Enemy_pitcher.prefab</t>
  </si>
  <si>
    <t>Prefabs/PlayerProjectile.prefab</t>
  </si>
  <si>
    <t>공격력 +10%, 이동속도 +0.5, 공격속도 +0.1초</t>
  </si>
  <si>
    <t>적에게 직접공격 시 경직될 때 시간당 감속 속도</t>
  </si>
  <si>
    <t>공격력 +50%, 공격 방향이 반대가 됩니다.</t>
  </si>
  <si>
    <t>트럼펫 소리가 납니다. 공격력이 20%증가합니다.</t>
  </si>
  <si>
    <t>RigidSpdDecelerationValue</t>
  </si>
  <si>
    <t>Prefabs/Enemy_bat.prefab</t>
  </si>
  <si>
    <t>공 충돌횟수 -1, 차징샷이 적을 관통합니다.</t>
  </si>
  <si>
    <t>적에게 직접공격 시 경직될 때 밀려나는 속도</t>
  </si>
  <si>
    <t>ChargeBounceCount1 * 0.2</t>
  </si>
  <si>
    <t>RowColider과 플레이어가 충돌하지 않음.</t>
  </si>
  <si>
    <t>(MovementSpd * 0.02) - 6</t>
  </si>
  <si>
    <t>/Resource/Bat/RainbowBat</t>
  </si>
  <si>
    <t>TeleportAllowableDistance</t>
  </si>
  <si>
    <t>/Resource/Sound/ToyBat_Walk</t>
  </si>
  <si>
    <t>/Resource/Bat/TrumpetBat</t>
  </si>
  <si>
    <t>OnChargeBounceCountChanged</t>
  </si>
  <si>
    <t>/Resource/Sound/RainbowAtk</t>
  </si>
  <si>
    <t>골드를 20% 더 많이 획득할 수 있습니다.</t>
  </si>
  <si>
    <t>공격력 +10%\n이동속도 +0.5\n공격속도 +0.1초</t>
    <phoneticPr fontId="8" type="noConversion"/>
  </si>
  <si>
    <t>얼.죽.아 클럽의 새로운 유행입니다.</t>
    <phoneticPr fontId="8" type="noConversion"/>
  </si>
  <si>
    <t>배트 이외의 물건에 사용하지 마시오\nQT추출물 0.0006% 함유\nQT향 0.1%함유</t>
    <phoneticPr fontId="8" type="noConversion"/>
  </si>
  <si>
    <t>가끔 열쇠를 먹어버립니다.\n귀중품 관리에 주의하십시오.</t>
    <phoneticPr fontId="8" type="noConversion"/>
  </si>
  <si>
    <t>대인 지뢰</t>
    <phoneticPr fontId="8" type="noConversion"/>
  </si>
  <si>
    <t>자아를 가진 저금통입니다.\n숨겨진 돈을 잘 찾아내는 듯 합니다.\n잠깐, 제 지갑의 돈이 사라진 것 같습니다.</t>
    <phoneticPr fontId="8" type="noConversion"/>
  </si>
  <si>
    <r>
      <t>이벤트성으로 100만봉지\n중 한 개만 들어간 ■</t>
    </r>
    <r>
      <rPr>
        <sz val="11"/>
        <color rgb="FF000000"/>
        <rFont val="Courier New"/>
        <family val="3"/>
      </rPr>
      <t>̛̲͙̩͎͖̲̐̐̂͐ͅ</t>
    </r>
    <r>
      <rPr>
        <sz val="11"/>
        <color rgb="FF000000"/>
        <rFont val="Segoe UI Symbol"/>
        <family val="3"/>
      </rPr>
      <t>■</t>
    </r>
    <r>
      <rPr>
        <sz val="11"/>
        <color rgb="FF000000"/>
        <rFont val="Courier New"/>
        <family val="3"/>
      </rPr>
      <t>͓̟̦̹͚̇̓́͛͠ͅ</t>
    </r>
    <r>
      <rPr>
        <sz val="11"/>
        <color rgb="FF000000"/>
        <rFont val="맑은 고딕"/>
        <family val="3"/>
        <charset val="129"/>
      </rPr>
      <t>맛 사탕입니다.</t>
    </r>
    <phoneticPr fontId="8" type="noConversion"/>
  </si>
  <si>
    <t>어째선지 계속해서 울고 있는 양초입니다.</t>
    <phoneticPr fontId="8" type="noConversion"/>
  </si>
  <si>
    <t>낡은 추억들이 느껴집니다.\n3년 전 이 사람은...\n잠깐, 우리가 이걸봐도 괜찮은걸까요?</t>
    <phoneticPr fontId="8" type="noConversion"/>
  </si>
  <si>
    <t>종교적인 용도로 보이는 컵입니다.\n잠깐, 방금 조금 움직인 것 같은데요?</t>
    <phoneticPr fontId="8" type="noConversion"/>
  </si>
  <si>
    <t>세 나라 이야기의 붉은 목마 입니다.\n시크한 표정이 매력적입니다.</t>
    <phoneticPr fontId="8" type="noConversion"/>
  </si>
  <si>
    <t>공 충돌횟수당 공격력 +20%</t>
    <phoneticPr fontId="8" type="noConversion"/>
  </si>
  <si>
    <t>차징샷이 적을 관통합니다.</t>
    <phoneticPr fontId="8" type="noConversion"/>
  </si>
  <si>
    <t>바싹 구워도 여전히 미끌거립니다.\n시각적 거부감을 이겨내고 한입\n베어물면 무엇이든 반대로 하고 싶어집니다.</t>
    <phoneticPr fontId="8" type="noConversion"/>
  </si>
  <si>
    <t>온 몸이 녹는 듯 한 강력한 단맛입니다.\n끈적해지지 않게 조심하세요!</t>
    <phoneticPr fontId="8" type="noConversion"/>
  </si>
  <si>
    <t>꽤 무게가 나가는 돌가면.\n이걸 쓰고도 단련을 하면 꽤 오래 살 수 있을 것 같은 느낌이 듭니다.</t>
    <phoneticPr fontId="8" type="noConversion"/>
  </si>
  <si>
    <t>대나무 향을 머금은 흰 밥이\n까만 김을 만나 완성된 환상적인 조합.</t>
    <phoneticPr fontId="8" type="noConversion"/>
  </si>
  <si>
    <t>#2</t>
  </si>
  <si>
    <t>#3</t>
  </si>
  <si>
    <t>#4</t>
  </si>
  <si>
    <t>태초부터 시작되더라도 절망하지 않습니다.\n'자 이제 시작이야'</t>
    <phoneticPr fontId="8" type="noConversion"/>
  </si>
  <si>
    <t>가끔 열쇠를 먹어버립니다.\n귀중품 관리에 주의하십시오.\n\n&lt;size=20&gt;&lt;color=#97C456&gt;공격속도 +30%&lt;/color&gt;&lt;/size&gt;</t>
  </si>
  <si>
    <t>태초부터 시작되더라도 절망하지 않습니다.\n'자 이제 시작이야'\n\n&lt;size=20&gt;&lt;color=#97C456&gt;공격범위 +20%&lt;/color&gt;&lt;/size&gt;</t>
  </si>
  <si>
    <t>얼.죽.아 클럽의 새로운 유행입니다.\n\n&lt;size=20&gt;&lt;color=#97C456&gt;차징속도 +20%&lt;/color&gt;&lt;/size&gt;</t>
  </si>
  <si>
    <t>배트 이외의 물건에 사용하지 마시오\nQT추출물 0.0006% 함유\nQT향 0.1%함유\n\n&lt;size=20&gt;&lt;color=#97C456&gt;공 충돌횟수 +1&lt;/color&gt;&lt;/size&gt;</t>
  </si>
  <si>
    <t>세 나라 이야기의 붉은 목마 입니다.\n시크한 표정이 매력적입니다.\n\n&lt;size=20&gt;&lt;color=#97C456&gt;이동속도 +10%&lt;/color&gt;&lt;/size&gt;</t>
  </si>
  <si>
    <t>대나무 향을 머금은 흰 밥이\n까만 김을 만나 완성된 환상적인 조합.\n\n&lt;size=20&gt;&lt;color=#97C456&gt;최대 체력 +1하트&lt;/color&gt;&lt;/size&gt;</t>
  </si>
  <si>
    <t>꽤 무게가 나가는 돌가면.\n이걸 쓰고도 단련을 하면 꽤 오래 살 수 있을 것 같은 느낌이 듭니다.\n\n&lt;size=20&gt;&lt;color=#97C456&gt;공격력 +10%\n이동속도 +0.5\n공격속도 +0.1초&lt;/color&gt;&lt;/size&gt;</t>
  </si>
  <si>
    <t>자아를 가진 저금통입니다.\n숨겨진 돈을 잘 찾아내는 듯 합니다.\n잠깐, 제 지갑의 돈이 사라진 것 같습니다.\n\n&lt;size=20&gt;&lt;color=#97C456&gt;골드획득량 +50%&lt;/color&gt;&lt;/size&gt;</t>
  </si>
  <si>
    <t>종교적인 용도로 보이는 컵입니다.\n잠깐, 방금 조금 움직인 것 같은데요?\n\n&lt;size=20&gt;&lt;color=#97C456&gt;공 충돌횟수 +2&lt;/color&gt;&lt;/size&gt;</t>
  </si>
  <si>
    <t>이벤트성으로 100만봉지\n중 한 개만 들어간 ■̛̲͙̩͎͖̲̐̐̂͐ͅ■͓̟̦̹͚̇̓́͛͠ͅ맛 사탕입니다.\n\n&lt;size=20&gt;&lt;color=#97C456&gt;공 충돌횟수당 공격력 +20%&lt;/color&gt;&lt;/size&gt;</t>
  </si>
  <si>
    <t>온 몸이 녹는 듯 한 강력한 단맛입니다.\n끈적해지지 않게 조심하세요!\n\n&lt;size=20&gt;&lt;color=#97C456&gt;차징속도 +45%&lt;/color&gt;&lt;/size&gt;\n&lt;size=20&gt;&lt;color=#FF6A6A&gt;공격속도 -20%&lt;/color&gt;&lt;/size&gt;</t>
  </si>
  <si>
    <t>어째선지 계속해서 울고 있는 양초입니다.\n\n&lt;size=20&gt;&lt;color=#97C456&gt;최대체력 +4하트&lt;/color&gt;&lt;/size&gt;\n&lt;size=20&gt;&lt;color=#FF6A6A&gt;이동속도 -25%&lt;/color&gt;&lt;/size&gt;</t>
  </si>
  <si>
    <t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t>
  </si>
  <si>
    <t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t>
  </si>
  <si>
    <t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t>
  </si>
  <si>
    <t>1. 태양의 방향으로 기립.\n2. 팔을 벌려 Y자로 선다.\n3. 태양을 바라보며 외친다.</t>
    <phoneticPr fontId="8" type="noConversion"/>
  </si>
  <si>
    <t>고대에 멸종된 것으로 보이는 유물 입니다. 많은 시간이 지났지만 튼튼하고 고통스럽습니다.</t>
    <phoneticPr fontId="8" type="noConversion"/>
  </si>
  <si>
    <t>데빌불, 숨겨진 악성을 펼쳐줘요.\n아직도 마계에서 불티나게 팔리고 있는 음료입니다.</t>
    <phoneticPr fontId="8" type="noConversion"/>
  </si>
  <si>
    <t>데빌불, 숨겨진 악성을 펼쳐줘요.\n아직도 마계에서 불티나게 팔리고 있는 음료입니다.\n\n&lt;size=20&gt;&lt;color=#97C456&gt;변화된 이동속도 1당 공격력 +20%&lt;/color&gt;&lt;/size&gt;</t>
  </si>
  <si>
    <t>고대에 멸종된 것으로 보이는 유물 입니다. 많은 시간이 지났지만 튼튼하고 고통스럽습니다.\n\n&lt;size=20&gt;&lt;color=#97C456&gt;빈 하트 1개당 공격력 +10%&lt;/color&gt;&lt;/size&gt;</t>
  </si>
  <si>
    <t>World</t>
    <phoneticPr fontId="8" type="noConversion"/>
  </si>
  <si>
    <t>보스 내려찍기</t>
    <phoneticPr fontId="8" type="noConversion"/>
  </si>
  <si>
    <t>보스 착지</t>
    <phoneticPr fontId="8" type="noConversion"/>
  </si>
  <si>
    <t>Target</t>
    <phoneticPr fontId="8" type="noConversion"/>
  </si>
  <si>
    <t>보스 공 던지기</t>
    <phoneticPr fontId="8" type="noConversion"/>
  </si>
  <si>
    <t>보스용 공</t>
    <phoneticPr fontId="8" type="noConversion"/>
  </si>
  <si>
    <t>보스 던지기</t>
    <phoneticPr fontId="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</si>
</sst>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76" formatCode="0.0"/>
    <numFmt numFmtId="177" formatCode="0.000E+00"/>
  </numFmts>
  <fonts count="14">
    <font>
      <sz val="11"/>
      <color rgb="FF000000"/>
      <name val="맑은 고딕"/>
    </font>
    <font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1"/>
      <color rgb="FFFFFFFF"/>
      <name val="맑은 고딕"/>
      <family val="3"/>
      <charset val="129"/>
    </font>
    <font>
      <b/>
      <sz val="11"/>
      <color rgb="FFFF0000"/>
      <name val="맑은 고딕"/>
      <family val="3"/>
      <charset val="129"/>
    </font>
    <font>
      <b/>
      <sz val="20"/>
      <color rgb="FFFFC000"/>
      <name val="맑은 고딕"/>
      <family val="3"/>
      <charset val="129"/>
    </font>
    <font>
      <sz val="11"/>
      <color rgb="FFFFC000"/>
      <name val="맑은 고딕"/>
      <family val="3"/>
      <charset val="129"/>
    </font>
    <font>
      <sz val="9"/>
      <color rgb="FF000000"/>
      <name val="돋움"/>
      <family val="3"/>
      <charset val="129"/>
    </font>
    <font>
      <sz val="8"/>
      <name val="돋움"/>
      <family val="3"/>
      <charset val="129"/>
    </font>
    <font>
      <sz val="11"/>
      <color rgb="FF000000"/>
      <name val="Courier New"/>
      <family val="3"/>
    </font>
    <font>
      <sz val="11"/>
      <color rgb="FF000000"/>
      <name val="Segoe UI Symbol"/>
      <family val="3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rgb="FF000000"/>
      <name val="맑은 고딕"/>
      <family val="2"/>
      <charset val="129"/>
    </font>
  </fonts>
  <fills count="10">
    <fill>
      <patternFill patternType="none"/>
    </fill>
    <fill>
      <patternFill patternType="gray125"/>
    </fill>
    <fill>
      <patternFill patternType="solid">
        <fgColor rgb="FF26262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E699"/>
      </patternFill>
    </fill>
  </fills>
  <borders count="2">
    <border>
      <left/>
      <right/>
      <top/>
      <bottom/>
      <diagonal/>
    </border>
    <border>
      <left style="thin">
        <color rgb="FFC9C9C9"/>
      </left>
      <right style="thin">
        <color rgb="FFC9C9C9"/>
      </right>
      <top style="thin">
        <color rgb="FFC9C9C9"/>
      </top>
      <bottom style="thin">
        <color rgb="FFC9C9C9"/>
      </bottom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2" borderId="0" xfId="0" applyFill="1">
      <alignment vertical="center"/>
    </xf>
    <xf numFmtId="0" fontId="2" fillId="3" borderId="0" xfId="0" applyFont="1" applyFill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0" fillId="3" borderId="0" xfId="0" applyFill="1">
      <alignment vertical="center"/>
    </xf>
    <xf numFmtId="0" fontId="3" fillId="6" borderId="0" xfId="0" applyFont="1" applyFill="1">
      <alignment vertical="center"/>
    </xf>
    <xf numFmtId="0" fontId="0" fillId="6" borderId="0" xfId="0" applyFill="1">
      <alignment vertical="center"/>
    </xf>
    <xf numFmtId="0" fontId="0" fillId="7" borderId="0" xfId="0" applyFill="1">
      <alignment vertical="center"/>
    </xf>
    <xf numFmtId="0" fontId="0" fillId="8" borderId="0" xfId="0" applyFill="1">
      <alignment vertical="center"/>
    </xf>
    <xf numFmtId="0" fontId="0" fillId="4" borderId="1" xfId="0" applyFill="1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2" fillId="0" borderId="0" xfId="0" applyFont="1" applyAlignment="1">
      <alignment vertical="center" wrapText="1"/>
    </xf>
    <xf numFmtId="0" fontId="4" fillId="3" borderId="0" xfId="0" applyFont="1" applyFill="1">
      <alignment vertical="center"/>
    </xf>
    <xf numFmtId="0" fontId="4" fillId="4" borderId="0" xfId="0" applyFont="1" applyFill="1">
      <alignment vertical="center"/>
    </xf>
    <xf numFmtId="177" fontId="0" fillId="5" borderId="0" xfId="0" applyNumberFormat="1" applyFill="1">
      <alignment vertical="center"/>
    </xf>
    <xf numFmtId="0" fontId="0" fillId="0" borderId="0" xfId="0" quotePrefix="1">
      <alignment vertical="center"/>
    </xf>
    <xf numFmtId="0" fontId="1" fillId="0" borderId="0" xfId="0" applyFont="1">
      <alignment vertical="center"/>
    </xf>
    <xf numFmtId="0" fontId="0" fillId="9" borderId="0" xfId="0" applyFill="1">
      <alignment vertical="center"/>
    </xf>
    <xf numFmtId="0" fontId="1" fillId="9" borderId="0" xfId="0" applyFont="1" applyFill="1">
      <alignment vertical="center"/>
    </xf>
    <xf numFmtId="0" fontId="5" fillId="2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 vertical="center"/>
    </xf>
    <xf numFmtId="0" fontId="0" fillId="0" borderId="0" xfId="0" applyNumberFormat="1" applyFill="1">
      <alignment vertical="center"/>
    </xf>
    <xf numFmtId="0" fontId="13" fillId="0" borderId="0" xfId="0" applyFont="1">
      <alignment vertical="center"/>
    </xf>
    <xf numFmtId="0" fontId="13" fillId="0" borderId="0" xfId="0" applyNumberFormat="1" applyFont="1" applyFill="1">
      <alignment vertical="center"/>
    </xf>
    <xf numFmtId="0" fontId="13" fillId="0" borderId="0" xfId="0" applyFont="1" applyFill="1">
      <alignment vertical="center"/>
    </xf>
  </cellXfs>
  <cellStyles count="1">
    <cellStyle name="표준" xfId="0" builtinId="0"/>
  </cellStyles>
  <dxfs count="97"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bgColor rgb="FF26262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ill>
        <patternFill patternType="solid">
          <bgColor rgb="FF26262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ill>
        <patternFill patternType="solid">
          <fgColor rgb="FF6182D6"/>
          <bgColor rgb="FF6182D6"/>
        </patternFill>
      </fill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font>
        <b/>
        <strike val="0"/>
        <u val="none"/>
        <sz val="11"/>
        <color rgb="FFFF0000"/>
      </font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  <fill>
        <patternFill patternType="solid">
          <fgColor indexed="65"/>
          <bgColor rgb="FFFFE699"/>
        </patternFill>
      </fill>
    </dxf>
    <dxf>
      <numFmt numFmtId="0" formatCode="General"/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bgColor rgb="FF262626"/>
        </patternFill>
      </fill>
    </dxf>
    <dxf>
      <fill>
        <patternFill patternType="none">
          <fgColor auto="1"/>
          <bgColor auto="1"/>
        </patternFill>
      </fill>
    </dxf>
    <dxf>
      <numFmt numFmtId="0" formatCode="General"/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numFmt numFmtId="0" formatCode="General"/>
      <fill>
        <patternFill patternType="solid">
          <fgColor indexed="65"/>
          <bgColor rgb="FFFFF2CC"/>
        </patternFill>
      </fill>
    </dxf>
    <dxf>
      <fill>
        <patternFill patternType="solid">
          <bgColor rgb="FF262626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 patternType="solid">
          <fgColor indexed="65"/>
          <bgColor rgb="FFFFF2CC"/>
        </patternFill>
      </fill>
    </dxf>
    <dxf>
      <fill>
        <patternFill patternType="solid">
          <fgColor indexed="65"/>
          <bgColor rgb="FF262626"/>
        </patternFill>
      </fill>
    </dxf>
    <dxf>
      <font>
        <b val="0"/>
        <strike val="0"/>
        <u val="none"/>
        <sz val="11"/>
        <color auto="1"/>
      </font>
    </dxf>
    <dxf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ont>
        <b val="0"/>
        <i val="0"/>
        <strike val="0"/>
        <u val="none"/>
        <sz val="11"/>
        <color rgb="FF000000"/>
      </font>
      <fill>
        <patternFill patternType="none">
          <fgColor auto="1"/>
          <bgColor auto="1"/>
        </patternFill>
      </fill>
    </dxf>
    <dxf>
      <fill>
        <patternFill patternType="none">
          <fgColor auto="1"/>
          <bgColor auto="1"/>
        </patternFill>
      </fill>
    </dxf>
    <dxf>
      <fill>
        <patternFill>
          <bgColor rgb="FFDBDBDB"/>
        </patternFill>
      </fill>
    </dxf>
    <dxf>
      <fill>
        <patternFill>
          <bgColor rgb="FFEDEDED"/>
        </patternFill>
      </fill>
    </dxf>
    <dxf>
      <font>
        <b/>
        <i val="0"/>
        <color rgb="FFFFFFFF"/>
      </font>
      <fill>
        <patternFill>
          <bgColor rgb="FF262626"/>
        </patternFill>
      </fill>
      <border>
        <left style="thin">
          <color auto="1"/>
        </left>
        <right style="thin">
          <color auto="1"/>
        </right>
        <top/>
        <bottom style="thick">
          <color rgb="FFFFFFFF"/>
        </bottom>
        <vertical style="thin">
          <color rgb="FFA6A6A6"/>
        </vertical>
        <horizontal style="thin">
          <color rgb="FFA6A6A6"/>
        </horizontal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rgb="FFC9C9C9"/>
        </vertical>
        <horizontal style="thin">
          <color rgb="FFC9C9C9"/>
        </horizontal>
      </border>
    </dxf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3" defaultTableStyle="TableStyleMedium2" defaultPivotStyle="PivotStyleLight16">
    <tableStyle name="Normal Style 1 - Accent 1" pivot="0" count="7" xr9:uid="{00000000-0011-0000-FFFF-FFFF00000000}">
      <tableStyleElement type="wholeTable" dxfId="96"/>
      <tableStyleElement type="headerRow" dxfId="95"/>
      <tableStyleElement type="totalRow" dxfId="94"/>
      <tableStyleElement type="firstColumn" dxfId="93"/>
      <tableStyleElement type="lastColumn" dxfId="92"/>
      <tableStyleElement type="firstRowStripe" dxfId="91"/>
      <tableStyleElement type="firstColumnStripe" dxfId="90"/>
    </tableStyle>
    <tableStyle name="Light Style 1 - Accent 1" table="0" count="7" xr9:uid="{00000000-0011-0000-FFFF-FFFF01000000}">
      <tableStyleElement type="wholeTable" dxfId="89"/>
      <tableStyleElement type="headerRow" dxfId="88"/>
      <tableStyleElement type="totalRow" dxfId="87"/>
      <tableStyleElement type="firstColumn" dxfId="86"/>
      <tableStyleElement type="lastColumn" dxfId="85"/>
      <tableStyleElement type="firstRowStripe" dxfId="84"/>
      <tableStyleElement type="firstColumnStripe" dxfId="83"/>
    </tableStyle>
    <tableStyle name="표 스타일 1" pivot="0" count="4" xr9:uid="{00000000-0011-0000-FFFF-FFFF02000000}">
      <tableStyleElement type="wholeTable" dxfId="82"/>
      <tableStyleElement type="headerRow" dxfId="81"/>
      <tableStyleElement type="firstRowStripe" dxfId="80"/>
      <tableStyleElement type="secondRowStripe" dxfId="7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0</xdr:rowOff>
        </xdr:from>
        <xdr:to>
          <xdr:col>4</xdr:col>
          <xdr:colOff>0</xdr:colOff>
          <xdr:row>8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0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시트별 파일 분리 저장 버튼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아이템가격" displayName="아이템가격" ref="B6:H8" totalsRowShown="0" headerRowDxfId="78">
  <autoFilter ref="B6:H8" xr:uid="{00000000-0009-0000-0100-000005000000}"/>
  <tableColumns count="7">
    <tableColumn id="1" xr3:uid="{00000000-0010-0000-0000-000001000000}" name="재화"/>
    <tableColumn id="2" xr3:uid="{00000000-0010-0000-0000-000002000000}" name="Hp"/>
    <tableColumn id="3" xr3:uid="{00000000-0010-0000-0000-000003000000}" name="Gold"/>
    <tableColumn id="4" xr3:uid="{00000000-0010-0000-0000-000004000000}" name="Normal"/>
    <tableColumn id="5" xr3:uid="{00000000-0010-0000-0000-000005000000}" name="Rare"/>
    <tableColumn id="6" xr3:uid="{00000000-0010-0000-0000-000006000000}" name="Cursed"/>
    <tableColumn id="7" xr3:uid="{00000000-0010-0000-0000-000007000000}" name="Weapon"/>
  </tableColumns>
  <tableStyleInfo name="표 스타일 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스텟별가치" displayName="스텟별가치" ref="B6:E32" totalsRowShown="0" headerRowDxfId="77" dataDxfId="76">
  <autoFilter ref="B6:E32" xr:uid="{00000000-0009-0000-0100-000008000000}"/>
  <tableColumns count="4">
    <tableColumn id="1" xr3:uid="{00000000-0010-0000-0100-000001000000}" name="스텟" dataDxfId="75"/>
    <tableColumn id="2" xr3:uid="{00000000-0010-0000-0100-000002000000}" name="참조 테이블" dataDxfId="74"/>
    <tableColumn id="3" xr3:uid="{00000000-0010-0000-0100-000003000000}" name="설명" dataDxfId="73"/>
    <tableColumn id="4" xr3:uid="{00000000-0010-0000-0100-000004000000}" name="Value 1당 가치" dataDxfId="72"/>
  </tableColumns>
  <tableStyleInfo name="표 스타일 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2000000}" name="표10" displayName="표10" ref="R6:S7" totalsRowShown="0" headerRowDxfId="71">
  <autoFilter ref="R6:S7" xr:uid="{00000000-0009-0000-0100-00000A000000}"/>
  <tableColumns count="2">
    <tableColumn id="1" xr3:uid="{00000000-0010-0000-0200-000001000000}" name="골드 가치"/>
    <tableColumn id="2" xr3:uid="{00000000-0010-0000-0200-000002000000}" name="적 개체당 드랍골드"/>
  </tableColumns>
  <tableStyleInfo name="표 스타일 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3000000}" name="표14" displayName="표14" ref="R14:S15" totalsRowShown="0" headerRowDxfId="70">
  <autoFilter ref="R14:S15" xr:uid="{00000000-0009-0000-0100-00000E000000}"/>
  <tableColumns count="2">
    <tableColumn id="1" xr3:uid="{00000000-0010-0000-0300-000001000000}" name="적 기준 체력"/>
    <tableColumn id="2" xr3:uid="{00000000-0010-0000-0300-000002000000}" name="적 체력 상승량"/>
  </tableColumns>
  <tableStyleInfo name="표 스타일 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4000000}" name="밸런스시트" displayName="밸런스시트" ref="G6:P12" totalsRowShown="0" headerRowDxfId="69">
  <autoFilter ref="G6:P12" xr:uid="{00000000-0009-0000-0100-00000F000000}"/>
  <tableColumns count="10">
    <tableColumn id="1" xr3:uid="{00000000-0010-0000-0400-000001000000}" name="층"/>
    <tableColumn id="2" xr3:uid="{00000000-0010-0000-0400-000002000000}" name="Normal"/>
    <tableColumn id="3" xr3:uid="{00000000-0010-0000-0400-000003000000}" name="Rare" dataDxfId="68"/>
    <tableColumn id="4" xr3:uid="{00000000-0010-0000-0400-000004000000}" name="획득 무기"/>
    <tableColumn id="5" xr3:uid="{00000000-0010-0000-0400-000005000000}" name="획득 골드" dataDxfId="67"/>
    <tableColumn id="6" xr3:uid="{00000000-0010-0000-0400-000006000000}" name="적 체력" dataDxfId="66"/>
    <tableColumn id="7" xr3:uid="{00000000-0010-0000-0400-000007000000}" name="방 개수"/>
    <tableColumn id="8" xr3:uid="{00000000-0010-0000-0400-000008000000}" name="레벨당 평균 적"/>
    <tableColumn id="9" xr3:uid="{00000000-0010-0000-0400-000009000000}" name="PC 최대 DPS" dataDxfId="65"/>
    <tableColumn id="10" xr3:uid="{00000000-0010-0000-0400-00000A000000}" name="예상 전투 시간" dataDxfId="64"/>
  </tableColumns>
  <tableStyleInfo name="표 스타일 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5000000}" name="표9" displayName="표9" ref="R10:U11" totalsRowShown="0" headerRowDxfId="63">
  <autoFilter ref="R10:U11" xr:uid="{00000000-0009-0000-0100-000009000000}"/>
  <tableColumns count="4">
    <tableColumn id="1" xr3:uid="{00000000-0010-0000-0500-000001000000}" name="Normal"/>
    <tableColumn id="2" xr3:uid="{00000000-0010-0000-0500-000002000000}" name="Rare"/>
    <tableColumn id="3" xr3:uid="{00000000-0010-0000-0500-000003000000}" name="Cursed"/>
    <tableColumn id="4" xr3:uid="{00000000-0010-0000-0500-000004000000}" name="Weapon" dataDxfId="62"/>
  </tableColumns>
  <tableStyleInfo name="표 스타일 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6000000}" name="표2" displayName="표2" ref="A2:D10" totalsRowShown="0" headerRowDxfId="61">
  <autoFilter ref="A2:D10" xr:uid="{00000000-0009-0000-0100-000002000000}"/>
  <tableColumns count="4">
    <tableColumn id="1" xr3:uid="{00000000-0010-0000-0600-000001000000}" name="Index"/>
    <tableColumn id="2" xr3:uid="{00000000-0010-0000-0600-000002000000}" name="#변수명" dataDxfId="60"/>
    <tableColumn id="3" xr3:uid="{00000000-0010-0000-0600-000003000000}" name="value"/>
    <tableColumn id="4" xr3:uid="{00000000-0010-0000-0600-000004000000}" name="#설명" dataDxfId="59"/>
  </tableColumns>
  <tableStyleInfo name="표 스타일 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CharacterTable" displayName="CharacterTable" ref="B2:P3" totalsRowShown="0" headerRowDxfId="58">
  <autoFilter ref="B2:P3" xr:uid="{00000000-0009-0000-0100-000006000000}"/>
  <tableColumns count="15">
    <tableColumn id="1" xr3:uid="{00000000-0010-0000-0700-000001000000}" name="Index"/>
    <tableColumn id="2" xr3:uid="{00000000-0010-0000-0700-000002000000}" name="#설명" dataDxfId="57"/>
    <tableColumn id="3" xr3:uid="{00000000-0010-0000-0700-000003000000}" name="MaxHP"/>
    <tableColumn id="4" xr3:uid="{00000000-0010-0000-0700-000004000000}" name="PCHitboxRad"/>
    <tableColumn id="5" xr3:uid="{00000000-0010-0000-0700-000005000000}" name="MovementSpd"/>
    <tableColumn id="6" xr3:uid="{00000000-0010-0000-0700-000006000000}" name="ChargeMovementSpd"/>
    <tableColumn id="7" xr3:uid="{00000000-0010-0000-0700-000007000000}" name="MercyInvincibleTime"/>
    <tableColumn id="8" xr3:uid="{00000000-0010-0000-0700-000008000000}" name="DodgeCooldown"/>
    <tableColumn id="9" xr3:uid="{00000000-0010-0000-0700-000009000000}" name="DodgeInvincibleTime"/>
    <tableColumn id="10" xr3:uid="{00000000-0010-0000-0700-00000A000000}" name="DodgeDurationTime"/>
    <tableColumn id="11" xr3:uid="{00000000-0010-0000-0700-00000B000000}" name="DodgeAddForce"/>
    <tableColumn id="12" xr3:uid="{00000000-0010-0000-0700-00000C000000}" name="ItemSlotMax"/>
    <tableColumn id="13" xr3:uid="{00000000-0010-0000-0700-00000D000000}" name="BallStackMax"/>
    <tableColumn id="14" xr3:uid="{00000000-0010-0000-0700-00000E000000}" name="GoldGain"/>
    <tableColumn id="15" xr3:uid="{00000000-0010-0000-0700-00000F000000}" name="DefaultBallDataId"/>
  </tableColumns>
  <tableStyleInfo name="표 스타일 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CharacterAtkTable" displayName="CharacterAtkTable" ref="B2:AE3" totalsRowShown="0" headerRowDxfId="56">
  <autoFilter ref="B2:AE3" xr:uid="{00000000-0009-0000-0100-000007000000}"/>
  <tableColumns count="30">
    <tableColumn id="1" xr3:uid="{00000000-0010-0000-0800-000001000000}" name="Index"/>
    <tableColumn id="2" xr3:uid="{00000000-0010-0000-0800-000002000000}" name="#설명" dataDxfId="55"/>
    <tableColumn id="3" xr3:uid="{00000000-0010-0000-0800-000003000000}" name="ThrowCooldown" dataDxfId="54"/>
    <tableColumn id="4" xr3:uid="{00000000-0010-0000-0800-000004000000}" name="ThrowAfterDelay" dataDxfId="53"/>
    <tableColumn id="5" xr3:uid="{00000000-0010-0000-0800-000005000000}" name="ThrowSpd"/>
    <tableColumn id="6" xr3:uid="{00000000-0010-0000-0800-000006000000}" name="ThrowBounceCount"/>
    <tableColumn id="7" xr3:uid="{00000000-0010-0000-0800-000007000000}" name="SwingCooldown" dataDxfId="52"/>
    <tableColumn id="8" xr3:uid="{00000000-0010-0000-0800-000008000000}" name="SwingAfterDelay"/>
    <tableColumn id="9" xr3:uid="{00000000-0010-0000-0800-000009000000}" name="SwingRad"/>
    <tableColumn id="10" xr3:uid="{00000000-0010-0000-0800-00000A000000}" name="SwingCentralAngle"/>
    <tableColumn id="11" xr3:uid="{00000000-0010-0000-0800-00000B000000}" name="ChargeTime"/>
    <tableColumn id="12" xr3:uid="{00000000-0010-0000-0800-00000C000000}" name="ChargeAtkPierce"/>
    <tableColumn id="13" xr3:uid="{00000000-0010-0000-0800-00000D000000}" name="ChargeShootSpd1"/>
    <tableColumn id="14" xr3:uid="{00000000-0010-0000-0800-00000E000000}" name="ChargeShootSpd2"/>
    <tableColumn id="15" xr3:uid="{00000000-0010-0000-0800-00000F000000}" name="ChargeBounceCount1"/>
    <tableColumn id="16" xr3:uid="{00000000-0010-0000-0800-000010000000}" name="ChargeBounceCount2"/>
    <tableColumn id="17" xr3:uid="{00000000-0010-0000-0800-000011000000}" name="ReflectCorrection"/>
    <tableColumn id="18" xr3:uid="{00000000-0010-0000-0800-000012000000}" name="ChargeRigidDmg1"/>
    <tableColumn id="19" xr3:uid="{00000000-0010-0000-0800-000013000000}" name="ChargeRigidDmg2"/>
    <tableColumn id="20" xr3:uid="{00000000-0010-0000-0800-000014000000}" name="ChargeProjectileDmg1"/>
    <tableColumn id="21" xr3:uid="{00000000-0010-0000-0800-000015000000}" name="ChargeProjectileDmg2"/>
    <tableColumn id="22" xr3:uid="{00000000-0010-0000-0800-000016000000}" name="AtkDmgPer"/>
    <tableColumn id="23" xr3:uid="{00000000-0010-0000-0800-000017000000}" name="TeleportAllowableDistance"/>
    <tableColumn id="24" xr3:uid="{00000000-0010-0000-0800-000018000000}" name="#던지기 DPS"/>
    <tableColumn id="25" xr3:uid="{00000000-0010-0000-0800-000019000000}" name="#휘두르기 직접 공격 DPS"/>
    <tableColumn id="26" xr3:uid="{00000000-0010-0000-0800-00001A000000}" name="#차징1 직접 공격 DPS"/>
    <tableColumn id="27" xr3:uid="{00000000-0010-0000-0800-00001B000000}" name="#차징2 직접 공격 DPS"/>
    <tableColumn id="28" xr3:uid="{00000000-0010-0000-0800-00001C000000}" name="#차징3 직접 공격 DPS"/>
    <tableColumn id="29" xr3:uid="{00000000-0010-0000-0800-00001D000000}" name="#던진공 튕겨내기 DPS"/>
    <tableColumn id="30" xr3:uid="{00000000-0010-0000-0800-00001E000000}" name="#던진공 차징1 튕겨내기 DPS"/>
  </tableColumns>
  <tableStyleInfo name="표 스타일 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9000000}" name="ProductialTable" displayName="ProductialTable" ref="B2:S4" totalsRowShown="0" headerRowDxfId="51">
  <autoFilter ref="B2:S4" xr:uid="{00000000-0009-0000-0100-00000D000000}"/>
  <tableColumns count="18">
    <tableColumn id="1" xr3:uid="{00000000-0010-0000-0900-000001000000}" name="Index"/>
    <tableColumn id="2" xr3:uid="{00000000-0010-0000-0900-000002000000}" name="#이름" dataDxfId="50"/>
    <tableColumn id="3" xr3:uid="{00000000-0010-0000-0900-000003000000}" name="MaxRoomValue"/>
    <tableColumn id="4" xr3:uid="{00000000-0010-0000-0900-000004000000}" name="GoldShopProb"/>
    <tableColumn id="5" xr3:uid="{00000000-0010-0000-0900-000005000000}" name="HpShopProb"/>
    <tableColumn id="6" xr3:uid="{00000000-0010-0000-0900-000006000000}" name="EnemyHpIncreasePer"/>
    <tableColumn id="7" xr3:uid="{00000000-0010-0000-0900-000007000000}" name="ItemDropId"/>
    <tableColumn id="8" xr3:uid="{00000000-0010-0000-0900-000008000000}" name="HpShopDropId"/>
    <tableColumn id="9" xr3:uid="{00000000-0010-0000-0900-000009000000}" name="GoldShopDropId"/>
    <tableColumn id="10" xr3:uid="{00000000-0010-0000-0900-00000A000000}" name="BossDropId"/>
    <tableColumn id="11" xr3:uid="{00000000-0010-0000-0900-00000B000000}" name="ChoiceDropId"/>
    <tableColumn id="12" xr3:uid="{00000000-0010-0000-0900-00000C000000}" name="WeaponDropId"/>
    <tableColumn id="13" xr3:uid="{00000000-0010-0000-0900-00000D000000}" name="#드랍테이블1" dataDxfId="49"/>
    <tableColumn id="14" xr3:uid="{00000000-0010-0000-0900-00000E000000}" name="#드랍테이블2" dataDxfId="48"/>
    <tableColumn id="15" xr3:uid="{00000000-0010-0000-0900-00000F000000}" name="#드랍테이블3" dataDxfId="47"/>
    <tableColumn id="16" xr3:uid="{00000000-0010-0000-0900-000010000000}" name="#드랍테이블4" dataDxfId="46"/>
    <tableColumn id="17" xr3:uid="{00000000-0010-0000-0900-000011000000}" name="#드랍테이블5" dataDxfId="45"/>
    <tableColumn id="18" xr3:uid="{00000000-0010-0000-0900-000012000000}" name="#드랍테이블6" dataDxfId="44"/>
  </tableColumns>
  <tableStyleInfo name="표 스타일 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A000000}" name="DropTable" displayName="DropTable" ref="B2:I14" totalsRowShown="0" headerRowDxfId="43">
  <autoFilter ref="B2:I14" xr:uid="{00000000-0009-0000-0100-00000C000000}"/>
  <tableColumns count="8">
    <tableColumn id="1" xr3:uid="{00000000-0010-0000-0A00-000001000000}" name="Index"/>
    <tableColumn id="2" xr3:uid="{00000000-0010-0000-0A00-000002000000}" name="#메모" dataDxfId="42"/>
    <tableColumn id="3" xr3:uid="{00000000-0010-0000-0A00-000003000000}" name="Normal"/>
    <tableColumn id="4" xr3:uid="{00000000-0010-0000-0A00-000004000000}" name="Rare"/>
    <tableColumn id="5" xr3:uid="{00000000-0010-0000-0A00-000005000000}" name="Cursed"/>
    <tableColumn id="6" xr3:uid="{00000000-0010-0000-0A00-000006000000}" name="Weapon"/>
    <tableColumn id="7" xr3:uid="{00000000-0010-0000-0A00-000007000000}" name="Hp"/>
    <tableColumn id="8" xr3:uid="{00000000-0010-0000-0A00-000008000000}" name="Gold"/>
  </tableColumns>
  <tableStyleInfo name="표 스타일 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B000000}" name="EnemyGameData" displayName="EnemyGameData" ref="B2:S11" totalsRowShown="0">
  <autoFilter ref="B2:S11" xr:uid="{00000000-0009-0000-0100-000012000000}"/>
  <tableColumns count="18">
    <tableColumn id="1" xr3:uid="{00000000-0010-0000-0B00-000001000000}" name="Index"/>
    <tableColumn id="2" xr3:uid="{00000000-0010-0000-0B00-000002000000}" name="#이름" dataDxfId="41"/>
    <tableColumn id="3" xr3:uid="{00000000-0010-0000-0B00-000003000000}" name="MaxHp"/>
    <tableColumn id="4" xr3:uid="{00000000-0010-0000-0B00-000004000000}" name="MoveType"/>
    <tableColumn id="5" xr3:uid="{00000000-0010-0000-0B00-000005000000}" name="SpacingRad"/>
    <tableColumn id="6" xr3:uid="{00000000-0010-0000-0B00-000006000000}" name="MoveTargetUpdatePeroid"/>
    <tableColumn id="7" xr3:uid="{00000000-0010-0000-0B00-000007000000}" name="MovementSpd"/>
    <tableColumn id="8" xr3:uid="{00000000-0010-0000-0B00-000008000000}" name="AtkCheckDelay"/>
    <tableColumn id="9" xr3:uid="{00000000-0010-0000-0B00-000009000000}" name="AtkStartType"/>
    <tableColumn id="10" xr3:uid="{00000000-0010-0000-0B00-00000A000000}" name="AtkStartParam"/>
    <tableColumn id="11" xr3:uid="{00000000-0010-0000-0B00-00000B000000}" name="AtkDataId"/>
    <tableColumn id="12" xr3:uid="{00000000-0010-0000-0B00-00000C000000}" name="DeadAtkDataId"/>
    <tableColumn id="13" xr3:uid="{00000000-0010-0000-0B00-00000D000000}" name="GoldDropMin"/>
    <tableColumn id="14" xr3:uid="{00000000-0010-0000-0B00-00000E000000}" name="GoldDropMax"/>
    <tableColumn id="15" xr3:uid="{00000000-0010-0000-0B00-00000F000000}" name="ProjectileDataId"/>
    <tableColumn id="16" xr3:uid="{00000000-0010-0000-0B00-000010000000}" name="PrefabPath"/>
    <tableColumn id="17" xr3:uid="{00000000-0010-0000-0B00-000011000000}" name="#기준 적 체력 비율"/>
    <tableColumn id="18" xr3:uid="{00000000-0010-0000-0B00-000012000000}" name="#평균 드랍 골드" dataDxfId="40"/>
  </tableColumns>
  <tableStyleInfo name="표 스타일 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C000000}" name="EnemyAtkTable" displayName="EnemyAtkTable" ref="B2:G39" totalsRowShown="0">
  <autoFilter ref="B2:G39" xr:uid="{00000000-0009-0000-0100-000015000000}"/>
  <tableColumns count="6">
    <tableColumn id="1" xr3:uid="{00000000-0010-0000-0C00-000001000000}" name="Index"/>
    <tableColumn id="2" xr3:uid="{00000000-0010-0000-0C00-000002000000}" name="#설명" dataDxfId="39"/>
    <tableColumn id="3" xr3:uid="{00000000-0010-0000-0C00-000003000000}" name="ShootDataId" dataDxfId="38"/>
    <tableColumn id="4" xr3:uid="{00000000-0010-0000-0C00-000004000000}" name="AimType"/>
    <tableColumn id="5" xr3:uid="{00000000-0010-0000-0C00-000005000000}" name="BeforeDelay"/>
    <tableColumn id="6" xr3:uid="{00000000-0010-0000-0C00-000006000000}" name="AfterDelay"/>
  </tableColumns>
  <tableStyleInfo name="표 스타일 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D000000}" name="ShootTable" displayName="ShootTable" ref="B2:G64" totalsRowShown="0">
  <autoFilter ref="B2:G64" xr:uid="{00000000-0009-0000-0100-000013000000}"/>
  <tableColumns count="6">
    <tableColumn id="1" xr3:uid="{00000000-0010-0000-0D00-000001000000}" name="Index"/>
    <tableColumn id="2" xr3:uid="{00000000-0010-0000-0D00-000002000000}" name="#설명" dataDxfId="37"/>
    <tableColumn id="3" xr3:uid="{00000000-0010-0000-0D00-000003000000}" name="ShootAngle"/>
    <tableColumn id="4" xr3:uid="{00000000-0010-0000-0D00-000004000000}" name="ProjectileDataId"/>
    <tableColumn id="5" xr3:uid="{00000000-0010-0000-0D00-000005000000}" name="MaxBounceCount"/>
    <tableColumn id="6" xr3:uid="{00000000-0010-0000-0D00-000006000000}" name="InitalSpd"/>
  </tableColumns>
  <tableStyleInfo name="표 스타일 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E000000}" name="ProjectileTable" displayName="ProjectileTable" ref="B2:G10" totalsRowShown="0" headerRowDxfId="36">
  <autoFilter ref="B2:G10" xr:uid="{00000000-0009-0000-0100-000011000000}"/>
  <tableColumns count="6">
    <tableColumn id="1" xr3:uid="{00000000-0010-0000-0E00-000001000000}" name="Index"/>
    <tableColumn id="2" xr3:uid="{00000000-0010-0000-0E00-000002000000}" name="#설명" dataDxfId="35"/>
    <tableColumn id="3" xr3:uid="{00000000-0010-0000-0E00-000003000000}" name="IsBounce"/>
    <tableColumn id="4" xr3:uid="{00000000-0010-0000-0E00-000004000000}" name="ColliderRad"/>
    <tableColumn id="5" xr3:uid="{00000000-0010-0000-0E00-000005000000}" name="DirectDmg"/>
    <tableColumn id="6" xr3:uid="{00000000-0010-0000-0E00-000006000000}" name="PrefabPath"/>
  </tableColumns>
  <tableStyleInfo name="표 스타일 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F000000}" name="ItemTable" displayName="ItemTable" ref="B2:O24" totalsRowShown="0" headerRowDxfId="34">
  <autoFilter ref="B2:O24" xr:uid="{00000000-0009-0000-0100-000004000000}"/>
  <tableColumns count="14">
    <tableColumn id="1" xr3:uid="{00000000-0010-0000-0F00-000001000000}" name="Index" dataDxfId="33"/>
    <tableColumn id="2" xr3:uid="{00000000-0010-0000-0F00-000002000000}" name="Name" dataDxfId="32"/>
    <tableColumn id="3" xr3:uid="{00000000-0010-0000-0F00-000003000000}" name="Desc" dataDxfId="31"/>
    <tableColumn id="4" xr3:uid="{00000000-0010-0000-0F00-000004000000}" name="GradeType" dataDxfId="30"/>
    <tableColumn id="5" xr3:uid="{00000000-0010-0000-0F00-000005000000}" name="Value" dataDxfId="29"/>
    <tableColumn id="6" xr3:uid="{00000000-0010-0000-0F00-000006000000}" name="CostHp" dataDxfId="28"/>
    <tableColumn id="7" xr3:uid="{00000000-0010-0000-0F00-000007000000}" name="CostGold" dataDxfId="27"/>
    <tableColumn id="8" xr3:uid="{00000000-0010-0000-0F00-000008000000}" name="ItemEffectDataId" dataDxfId="26"/>
    <tableColumn id="9" xr3:uid="{00000000-0010-0000-0F00-000009000000}" name="ItemIconPath" dataDxfId="25"/>
    <tableColumn id="10" xr3:uid="{00000000-0010-0000-0F00-00000A000000}" name="#자료 위치 변환기" dataDxfId="24"/>
    <tableColumn id="11" xr3:uid="{E752B4AA-7181-4F60-B4A0-8DA8B2E2F337}" name="#" dataDxfId="23"/>
    <tableColumn id="12" xr3:uid="{F85A3E97-232B-4E3A-9F01-EF79D25FA9F9}" name="#2" dataDxfId="22"/>
    <tableColumn id="13" xr3:uid="{550D2A60-9FBB-40C8-A6C2-243D9848C602}" name="#3" dataDxfId="21"/>
    <tableColumn id="14" xr3:uid="{50807AE5-46D5-4351-8885-769C1629BA6A}" name="#4" dataDxfId="20">
      <calculatedColumnFormula>_xlfn.CONCAT(
_xlfn.CONCAT("&lt;size=16&gt;",L3,"&lt;/size&gt;\n\n",
"&lt;size=20&gt;&lt;color=#97C456&gt;",M3,"&lt;/color&gt;&lt;/size&gt;"),
IF(ISBLANK(N3),"",_xlfn.CONCAT("\n","&lt;size=24&gt;&lt;color=#FF6A6A&gt;",N3,"&lt;/color&gt;&lt;/size&gt;"))
)</calculatedColumnFormula>
    </tableColumn>
  </tableColumns>
  <tableStyleInfo name="표 스타일 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10000000}" name="ItemEffectTable" displayName="ItemEffectTable" ref="B2:S29" totalsRowShown="0" headerRowDxfId="19">
  <autoFilter ref="B2:S29" xr:uid="{00000000-0009-0000-0100-000001000000}"/>
  <tableColumns count="18">
    <tableColumn id="1" xr3:uid="{00000000-0010-0000-1000-000001000000}" name="#개발여부" dataDxfId="18"/>
    <tableColumn id="2" xr3:uid="{00000000-0010-0000-1000-000002000000}" name="#이름값" dataDxfId="17"/>
    <tableColumn id="3" xr3:uid="{00000000-0010-0000-1000-000003000000}" name="#Grade" dataDxfId="16"/>
    <tableColumn id="4" xr3:uid="{00000000-0010-0000-1000-000004000000}" name="Index" dataDxfId="15"/>
    <tableColumn id="5" xr3:uid="{00000000-0010-0000-1000-000005000000}" name="ApplyType"/>
    <tableColumn id="6" xr3:uid="{00000000-0010-0000-1000-000006000000}" name="ApplyStat"/>
    <tableColumn id="7" xr3:uid="{00000000-0010-0000-1000-000007000000}" name="#효과 한글" dataDxfId="14"/>
    <tableColumn id="8" xr3:uid="{00000000-0010-0000-1000-000008000000}" name="#효과 한글2" dataDxfId="13"/>
    <tableColumn id="9" xr3:uid="{00000000-0010-0000-1000-000009000000}" name="ApplyValue"/>
    <tableColumn id="10" xr3:uid="{00000000-0010-0000-1000-00000A000000}" name="ValueOperatorType"/>
    <tableColumn id="11" xr3:uid="{00000000-0010-0000-1000-00000B000000}" name="ApplyPoint"/>
    <tableColumn id="12" xr3:uid="{00000000-0010-0000-1000-00000C000000}" name="#참조 테이블" dataDxfId="12"/>
    <tableColumn id="13" xr3:uid="{00000000-0010-0000-1000-00000D000000}" name="#기본값" dataDxfId="11"/>
    <tableColumn id="14" xr3:uid="{00000000-0010-0000-1000-00000E000000}" name="#ApplyValue 수식" dataDxfId="10"/>
    <tableColumn id="15" xr3:uid="{00000000-0010-0000-1000-00000F000000}" name="#적용 후" dataDxfId="9"/>
    <tableColumn id="16" xr3:uid="{00000000-0010-0000-1000-000010000000}" name="#효력 가치" dataDxfId="8"/>
    <tableColumn id="17" xr3:uid="{00000000-0010-0000-1000-000011000000}" name="#총 효력가치" dataDxfId="7"/>
    <tableColumn id="18" xr3:uid="{00000000-0010-0000-1000-000012000000}" name="#오차값" dataDxfId="6"/>
  </tableColumns>
  <tableStyleInfo name="표 스타일 1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11000000}" name="ItemResourceTable" displayName="ItemResourceTable" ref="B2:F9" totalsRowShown="0" headerRowDxfId="5">
  <autoFilter ref="B2:F9" xr:uid="{00000000-0009-0000-0100-000010000000}"/>
  <tableColumns count="5">
    <tableColumn id="1" xr3:uid="{00000000-0010-0000-1100-000001000000}" name="Index"/>
    <tableColumn id="2" xr3:uid="{00000000-0010-0000-1100-000002000000}" name="#대상 아이템" dataDxfId="4"/>
    <tableColumn id="3" xr3:uid="{00000000-0010-0000-1100-000003000000}" name="#리소스 유형" dataDxfId="3"/>
    <tableColumn id="4" xr3:uid="{00000000-0010-0000-1100-000004000000}" name="ResourceType"/>
    <tableColumn id="5" xr3:uid="{00000000-0010-0000-1100-000005000000}" name="ResourcePath"/>
  </tableColumns>
  <tableStyleInfo name="표 스타일 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12000000}" name="LocaleTable" displayName="LocaleTable" ref="A2:D76" totalsRowShown="0" headerRowDxfId="2">
  <autoFilter ref="A2:D76" xr:uid="{00000000-0009-0000-0100-000003000000}"/>
  <tableColumns count="4">
    <tableColumn id="1" xr3:uid="{00000000-0010-0000-1200-000001000000}" name="Index" dataDxfId="1"/>
    <tableColumn id="2" xr3:uid="{00000000-0010-0000-1200-000002000000}" name="LocaleKR"/>
    <tableColumn id="3" xr3:uid="{00000000-0010-0000-1200-000003000000}" name="LocaleUS"/>
    <tableColumn id="4" xr3:uid="{00000000-0010-0000-1200-000004000000}" name="#설명값참조" dataDxfId="0"/>
  </tableColumns>
  <tableStyleInfo name="표 스타일 1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17.xml"/><Relationship Id="rId1" Type="http://schemas.openxmlformats.org/officeDocument/2006/relationships/vmlDrawing" Target="../drawings/vmlDrawing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8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E3"/>
  <sheetViews>
    <sheetView zoomScaleNormal="75" zoomScaleSheetLayoutView="100" workbookViewId="0">
      <selection activeCell="U13" sqref="U13"/>
    </sheetView>
  </sheetViews>
  <sheetFormatPr baseColWidth="10" defaultColWidth="8.83203125" defaultRowHeight="17"/>
  <sheetData>
    <row r="1" spans="2:5" s="1" customFormat="1">
      <c r="B1" s="23" t="s">
        <v>351</v>
      </c>
      <c r="C1" s="24"/>
      <c r="D1" s="24"/>
      <c r="E1" s="24"/>
    </row>
    <row r="2" spans="2:5" s="1" customFormat="1">
      <c r="B2" s="24"/>
      <c r="C2" s="24"/>
      <c r="D2" s="24"/>
      <c r="E2" s="24"/>
    </row>
    <row r="3" spans="2:5" s="1" customFormat="1">
      <c r="B3" s="24"/>
      <c r="C3" s="24"/>
      <c r="D3" s="24"/>
      <c r="E3" s="24"/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orientation="portrait" horizontalDpi="150" verticalDpi="15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Separate_Tab">
                <anchor moveWithCells="1" sizeWithCells="1">
                  <from>
                    <xdr:col>1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C000"/>
  </sheetPr>
  <dimension ref="B1:H8"/>
  <sheetViews>
    <sheetView zoomScaleNormal="75" zoomScaleSheetLayoutView="100" workbookViewId="0">
      <selection activeCell="F30" sqref="F30"/>
    </sheetView>
  </sheetViews>
  <sheetFormatPr baseColWidth="10" defaultColWidth="8.83203125" defaultRowHeight="17"/>
  <cols>
    <col min="2" max="2" width="9.83203125" bestFit="1" customWidth="1"/>
    <col min="3" max="3" width="6.33203125" bestFit="1" customWidth="1"/>
    <col min="4" max="4" width="12.6640625" bestFit="1" customWidth="1"/>
    <col min="5" max="5" width="10.33203125" bestFit="1" customWidth="1"/>
    <col min="6" max="6" width="7.6640625" bestFit="1" customWidth="1"/>
    <col min="7" max="7" width="9.83203125" bestFit="1" customWidth="1"/>
    <col min="8" max="8" width="11" bestFit="1" customWidth="1"/>
  </cols>
  <sheetData>
    <row r="1" spans="2:8" s="1" customFormat="1">
      <c r="B1" s="23" t="s">
        <v>222</v>
      </c>
      <c r="C1" s="24"/>
      <c r="D1" s="24"/>
      <c r="E1" s="24"/>
    </row>
    <row r="2" spans="2:8" s="1" customFormat="1">
      <c r="B2" s="24"/>
      <c r="C2" s="24"/>
      <c r="D2" s="24"/>
      <c r="E2" s="24"/>
    </row>
    <row r="3" spans="2:8" s="1" customFormat="1">
      <c r="B3" s="24"/>
      <c r="C3" s="24"/>
      <c r="D3" s="24"/>
      <c r="E3" s="24"/>
    </row>
    <row r="5" spans="2:8">
      <c r="B5" s="2" t="s">
        <v>93</v>
      </c>
    </row>
    <row r="6" spans="2:8">
      <c r="B6" t="s">
        <v>48</v>
      </c>
      <c r="C6" t="s">
        <v>51</v>
      </c>
      <c r="D6" t="s">
        <v>97</v>
      </c>
      <c r="E6" t="s">
        <v>84</v>
      </c>
      <c r="F6" t="s">
        <v>85</v>
      </c>
      <c r="G6" t="s">
        <v>94</v>
      </c>
      <c r="H6" t="s">
        <v>87</v>
      </c>
    </row>
    <row r="7" spans="2:8">
      <c r="B7" t="s">
        <v>51</v>
      </c>
      <c r="C7">
        <v>0</v>
      </c>
      <c r="D7">
        <f>1/15</f>
        <v>6.6666666666666666E-2</v>
      </c>
      <c r="E7">
        <v>1</v>
      </c>
      <c r="F7">
        <v>2</v>
      </c>
      <c r="G7">
        <v>2</v>
      </c>
      <c r="H7">
        <v>2</v>
      </c>
    </row>
    <row r="8" spans="2:8">
      <c r="B8" t="s">
        <v>97</v>
      </c>
      <c r="C8">
        <v>10</v>
      </c>
      <c r="D8">
        <v>0</v>
      </c>
      <c r="E8">
        <v>30</v>
      </c>
      <c r="F8">
        <v>50</v>
      </c>
      <c r="G8">
        <v>50</v>
      </c>
      <c r="H8">
        <v>50</v>
      </c>
    </row>
  </sheetData>
  <mergeCells count="1">
    <mergeCell ref="B1:E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FFC000"/>
  </sheetPr>
  <dimension ref="A1:U32"/>
  <sheetViews>
    <sheetView topLeftCell="A5" zoomScaleNormal="75" zoomScaleSheetLayoutView="100" workbookViewId="0">
      <selection activeCell="H34" sqref="H34"/>
    </sheetView>
  </sheetViews>
  <sheetFormatPr baseColWidth="10" defaultColWidth="14.6640625" defaultRowHeight="17"/>
  <cols>
    <col min="1" max="1" width="2.5" customWidth="1"/>
    <col min="2" max="2" width="19.83203125" customWidth="1"/>
    <col min="3" max="3" width="20.5" customWidth="1"/>
    <col min="4" max="4" width="41.1640625" customWidth="1"/>
    <col min="5" max="5" width="16.6640625" customWidth="1"/>
    <col min="6" max="6" width="3.5" customWidth="1"/>
    <col min="16" max="16" width="16.6640625" bestFit="1" customWidth="1"/>
    <col min="17" max="17" width="2.5" customWidth="1"/>
  </cols>
  <sheetData>
    <row r="1" spans="1:21" s="1" customFormat="1">
      <c r="B1" s="23" t="s">
        <v>324</v>
      </c>
      <c r="C1" s="24"/>
      <c r="D1" s="24"/>
      <c r="E1" s="24"/>
      <c r="F1" s="24"/>
    </row>
    <row r="2" spans="1:21" s="1" customFormat="1">
      <c r="B2" s="24"/>
      <c r="C2" s="24"/>
      <c r="D2" s="24"/>
      <c r="E2" s="24"/>
      <c r="F2" s="24"/>
    </row>
    <row r="3" spans="1:21" s="1" customFormat="1">
      <c r="B3" s="24"/>
      <c r="C3" s="24"/>
      <c r="D3" s="24"/>
      <c r="E3" s="24"/>
      <c r="F3" s="24"/>
    </row>
    <row r="5" spans="1:21">
      <c r="B5" s="2" t="s">
        <v>109</v>
      </c>
      <c r="G5" s="2" t="s">
        <v>236</v>
      </c>
      <c r="R5" s="2" t="s">
        <v>120</v>
      </c>
    </row>
    <row r="6" spans="1:21">
      <c r="B6" t="s">
        <v>55</v>
      </c>
      <c r="C6" t="s">
        <v>154</v>
      </c>
      <c r="D6" t="s">
        <v>62</v>
      </c>
      <c r="E6" t="s">
        <v>371</v>
      </c>
      <c r="G6" t="s">
        <v>45</v>
      </c>
      <c r="H6" t="s">
        <v>84</v>
      </c>
      <c r="I6" t="s">
        <v>85</v>
      </c>
      <c r="J6" t="s">
        <v>122</v>
      </c>
      <c r="K6" t="s">
        <v>121</v>
      </c>
      <c r="L6" t="s">
        <v>116</v>
      </c>
      <c r="M6" t="s">
        <v>119</v>
      </c>
      <c r="N6" t="s">
        <v>330</v>
      </c>
      <c r="O6" t="s">
        <v>369</v>
      </c>
      <c r="P6" t="s">
        <v>328</v>
      </c>
      <c r="R6" t="s">
        <v>108</v>
      </c>
      <c r="S6" t="s">
        <v>331</v>
      </c>
    </row>
    <row r="7" spans="1:21" ht="18">
      <c r="A7" s="15"/>
      <c r="B7" s="13" t="s">
        <v>205</v>
      </c>
      <c r="C7" s="15" t="s">
        <v>34</v>
      </c>
      <c r="D7" t="s">
        <v>146</v>
      </c>
      <c r="E7">
        <v>0</v>
      </c>
      <c r="G7">
        <v>1</v>
      </c>
      <c r="H7">
        <f>밸런스시트[[#This Row],[획득 골드]]/INDEX(아이템가격[Normal],MATCH("Gold",아이템가격[재화],0))</f>
        <v>5</v>
      </c>
      <c r="I7">
        <f>밸런스시트[[#This Row],[획득 골드]]/INDEX(아이템가격[Rare],MATCH("Gold",아이템가격[재화],0))+1</f>
        <v>4</v>
      </c>
      <c r="J7">
        <f>IF(밸런스시트[[#This Row],[층]]=1,1,0)</f>
        <v>1</v>
      </c>
      <c r="K7">
        <f t="array" ref="K7">밸런스시트[[#This Row],[레벨당 평균 적]]*밸런스시트[[#This Row],[방 개수]]*표10[적 개체당 드랍골드]</f>
        <v>150</v>
      </c>
      <c r="L7">
        <f t="array" ref="L7">표14[적 기준 체력]+(표14[적 기준 체력]*표14[적 체력 상승량]*(밸런스시트[[#This Row],[층]]-1))</f>
        <v>100</v>
      </c>
      <c r="M7">
        <v>10</v>
      </c>
      <c r="N7">
        <v>5</v>
      </c>
      <c r="O7">
        <f t="array" ref="O7">CharacterAtkTable['#던진공 차징1 튕겨내기 DPS]</f>
        <v>84.459459459459453</v>
      </c>
      <c r="P7">
        <f>(밸런스시트[[#This Row],[레벨당 평균 적]]*밸런스시트[[#This Row],[방 개수]]*밸런스시트[[#This Row],[적 체력]])/밸런스시트[[#This Row],[PC 최대 DPS]]</f>
        <v>59.2</v>
      </c>
      <c r="R7">
        <f>1/15</f>
        <v>6.6666666666666666E-2</v>
      </c>
      <c r="S7">
        <v>3</v>
      </c>
    </row>
    <row r="8" spans="1:21" ht="18">
      <c r="A8" s="13"/>
      <c r="B8" s="13" t="s">
        <v>2</v>
      </c>
      <c r="C8" s="13" t="s">
        <v>260</v>
      </c>
      <c r="D8" t="s">
        <v>157</v>
      </c>
      <c r="E8">
        <f>50/1</f>
        <v>50</v>
      </c>
      <c r="G8">
        <v>2</v>
      </c>
      <c r="H8">
        <f>밸런스시트[[#This Row],[획득 골드]]/INDEX(아이템가격[Normal],MATCH("Gold",아이템가격[재화],0))</f>
        <v>6</v>
      </c>
      <c r="I8">
        <f>밸런스시트[[#This Row],[획득 골드]]/INDEX(아이템가격[Rare],MATCH("Gold",아이템가격[재화],0))+1</f>
        <v>4.5999999999999996</v>
      </c>
      <c r="J8">
        <f>IF(밸런스시트[[#This Row],[층]]=1,1,0)</f>
        <v>0</v>
      </c>
      <c r="K8">
        <f t="array" ref="K8">밸런스시트[[#This Row],[레벨당 평균 적]]*밸런스시트[[#This Row],[방 개수]]*표10[적 개체당 드랍골드]</f>
        <v>180</v>
      </c>
      <c r="L8">
        <f t="array" ref="L8">표14[적 기준 체력]+(표14[적 기준 체력]*표14[적 체력 상승량]*(밸런스시트[[#This Row],[층]]-1))</f>
        <v>120</v>
      </c>
      <c r="M8">
        <v>12</v>
      </c>
      <c r="N8">
        <v>5</v>
      </c>
      <c r="O8" t="e">
        <f t="array" ref="O8">#REF!</f>
        <v>#REF!</v>
      </c>
      <c r="P8" t="e">
        <f>(밸런스시트[[#This Row],[레벨당 평균 적]]*밸런스시트[[#This Row],[방 개수]]*밸런스시트[[#This Row],[적 체력]])/밸런스시트[[#This Row],[PC 최대 DPS]]</f>
        <v>#REF!</v>
      </c>
    </row>
    <row r="9" spans="1:21" ht="18">
      <c r="A9" s="13"/>
      <c r="B9" s="13" t="s">
        <v>59</v>
      </c>
      <c r="C9" s="13" t="s">
        <v>260</v>
      </c>
      <c r="D9" t="s">
        <v>159</v>
      </c>
      <c r="E9">
        <f>30/50</f>
        <v>0.6</v>
      </c>
      <c r="G9">
        <v>3</v>
      </c>
      <c r="H9">
        <f>밸런스시트[[#This Row],[획득 골드]]/INDEX(아이템가격[Normal],MATCH("Gold",아이템가격[재화],0))</f>
        <v>7</v>
      </c>
      <c r="I9">
        <f>밸런스시트[[#This Row],[획득 골드]]/INDEX(아이템가격[Rare],MATCH("Gold",아이템가격[재화],0))+1</f>
        <v>5.2</v>
      </c>
      <c r="J9">
        <f>IF(밸런스시트[[#This Row],[층]]=1,1,0)</f>
        <v>0</v>
      </c>
      <c r="K9">
        <f t="array" ref="K9">밸런스시트[[#This Row],[레벨당 평균 적]]*밸런스시트[[#This Row],[방 개수]]*표10[적 개체당 드랍골드]</f>
        <v>210</v>
      </c>
      <c r="L9">
        <f t="array" ref="L9">표14[적 기준 체력]+(표14[적 기준 체력]*표14[적 체력 상승량]*(밸런스시트[[#This Row],[층]]-1))</f>
        <v>140</v>
      </c>
      <c r="M9">
        <v>14</v>
      </c>
      <c r="N9">
        <v>5</v>
      </c>
      <c r="O9" t="e">
        <f t="array" ref="O9">#REF!</f>
        <v>#REF!</v>
      </c>
      <c r="P9" t="e">
        <f>(밸런스시트[[#This Row],[레벨당 평균 적]]*밸런스시트[[#This Row],[방 개수]]*밸런스시트[[#This Row],[적 체력]])/밸런스시트[[#This Row],[PC 최대 DPS]]</f>
        <v>#REF!</v>
      </c>
      <c r="R9" s="2" t="s">
        <v>291</v>
      </c>
      <c r="S9" s="2"/>
      <c r="T9" s="2"/>
    </row>
    <row r="10" spans="1:21" ht="18">
      <c r="A10" s="13"/>
      <c r="B10" s="13" t="s">
        <v>215</v>
      </c>
      <c r="C10" s="13" t="s">
        <v>260</v>
      </c>
      <c r="D10" t="s">
        <v>366</v>
      </c>
      <c r="E10">
        <f>50/3</f>
        <v>16.666666666666668</v>
      </c>
      <c r="G10">
        <v>4</v>
      </c>
      <c r="H10">
        <f>밸런스시트[[#This Row],[획득 골드]]/INDEX(아이템가격[Normal],MATCH("Gold",아이템가격[재화],0))</f>
        <v>8</v>
      </c>
      <c r="I10">
        <f>밸런스시트[[#This Row],[획득 골드]]/INDEX(아이템가격[Rare],MATCH("Gold",아이템가격[재화],0))+1</f>
        <v>5.8</v>
      </c>
      <c r="J10">
        <f>IF(밸런스시트[[#This Row],[층]]=1,1,0)</f>
        <v>0</v>
      </c>
      <c r="K10">
        <f t="array" ref="K10">밸런스시트[[#This Row],[레벨당 평균 적]]*밸런스시트[[#This Row],[방 개수]]*표10[적 개체당 드랍골드]</f>
        <v>240</v>
      </c>
      <c r="L10">
        <f t="array" ref="L10">표14[적 기준 체력]+(표14[적 기준 체력]*표14[적 체력 상승량]*(밸런스시트[[#This Row],[층]]-1))</f>
        <v>160</v>
      </c>
      <c r="M10">
        <v>16</v>
      </c>
      <c r="N10">
        <v>5</v>
      </c>
      <c r="O10" t="e">
        <f t="array" ref="O10">#REF!</f>
        <v>#REF!</v>
      </c>
      <c r="P10" t="e">
        <f>(밸런스시트[[#This Row],[레벨당 평균 적]]*밸런스시트[[#This Row],[방 개수]]*밸런스시트[[#This Row],[적 체력]])/밸런스시트[[#This Row],[PC 최대 DPS]]</f>
        <v>#REF!</v>
      </c>
      <c r="R10" t="s">
        <v>84</v>
      </c>
      <c r="S10" t="s">
        <v>85</v>
      </c>
      <c r="T10" t="s">
        <v>94</v>
      </c>
      <c r="U10" t="s">
        <v>87</v>
      </c>
    </row>
    <row r="11" spans="1:21" ht="18">
      <c r="A11" s="13"/>
      <c r="B11" s="13" t="s">
        <v>310</v>
      </c>
      <c r="C11" s="13" t="s">
        <v>260</v>
      </c>
      <c r="D11" t="s">
        <v>152</v>
      </c>
      <c r="E11">
        <v>100</v>
      </c>
      <c r="G11">
        <v>5</v>
      </c>
      <c r="H11">
        <f>밸런스시트[[#This Row],[획득 골드]]/INDEX(아이템가격[Normal],MATCH("Gold",아이템가격[재화],0))</f>
        <v>9</v>
      </c>
      <c r="I11">
        <f>밸런스시트[[#This Row],[획득 골드]]/INDEX(아이템가격[Rare],MATCH("Gold",아이템가격[재화],0))+1</f>
        <v>6.4</v>
      </c>
      <c r="J11">
        <f>IF(밸런스시트[[#This Row],[층]]=1,1,0)</f>
        <v>0</v>
      </c>
      <c r="K11">
        <f t="array" ref="K11">밸런스시트[[#This Row],[레벨당 평균 적]]*밸런스시트[[#This Row],[방 개수]]*표10[적 개체당 드랍골드]</f>
        <v>270</v>
      </c>
      <c r="L11">
        <f t="array" ref="L11">표14[적 기준 체력]+(표14[적 기준 체력]*표14[적 체력 상승량]*(밸런스시트[[#This Row],[층]]-1))</f>
        <v>180</v>
      </c>
      <c r="M11">
        <v>18</v>
      </c>
      <c r="N11">
        <v>5</v>
      </c>
      <c r="O11" t="e">
        <f t="array" ref="O11">#REF!</f>
        <v>#REF!</v>
      </c>
      <c r="P11" t="e">
        <f>(밸런스시트[[#This Row],[레벨당 평균 적]]*밸런스시트[[#This Row],[방 개수]]*밸런스시트[[#This Row],[적 체력]])/밸런스시트[[#This Row],[PC 최대 DPS]]</f>
        <v>#REF!</v>
      </c>
      <c r="R11">
        <v>30</v>
      </c>
      <c r="S11">
        <v>50</v>
      </c>
      <c r="T11">
        <v>50</v>
      </c>
      <c r="U11">
        <v>30</v>
      </c>
    </row>
    <row r="12" spans="1:21" ht="18">
      <c r="A12" s="13"/>
      <c r="B12" s="13" t="s">
        <v>189</v>
      </c>
      <c r="C12" s="13" t="s">
        <v>245</v>
      </c>
      <c r="D12" t="s">
        <v>158</v>
      </c>
      <c r="E12">
        <f>20/0.2</f>
        <v>100</v>
      </c>
      <c r="G12">
        <v>6</v>
      </c>
      <c r="H12">
        <f>밸런스시트[[#This Row],[획득 골드]]/INDEX(아이템가격[Normal],MATCH("Gold",아이템가격[재화],0))</f>
        <v>10</v>
      </c>
      <c r="I12">
        <f>밸런스시트[[#This Row],[획득 골드]]/INDEX(아이템가격[Rare],MATCH("Gold",아이템가격[재화],0))+1</f>
        <v>7</v>
      </c>
      <c r="J12">
        <f>IF(밸런스시트[[#This Row],[층]]=1,1,0)</f>
        <v>0</v>
      </c>
      <c r="K12">
        <f t="array" ref="K12">밸런스시트[[#This Row],[레벨당 평균 적]]*밸런스시트[[#This Row],[방 개수]]*표10[적 개체당 드랍골드]</f>
        <v>300</v>
      </c>
      <c r="L12">
        <f t="array" ref="L12">표14[적 기준 체력]+(표14[적 기준 체력]*표14[적 체력 상승량]*(밸런스시트[[#This Row],[층]]-1))</f>
        <v>200</v>
      </c>
      <c r="M12">
        <v>20</v>
      </c>
      <c r="N12">
        <v>5</v>
      </c>
      <c r="O12" t="e">
        <f t="array" ref="O12">#REF!</f>
        <v>#REF!</v>
      </c>
      <c r="P12" t="e">
        <f>(밸런스시트[[#This Row],[레벨당 평균 적]]*밸런스시트[[#This Row],[방 개수]]*밸런스시트[[#This Row],[적 체력]])/밸런스시트[[#This Row],[PC 최대 DPS]]</f>
        <v>#REF!</v>
      </c>
    </row>
    <row r="13" spans="1:21" ht="18">
      <c r="A13" s="13"/>
      <c r="B13" s="13" t="s">
        <v>355</v>
      </c>
      <c r="C13" s="13" t="s">
        <v>22</v>
      </c>
      <c r="D13" t="s">
        <v>33</v>
      </c>
      <c r="E13">
        <f>30/0.46</f>
        <v>65.217391304347828</v>
      </c>
      <c r="R13" s="2" t="s">
        <v>115</v>
      </c>
    </row>
    <row r="14" spans="1:21" ht="18">
      <c r="A14" s="13"/>
      <c r="B14" s="13" t="s">
        <v>17</v>
      </c>
      <c r="C14" s="13" t="s">
        <v>22</v>
      </c>
      <c r="D14" t="s">
        <v>35</v>
      </c>
      <c r="E14">
        <f>50/360</f>
        <v>0.1388888888888889</v>
      </c>
      <c r="R14" t="s">
        <v>117</v>
      </c>
      <c r="S14" t="s">
        <v>322</v>
      </c>
    </row>
    <row r="15" spans="1:21" ht="18">
      <c r="A15" s="13"/>
      <c r="B15" s="13" t="s">
        <v>239</v>
      </c>
      <c r="C15" s="13" t="s">
        <v>22</v>
      </c>
      <c r="D15" t="s">
        <v>253</v>
      </c>
      <c r="E15">
        <f>30/-0.45</f>
        <v>-66.666666666666671</v>
      </c>
      <c r="J15">
        <f>1.5-(1.5*0.75)</f>
        <v>0.375</v>
      </c>
      <c r="R15">
        <v>100</v>
      </c>
      <c r="S15">
        <v>0.2</v>
      </c>
    </row>
    <row r="16" spans="1:21" ht="18">
      <c r="A16" s="13"/>
      <c r="B16" s="13" t="s">
        <v>207</v>
      </c>
      <c r="C16" s="13" t="s">
        <v>22</v>
      </c>
      <c r="D16" t="s">
        <v>265</v>
      </c>
      <c r="E16" s="12">
        <v>40</v>
      </c>
    </row>
    <row r="17" spans="1:5" ht="18">
      <c r="A17" s="13"/>
      <c r="B17" s="13" t="s">
        <v>356</v>
      </c>
      <c r="C17" s="13" t="s">
        <v>22</v>
      </c>
      <c r="D17" t="s">
        <v>147</v>
      </c>
      <c r="E17">
        <f>50/0.3</f>
        <v>166.66666666666669</v>
      </c>
    </row>
    <row r="18" spans="1:5" ht="18">
      <c r="A18" s="13"/>
      <c r="B18" s="13" t="s">
        <v>400</v>
      </c>
      <c r="C18" s="13" t="s">
        <v>22</v>
      </c>
      <c r="D18" t="s">
        <v>368</v>
      </c>
      <c r="E18" s="14">
        <f>30/-0.2</f>
        <v>-150</v>
      </c>
    </row>
    <row r="19" spans="1:5" ht="18">
      <c r="A19" s="13"/>
      <c r="B19" s="13" t="s">
        <v>229</v>
      </c>
      <c r="C19" s="13" t="s">
        <v>22</v>
      </c>
      <c r="D19" t="s">
        <v>252</v>
      </c>
      <c r="E19">
        <f>50/100</f>
        <v>0.5</v>
      </c>
    </row>
    <row r="20" spans="1:5" ht="18">
      <c r="A20" s="13"/>
      <c r="B20" s="13" t="s">
        <v>262</v>
      </c>
      <c r="C20" s="13" t="s">
        <v>22</v>
      </c>
      <c r="D20" t="s">
        <v>255</v>
      </c>
      <c r="E20">
        <f>50/100</f>
        <v>0.5</v>
      </c>
    </row>
    <row r="21" spans="1:5" ht="18">
      <c r="A21" s="13"/>
      <c r="B21" s="13" t="s">
        <v>24</v>
      </c>
      <c r="C21" s="13" t="s">
        <v>22</v>
      </c>
      <c r="D21" t="s">
        <v>280</v>
      </c>
      <c r="E21">
        <f>30/1/2</f>
        <v>15</v>
      </c>
    </row>
    <row r="22" spans="1:5" ht="18">
      <c r="A22" s="13"/>
      <c r="B22" s="13" t="s">
        <v>30</v>
      </c>
      <c r="C22" s="13" t="s">
        <v>22</v>
      </c>
      <c r="D22" t="s">
        <v>272</v>
      </c>
      <c r="E22">
        <f>30/1/2</f>
        <v>15</v>
      </c>
    </row>
    <row r="23" spans="1:5" ht="18">
      <c r="A23" s="13"/>
      <c r="B23" s="13" t="s">
        <v>243</v>
      </c>
      <c r="C23" s="13" t="s">
        <v>22</v>
      </c>
      <c r="D23" t="s">
        <v>364</v>
      </c>
      <c r="E23">
        <f>50/25</f>
        <v>2</v>
      </c>
    </row>
    <row r="24" spans="1:5" ht="18">
      <c r="A24" s="13"/>
      <c r="B24" s="13" t="s">
        <v>251</v>
      </c>
      <c r="C24" s="13" t="s">
        <v>22</v>
      </c>
      <c r="D24" t="s">
        <v>365</v>
      </c>
      <c r="E24">
        <f>50/25</f>
        <v>2</v>
      </c>
    </row>
    <row r="25" spans="1:5" ht="18">
      <c r="A25" s="13"/>
      <c r="B25" s="13" t="s">
        <v>271</v>
      </c>
      <c r="C25" s="13" t="s">
        <v>22</v>
      </c>
      <c r="D25" t="s">
        <v>405</v>
      </c>
      <c r="E25">
        <v>2</v>
      </c>
    </row>
    <row r="26" spans="1:5" ht="18">
      <c r="A26" s="13"/>
      <c r="B26" s="13" t="s">
        <v>294</v>
      </c>
      <c r="C26" s="13" t="s">
        <v>22</v>
      </c>
      <c r="D26" t="s">
        <v>406</v>
      </c>
      <c r="E26">
        <v>2</v>
      </c>
    </row>
    <row r="27" spans="1:5" ht="18">
      <c r="A27" s="13"/>
      <c r="B27" s="13" t="s">
        <v>213</v>
      </c>
      <c r="C27" s="13" t="s">
        <v>61</v>
      </c>
      <c r="D27" s="13" t="s">
        <v>25</v>
      </c>
      <c r="E27">
        <v>-50</v>
      </c>
    </row>
    <row r="28" spans="1:5" ht="18">
      <c r="A28" s="13"/>
      <c r="B28" s="13" t="s">
        <v>155</v>
      </c>
      <c r="C28" s="13" t="s">
        <v>61</v>
      </c>
      <c r="D28" s="13" t="s">
        <v>23</v>
      </c>
      <c r="E28">
        <v>-30</v>
      </c>
    </row>
    <row r="29" spans="1:5" ht="18">
      <c r="A29" s="13"/>
      <c r="B29" s="13" t="s">
        <v>311</v>
      </c>
      <c r="C29" s="13" t="s">
        <v>61</v>
      </c>
      <c r="D29" s="13" t="s">
        <v>21</v>
      </c>
      <c r="E29">
        <v>50</v>
      </c>
    </row>
    <row r="30" spans="1:5" ht="18">
      <c r="A30" s="13"/>
      <c r="B30" s="13" t="s">
        <v>53</v>
      </c>
      <c r="C30" s="13" t="s">
        <v>61</v>
      </c>
      <c r="D30" s="13" t="s">
        <v>443</v>
      </c>
      <c r="E30">
        <v>50</v>
      </c>
    </row>
    <row r="31" spans="1:5" ht="18">
      <c r="A31" s="13"/>
      <c r="B31" s="13" t="s">
        <v>307</v>
      </c>
      <c r="C31" s="13" t="s">
        <v>61</v>
      </c>
      <c r="D31" s="13" t="s">
        <v>200</v>
      </c>
      <c r="E31">
        <v>50</v>
      </c>
    </row>
    <row r="32" spans="1:5" ht="18">
      <c r="A32" s="13"/>
      <c r="B32" s="13" t="s">
        <v>212</v>
      </c>
      <c r="C32" s="13" t="s">
        <v>61</v>
      </c>
      <c r="D32" s="13" t="s">
        <v>246</v>
      </c>
      <c r="E32">
        <v>50</v>
      </c>
    </row>
  </sheetData>
  <mergeCells count="1">
    <mergeCell ref="B1:F3"/>
  </mergeCells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legacyDrawing r:id="rId1"/>
  <tableParts count="5">
    <tablePart r:id="rId2"/>
    <tablePart r:id="rId3"/>
    <tablePart r:id="rId4"/>
    <tablePart r:id="rId5"/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C000"/>
  </sheetPr>
  <dimension ref="A1:D10"/>
  <sheetViews>
    <sheetView zoomScaleNormal="75" zoomScaleSheetLayoutView="100" workbookViewId="0">
      <selection activeCell="C13" sqref="C13"/>
    </sheetView>
  </sheetViews>
  <sheetFormatPr baseColWidth="10" defaultColWidth="8.83203125" defaultRowHeight="17"/>
  <cols>
    <col min="1" max="1" width="8.6640625" bestFit="1" customWidth="1"/>
    <col min="2" max="2" width="30.1640625" bestFit="1" customWidth="1"/>
    <col min="4" max="4" width="73.6640625" customWidth="1"/>
  </cols>
  <sheetData>
    <row r="1" spans="1:4">
      <c r="A1" t="s">
        <v>103</v>
      </c>
      <c r="B1" t="s">
        <v>52</v>
      </c>
      <c r="C1" t="s">
        <v>104</v>
      </c>
      <c r="D1" t="s">
        <v>52</v>
      </c>
    </row>
    <row r="2" spans="1:4">
      <c r="A2" t="s">
        <v>79</v>
      </c>
      <c r="B2" s="6" t="s">
        <v>123</v>
      </c>
      <c r="C2" t="s">
        <v>75</v>
      </c>
      <c r="D2" s="6" t="s">
        <v>46</v>
      </c>
    </row>
    <row r="3" spans="1:4">
      <c r="A3">
        <v>1</v>
      </c>
      <c r="B3" s="4" t="s">
        <v>202</v>
      </c>
      <c r="C3">
        <v>5</v>
      </c>
      <c r="D3" s="4" t="s">
        <v>226</v>
      </c>
    </row>
    <row r="4" spans="1:4">
      <c r="A4">
        <v>2</v>
      </c>
      <c r="B4" s="4" t="s">
        <v>269</v>
      </c>
      <c r="C4">
        <v>5</v>
      </c>
      <c r="D4" s="4" t="s">
        <v>201</v>
      </c>
    </row>
    <row r="5" spans="1:4">
      <c r="A5">
        <v>3</v>
      </c>
      <c r="B5" s="4" t="s">
        <v>295</v>
      </c>
      <c r="C5">
        <v>20</v>
      </c>
      <c r="D5" s="4" t="s">
        <v>8</v>
      </c>
    </row>
    <row r="6" spans="1:4">
      <c r="A6">
        <v>4</v>
      </c>
      <c r="B6" s="4" t="s">
        <v>297</v>
      </c>
      <c r="C6">
        <v>0.5</v>
      </c>
      <c r="D6" s="4" t="s">
        <v>217</v>
      </c>
    </row>
    <row r="7" spans="1:4">
      <c r="A7">
        <v>5</v>
      </c>
      <c r="B7" s="4" t="s">
        <v>359</v>
      </c>
      <c r="C7">
        <v>50</v>
      </c>
      <c r="D7" s="4" t="s">
        <v>441</v>
      </c>
    </row>
    <row r="8" spans="1:4">
      <c r="A8">
        <v>6</v>
      </c>
      <c r="B8" s="4" t="s">
        <v>363</v>
      </c>
      <c r="C8">
        <v>1</v>
      </c>
      <c r="D8" s="4" t="s">
        <v>190</v>
      </c>
    </row>
    <row r="9" spans="1:4">
      <c r="A9">
        <v>7</v>
      </c>
      <c r="B9" s="4" t="s">
        <v>438</v>
      </c>
      <c r="C9">
        <v>10</v>
      </c>
      <c r="D9" s="4" t="s">
        <v>435</v>
      </c>
    </row>
    <row r="10" spans="1:4">
      <c r="A10">
        <v>8</v>
      </c>
      <c r="B10" s="4" t="s">
        <v>27</v>
      </c>
      <c r="C10">
        <v>5</v>
      </c>
      <c r="D10" s="4" t="s">
        <v>186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FBE5D7"/>
  </sheetPr>
  <dimension ref="B1:P3"/>
  <sheetViews>
    <sheetView topLeftCell="D1" zoomScaleNormal="75" zoomScaleSheetLayoutView="100" workbookViewId="0">
      <selection activeCell="D3" sqref="D3"/>
    </sheetView>
  </sheetViews>
  <sheetFormatPr baseColWidth="10" defaultColWidth="8.83203125" defaultRowHeight="17"/>
  <cols>
    <col min="2" max="2" width="8.6640625" bestFit="1" customWidth="1"/>
    <col min="3" max="3" width="8.6640625" customWidth="1"/>
    <col min="4" max="4" width="10.1640625" bestFit="1" customWidth="1"/>
    <col min="5" max="5" width="15.83203125" bestFit="1" customWidth="1"/>
    <col min="6" max="6" width="17" bestFit="1" customWidth="1"/>
    <col min="7" max="7" width="23.83203125" bestFit="1" customWidth="1"/>
    <col min="8" max="8" width="22.83203125" bestFit="1" customWidth="1"/>
    <col min="9" max="9" width="19" bestFit="1" customWidth="1"/>
    <col min="10" max="10" width="23.33203125" bestFit="1" customWidth="1"/>
    <col min="11" max="12" width="23.33203125" customWidth="1"/>
    <col min="13" max="13" width="15.1640625" bestFit="1" customWidth="1"/>
    <col min="14" max="14" width="15.6640625" bestFit="1" customWidth="1"/>
    <col min="15" max="15" width="11.83203125" bestFit="1" customWidth="1"/>
    <col min="16" max="16" width="20.1640625" bestFit="1" customWidth="1"/>
  </cols>
  <sheetData>
    <row r="1" spans="2:16">
      <c r="B1" t="s">
        <v>49</v>
      </c>
      <c r="C1" t="s">
        <v>52</v>
      </c>
      <c r="D1" t="s">
        <v>49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  <c r="J1" t="s">
        <v>104</v>
      </c>
      <c r="K1" t="s">
        <v>170</v>
      </c>
      <c r="L1" t="s">
        <v>170</v>
      </c>
      <c r="M1" t="s">
        <v>49</v>
      </c>
      <c r="N1" t="s">
        <v>49</v>
      </c>
      <c r="O1" t="s">
        <v>49</v>
      </c>
      <c r="P1" t="s">
        <v>49</v>
      </c>
    </row>
    <row r="2" spans="2:16">
      <c r="B2" t="s">
        <v>79</v>
      </c>
      <c r="C2" s="6" t="s">
        <v>46</v>
      </c>
      <c r="D2" t="s">
        <v>167</v>
      </c>
      <c r="E2" t="s">
        <v>320</v>
      </c>
      <c r="F2" t="s">
        <v>2</v>
      </c>
      <c r="G2" t="s">
        <v>29</v>
      </c>
      <c r="H2" t="s">
        <v>14</v>
      </c>
      <c r="I2" t="s">
        <v>218</v>
      </c>
      <c r="J2" t="s">
        <v>12</v>
      </c>
      <c r="K2" t="s">
        <v>28</v>
      </c>
      <c r="L2" t="s">
        <v>249</v>
      </c>
      <c r="M2" t="s">
        <v>316</v>
      </c>
      <c r="N2" t="s">
        <v>215</v>
      </c>
      <c r="O2" t="s">
        <v>310</v>
      </c>
      <c r="P2" t="s">
        <v>18</v>
      </c>
    </row>
    <row r="3" spans="2:16">
      <c r="B3">
        <v>100</v>
      </c>
      <c r="C3" s="4" t="s">
        <v>41</v>
      </c>
      <c r="D3">
        <v>75</v>
      </c>
      <c r="E3">
        <v>5</v>
      </c>
      <c r="F3">
        <v>6</v>
      </c>
      <c r="G3">
        <v>5</v>
      </c>
      <c r="H3">
        <v>1.5</v>
      </c>
      <c r="I3">
        <v>1</v>
      </c>
      <c r="J3">
        <v>0.3</v>
      </c>
      <c r="K3">
        <v>0.3</v>
      </c>
      <c r="L3">
        <v>12</v>
      </c>
      <c r="M3">
        <v>10</v>
      </c>
      <c r="N3">
        <v>0</v>
      </c>
      <c r="O3">
        <v>1</v>
      </c>
      <c r="P3">
        <v>200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>
    <tabColor rgb="FFFBE5D7"/>
  </sheetPr>
  <dimension ref="B1:AE3"/>
  <sheetViews>
    <sheetView topLeftCell="Q1" zoomScaleNormal="75" zoomScaleSheetLayoutView="100" workbookViewId="0">
      <selection activeCell="X11" sqref="X11"/>
    </sheetView>
  </sheetViews>
  <sheetFormatPr baseColWidth="10" defaultColWidth="8.83203125" defaultRowHeight="17"/>
  <cols>
    <col min="2" max="2" width="8.6640625" bestFit="1" customWidth="1"/>
    <col min="3" max="3" width="16" bestFit="1" customWidth="1"/>
    <col min="4" max="4" width="18.83203125" bestFit="1" customWidth="1"/>
    <col min="5" max="5" width="19.6640625" bestFit="1" customWidth="1"/>
    <col min="6" max="6" width="12.6640625" bestFit="1" customWidth="1"/>
    <col min="7" max="7" width="22.1640625" bestFit="1" customWidth="1"/>
    <col min="8" max="8" width="18.5" bestFit="1" customWidth="1"/>
    <col min="9" max="9" width="19.1640625" bestFit="1" customWidth="1"/>
    <col min="10" max="10" width="12.33203125" bestFit="1" customWidth="1"/>
    <col min="11" max="11" width="21.33203125" bestFit="1" customWidth="1"/>
    <col min="12" max="12" width="16.83203125" bestFit="1" customWidth="1"/>
    <col min="13" max="13" width="19" bestFit="1" customWidth="1"/>
    <col min="14" max="15" width="20.1640625" bestFit="1" customWidth="1"/>
    <col min="16" max="17" width="25.1640625" bestFit="1" customWidth="1"/>
    <col min="18" max="18" width="25.1640625" customWidth="1"/>
    <col min="19" max="20" width="20.6640625" bestFit="1" customWidth="1"/>
    <col min="21" max="22" width="24.6640625" bestFit="1" customWidth="1"/>
    <col min="23" max="23" width="14.1640625" bestFit="1" customWidth="1"/>
    <col min="24" max="24" width="28.83203125" bestFit="1" customWidth="1"/>
    <col min="25" max="25" width="17" customWidth="1"/>
    <col min="26" max="26" width="26.6640625" bestFit="1" customWidth="1"/>
    <col min="27" max="27" width="25" bestFit="1" customWidth="1"/>
    <col min="28" max="29" width="26.1640625" bestFit="1" customWidth="1"/>
    <col min="30" max="30" width="26" bestFit="1" customWidth="1"/>
    <col min="31" max="31" width="27.1640625" bestFit="1" customWidth="1"/>
  </cols>
  <sheetData>
    <row r="1" spans="2:31">
      <c r="B1" t="s">
        <v>49</v>
      </c>
      <c r="C1" t="s">
        <v>52</v>
      </c>
      <c r="D1" t="s">
        <v>104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  <c r="J1" t="s">
        <v>104</v>
      </c>
      <c r="K1" t="s">
        <v>49</v>
      </c>
      <c r="L1" t="s">
        <v>104</v>
      </c>
      <c r="M1" t="s">
        <v>49</v>
      </c>
      <c r="N1" t="s">
        <v>49</v>
      </c>
      <c r="O1" t="s">
        <v>49</v>
      </c>
      <c r="P1" t="s">
        <v>49</v>
      </c>
      <c r="Q1" t="s">
        <v>49</v>
      </c>
      <c r="R1" t="s">
        <v>49</v>
      </c>
      <c r="S1" t="s">
        <v>49</v>
      </c>
      <c r="T1" t="s">
        <v>49</v>
      </c>
      <c r="U1" t="s">
        <v>49</v>
      </c>
      <c r="V1" t="s">
        <v>49</v>
      </c>
      <c r="W1" t="s">
        <v>49</v>
      </c>
      <c r="AD1" s="12" t="s">
        <v>187</v>
      </c>
    </row>
    <row r="2" spans="2:31">
      <c r="B2" t="s">
        <v>79</v>
      </c>
      <c r="C2" s="6" t="s">
        <v>46</v>
      </c>
      <c r="D2" s="8" t="s">
        <v>223</v>
      </c>
      <c r="E2" s="7" t="s">
        <v>230</v>
      </c>
      <c r="F2" s="7" t="s">
        <v>358</v>
      </c>
      <c r="G2" s="8" t="s">
        <v>20</v>
      </c>
      <c r="H2" s="9" t="s">
        <v>239</v>
      </c>
      <c r="I2" s="9" t="s">
        <v>242</v>
      </c>
      <c r="J2" s="9" t="s">
        <v>355</v>
      </c>
      <c r="K2" s="9" t="s">
        <v>17</v>
      </c>
      <c r="L2" s="9" t="s">
        <v>400</v>
      </c>
      <c r="M2" s="9" t="s">
        <v>207</v>
      </c>
      <c r="N2" s="9" t="s">
        <v>229</v>
      </c>
      <c r="O2" s="9" t="s">
        <v>262</v>
      </c>
      <c r="P2" s="9" t="s">
        <v>24</v>
      </c>
      <c r="Q2" s="9" t="s">
        <v>30</v>
      </c>
      <c r="R2" s="9" t="s">
        <v>31</v>
      </c>
      <c r="S2" s="10" t="s">
        <v>243</v>
      </c>
      <c r="T2" s="10" t="s">
        <v>251</v>
      </c>
      <c r="U2" s="10" t="s">
        <v>271</v>
      </c>
      <c r="V2" s="10" t="s">
        <v>294</v>
      </c>
      <c r="W2" s="1" t="s">
        <v>356</v>
      </c>
      <c r="X2" s="1" t="s">
        <v>446</v>
      </c>
      <c r="Y2" s="6" t="s">
        <v>372</v>
      </c>
      <c r="Z2" s="6" t="s">
        <v>244</v>
      </c>
      <c r="AA2" s="6" t="s">
        <v>268</v>
      </c>
      <c r="AB2" s="6" t="s">
        <v>247</v>
      </c>
      <c r="AC2" s="6" t="s">
        <v>267</v>
      </c>
      <c r="AD2" s="6" t="s">
        <v>259</v>
      </c>
      <c r="AE2" s="6" t="s">
        <v>26</v>
      </c>
    </row>
    <row r="3" spans="2:31">
      <c r="B3">
        <v>200</v>
      </c>
      <c r="C3" s="4" t="s">
        <v>329</v>
      </c>
      <c r="D3">
        <v>1</v>
      </c>
      <c r="E3">
        <v>1.2</v>
      </c>
      <c r="F3">
        <v>3</v>
      </c>
      <c r="G3">
        <v>2</v>
      </c>
      <c r="H3">
        <v>1.5</v>
      </c>
      <c r="I3">
        <v>0.5</v>
      </c>
      <c r="J3">
        <v>2.2999999999999998</v>
      </c>
      <c r="K3">
        <v>120</v>
      </c>
      <c r="L3">
        <v>1</v>
      </c>
      <c r="M3">
        <v>0</v>
      </c>
      <c r="N3">
        <v>20</v>
      </c>
      <c r="O3">
        <v>25</v>
      </c>
      <c r="P3">
        <v>1</v>
      </c>
      <c r="Q3">
        <v>3</v>
      </c>
      <c r="R3">
        <v>0</v>
      </c>
      <c r="S3">
        <v>15</v>
      </c>
      <c r="T3">
        <v>30</v>
      </c>
      <c r="U3">
        <v>50</v>
      </c>
      <c r="V3">
        <v>100</v>
      </c>
      <c r="W3">
        <v>1</v>
      </c>
      <c r="X3">
        <v>7</v>
      </c>
      <c r="Y3">
        <f>INDEX(ProjectileTable[DirectDmg],MATCH(CharacterTable[[#This Row],[DefaultBallDataId]],ProjectileTable[Index],0))/(CharacterAtkTable[[#This Row],[ThrowCooldown]]*(1+(CharacterAtkTable[[#This Row],[ThrowBounceCount]]/2)))</f>
        <v>12.5</v>
      </c>
      <c r="Z3">
        <f>CharacterAtkTable[[#This Row],[ChargeRigidDmg1]]/CharacterAtkTable[[#This Row],[SwingCooldown]]</f>
        <v>10</v>
      </c>
      <c r="AA3">
        <f>CharacterAtkTable[[#This Row],[ChargeRigidDmg2]]/(CharacterAtkTable[[#This Row],[SwingCooldown]]+CharacterAtkTable[[#This Row],[ChargeTime]])</f>
        <v>12</v>
      </c>
      <c r="AB3" t="e">
        <f>#REF!/(CharacterAtkTable[[#This Row],[SwingCooldown]]+#REF!)</f>
        <v>#REF!</v>
      </c>
      <c r="AC3" t="e">
        <f>#REF!/(CharacterAtkTable[[#This Row],[SwingCooldown]]+#REF!)</f>
        <v>#REF!</v>
      </c>
      <c r="AD3">
        <f>(INDEX(ProjectileTable[DirectDmg],MATCH(CharacterTable[[#This Row],[DefaultBallDataId]],ProjectileTable[Index],0))+CharacterAtkTable[[#This Row],[ChargeProjectileDmg1]])/(CharacterAtkTable[[#This Row],[SwingCooldown]])+CharacterAtkTable[[#This Row],[ThrowAfterDelay]]*(1+(CharacterAtkTable[[#This Row],[ChargeBounceCount1]]/2))</f>
        <v>51.8</v>
      </c>
      <c r="AE3">
        <f>(INDEX(ProjectileTable[DirectDmg],MATCH(CharacterTable[[#This Row],[DefaultBallDataId]],ProjectileTable[Index],0))+CharacterAtkTable[[#This Row],[ChargeProjectileDmg2]])/(CharacterAtkTable[[#This Row],[SwingCooldown]]+CharacterAtkTable[[#This Row],[ChargeTime]]+CharacterAtkTable[[#This Row],[ThrowAfterDelay]])*(1+(CharacterAtkTable[[#This Row],[ChargeBounceCount2]]/2))</f>
        <v>84.459459459459453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>
    <tabColor rgb="FFFFF2CC"/>
  </sheetPr>
  <dimension ref="A1:S4"/>
  <sheetViews>
    <sheetView zoomScaleNormal="75" zoomScaleSheetLayoutView="100" workbookViewId="0">
      <selection activeCell="A12" sqref="A12"/>
    </sheetView>
  </sheetViews>
  <sheetFormatPr baseColWidth="10" defaultColWidth="8.83203125" defaultRowHeight="17"/>
  <cols>
    <col min="2" max="2" width="8.5" bestFit="1" customWidth="1"/>
    <col min="3" max="3" width="12.83203125" bestFit="1" customWidth="1"/>
    <col min="4" max="4" width="18.1640625" bestFit="1" customWidth="1"/>
    <col min="5" max="5" width="16.83203125" bestFit="1" customWidth="1"/>
    <col min="6" max="6" width="15.1640625" bestFit="1" customWidth="1"/>
    <col min="7" max="7" width="23.5" bestFit="1" customWidth="1"/>
    <col min="8" max="8" width="14.1640625" bestFit="1" customWidth="1"/>
    <col min="9" max="9" width="17.33203125" bestFit="1" customWidth="1"/>
    <col min="10" max="10" width="19" bestFit="1" customWidth="1"/>
    <col min="11" max="11" width="14.1640625" bestFit="1" customWidth="1"/>
    <col min="12" max="12" width="16.1640625" bestFit="1" customWidth="1"/>
    <col min="13" max="13" width="17.6640625" bestFit="1" customWidth="1"/>
    <col min="14" max="14" width="15.6640625" bestFit="1" customWidth="1"/>
    <col min="15" max="15" width="17.1640625" bestFit="1" customWidth="1"/>
    <col min="16" max="17" width="17.83203125" bestFit="1" customWidth="1"/>
    <col min="18" max="18" width="15.6640625" bestFit="1" customWidth="1"/>
    <col min="19" max="19" width="17.1640625" bestFit="1" customWidth="1"/>
  </cols>
  <sheetData>
    <row r="1" spans="1:19">
      <c r="B1" t="s">
        <v>49</v>
      </c>
      <c r="C1" t="s">
        <v>52</v>
      </c>
      <c r="D1" t="s">
        <v>49</v>
      </c>
      <c r="E1" t="s">
        <v>104</v>
      </c>
      <c r="F1" t="s">
        <v>104</v>
      </c>
      <c r="G1" t="s">
        <v>104</v>
      </c>
      <c r="H1" t="s">
        <v>49</v>
      </c>
      <c r="I1" t="s">
        <v>49</v>
      </c>
      <c r="J1" t="s">
        <v>49</v>
      </c>
      <c r="K1" t="s">
        <v>49</v>
      </c>
      <c r="L1" t="s">
        <v>49</v>
      </c>
      <c r="M1" t="s">
        <v>49</v>
      </c>
      <c r="N1" t="s">
        <v>52</v>
      </c>
      <c r="O1" t="s">
        <v>52</v>
      </c>
      <c r="P1" t="s">
        <v>52</v>
      </c>
      <c r="Q1" t="s">
        <v>52</v>
      </c>
      <c r="R1" t="s">
        <v>52</v>
      </c>
      <c r="S1" t="s">
        <v>52</v>
      </c>
    </row>
    <row r="2" spans="1:19">
      <c r="B2" t="s">
        <v>79</v>
      </c>
      <c r="C2" s="6" t="s">
        <v>64</v>
      </c>
      <c r="D2" t="s">
        <v>235</v>
      </c>
      <c r="E2" t="s">
        <v>225</v>
      </c>
      <c r="F2" t="s">
        <v>321</v>
      </c>
      <c r="G2" t="s">
        <v>15</v>
      </c>
      <c r="H2" t="s">
        <v>344</v>
      </c>
      <c r="I2" t="s">
        <v>233</v>
      </c>
      <c r="J2" t="s">
        <v>231</v>
      </c>
      <c r="K2" t="s">
        <v>325</v>
      </c>
      <c r="L2" t="s">
        <v>227</v>
      </c>
      <c r="M2" t="s">
        <v>234</v>
      </c>
      <c r="N2" s="6" t="s">
        <v>140</v>
      </c>
      <c r="O2" s="6" t="s">
        <v>148</v>
      </c>
      <c r="P2" s="6" t="s">
        <v>149</v>
      </c>
      <c r="Q2" s="6" t="s">
        <v>150</v>
      </c>
      <c r="R2" s="6" t="s">
        <v>151</v>
      </c>
      <c r="S2" s="6" t="s">
        <v>143</v>
      </c>
    </row>
    <row r="3" spans="1:19">
      <c r="B3">
        <v>800</v>
      </c>
      <c r="C3" s="4" t="s">
        <v>118</v>
      </c>
      <c r="D3">
        <v>10</v>
      </c>
      <c r="E3">
        <v>0.9</v>
      </c>
      <c r="F3">
        <v>0.1</v>
      </c>
      <c r="G3">
        <v>1</v>
      </c>
      <c r="H3">
        <v>9000</v>
      </c>
      <c r="I3">
        <v>9001</v>
      </c>
      <c r="J3">
        <v>9002</v>
      </c>
      <c r="K3">
        <v>9003</v>
      </c>
      <c r="L3">
        <v>9004</v>
      </c>
      <c r="M3">
        <v>9005</v>
      </c>
      <c r="N3" s="4" t="str">
        <f>INDEX(DropTable['#메모],MATCH(ProductialTable[[#This Row],[ItemDropId]],DropTable[Index],0))</f>
        <v>1층_아이템보상</v>
      </c>
      <c r="O3" s="4" t="str">
        <f>INDEX(DropTable['#메모],MATCH(ProductialTable[[#This Row],[HpShopDropId]],DropTable[Index],0))</f>
        <v>1층_Hp상점_슬롯</v>
      </c>
      <c r="P3" s="4" t="str">
        <f>INDEX(DropTable['#메모],MATCH(ProductialTable[[#This Row],[GoldShopDropId]],DropTable[Index],0))</f>
        <v>1층_골드상점_슬롯</v>
      </c>
      <c r="Q3" s="4" t="str">
        <f>INDEX(DropTable['#메모],MATCH(ProductialTable[[#This Row],[BossDropId]],DropTable[Index],0))</f>
        <v>1층_선택지</v>
      </c>
      <c r="R3" s="4" t="str">
        <f>INDEX(DropTable['#메모],MATCH(ProductialTable[[#This Row],[ChoiceDropId]],DropTable[Index],0))</f>
        <v>1층_보스</v>
      </c>
      <c r="S3" s="4" t="str">
        <f>INDEX(DropTable['#메모],MATCH(ProductialTable[[#This Row],[WeaponDropId]],DropTable[Index],0))</f>
        <v>1층_시작무기선택</v>
      </c>
    </row>
    <row r="4" spans="1:19">
      <c r="A4" t="s">
        <v>52</v>
      </c>
      <c r="B4">
        <v>801</v>
      </c>
      <c r="C4" s="4" t="s">
        <v>114</v>
      </c>
      <c r="D4">
        <v>12</v>
      </c>
      <c r="E4">
        <v>0.1</v>
      </c>
      <c r="F4">
        <v>0.9</v>
      </c>
      <c r="G4">
        <v>1.2</v>
      </c>
      <c r="H4">
        <v>9100</v>
      </c>
      <c r="I4">
        <v>9101</v>
      </c>
      <c r="J4">
        <v>9102</v>
      </c>
      <c r="K4">
        <v>9103</v>
      </c>
      <c r="L4">
        <v>9104</v>
      </c>
      <c r="M4">
        <v>9105</v>
      </c>
      <c r="N4" s="4" t="str">
        <f>INDEX(DropTable['#메모],MATCH(ProductialTable[[#This Row],[ItemDropId]],DropTable[Index],0))</f>
        <v>2층_아이템보상</v>
      </c>
      <c r="O4" s="4" t="str">
        <f>INDEX(DropTable['#메모],MATCH(ProductialTable[[#This Row],[HpShopDropId]],DropTable[Index],0))</f>
        <v>2층_Hp상점_슬롯</v>
      </c>
      <c r="P4" s="4" t="str">
        <f>INDEX(DropTable['#메모],MATCH(ProductialTable[[#This Row],[GoldShopDropId]],DropTable[Index],0))</f>
        <v>2층_골드상점_슬롯</v>
      </c>
      <c r="Q4" s="4" t="str">
        <f>INDEX(DropTable['#메모],MATCH(ProductialTable[[#This Row],[BossDropId]],DropTable[Index],0))</f>
        <v>2층_선택지</v>
      </c>
      <c r="R4" s="4" t="str">
        <f>INDEX(DropTable['#메모],MATCH(ProductialTable[[#This Row],[ChoiceDropId]],DropTable[Index],0))</f>
        <v>2층_보스</v>
      </c>
      <c r="S4" s="4" t="str">
        <f>INDEX(DropTable['#메모],MATCH(ProductialTable[[#This Row],[WeaponDropId]],DropTable[Index],0))</f>
        <v>2층_시작무기선택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>
    <tabColor rgb="FFFFF2CC"/>
  </sheetPr>
  <dimension ref="A1:I14"/>
  <sheetViews>
    <sheetView zoomScaleNormal="75" zoomScaleSheetLayoutView="100" workbookViewId="0">
      <selection activeCell="C7" sqref="C7"/>
    </sheetView>
  </sheetViews>
  <sheetFormatPr baseColWidth="10" defaultColWidth="8.83203125" defaultRowHeight="17"/>
  <cols>
    <col min="3" max="3" width="19.1640625" customWidth="1"/>
    <col min="4" max="4" width="10.33203125" bestFit="1" customWidth="1"/>
    <col min="7" max="7" width="10.83203125" customWidth="1"/>
  </cols>
  <sheetData>
    <row r="1" spans="1:9">
      <c r="B1" t="s">
        <v>49</v>
      </c>
      <c r="C1" t="s">
        <v>52</v>
      </c>
      <c r="D1" t="s">
        <v>104</v>
      </c>
      <c r="E1" t="s">
        <v>104</v>
      </c>
      <c r="F1" t="s">
        <v>104</v>
      </c>
      <c r="G1" t="s">
        <v>104</v>
      </c>
      <c r="H1" t="s">
        <v>104</v>
      </c>
      <c r="I1" t="s">
        <v>104</v>
      </c>
    </row>
    <row r="2" spans="1:9">
      <c r="B2" t="s">
        <v>79</v>
      </c>
      <c r="C2" s="6" t="s">
        <v>44</v>
      </c>
      <c r="D2" t="s">
        <v>84</v>
      </c>
      <c r="E2" t="s">
        <v>85</v>
      </c>
      <c r="F2" t="s">
        <v>94</v>
      </c>
      <c r="G2" t="s">
        <v>87</v>
      </c>
      <c r="H2" t="s">
        <v>51</v>
      </c>
      <c r="I2" t="s">
        <v>97</v>
      </c>
    </row>
    <row r="3" spans="1:9">
      <c r="B3">
        <v>9000</v>
      </c>
      <c r="C3" s="4" t="s">
        <v>334</v>
      </c>
      <c r="D3">
        <v>4000</v>
      </c>
      <c r="E3">
        <v>1000</v>
      </c>
      <c r="F3">
        <v>1000</v>
      </c>
      <c r="G3">
        <v>0</v>
      </c>
      <c r="H3">
        <v>2000</v>
      </c>
      <c r="I3">
        <v>2000</v>
      </c>
    </row>
    <row r="4" spans="1:9">
      <c r="B4">
        <v>9001</v>
      </c>
      <c r="C4" s="11" t="s">
        <v>326</v>
      </c>
      <c r="D4">
        <v>4000</v>
      </c>
      <c r="E4">
        <v>2000</v>
      </c>
      <c r="F4">
        <v>2000</v>
      </c>
      <c r="G4">
        <v>0</v>
      </c>
      <c r="H4">
        <v>2000</v>
      </c>
      <c r="I4">
        <v>0</v>
      </c>
    </row>
    <row r="5" spans="1:9">
      <c r="B5">
        <v>9002</v>
      </c>
      <c r="C5" s="11" t="s">
        <v>327</v>
      </c>
      <c r="D5">
        <v>4000</v>
      </c>
      <c r="E5">
        <v>2000</v>
      </c>
      <c r="F5">
        <v>2000</v>
      </c>
      <c r="G5">
        <v>0</v>
      </c>
      <c r="H5">
        <v>0</v>
      </c>
      <c r="I5">
        <v>2000</v>
      </c>
    </row>
    <row r="6" spans="1:9">
      <c r="B6">
        <v>9003</v>
      </c>
      <c r="C6" s="11" t="s">
        <v>111</v>
      </c>
      <c r="D6">
        <v>4000</v>
      </c>
      <c r="E6">
        <v>2000</v>
      </c>
      <c r="F6">
        <v>2000</v>
      </c>
      <c r="G6">
        <v>0</v>
      </c>
      <c r="H6">
        <v>2000</v>
      </c>
      <c r="I6">
        <v>0</v>
      </c>
    </row>
    <row r="7" spans="1:9">
      <c r="B7">
        <v>9004</v>
      </c>
      <c r="C7" s="4" t="s">
        <v>110</v>
      </c>
      <c r="D7">
        <v>0</v>
      </c>
      <c r="E7">
        <v>7000</v>
      </c>
      <c r="F7">
        <v>3000</v>
      </c>
      <c r="G7">
        <v>0</v>
      </c>
      <c r="H7">
        <v>0</v>
      </c>
      <c r="I7">
        <v>0</v>
      </c>
    </row>
    <row r="8" spans="1:9">
      <c r="B8">
        <v>9005</v>
      </c>
      <c r="C8" s="11" t="s">
        <v>314</v>
      </c>
      <c r="D8">
        <v>0</v>
      </c>
      <c r="E8">
        <v>0</v>
      </c>
      <c r="F8">
        <v>0</v>
      </c>
      <c r="G8">
        <v>10000</v>
      </c>
      <c r="H8">
        <v>0</v>
      </c>
      <c r="I8">
        <v>0</v>
      </c>
    </row>
    <row r="9" spans="1:9">
      <c r="A9" t="s">
        <v>52</v>
      </c>
      <c r="B9">
        <v>9100</v>
      </c>
      <c r="C9" s="11" t="s">
        <v>335</v>
      </c>
      <c r="D9">
        <v>4000</v>
      </c>
      <c r="E9">
        <v>1000</v>
      </c>
      <c r="F9">
        <v>1000</v>
      </c>
      <c r="G9">
        <v>0</v>
      </c>
      <c r="H9">
        <v>2000</v>
      </c>
      <c r="I9">
        <v>2000</v>
      </c>
    </row>
    <row r="10" spans="1:9">
      <c r="A10" t="s">
        <v>52</v>
      </c>
      <c r="B10">
        <v>9101</v>
      </c>
      <c r="C10" s="11" t="s">
        <v>360</v>
      </c>
      <c r="D10">
        <v>4000</v>
      </c>
      <c r="E10">
        <v>2000</v>
      </c>
      <c r="F10">
        <v>2000</v>
      </c>
      <c r="G10">
        <v>0</v>
      </c>
      <c r="H10">
        <v>2000</v>
      </c>
      <c r="I10">
        <v>0</v>
      </c>
    </row>
    <row r="11" spans="1:9">
      <c r="A11" t="s">
        <v>52</v>
      </c>
      <c r="B11">
        <v>9102</v>
      </c>
      <c r="C11" s="11" t="s">
        <v>336</v>
      </c>
      <c r="D11">
        <v>4000</v>
      </c>
      <c r="E11">
        <v>2000</v>
      </c>
      <c r="F11">
        <v>2000</v>
      </c>
      <c r="G11">
        <v>0</v>
      </c>
      <c r="H11">
        <v>0</v>
      </c>
      <c r="I11">
        <v>2000</v>
      </c>
    </row>
    <row r="12" spans="1:9">
      <c r="A12" t="s">
        <v>52</v>
      </c>
      <c r="B12">
        <v>9103</v>
      </c>
      <c r="C12" s="11" t="s">
        <v>129</v>
      </c>
      <c r="D12">
        <v>4000</v>
      </c>
      <c r="E12">
        <v>2000</v>
      </c>
      <c r="F12">
        <v>2000</v>
      </c>
      <c r="G12">
        <v>0</v>
      </c>
      <c r="H12">
        <v>2000</v>
      </c>
      <c r="I12">
        <v>0</v>
      </c>
    </row>
    <row r="13" spans="1:9">
      <c r="A13" t="s">
        <v>52</v>
      </c>
      <c r="B13">
        <v>9104</v>
      </c>
      <c r="C13" s="11" t="s">
        <v>128</v>
      </c>
      <c r="D13">
        <v>0</v>
      </c>
      <c r="E13">
        <v>7000</v>
      </c>
      <c r="F13">
        <v>3000</v>
      </c>
      <c r="G13">
        <v>0</v>
      </c>
      <c r="H13">
        <v>0</v>
      </c>
      <c r="I13">
        <v>0</v>
      </c>
    </row>
    <row r="14" spans="1:9">
      <c r="A14" t="s">
        <v>52</v>
      </c>
      <c r="B14">
        <v>9105</v>
      </c>
      <c r="C14" s="11" t="s">
        <v>345</v>
      </c>
      <c r="D14">
        <v>0</v>
      </c>
      <c r="E14">
        <v>0</v>
      </c>
      <c r="F14">
        <v>0</v>
      </c>
      <c r="G14">
        <v>10000</v>
      </c>
      <c r="H14">
        <v>0</v>
      </c>
      <c r="I14">
        <v>0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3">
    <tabColor rgb="FFDAE3F3"/>
  </sheetPr>
  <dimension ref="B1:S11"/>
  <sheetViews>
    <sheetView topLeftCell="H1" zoomScaleNormal="75" zoomScaleSheetLayoutView="100" workbookViewId="0">
      <selection activeCell="Q11" sqref="Q11"/>
    </sheetView>
  </sheetViews>
  <sheetFormatPr baseColWidth="10" defaultColWidth="8.83203125" defaultRowHeight="17"/>
  <cols>
    <col min="2" max="2" width="8.6640625" bestFit="1" customWidth="1"/>
    <col min="3" max="3" width="30.33203125" customWidth="1"/>
    <col min="4" max="4" width="10.1640625" bestFit="1" customWidth="1"/>
    <col min="5" max="5" width="12.83203125" bestFit="1" customWidth="1"/>
    <col min="6" max="6" width="14" bestFit="1" customWidth="1"/>
    <col min="7" max="7" width="27.83203125" bestFit="1" customWidth="1"/>
    <col min="8" max="8" width="17" bestFit="1" customWidth="1"/>
    <col min="9" max="9" width="17.5" bestFit="1" customWidth="1"/>
    <col min="10" max="10" width="15.6640625" bestFit="1" customWidth="1"/>
    <col min="11" max="11" width="17.1640625" bestFit="1" customWidth="1"/>
    <col min="12" max="12" width="12.6640625" bestFit="1" customWidth="1"/>
    <col min="13" max="13" width="17.6640625" bestFit="1" customWidth="1"/>
    <col min="14" max="14" width="16" bestFit="1" customWidth="1"/>
    <col min="15" max="15" width="16.33203125" bestFit="1" customWidth="1"/>
    <col min="16" max="16" width="18.33203125" bestFit="1" customWidth="1"/>
    <col min="17" max="17" width="25" bestFit="1" customWidth="1"/>
    <col min="18" max="18" width="20.6640625" bestFit="1" customWidth="1"/>
    <col min="19" max="19" width="17.83203125" bestFit="1" customWidth="1"/>
  </cols>
  <sheetData>
    <row r="1" spans="2:19">
      <c r="B1" t="s">
        <v>49</v>
      </c>
      <c r="C1" t="s">
        <v>52</v>
      </c>
      <c r="D1" t="s">
        <v>49</v>
      </c>
      <c r="E1" t="s">
        <v>134</v>
      </c>
      <c r="F1" t="s">
        <v>49</v>
      </c>
      <c r="G1" t="s">
        <v>104</v>
      </c>
      <c r="H1" t="s">
        <v>104</v>
      </c>
      <c r="I1" t="s">
        <v>104</v>
      </c>
      <c r="J1" t="s">
        <v>134</v>
      </c>
      <c r="K1" t="s">
        <v>104</v>
      </c>
      <c r="L1" t="s">
        <v>49</v>
      </c>
      <c r="M1" t="s">
        <v>49</v>
      </c>
      <c r="N1" t="s">
        <v>49</v>
      </c>
      <c r="O1" t="s">
        <v>49</v>
      </c>
      <c r="P1" t="s">
        <v>49</v>
      </c>
      <c r="Q1" t="s">
        <v>103</v>
      </c>
      <c r="R1" t="s">
        <v>52</v>
      </c>
      <c r="S1" t="s">
        <v>52</v>
      </c>
    </row>
    <row r="2" spans="2:19">
      <c r="B2" t="s">
        <v>79</v>
      </c>
      <c r="C2" s="6" t="s">
        <v>64</v>
      </c>
      <c r="D2" t="s">
        <v>138</v>
      </c>
      <c r="E2" t="s">
        <v>338</v>
      </c>
      <c r="F2" t="s">
        <v>340</v>
      </c>
      <c r="G2" t="s">
        <v>288</v>
      </c>
      <c r="H2" t="s">
        <v>2</v>
      </c>
      <c r="I2" t="s">
        <v>221</v>
      </c>
      <c r="J2" t="s">
        <v>216</v>
      </c>
      <c r="K2" t="s">
        <v>219</v>
      </c>
      <c r="L2" t="s">
        <v>337</v>
      </c>
      <c r="M2" t="s">
        <v>228</v>
      </c>
      <c r="N2" t="s">
        <v>343</v>
      </c>
      <c r="O2" t="s">
        <v>341</v>
      </c>
      <c r="P2" t="s">
        <v>11</v>
      </c>
      <c r="Q2" t="s">
        <v>346</v>
      </c>
      <c r="R2" s="6" t="s">
        <v>348</v>
      </c>
      <c r="S2" s="6" t="s">
        <v>367</v>
      </c>
    </row>
    <row r="3" spans="2:19">
      <c r="B3">
        <v>500</v>
      </c>
      <c r="C3" s="4" t="s">
        <v>43</v>
      </c>
      <c r="D3">
        <f>표14[적 기준 체력]*EnemyGameData[[#This Row],['#기준 적 체력 비율]]</f>
        <v>20</v>
      </c>
      <c r="E3" t="s">
        <v>130</v>
      </c>
      <c r="F3">
        <v>1</v>
      </c>
      <c r="G3">
        <v>0.3</v>
      </c>
      <c r="H3">
        <v>1.8</v>
      </c>
      <c r="I3">
        <v>0</v>
      </c>
      <c r="J3" t="s">
        <v>77</v>
      </c>
      <c r="K3">
        <v>1</v>
      </c>
      <c r="L3">
        <v>0</v>
      </c>
      <c r="M3">
        <v>0</v>
      </c>
      <c r="N3">
        <v>0</v>
      </c>
      <c r="O3">
        <v>0</v>
      </c>
      <c r="P3">
        <v>501</v>
      </c>
      <c r="Q3" t="s">
        <v>439</v>
      </c>
      <c r="R3">
        <v>0.2</v>
      </c>
      <c r="S3">
        <f>AVERAGE(EnemyGameData[[#This Row],[GoldDropMin]],EnemyGameData[[#This Row],[GoldDropMax]])</f>
        <v>0</v>
      </c>
    </row>
    <row r="4" spans="2:19">
      <c r="B4">
        <v>501</v>
      </c>
      <c r="C4" s="4" t="s">
        <v>32</v>
      </c>
      <c r="D4">
        <f>표14[적 기준 체력]*EnemyGameData[[#This Row],['#기준 적 체력 비율]]</f>
        <v>80</v>
      </c>
      <c r="E4" t="s">
        <v>347</v>
      </c>
      <c r="F4">
        <v>6</v>
      </c>
      <c r="G4">
        <v>2</v>
      </c>
      <c r="H4">
        <v>2</v>
      </c>
      <c r="I4">
        <v>2.5</v>
      </c>
      <c r="J4" t="s">
        <v>237</v>
      </c>
      <c r="K4">
        <v>4</v>
      </c>
      <c r="L4">
        <v>600</v>
      </c>
      <c r="M4">
        <v>0</v>
      </c>
      <c r="N4">
        <v>2</v>
      </c>
      <c r="O4">
        <v>7</v>
      </c>
      <c r="P4">
        <v>501</v>
      </c>
      <c r="Q4" t="s">
        <v>432</v>
      </c>
      <c r="R4">
        <v>0.8</v>
      </c>
      <c r="S4">
        <f>AVERAGE(EnemyGameData[[#This Row],[GoldDropMin]],EnemyGameData[[#This Row],[GoldDropMax]])</f>
        <v>4.5</v>
      </c>
    </row>
    <row r="5" spans="2:19">
      <c r="B5">
        <v>502</v>
      </c>
      <c r="C5" s="4" t="s">
        <v>392</v>
      </c>
      <c r="D5">
        <f>표14[적 기준 체력]*EnemyGameData[[#This Row],['#기준 적 체력 비율]]</f>
        <v>100</v>
      </c>
      <c r="E5" t="s">
        <v>130</v>
      </c>
      <c r="F5">
        <v>3</v>
      </c>
      <c r="G5">
        <v>1.2</v>
      </c>
      <c r="H5">
        <v>2</v>
      </c>
      <c r="I5">
        <v>3.5</v>
      </c>
      <c r="J5" t="s">
        <v>133</v>
      </c>
      <c r="K5">
        <v>5</v>
      </c>
      <c r="L5">
        <v>601</v>
      </c>
      <c r="M5">
        <v>0</v>
      </c>
      <c r="N5">
        <v>2</v>
      </c>
      <c r="O5">
        <v>7</v>
      </c>
      <c r="P5">
        <v>501</v>
      </c>
      <c r="Q5" t="s">
        <v>432</v>
      </c>
      <c r="R5">
        <v>1</v>
      </c>
      <c r="S5">
        <f>AVERAGE(EnemyGameData[[#This Row],[GoldDropMin]],EnemyGameData[[#This Row],[GoldDropMax]])</f>
        <v>4.5</v>
      </c>
    </row>
    <row r="6" spans="2:19">
      <c r="B6">
        <v>503</v>
      </c>
      <c r="C6" s="4" t="s">
        <v>266</v>
      </c>
      <c r="D6">
        <f>표14[적 기준 체력]*EnemyGameData[[#This Row],['#기준 적 체력 비율]]</f>
        <v>80</v>
      </c>
      <c r="E6" t="s">
        <v>347</v>
      </c>
      <c r="F6">
        <v>6</v>
      </c>
      <c r="G6">
        <v>1.2</v>
      </c>
      <c r="H6">
        <v>2</v>
      </c>
      <c r="I6">
        <v>2</v>
      </c>
      <c r="J6" t="s">
        <v>133</v>
      </c>
      <c r="K6">
        <v>7</v>
      </c>
      <c r="L6">
        <v>602</v>
      </c>
      <c r="M6">
        <v>0</v>
      </c>
      <c r="N6">
        <v>2</v>
      </c>
      <c r="O6">
        <v>7</v>
      </c>
      <c r="P6">
        <v>501</v>
      </c>
      <c r="Q6" t="s">
        <v>432</v>
      </c>
      <c r="R6">
        <v>0.8</v>
      </c>
      <c r="S6">
        <f>AVERAGE(EnemyGameData[[#This Row],[GoldDropMin]],EnemyGameData[[#This Row],[GoldDropMax]])</f>
        <v>4.5</v>
      </c>
    </row>
    <row r="7" spans="2:19">
      <c r="B7">
        <v>504</v>
      </c>
      <c r="C7" s="4" t="s">
        <v>257</v>
      </c>
      <c r="D7">
        <f>표14[적 기준 체력]*EnemyGameData[[#This Row],['#기준 적 체력 비율]]</f>
        <v>80</v>
      </c>
      <c r="E7" t="s">
        <v>347</v>
      </c>
      <c r="F7">
        <v>4</v>
      </c>
      <c r="G7">
        <v>1.5</v>
      </c>
      <c r="H7">
        <v>2</v>
      </c>
      <c r="I7">
        <v>2.5</v>
      </c>
      <c r="J7" t="s">
        <v>133</v>
      </c>
      <c r="K7">
        <v>5</v>
      </c>
      <c r="L7">
        <v>603</v>
      </c>
      <c r="M7">
        <v>0</v>
      </c>
      <c r="N7">
        <v>2</v>
      </c>
      <c r="O7">
        <v>7</v>
      </c>
      <c r="P7">
        <v>501</v>
      </c>
      <c r="Q7" t="s">
        <v>432</v>
      </c>
      <c r="R7">
        <v>0.8</v>
      </c>
      <c r="S7">
        <f>AVERAGE(EnemyGameData[[#This Row],[GoldDropMin]],EnemyGameData[[#This Row],[GoldDropMax]])</f>
        <v>4.5</v>
      </c>
    </row>
    <row r="8" spans="2:19">
      <c r="B8">
        <v>505</v>
      </c>
      <c r="C8" s="4" t="s">
        <v>258</v>
      </c>
      <c r="D8">
        <f>표14[적 기준 체력]*EnemyGameData[[#This Row],['#기준 적 체력 비율]]</f>
        <v>100</v>
      </c>
      <c r="E8" t="s">
        <v>347</v>
      </c>
      <c r="F8">
        <v>4</v>
      </c>
      <c r="G8">
        <v>1.8</v>
      </c>
      <c r="H8">
        <v>2</v>
      </c>
      <c r="I8">
        <v>3.5</v>
      </c>
      <c r="J8" t="s">
        <v>133</v>
      </c>
      <c r="K8">
        <v>5</v>
      </c>
      <c r="L8">
        <v>604</v>
      </c>
      <c r="M8">
        <v>0</v>
      </c>
      <c r="N8">
        <v>2</v>
      </c>
      <c r="O8">
        <v>7</v>
      </c>
      <c r="P8">
        <v>501</v>
      </c>
      <c r="Q8" t="s">
        <v>432</v>
      </c>
      <c r="R8">
        <v>1</v>
      </c>
      <c r="S8">
        <f>AVERAGE(EnemyGameData[[#This Row],[GoldDropMin]],EnemyGameData[[#This Row],[GoldDropMax]])</f>
        <v>4.5</v>
      </c>
    </row>
    <row r="9" spans="2:19">
      <c r="B9">
        <v>506</v>
      </c>
      <c r="C9" s="4" t="s">
        <v>261</v>
      </c>
      <c r="D9">
        <f>표14[적 기준 체력]*EnemyGameData[[#This Row],['#기준 적 체력 비율]]</f>
        <v>100</v>
      </c>
      <c r="E9" t="s">
        <v>347</v>
      </c>
      <c r="F9">
        <v>4</v>
      </c>
      <c r="G9">
        <v>1.4</v>
      </c>
      <c r="H9">
        <v>2</v>
      </c>
      <c r="I9">
        <v>2</v>
      </c>
      <c r="J9" t="s">
        <v>133</v>
      </c>
      <c r="K9">
        <v>5</v>
      </c>
      <c r="L9">
        <v>605</v>
      </c>
      <c r="M9">
        <v>0</v>
      </c>
      <c r="N9">
        <v>2</v>
      </c>
      <c r="O9">
        <v>7</v>
      </c>
      <c r="P9">
        <v>501</v>
      </c>
      <c r="Q9" t="s">
        <v>432</v>
      </c>
      <c r="R9">
        <v>1</v>
      </c>
      <c r="S9">
        <f>AVERAGE(EnemyGameData[[#This Row],[GoldDropMin]],EnemyGameData[[#This Row],[GoldDropMax]])</f>
        <v>4.5</v>
      </c>
    </row>
    <row r="10" spans="2:19">
      <c r="B10">
        <v>507</v>
      </c>
      <c r="C10" s="4" t="s">
        <v>261</v>
      </c>
      <c r="D10">
        <f>표14[적 기준 체력]*EnemyGameData[[#This Row],['#기준 적 체력 비율]]</f>
        <v>100</v>
      </c>
      <c r="E10" t="s">
        <v>347</v>
      </c>
      <c r="F10">
        <v>4</v>
      </c>
      <c r="G10">
        <v>1.7</v>
      </c>
      <c r="H10">
        <v>2</v>
      </c>
      <c r="I10">
        <v>3</v>
      </c>
      <c r="J10" t="s">
        <v>133</v>
      </c>
      <c r="K10">
        <v>5</v>
      </c>
      <c r="L10">
        <v>605</v>
      </c>
      <c r="M10">
        <v>0</v>
      </c>
      <c r="N10">
        <v>2</v>
      </c>
      <c r="O10">
        <v>7</v>
      </c>
      <c r="P10">
        <v>501</v>
      </c>
      <c r="Q10" t="s">
        <v>432</v>
      </c>
      <c r="R10">
        <v>1</v>
      </c>
      <c r="S10">
        <f>AVERAGE(EnemyGameData[[#This Row],[GoldDropMin]],EnemyGameData[[#This Row],[GoldDropMax]])</f>
        <v>4.5</v>
      </c>
    </row>
    <row r="11" spans="2:19">
      <c r="B11">
        <v>508</v>
      </c>
      <c r="C11" s="4" t="s">
        <v>426</v>
      </c>
      <c r="D11">
        <f>표14[적 기준 체력]*EnemyGameData[[#This Row],['#기준 적 체력 비율]]</f>
        <v>1000</v>
      </c>
      <c r="E11" t="s">
        <v>130</v>
      </c>
      <c r="F11">
        <v>1</v>
      </c>
      <c r="G11">
        <v>2</v>
      </c>
      <c r="H11">
        <v>1.5</v>
      </c>
      <c r="I11">
        <v>4</v>
      </c>
      <c r="J11" t="s">
        <v>133</v>
      </c>
      <c r="K11">
        <v>6</v>
      </c>
      <c r="L11">
        <v>0</v>
      </c>
      <c r="M11">
        <v>0</v>
      </c>
      <c r="N11">
        <v>25</v>
      </c>
      <c r="O11">
        <v>25</v>
      </c>
      <c r="P11">
        <v>0</v>
      </c>
      <c r="R11">
        <v>10</v>
      </c>
      <c r="S11">
        <f>AVERAGE(EnemyGameData[[#This Row],[GoldDropMin]],EnemyGameData[[#This Row],[GoldDropMax]])</f>
        <v>25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5">
    <tabColor rgb="FFDAE3F3"/>
  </sheetPr>
  <dimension ref="B1:G39"/>
  <sheetViews>
    <sheetView tabSelected="1" topLeftCell="A16" zoomScaleNormal="75" zoomScaleSheetLayoutView="100" workbookViewId="0">
      <selection activeCell="G35" sqref="G35"/>
    </sheetView>
  </sheetViews>
  <sheetFormatPr baseColWidth="10" defaultColWidth="8.83203125" defaultRowHeight="17"/>
  <cols>
    <col min="2" max="2" width="8.6640625" bestFit="1" customWidth="1"/>
    <col min="3" max="3" width="20" bestFit="1" customWidth="1"/>
    <col min="4" max="4" width="15" bestFit="1" customWidth="1"/>
    <col min="5" max="5" width="11.6640625" bestFit="1" customWidth="1"/>
    <col min="6" max="6" width="13.33203125" bestFit="1" customWidth="1"/>
    <col min="7" max="7" width="14.6640625" bestFit="1" customWidth="1"/>
  </cols>
  <sheetData>
    <row r="1" spans="2:7">
      <c r="B1" t="s">
        <v>49</v>
      </c>
      <c r="C1" t="s">
        <v>52</v>
      </c>
      <c r="D1" t="s">
        <v>49</v>
      </c>
      <c r="E1" t="s">
        <v>134</v>
      </c>
      <c r="F1" t="s">
        <v>104</v>
      </c>
      <c r="G1" t="s">
        <v>104</v>
      </c>
    </row>
    <row r="2" spans="2:7">
      <c r="B2" t="s">
        <v>79</v>
      </c>
      <c r="C2" s="6" t="s">
        <v>46</v>
      </c>
      <c r="D2" t="s">
        <v>353</v>
      </c>
      <c r="E2" t="s">
        <v>136</v>
      </c>
      <c r="F2" t="s">
        <v>352</v>
      </c>
      <c r="G2" t="s">
        <v>349</v>
      </c>
    </row>
    <row r="3" spans="2:7">
      <c r="B3">
        <v>600</v>
      </c>
      <c r="C3" s="4" t="s">
        <v>377</v>
      </c>
      <c r="D3">
        <v>700</v>
      </c>
      <c r="E3" t="s">
        <v>169</v>
      </c>
      <c r="F3">
        <v>0.5</v>
      </c>
      <c r="G3">
        <v>0.3</v>
      </c>
    </row>
    <row r="4" spans="2:7">
      <c r="B4">
        <v>600</v>
      </c>
      <c r="C4" s="4" t="s">
        <v>382</v>
      </c>
      <c r="D4">
        <v>701</v>
      </c>
      <c r="E4" t="s">
        <v>169</v>
      </c>
      <c r="F4">
        <v>0</v>
      </c>
      <c r="G4">
        <v>1</v>
      </c>
    </row>
    <row r="5" spans="2:7">
      <c r="B5">
        <v>601</v>
      </c>
      <c r="C5" s="4" t="s">
        <v>379</v>
      </c>
      <c r="D5">
        <v>702</v>
      </c>
      <c r="E5" t="s">
        <v>161</v>
      </c>
      <c r="F5">
        <v>0.5</v>
      </c>
      <c r="G5">
        <v>0.1</v>
      </c>
    </row>
    <row r="6" spans="2:7">
      <c r="B6">
        <v>601</v>
      </c>
      <c r="C6" s="4" t="s">
        <v>379</v>
      </c>
      <c r="D6">
        <v>706</v>
      </c>
      <c r="E6" t="s">
        <v>161</v>
      </c>
      <c r="F6">
        <v>0</v>
      </c>
      <c r="G6">
        <v>0.1</v>
      </c>
    </row>
    <row r="7" spans="2:7">
      <c r="B7">
        <v>601</v>
      </c>
      <c r="C7" s="4" t="s">
        <v>379</v>
      </c>
      <c r="D7">
        <v>712</v>
      </c>
      <c r="E7" t="s">
        <v>161</v>
      </c>
      <c r="F7">
        <v>0</v>
      </c>
      <c r="G7">
        <v>0.1</v>
      </c>
    </row>
    <row r="8" spans="2:7">
      <c r="B8">
        <v>601</v>
      </c>
      <c r="C8" s="4" t="s">
        <v>379</v>
      </c>
      <c r="D8">
        <v>709</v>
      </c>
      <c r="E8" t="s">
        <v>161</v>
      </c>
      <c r="F8">
        <v>0</v>
      </c>
      <c r="G8">
        <v>0.1</v>
      </c>
    </row>
    <row r="9" spans="2:7">
      <c r="B9">
        <v>601</v>
      </c>
      <c r="C9" s="4" t="s">
        <v>379</v>
      </c>
      <c r="D9">
        <v>711</v>
      </c>
      <c r="E9" t="s">
        <v>161</v>
      </c>
      <c r="F9">
        <v>0</v>
      </c>
      <c r="G9">
        <v>0.1</v>
      </c>
    </row>
    <row r="10" spans="2:7">
      <c r="B10">
        <v>601</v>
      </c>
      <c r="C10" s="4" t="s">
        <v>379</v>
      </c>
      <c r="D10">
        <v>708</v>
      </c>
      <c r="E10" t="s">
        <v>161</v>
      </c>
      <c r="F10">
        <v>0</v>
      </c>
      <c r="G10">
        <v>0.1</v>
      </c>
    </row>
    <row r="11" spans="2:7">
      <c r="B11">
        <v>601</v>
      </c>
      <c r="C11" s="4" t="s">
        <v>379</v>
      </c>
      <c r="D11">
        <v>718</v>
      </c>
      <c r="E11" t="s">
        <v>161</v>
      </c>
      <c r="F11">
        <v>0</v>
      </c>
      <c r="G11">
        <v>0.1</v>
      </c>
    </row>
    <row r="12" spans="2:7">
      <c r="B12">
        <v>601</v>
      </c>
      <c r="C12" s="4" t="s">
        <v>379</v>
      </c>
      <c r="D12">
        <v>710</v>
      </c>
      <c r="E12" t="s">
        <v>161</v>
      </c>
      <c r="F12">
        <v>0</v>
      </c>
      <c r="G12">
        <v>0.1</v>
      </c>
    </row>
    <row r="13" spans="2:7">
      <c r="B13">
        <v>601</v>
      </c>
      <c r="C13" s="4" t="s">
        <v>379</v>
      </c>
      <c r="D13">
        <v>703</v>
      </c>
      <c r="E13" t="s">
        <v>161</v>
      </c>
      <c r="F13">
        <v>0</v>
      </c>
      <c r="G13">
        <v>0.1</v>
      </c>
    </row>
    <row r="14" spans="2:7">
      <c r="B14">
        <v>601</v>
      </c>
      <c r="C14" s="4" t="s">
        <v>379</v>
      </c>
      <c r="D14">
        <v>715</v>
      </c>
      <c r="E14" t="s">
        <v>161</v>
      </c>
      <c r="F14">
        <v>0</v>
      </c>
      <c r="G14">
        <v>0.1</v>
      </c>
    </row>
    <row r="15" spans="2:7">
      <c r="B15">
        <v>601</v>
      </c>
      <c r="C15" s="4" t="s">
        <v>379</v>
      </c>
      <c r="D15">
        <v>707</v>
      </c>
      <c r="E15" t="s">
        <v>161</v>
      </c>
      <c r="F15">
        <v>0</v>
      </c>
      <c r="G15">
        <v>0.1</v>
      </c>
    </row>
    <row r="16" spans="2:7">
      <c r="B16">
        <v>601</v>
      </c>
      <c r="C16" s="4" t="s">
        <v>379</v>
      </c>
      <c r="D16">
        <v>705</v>
      </c>
      <c r="E16" t="s">
        <v>161</v>
      </c>
      <c r="F16">
        <v>0</v>
      </c>
      <c r="G16">
        <v>0.1</v>
      </c>
    </row>
    <row r="17" spans="2:7">
      <c r="B17">
        <v>601</v>
      </c>
      <c r="C17" s="4" t="s">
        <v>379</v>
      </c>
      <c r="D17">
        <v>716</v>
      </c>
      <c r="E17" t="s">
        <v>161</v>
      </c>
      <c r="F17">
        <v>0</v>
      </c>
      <c r="G17">
        <v>0.1</v>
      </c>
    </row>
    <row r="18" spans="2:7">
      <c r="B18">
        <v>601</v>
      </c>
      <c r="C18" s="4" t="s">
        <v>379</v>
      </c>
      <c r="D18">
        <v>717</v>
      </c>
      <c r="E18" t="s">
        <v>161</v>
      </c>
      <c r="F18">
        <v>0</v>
      </c>
      <c r="G18">
        <v>0.1</v>
      </c>
    </row>
    <row r="19" spans="2:7">
      <c r="B19">
        <v>601</v>
      </c>
      <c r="C19" s="4" t="s">
        <v>379</v>
      </c>
      <c r="D19">
        <v>704</v>
      </c>
      <c r="E19" t="s">
        <v>161</v>
      </c>
      <c r="F19">
        <v>0</v>
      </c>
      <c r="G19">
        <v>0.1</v>
      </c>
    </row>
    <row r="20" spans="2:7">
      <c r="B20">
        <v>601</v>
      </c>
      <c r="C20" s="4" t="s">
        <v>379</v>
      </c>
      <c r="D20">
        <v>714</v>
      </c>
      <c r="E20" t="s">
        <v>161</v>
      </c>
      <c r="F20">
        <v>0</v>
      </c>
      <c r="G20">
        <v>0.1</v>
      </c>
    </row>
    <row r="21" spans="2:7">
      <c r="B21">
        <v>601</v>
      </c>
      <c r="C21" s="4" t="s">
        <v>379</v>
      </c>
      <c r="D21">
        <v>713</v>
      </c>
      <c r="E21" t="s">
        <v>161</v>
      </c>
      <c r="F21">
        <v>0</v>
      </c>
      <c r="G21">
        <v>0.5</v>
      </c>
    </row>
    <row r="22" spans="2:7">
      <c r="B22">
        <v>602</v>
      </c>
      <c r="C22" s="4" t="s">
        <v>391</v>
      </c>
      <c r="D22">
        <v>719</v>
      </c>
      <c r="E22" t="s">
        <v>161</v>
      </c>
      <c r="F22">
        <v>0</v>
      </c>
      <c r="G22">
        <v>1</v>
      </c>
    </row>
    <row r="23" spans="2:7">
      <c r="B23">
        <v>603</v>
      </c>
      <c r="C23" s="4" t="s">
        <v>171</v>
      </c>
      <c r="D23">
        <v>720</v>
      </c>
      <c r="E23" t="s">
        <v>161</v>
      </c>
      <c r="F23">
        <v>0.5</v>
      </c>
      <c r="G23">
        <v>1</v>
      </c>
    </row>
    <row r="24" spans="2:7">
      <c r="B24">
        <v>604</v>
      </c>
      <c r="C24" s="4" t="s">
        <v>175</v>
      </c>
      <c r="D24">
        <v>721</v>
      </c>
      <c r="E24" t="s">
        <v>161</v>
      </c>
      <c r="F24">
        <v>0.5</v>
      </c>
      <c r="G24">
        <v>0.5</v>
      </c>
    </row>
    <row r="25" spans="2:7">
      <c r="B25">
        <v>604</v>
      </c>
      <c r="C25" s="4" t="s">
        <v>175</v>
      </c>
      <c r="D25">
        <v>722</v>
      </c>
      <c r="E25" t="s">
        <v>161</v>
      </c>
      <c r="F25">
        <v>0</v>
      </c>
      <c r="G25">
        <v>0.5</v>
      </c>
    </row>
    <row r="26" spans="2:7">
      <c r="B26">
        <v>604</v>
      </c>
      <c r="C26" s="4" t="s">
        <v>175</v>
      </c>
      <c r="D26">
        <v>723</v>
      </c>
      <c r="E26" t="s">
        <v>161</v>
      </c>
      <c r="F26">
        <v>0</v>
      </c>
      <c r="G26">
        <v>1</v>
      </c>
    </row>
    <row r="27" spans="2:7">
      <c r="B27">
        <v>605</v>
      </c>
      <c r="C27" s="4" t="s">
        <v>174</v>
      </c>
      <c r="D27">
        <v>724</v>
      </c>
      <c r="E27" t="s">
        <v>161</v>
      </c>
      <c r="F27">
        <v>0.5</v>
      </c>
      <c r="G27">
        <v>1</v>
      </c>
    </row>
    <row r="28" spans="2:7">
      <c r="B28">
        <v>606</v>
      </c>
      <c r="C28" s="4" t="s">
        <v>402</v>
      </c>
      <c r="D28">
        <v>724</v>
      </c>
      <c r="E28" t="s">
        <v>161</v>
      </c>
      <c r="F28">
        <v>0.5</v>
      </c>
      <c r="G28">
        <v>0</v>
      </c>
    </row>
    <row r="29" spans="2:7">
      <c r="B29">
        <v>606</v>
      </c>
      <c r="C29" s="4" t="s">
        <v>402</v>
      </c>
      <c r="D29">
        <v>724</v>
      </c>
      <c r="E29" t="s">
        <v>161</v>
      </c>
      <c r="F29">
        <v>0.2</v>
      </c>
      <c r="G29">
        <v>0</v>
      </c>
    </row>
    <row r="30" spans="2:7">
      <c r="B30">
        <v>606</v>
      </c>
      <c r="C30" s="4" t="s">
        <v>402</v>
      </c>
      <c r="D30">
        <v>724</v>
      </c>
      <c r="E30" t="s">
        <v>161</v>
      </c>
      <c r="F30">
        <v>0.2</v>
      </c>
      <c r="G30">
        <v>1</v>
      </c>
    </row>
    <row r="31" spans="2:7">
      <c r="B31">
        <v>9991</v>
      </c>
      <c r="C31" s="27" t="s">
        <v>494</v>
      </c>
      <c r="D31" s="25">
        <v>700</v>
      </c>
      <c r="E31" t="s">
        <v>161</v>
      </c>
      <c r="F31">
        <v>0.7</v>
      </c>
      <c r="G31">
        <v>0.25</v>
      </c>
    </row>
    <row r="32" spans="2:7">
      <c r="B32">
        <v>9991</v>
      </c>
      <c r="C32" s="27" t="s">
        <v>494</v>
      </c>
      <c r="D32" s="25">
        <v>701</v>
      </c>
      <c r="E32" t="s">
        <v>161</v>
      </c>
      <c r="F32">
        <v>0.7</v>
      </c>
      <c r="G32">
        <v>0.2</v>
      </c>
    </row>
    <row r="33" spans="2:7">
      <c r="B33">
        <v>9991</v>
      </c>
      <c r="C33" s="27" t="s">
        <v>494</v>
      </c>
      <c r="D33" s="25">
        <v>700</v>
      </c>
      <c r="E33" t="s">
        <v>161</v>
      </c>
      <c r="F33">
        <v>0.7</v>
      </c>
      <c r="G33">
        <v>0.1</v>
      </c>
    </row>
    <row r="34" spans="2:7">
      <c r="B34">
        <v>9991</v>
      </c>
      <c r="C34" s="27" t="s">
        <v>494</v>
      </c>
      <c r="D34" s="25">
        <v>701</v>
      </c>
      <c r="E34" t="s">
        <v>161</v>
      </c>
      <c r="F34">
        <v>0.6</v>
      </c>
      <c r="G34">
        <v>0</v>
      </c>
    </row>
    <row r="35" spans="2:7">
      <c r="B35">
        <v>9991</v>
      </c>
      <c r="C35" s="27" t="s">
        <v>494</v>
      </c>
      <c r="D35" s="25">
        <v>700</v>
      </c>
      <c r="E35" t="s">
        <v>161</v>
      </c>
      <c r="F35">
        <v>0.5</v>
      </c>
      <c r="G35">
        <v>0</v>
      </c>
    </row>
    <row r="36" spans="2:7">
      <c r="B36">
        <v>9991</v>
      </c>
      <c r="C36" s="27" t="s">
        <v>494</v>
      </c>
      <c r="D36" s="25">
        <v>701</v>
      </c>
      <c r="E36" t="s">
        <v>161</v>
      </c>
      <c r="F36">
        <v>0.5</v>
      </c>
      <c r="G36">
        <v>0</v>
      </c>
    </row>
    <row r="37" spans="2:7">
      <c r="B37">
        <v>9991</v>
      </c>
      <c r="C37" s="27" t="s">
        <v>494</v>
      </c>
      <c r="D37" s="25">
        <v>700</v>
      </c>
      <c r="E37" t="s">
        <v>161</v>
      </c>
      <c r="F37">
        <v>0.5</v>
      </c>
      <c r="G37">
        <v>0</v>
      </c>
    </row>
    <row r="38" spans="2:7">
      <c r="B38">
        <v>9992</v>
      </c>
      <c r="C38" s="27" t="s">
        <v>495</v>
      </c>
      <c r="D38" s="25">
        <v>700</v>
      </c>
      <c r="E38" s="26" t="s">
        <v>493</v>
      </c>
      <c r="F38">
        <v>0</v>
      </c>
      <c r="G38">
        <v>0</v>
      </c>
    </row>
    <row r="39" spans="2:7">
      <c r="B39">
        <v>9993</v>
      </c>
      <c r="C39" s="27" t="s">
        <v>499</v>
      </c>
      <c r="D39" s="25">
        <v>999</v>
      </c>
      <c r="E39" s="26" t="s">
        <v>496</v>
      </c>
      <c r="F39">
        <v>0.6</v>
      </c>
      <c r="G39">
        <v>0.4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6">
    <tabColor rgb="FFDAE3F3"/>
  </sheetPr>
  <dimension ref="B1:G64"/>
  <sheetViews>
    <sheetView zoomScaleNormal="75" zoomScaleSheetLayoutView="100" workbookViewId="0">
      <selection activeCell="C3" sqref="C3"/>
    </sheetView>
  </sheetViews>
  <sheetFormatPr baseColWidth="10" defaultColWidth="8.83203125" defaultRowHeight="17"/>
  <cols>
    <col min="2" max="2" width="8.6640625" bestFit="1" customWidth="1"/>
    <col min="3" max="3" width="22.5" customWidth="1"/>
    <col min="4" max="4" width="14.1640625" bestFit="1" customWidth="1"/>
    <col min="5" max="5" width="18.33203125" bestFit="1" customWidth="1"/>
    <col min="6" max="6" width="20.1640625" bestFit="1" customWidth="1"/>
    <col min="7" max="7" width="11.5" bestFit="1" customWidth="1"/>
  </cols>
  <sheetData>
    <row r="1" spans="2:7">
      <c r="B1" t="s">
        <v>49</v>
      </c>
      <c r="C1" t="s">
        <v>52</v>
      </c>
      <c r="D1" t="s">
        <v>134</v>
      </c>
      <c r="E1" t="s">
        <v>49</v>
      </c>
      <c r="F1" t="s">
        <v>49</v>
      </c>
      <c r="G1" t="s">
        <v>49</v>
      </c>
    </row>
    <row r="2" spans="2:7">
      <c r="B2" t="s">
        <v>79</v>
      </c>
      <c r="C2" s="6" t="s">
        <v>46</v>
      </c>
      <c r="D2" t="s">
        <v>354</v>
      </c>
      <c r="E2" t="s">
        <v>11</v>
      </c>
      <c r="F2" t="s">
        <v>238</v>
      </c>
      <c r="G2" t="s">
        <v>357</v>
      </c>
    </row>
    <row r="3" spans="2:7">
      <c r="B3">
        <v>700</v>
      </c>
      <c r="C3" s="4" t="s">
        <v>386</v>
      </c>
      <c r="D3">
        <v>0</v>
      </c>
      <c r="E3">
        <v>401</v>
      </c>
      <c r="F3">
        <v>1</v>
      </c>
      <c r="G3">
        <v>5</v>
      </c>
    </row>
    <row r="4" spans="2:7">
      <c r="B4">
        <v>700</v>
      </c>
      <c r="C4" s="4" t="s">
        <v>386</v>
      </c>
      <c r="D4">
        <v>90</v>
      </c>
      <c r="E4">
        <v>401</v>
      </c>
      <c r="F4">
        <v>1</v>
      </c>
      <c r="G4">
        <v>5</v>
      </c>
    </row>
    <row r="5" spans="2:7">
      <c r="B5">
        <v>700</v>
      </c>
      <c r="C5" s="4" t="s">
        <v>386</v>
      </c>
      <c r="D5">
        <v>180</v>
      </c>
      <c r="E5">
        <v>401</v>
      </c>
      <c r="F5">
        <v>1</v>
      </c>
      <c r="G5">
        <v>5</v>
      </c>
    </row>
    <row r="6" spans="2:7">
      <c r="B6">
        <v>700</v>
      </c>
      <c r="C6" s="4" t="s">
        <v>386</v>
      </c>
      <c r="D6">
        <v>-90</v>
      </c>
      <c r="E6">
        <v>401</v>
      </c>
      <c r="F6">
        <v>1</v>
      </c>
      <c r="G6">
        <v>5</v>
      </c>
    </row>
    <row r="7" spans="2:7">
      <c r="B7">
        <v>701</v>
      </c>
      <c r="C7" s="4" t="s">
        <v>248</v>
      </c>
      <c r="D7">
        <v>45</v>
      </c>
      <c r="E7">
        <v>401</v>
      </c>
      <c r="F7">
        <v>1</v>
      </c>
      <c r="G7">
        <v>5</v>
      </c>
    </row>
    <row r="8" spans="2:7">
      <c r="B8">
        <v>701</v>
      </c>
      <c r="C8" s="4" t="s">
        <v>248</v>
      </c>
      <c r="D8">
        <v>-45</v>
      </c>
      <c r="E8">
        <v>401</v>
      </c>
      <c r="F8">
        <v>1</v>
      </c>
      <c r="G8">
        <v>5</v>
      </c>
    </row>
    <row r="9" spans="2:7">
      <c r="B9">
        <v>701</v>
      </c>
      <c r="C9" s="4" t="s">
        <v>248</v>
      </c>
      <c r="D9">
        <v>135</v>
      </c>
      <c r="E9">
        <v>401</v>
      </c>
      <c r="F9">
        <v>1</v>
      </c>
      <c r="G9">
        <v>5</v>
      </c>
    </row>
    <row r="10" spans="2:7">
      <c r="B10">
        <v>701</v>
      </c>
      <c r="C10" s="4" t="s">
        <v>248</v>
      </c>
      <c r="D10">
        <v>-135</v>
      </c>
      <c r="E10">
        <v>401</v>
      </c>
      <c r="F10">
        <v>1</v>
      </c>
      <c r="G10">
        <v>5</v>
      </c>
    </row>
    <row r="11" spans="2:7">
      <c r="B11">
        <v>702</v>
      </c>
      <c r="C11" s="4" t="s">
        <v>162</v>
      </c>
      <c r="D11">
        <v>0</v>
      </c>
      <c r="E11">
        <v>400</v>
      </c>
      <c r="F11">
        <v>0</v>
      </c>
      <c r="G11">
        <v>5</v>
      </c>
    </row>
    <row r="12" spans="2:7">
      <c r="B12">
        <v>703</v>
      </c>
      <c r="C12" s="4" t="s">
        <v>376</v>
      </c>
      <c r="D12">
        <v>2</v>
      </c>
      <c r="E12">
        <v>400</v>
      </c>
      <c r="F12">
        <v>0</v>
      </c>
      <c r="G12">
        <v>4</v>
      </c>
    </row>
    <row r="13" spans="2:7">
      <c r="B13">
        <v>704</v>
      </c>
      <c r="C13" s="4" t="s">
        <v>373</v>
      </c>
      <c r="D13">
        <v>4</v>
      </c>
      <c r="E13">
        <v>400</v>
      </c>
      <c r="F13">
        <v>0</v>
      </c>
      <c r="G13">
        <v>4</v>
      </c>
    </row>
    <row r="14" spans="2:7">
      <c r="B14">
        <v>705</v>
      </c>
      <c r="C14" s="4" t="s">
        <v>378</v>
      </c>
      <c r="D14">
        <v>6</v>
      </c>
      <c r="E14">
        <v>400</v>
      </c>
      <c r="F14">
        <v>0</v>
      </c>
      <c r="G14">
        <v>4</v>
      </c>
    </row>
    <row r="15" spans="2:7">
      <c r="B15">
        <v>706</v>
      </c>
      <c r="C15" s="4" t="s">
        <v>387</v>
      </c>
      <c r="D15">
        <v>8</v>
      </c>
      <c r="E15">
        <v>400</v>
      </c>
      <c r="F15">
        <v>0</v>
      </c>
      <c r="G15">
        <v>4</v>
      </c>
    </row>
    <row r="16" spans="2:7">
      <c r="B16">
        <v>707</v>
      </c>
      <c r="C16" s="4" t="s">
        <v>380</v>
      </c>
      <c r="D16">
        <v>10</v>
      </c>
      <c r="E16">
        <v>400</v>
      </c>
      <c r="F16">
        <v>0</v>
      </c>
      <c r="G16">
        <v>4</v>
      </c>
    </row>
    <row r="17" spans="2:7">
      <c r="B17">
        <v>708</v>
      </c>
      <c r="C17" s="4" t="s">
        <v>383</v>
      </c>
      <c r="D17">
        <v>12</v>
      </c>
      <c r="E17">
        <v>400</v>
      </c>
      <c r="F17">
        <v>0</v>
      </c>
      <c r="G17">
        <v>4</v>
      </c>
    </row>
    <row r="18" spans="2:7">
      <c r="B18">
        <v>709</v>
      </c>
      <c r="C18" s="4" t="s">
        <v>384</v>
      </c>
      <c r="D18">
        <v>14</v>
      </c>
      <c r="E18">
        <v>400</v>
      </c>
      <c r="F18">
        <v>0</v>
      </c>
      <c r="G18">
        <v>4</v>
      </c>
    </row>
    <row r="19" spans="2:7">
      <c r="B19">
        <v>710</v>
      </c>
      <c r="C19" s="4" t="s">
        <v>385</v>
      </c>
      <c r="D19">
        <v>16</v>
      </c>
      <c r="E19">
        <v>400</v>
      </c>
      <c r="F19">
        <v>0</v>
      </c>
      <c r="G19">
        <v>4</v>
      </c>
    </row>
    <row r="20" spans="2:7">
      <c r="B20">
        <v>711</v>
      </c>
      <c r="C20" s="4" t="s">
        <v>381</v>
      </c>
      <c r="D20">
        <v>-2</v>
      </c>
      <c r="E20">
        <v>400</v>
      </c>
      <c r="F20">
        <v>0</v>
      </c>
      <c r="G20">
        <v>4</v>
      </c>
    </row>
    <row r="21" spans="2:7">
      <c r="B21">
        <v>712</v>
      </c>
      <c r="C21" s="4" t="s">
        <v>374</v>
      </c>
      <c r="D21">
        <v>-4</v>
      </c>
      <c r="E21">
        <v>400</v>
      </c>
      <c r="F21">
        <v>0</v>
      </c>
      <c r="G21">
        <v>4</v>
      </c>
    </row>
    <row r="22" spans="2:7">
      <c r="B22">
        <v>713</v>
      </c>
      <c r="C22" s="4" t="s">
        <v>375</v>
      </c>
      <c r="D22">
        <v>-6</v>
      </c>
      <c r="E22">
        <v>400</v>
      </c>
      <c r="F22">
        <v>0</v>
      </c>
      <c r="G22">
        <v>4</v>
      </c>
    </row>
    <row r="23" spans="2:7">
      <c r="B23">
        <v>714</v>
      </c>
      <c r="C23" s="4" t="s">
        <v>395</v>
      </c>
      <c r="D23">
        <v>-8</v>
      </c>
      <c r="E23">
        <v>400</v>
      </c>
      <c r="F23">
        <v>0</v>
      </c>
      <c r="G23">
        <v>4</v>
      </c>
    </row>
    <row r="24" spans="2:7">
      <c r="B24">
        <v>715</v>
      </c>
      <c r="C24" s="4" t="s">
        <v>394</v>
      </c>
      <c r="D24">
        <v>-10</v>
      </c>
      <c r="E24">
        <v>400</v>
      </c>
      <c r="F24">
        <v>0</v>
      </c>
      <c r="G24">
        <v>4</v>
      </c>
    </row>
    <row r="25" spans="2:7">
      <c r="B25">
        <v>716</v>
      </c>
      <c r="C25" s="4" t="s">
        <v>388</v>
      </c>
      <c r="D25">
        <v>-12</v>
      </c>
      <c r="E25">
        <v>400</v>
      </c>
      <c r="F25">
        <v>0</v>
      </c>
      <c r="G25">
        <v>4</v>
      </c>
    </row>
    <row r="26" spans="2:7">
      <c r="B26">
        <v>717</v>
      </c>
      <c r="C26" s="4" t="s">
        <v>389</v>
      </c>
      <c r="D26">
        <v>-14</v>
      </c>
      <c r="E26">
        <v>400</v>
      </c>
      <c r="F26">
        <v>0</v>
      </c>
      <c r="G26">
        <v>4</v>
      </c>
    </row>
    <row r="27" spans="2:7">
      <c r="B27">
        <v>718</v>
      </c>
      <c r="C27" s="4" t="s">
        <v>396</v>
      </c>
      <c r="D27">
        <v>-16</v>
      </c>
      <c r="E27">
        <v>400</v>
      </c>
      <c r="F27">
        <v>0</v>
      </c>
      <c r="G27">
        <v>4</v>
      </c>
    </row>
    <row r="28" spans="2:7">
      <c r="B28">
        <v>719</v>
      </c>
      <c r="C28" s="4" t="s">
        <v>390</v>
      </c>
      <c r="D28">
        <v>0</v>
      </c>
      <c r="E28">
        <v>403</v>
      </c>
      <c r="F28">
        <v>1</v>
      </c>
      <c r="G28">
        <v>5</v>
      </c>
    </row>
    <row r="29" spans="2:7">
      <c r="B29">
        <v>720</v>
      </c>
      <c r="C29" s="4" t="s">
        <v>403</v>
      </c>
      <c r="D29">
        <v>-35</v>
      </c>
      <c r="E29">
        <v>400</v>
      </c>
      <c r="F29">
        <v>0</v>
      </c>
      <c r="G29">
        <v>4</v>
      </c>
    </row>
    <row r="30" spans="2:7">
      <c r="B30">
        <v>720</v>
      </c>
      <c r="C30" s="4" t="s">
        <v>403</v>
      </c>
      <c r="D30">
        <v>-25</v>
      </c>
      <c r="E30">
        <v>400</v>
      </c>
      <c r="F30">
        <v>0</v>
      </c>
      <c r="G30">
        <v>4</v>
      </c>
    </row>
    <row r="31" spans="2:7">
      <c r="B31">
        <v>720</v>
      </c>
      <c r="C31" s="4" t="s">
        <v>403</v>
      </c>
      <c r="D31">
        <v>-15</v>
      </c>
      <c r="E31">
        <v>400</v>
      </c>
      <c r="F31">
        <v>0</v>
      </c>
      <c r="G31">
        <v>4</v>
      </c>
    </row>
    <row r="32" spans="2:7">
      <c r="B32">
        <v>720</v>
      </c>
      <c r="C32" s="4" t="s">
        <v>403</v>
      </c>
      <c r="D32">
        <v>-5</v>
      </c>
      <c r="E32">
        <v>400</v>
      </c>
      <c r="F32">
        <v>0</v>
      </c>
      <c r="G32">
        <v>4</v>
      </c>
    </row>
    <row r="33" spans="2:7">
      <c r="B33">
        <v>720</v>
      </c>
      <c r="C33" s="4" t="s">
        <v>403</v>
      </c>
      <c r="D33">
        <v>5</v>
      </c>
      <c r="E33">
        <v>400</v>
      </c>
      <c r="F33">
        <v>0</v>
      </c>
      <c r="G33">
        <v>4</v>
      </c>
    </row>
    <row r="34" spans="2:7">
      <c r="B34">
        <v>720</v>
      </c>
      <c r="C34" s="4" t="s">
        <v>403</v>
      </c>
      <c r="D34">
        <v>15</v>
      </c>
      <c r="E34">
        <v>400</v>
      </c>
      <c r="F34">
        <v>0</v>
      </c>
      <c r="G34">
        <v>4</v>
      </c>
    </row>
    <row r="35" spans="2:7">
      <c r="B35">
        <v>720</v>
      </c>
      <c r="C35" s="4" t="s">
        <v>403</v>
      </c>
      <c r="D35">
        <v>25</v>
      </c>
      <c r="E35">
        <v>400</v>
      </c>
      <c r="F35">
        <v>0</v>
      </c>
      <c r="G35">
        <v>4</v>
      </c>
    </row>
    <row r="36" spans="2:7">
      <c r="B36">
        <v>720</v>
      </c>
      <c r="C36" s="4" t="s">
        <v>403</v>
      </c>
      <c r="D36">
        <v>35</v>
      </c>
      <c r="E36">
        <v>400</v>
      </c>
      <c r="F36">
        <v>0</v>
      </c>
      <c r="G36">
        <v>4</v>
      </c>
    </row>
    <row r="37" spans="2:7">
      <c r="B37">
        <v>721</v>
      </c>
      <c r="C37" s="4" t="s">
        <v>250</v>
      </c>
      <c r="D37">
        <v>-26</v>
      </c>
      <c r="E37">
        <v>402</v>
      </c>
      <c r="F37">
        <v>0</v>
      </c>
      <c r="G37">
        <v>4</v>
      </c>
    </row>
    <row r="38" spans="2:7">
      <c r="B38">
        <v>721</v>
      </c>
      <c r="C38" s="4" t="s">
        <v>250</v>
      </c>
      <c r="D38">
        <v>-12</v>
      </c>
      <c r="E38">
        <v>402</v>
      </c>
      <c r="F38">
        <v>0</v>
      </c>
      <c r="G38">
        <v>4</v>
      </c>
    </row>
    <row r="39" spans="2:7">
      <c r="B39">
        <v>721</v>
      </c>
      <c r="C39" s="4" t="s">
        <v>250</v>
      </c>
      <c r="D39">
        <v>-7</v>
      </c>
      <c r="E39">
        <v>402</v>
      </c>
      <c r="F39">
        <v>0</v>
      </c>
      <c r="G39">
        <v>4</v>
      </c>
    </row>
    <row r="40" spans="2:7">
      <c r="B40">
        <v>721</v>
      </c>
      <c r="C40" s="4" t="s">
        <v>250</v>
      </c>
      <c r="D40">
        <v>1</v>
      </c>
      <c r="E40">
        <v>402</v>
      </c>
      <c r="F40">
        <v>0</v>
      </c>
      <c r="G40">
        <v>4</v>
      </c>
    </row>
    <row r="41" spans="2:7">
      <c r="B41">
        <v>721</v>
      </c>
      <c r="C41" s="4" t="s">
        <v>250</v>
      </c>
      <c r="D41">
        <v>5</v>
      </c>
      <c r="E41">
        <v>402</v>
      </c>
      <c r="F41">
        <v>0</v>
      </c>
      <c r="G41">
        <v>4</v>
      </c>
    </row>
    <row r="42" spans="2:7">
      <c r="B42">
        <v>721</v>
      </c>
      <c r="C42" s="4" t="s">
        <v>250</v>
      </c>
      <c r="D42">
        <v>10</v>
      </c>
      <c r="E42">
        <v>402</v>
      </c>
      <c r="F42">
        <v>0</v>
      </c>
      <c r="G42">
        <v>4</v>
      </c>
    </row>
    <row r="43" spans="2:7">
      <c r="B43">
        <v>721</v>
      </c>
      <c r="C43" s="4" t="s">
        <v>250</v>
      </c>
      <c r="D43">
        <v>14</v>
      </c>
      <c r="E43">
        <v>402</v>
      </c>
      <c r="F43">
        <v>0</v>
      </c>
      <c r="G43">
        <v>4</v>
      </c>
    </row>
    <row r="44" spans="2:7">
      <c r="B44">
        <v>721</v>
      </c>
      <c r="C44" s="4" t="s">
        <v>250</v>
      </c>
      <c r="D44">
        <v>22</v>
      </c>
      <c r="E44">
        <v>402</v>
      </c>
      <c r="F44">
        <v>0</v>
      </c>
      <c r="G44">
        <v>4</v>
      </c>
    </row>
    <row r="45" spans="2:7">
      <c r="B45">
        <v>722</v>
      </c>
      <c r="C45" s="4" t="s">
        <v>263</v>
      </c>
      <c r="D45">
        <v>28</v>
      </c>
      <c r="E45">
        <v>402</v>
      </c>
      <c r="F45">
        <v>0</v>
      </c>
      <c r="G45">
        <v>4</v>
      </c>
    </row>
    <row r="46" spans="2:7">
      <c r="B46">
        <v>722</v>
      </c>
      <c r="C46" s="4" t="s">
        <v>263</v>
      </c>
      <c r="D46">
        <v>12</v>
      </c>
      <c r="E46">
        <v>402</v>
      </c>
      <c r="F46">
        <v>0</v>
      </c>
      <c r="G46">
        <v>4</v>
      </c>
    </row>
    <row r="47" spans="2:7">
      <c r="B47">
        <v>722</v>
      </c>
      <c r="C47" s="4" t="s">
        <v>263</v>
      </c>
      <c r="D47">
        <v>0</v>
      </c>
      <c r="E47">
        <v>402</v>
      </c>
      <c r="F47">
        <v>0</v>
      </c>
      <c r="G47">
        <v>4</v>
      </c>
    </row>
    <row r="48" spans="2:7">
      <c r="B48">
        <v>722</v>
      </c>
      <c r="C48" s="4" t="s">
        <v>263</v>
      </c>
      <c r="D48">
        <v>-21</v>
      </c>
      <c r="E48">
        <v>402</v>
      </c>
      <c r="F48">
        <v>0</v>
      </c>
      <c r="G48">
        <v>4</v>
      </c>
    </row>
    <row r="49" spans="2:7">
      <c r="B49">
        <v>722</v>
      </c>
      <c r="C49" s="4" t="s">
        <v>263</v>
      </c>
      <c r="D49">
        <v>24</v>
      </c>
      <c r="E49">
        <v>402</v>
      </c>
      <c r="F49">
        <v>0</v>
      </c>
      <c r="G49">
        <v>4</v>
      </c>
    </row>
    <row r="50" spans="2:7">
      <c r="B50">
        <v>722</v>
      </c>
      <c r="C50" s="4" t="s">
        <v>263</v>
      </c>
      <c r="D50">
        <v>26</v>
      </c>
      <c r="E50">
        <v>402</v>
      </c>
      <c r="F50">
        <v>0</v>
      </c>
      <c r="G50">
        <v>4</v>
      </c>
    </row>
    <row r="51" spans="2:7">
      <c r="B51">
        <v>722</v>
      </c>
      <c r="C51" s="4" t="s">
        <v>263</v>
      </c>
      <c r="D51">
        <v>-23</v>
      </c>
      <c r="E51">
        <v>402</v>
      </c>
      <c r="F51">
        <v>0</v>
      </c>
      <c r="G51">
        <v>4</v>
      </c>
    </row>
    <row r="52" spans="2:7">
      <c r="B52">
        <v>722</v>
      </c>
      <c r="C52" s="4" t="s">
        <v>263</v>
      </c>
      <c r="D52">
        <v>-17</v>
      </c>
      <c r="E52">
        <v>402</v>
      </c>
      <c r="F52">
        <v>0</v>
      </c>
      <c r="G52">
        <v>4</v>
      </c>
    </row>
    <row r="53" spans="2:7">
      <c r="B53">
        <v>723</v>
      </c>
      <c r="C53" s="4" t="s">
        <v>254</v>
      </c>
      <c r="D53">
        <v>-5</v>
      </c>
      <c r="E53">
        <v>402</v>
      </c>
      <c r="F53">
        <v>0</v>
      </c>
      <c r="G53">
        <v>4</v>
      </c>
    </row>
    <row r="54" spans="2:7">
      <c r="B54">
        <v>723</v>
      </c>
      <c r="C54" s="4" t="s">
        <v>254</v>
      </c>
      <c r="D54">
        <v>-17</v>
      </c>
      <c r="E54">
        <v>402</v>
      </c>
      <c r="F54">
        <v>0</v>
      </c>
      <c r="G54">
        <v>4</v>
      </c>
    </row>
    <row r="55" spans="2:7">
      <c r="B55">
        <v>723</v>
      </c>
      <c r="C55" s="4" t="s">
        <v>254</v>
      </c>
      <c r="D55">
        <v>-10</v>
      </c>
      <c r="E55">
        <v>402</v>
      </c>
      <c r="F55">
        <v>0</v>
      </c>
      <c r="G55">
        <v>4</v>
      </c>
    </row>
    <row r="56" spans="2:7">
      <c r="B56">
        <v>723</v>
      </c>
      <c r="C56" s="4" t="s">
        <v>254</v>
      </c>
      <c r="D56">
        <v>3</v>
      </c>
      <c r="E56">
        <v>402</v>
      </c>
      <c r="F56">
        <v>0</v>
      </c>
      <c r="G56">
        <v>4</v>
      </c>
    </row>
    <row r="57" spans="2:7">
      <c r="B57">
        <v>723</v>
      </c>
      <c r="C57" s="4" t="s">
        <v>254</v>
      </c>
      <c r="D57">
        <v>15</v>
      </c>
      <c r="E57">
        <v>402</v>
      </c>
      <c r="F57">
        <v>0</v>
      </c>
      <c r="G57">
        <v>4</v>
      </c>
    </row>
    <row r="58" spans="2:7">
      <c r="B58">
        <v>723</v>
      </c>
      <c r="C58" s="4" t="s">
        <v>254</v>
      </c>
      <c r="D58">
        <v>23</v>
      </c>
      <c r="E58">
        <v>402</v>
      </c>
      <c r="F58">
        <v>0</v>
      </c>
      <c r="G58">
        <v>4</v>
      </c>
    </row>
    <row r="59" spans="2:7">
      <c r="B59">
        <v>723</v>
      </c>
      <c r="C59" s="4" t="s">
        <v>254</v>
      </c>
      <c r="D59">
        <v>-4</v>
      </c>
      <c r="E59">
        <v>402</v>
      </c>
      <c r="F59">
        <v>0</v>
      </c>
      <c r="G59">
        <v>4</v>
      </c>
    </row>
    <row r="60" spans="2:7">
      <c r="B60">
        <v>723</v>
      </c>
      <c r="C60" s="4" t="s">
        <v>254</v>
      </c>
      <c r="D60">
        <v>-8</v>
      </c>
      <c r="E60">
        <v>402</v>
      </c>
      <c r="F60">
        <v>0</v>
      </c>
      <c r="G60">
        <v>4</v>
      </c>
    </row>
    <row r="61" spans="2:7">
      <c r="B61">
        <v>724</v>
      </c>
      <c r="C61" s="4" t="s">
        <v>174</v>
      </c>
      <c r="D61">
        <v>-30</v>
      </c>
      <c r="E61">
        <v>402</v>
      </c>
      <c r="F61">
        <v>0</v>
      </c>
      <c r="G61">
        <v>4</v>
      </c>
    </row>
    <row r="62" spans="2:7">
      <c r="B62">
        <v>724</v>
      </c>
      <c r="C62" s="4" t="s">
        <v>174</v>
      </c>
      <c r="D62">
        <v>0</v>
      </c>
      <c r="E62">
        <v>402</v>
      </c>
      <c r="F62">
        <v>0</v>
      </c>
      <c r="G62">
        <v>4</v>
      </c>
    </row>
    <row r="63" spans="2:7">
      <c r="B63">
        <v>724</v>
      </c>
      <c r="C63" s="4" t="s">
        <v>174</v>
      </c>
      <c r="D63">
        <v>30</v>
      </c>
      <c r="E63">
        <v>402</v>
      </c>
      <c r="F63">
        <v>0</v>
      </c>
      <c r="G63">
        <v>4</v>
      </c>
    </row>
    <row r="64" spans="2:7">
      <c r="B64">
        <v>999</v>
      </c>
      <c r="C64" s="28" t="s">
        <v>497</v>
      </c>
      <c r="D64">
        <v>0</v>
      </c>
      <c r="E64">
        <v>999</v>
      </c>
      <c r="F64">
        <v>3</v>
      </c>
      <c r="G64">
        <v>6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DAE3F3"/>
  </sheetPr>
  <dimension ref="B1:G10"/>
  <sheetViews>
    <sheetView zoomScaleNormal="75" zoomScaleSheetLayoutView="100" workbookViewId="0">
      <selection activeCell="H21" sqref="H21"/>
    </sheetView>
  </sheetViews>
  <sheetFormatPr baseColWidth="10" defaultColWidth="8.83203125" defaultRowHeight="17"/>
  <cols>
    <col min="2" max="2" width="8.6640625" bestFit="1" customWidth="1"/>
    <col min="3" max="3" width="11.33203125" bestFit="1" customWidth="1"/>
    <col min="4" max="4" width="11.6640625" bestFit="1" customWidth="1"/>
    <col min="5" max="5" width="14" bestFit="1" customWidth="1"/>
    <col min="6" max="6" width="13.33203125" bestFit="1" customWidth="1"/>
    <col min="7" max="7" width="29.6640625" customWidth="1"/>
  </cols>
  <sheetData>
    <row r="1" spans="2:7">
      <c r="B1" t="s">
        <v>49</v>
      </c>
      <c r="C1" t="s">
        <v>52</v>
      </c>
      <c r="D1" t="s">
        <v>141</v>
      </c>
      <c r="E1" t="s">
        <v>104</v>
      </c>
      <c r="F1" t="s">
        <v>49</v>
      </c>
      <c r="G1" t="s">
        <v>103</v>
      </c>
    </row>
    <row r="2" spans="2:7">
      <c r="B2" t="s">
        <v>79</v>
      </c>
      <c r="C2" s="6" t="s">
        <v>46</v>
      </c>
      <c r="D2" t="s">
        <v>370</v>
      </c>
      <c r="E2" t="s">
        <v>189</v>
      </c>
      <c r="F2" t="s">
        <v>339</v>
      </c>
      <c r="G2" t="s">
        <v>346</v>
      </c>
    </row>
    <row r="3" spans="2:7">
      <c r="B3">
        <v>200</v>
      </c>
      <c r="C3" s="4" t="s">
        <v>42</v>
      </c>
      <c r="D3" t="b">
        <v>1</v>
      </c>
      <c r="E3">
        <v>0.8</v>
      </c>
      <c r="F3">
        <v>25</v>
      </c>
      <c r="G3" t="s">
        <v>433</v>
      </c>
    </row>
    <row r="4" spans="2:7">
      <c r="B4">
        <v>500</v>
      </c>
      <c r="C4" s="4" t="s">
        <v>43</v>
      </c>
      <c r="D4" s="3" t="b">
        <v>0</v>
      </c>
      <c r="E4">
        <v>1</v>
      </c>
      <c r="F4">
        <v>25</v>
      </c>
      <c r="G4" t="s">
        <v>431</v>
      </c>
    </row>
    <row r="5" spans="2:7">
      <c r="B5">
        <v>501</v>
      </c>
      <c r="C5" s="4" t="s">
        <v>168</v>
      </c>
      <c r="D5" s="3" t="b">
        <v>0</v>
      </c>
      <c r="E5">
        <v>1</v>
      </c>
      <c r="F5">
        <v>25</v>
      </c>
      <c r="G5" t="s">
        <v>431</v>
      </c>
    </row>
    <row r="6" spans="2:7">
      <c r="B6">
        <v>400</v>
      </c>
      <c r="C6" s="4" t="s">
        <v>142</v>
      </c>
      <c r="D6" s="3" t="b">
        <v>0</v>
      </c>
      <c r="E6">
        <v>0.25</v>
      </c>
      <c r="F6">
        <v>25</v>
      </c>
      <c r="G6" t="s">
        <v>431</v>
      </c>
    </row>
    <row r="7" spans="2:7">
      <c r="B7">
        <v>401</v>
      </c>
      <c r="C7" s="4" t="s">
        <v>404</v>
      </c>
      <c r="D7" s="3" t="b">
        <v>1</v>
      </c>
      <c r="E7">
        <v>0.25</v>
      </c>
      <c r="F7">
        <v>25</v>
      </c>
      <c r="G7" t="s">
        <v>431</v>
      </c>
    </row>
    <row r="8" spans="2:7">
      <c r="B8">
        <v>402</v>
      </c>
      <c r="C8" s="4" t="s">
        <v>139</v>
      </c>
      <c r="D8" s="3" t="b">
        <v>0</v>
      </c>
      <c r="E8">
        <v>0.4</v>
      </c>
      <c r="F8">
        <v>25</v>
      </c>
      <c r="G8" t="s">
        <v>431</v>
      </c>
    </row>
    <row r="9" spans="2:7">
      <c r="B9">
        <v>403</v>
      </c>
      <c r="C9" s="4" t="s">
        <v>397</v>
      </c>
      <c r="D9" s="3" t="b">
        <v>1</v>
      </c>
      <c r="E9">
        <v>0.4</v>
      </c>
      <c r="F9">
        <v>25</v>
      </c>
      <c r="G9" t="s">
        <v>431</v>
      </c>
    </row>
    <row r="10" spans="2:7">
      <c r="B10">
        <v>999</v>
      </c>
      <c r="C10" s="27" t="s">
        <v>498</v>
      </c>
      <c r="D10" t="b">
        <v>1</v>
      </c>
      <c r="E10">
        <v>1</v>
      </c>
      <c r="F10">
        <v>25</v>
      </c>
      <c r="G10" t="s">
        <v>433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6">
    <tabColor rgb="FFFBE5D7"/>
  </sheetPr>
  <dimension ref="B1:O24"/>
  <sheetViews>
    <sheetView zoomScaleNormal="75" zoomScaleSheetLayoutView="100" workbookViewId="0">
      <selection activeCell="D19" sqref="D19"/>
    </sheetView>
  </sheetViews>
  <sheetFormatPr baseColWidth="10" defaultColWidth="8.83203125" defaultRowHeight="17"/>
  <cols>
    <col min="2" max="2" width="8.6640625" bestFit="1" customWidth="1"/>
    <col min="3" max="3" width="15.1640625" customWidth="1"/>
    <col min="4" max="4" width="94.6640625" customWidth="1"/>
    <col min="5" max="5" width="13.33203125" bestFit="1" customWidth="1"/>
    <col min="6" max="6" width="18.5" bestFit="1" customWidth="1"/>
    <col min="7" max="9" width="18.5" customWidth="1"/>
    <col min="10" max="10" width="35.6640625" bestFit="1" customWidth="1"/>
    <col min="11" max="11" width="17.83203125" bestFit="1" customWidth="1"/>
    <col min="12" max="12" width="97" customWidth="1"/>
    <col min="13" max="13" width="44.6640625" customWidth="1"/>
    <col min="14" max="14" width="24.33203125" customWidth="1"/>
    <col min="15" max="15" width="64.5" customWidth="1"/>
  </cols>
  <sheetData>
    <row r="1" spans="2:15">
      <c r="B1" t="s">
        <v>54</v>
      </c>
      <c r="C1" t="s">
        <v>80</v>
      </c>
      <c r="D1" t="s">
        <v>80</v>
      </c>
      <c r="E1" t="s">
        <v>80</v>
      </c>
      <c r="F1" t="s">
        <v>49</v>
      </c>
      <c r="G1" t="s">
        <v>49</v>
      </c>
      <c r="H1" t="s">
        <v>49</v>
      </c>
      <c r="I1" t="s">
        <v>49</v>
      </c>
      <c r="J1" t="s">
        <v>103</v>
      </c>
      <c r="K1" t="s">
        <v>52</v>
      </c>
    </row>
    <row r="2" spans="2:15">
      <c r="B2" t="s">
        <v>79</v>
      </c>
      <c r="C2" t="s">
        <v>83</v>
      </c>
      <c r="D2" t="s">
        <v>184</v>
      </c>
      <c r="E2" t="s">
        <v>312</v>
      </c>
      <c r="F2" t="s">
        <v>92</v>
      </c>
      <c r="G2" t="s">
        <v>96</v>
      </c>
      <c r="H2" t="s">
        <v>313</v>
      </c>
      <c r="I2" t="s">
        <v>16</v>
      </c>
      <c r="J2" t="s">
        <v>214</v>
      </c>
      <c r="K2" s="6" t="s">
        <v>420</v>
      </c>
      <c r="L2" s="1" t="s">
        <v>52</v>
      </c>
      <c r="M2" s="1" t="s">
        <v>469</v>
      </c>
      <c r="N2" s="1" t="s">
        <v>470</v>
      </c>
      <c r="O2" s="1" t="s">
        <v>471</v>
      </c>
    </row>
    <row r="3" spans="2:15">
      <c r="B3">
        <f t="array" ref="B3">_xlfn.IFS(ItemTable[[#This Row],[GradeType]]="Hp",IF(E2=ItemTable[[#This Row],[GradeType]],B2+1,10),ItemTable[[#This Row],[GradeType]]="Gold",IF(E2=ItemTable[[#This Row],[GradeType]],B2+1,20),ItemTable[[#This Row],[GradeType]]="Weapon",IF(E2=ItemTable[[#This Row],[GradeType]],B2+1,1000),ItemTable[[#This Row],[GradeType]]="Normal",IF(E2=ItemTable[[#This Row],[GradeType]],B2+1,2000),ItemTable[[#This Row],[GradeType]]="Rare",IF(E2=ItemTable[[#This Row],[GradeType]],B2+1,3000),ItemTable[[#This Row],[GradeType]]="Cursed",IF(E2=ItemTable[[#This Row],[GradeType]],B2+1,4000))</f>
        <v>10</v>
      </c>
      <c r="E3" t="s">
        <v>51</v>
      </c>
      <c r="F3">
        <v>25</v>
      </c>
      <c r="G3">
        <f>INDEX(아이템가격[],MATCH(MID(ItemTable[[#Headers],[CostHp]],5,10),아이템가격[재화],0),MATCH(ItemTable[[#This Row],[GradeType]],아이템가격[#Headers],0))*ItemTable[[#This Row],[Value]]</f>
        <v>0</v>
      </c>
      <c r="H3">
        <v>10</v>
      </c>
      <c r="I3">
        <f t="array" ref="I3">_xlfn.IFS(OR(ItemTable[[#This Row],[GradeType]]="Hp",ItemTable[[#This Row],[GradeType]]="Gold"),0,TRUE,5000+ItemTable[[#This Row],[Index]])</f>
        <v>0</v>
      </c>
      <c r="K3" s="4" t="e">
        <f>MID(ItemTable[[#This Row],[ItemIconPath]],FIND("icon",ItemTable[[#This Row],[ItemIconPath]]),999)</f>
        <v>#VALUE!</v>
      </c>
      <c r="L3" s="21"/>
      <c r="M3" s="21"/>
      <c r="N3" s="21"/>
      <c r="O3" s="21"/>
    </row>
    <row r="4" spans="2:15">
      <c r="B4">
        <f t="array" ref="B4">_xlfn.IFS(ItemTable[[#This Row],[GradeType]]="Hp",IF(E3=ItemTable[[#This Row],[GradeType]],B3+1,10),ItemTable[[#This Row],[GradeType]]="Gold",IF(E3=ItemTable[[#This Row],[GradeType]],B3+1,20),ItemTable[[#This Row],[GradeType]]="Weapon",IF(E3=ItemTable[[#This Row],[GradeType]],B3+1,1000),ItemTable[[#This Row],[GradeType]]="Normal",IF(E3=ItemTable[[#This Row],[GradeType]],B3+1,2000),ItemTable[[#This Row],[GradeType]]="Rare",IF(E3=ItemTable[[#This Row],[GradeType]],B3+1,3000),ItemTable[[#This Row],[GradeType]]="Cursed",IF(E3=ItemTable[[#This Row],[GradeType]],B3+1,4000))</f>
        <v>11</v>
      </c>
      <c r="E4" t="s">
        <v>51</v>
      </c>
      <c r="F4">
        <v>50</v>
      </c>
      <c r="G4">
        <f>INDEX(아이템가격[],MATCH(MID(ItemTable[[#Headers],[CostHp]],5,10),아이템가격[재화],0),MATCH(ItemTable[[#This Row],[GradeType]],아이템가격[#Headers],0))*ItemTable[[#This Row],[Value]]</f>
        <v>0</v>
      </c>
      <c r="H4">
        <v>20</v>
      </c>
      <c r="I4">
        <f t="array" ref="I4">_xlfn.IFS(OR(ItemTable[[#This Row],[GradeType]]="Hp",ItemTable[[#This Row],[GradeType]]="Gold"),0,TRUE,5000+ItemTable[[#This Row],[Index]])</f>
        <v>0</v>
      </c>
      <c r="K4" s="4" t="e">
        <f>MID(ItemTable[[#This Row],[ItemIconPath]],FIND("icon",ItemTable[[#This Row],[ItemIconPath]]),999)</f>
        <v>#VALUE!</v>
      </c>
      <c r="L4" s="21"/>
      <c r="M4" s="21"/>
      <c r="N4" s="21"/>
      <c r="O4" s="21"/>
    </row>
    <row r="5" spans="2:15">
      <c r="B5">
        <f t="array" ref="B5">_xlfn.IFS(ItemTable[[#This Row],[GradeType]]="Hp",IF(E4=ItemTable[[#This Row],[GradeType]],B4+1,10),ItemTable[[#This Row],[GradeType]]="Gold",IF(E4=ItemTable[[#This Row],[GradeType]],B4+1,20),ItemTable[[#This Row],[GradeType]]="Weapon",IF(E4=ItemTable[[#This Row],[GradeType]],B4+1,1000),ItemTable[[#This Row],[GradeType]]="Normal",IF(E4=ItemTable[[#This Row],[GradeType]],B4+1,2000),ItemTable[[#This Row],[GradeType]]="Rare",IF(E4=ItemTable[[#This Row],[GradeType]],B4+1,3000),ItemTable[[#This Row],[GradeType]]="Cursed",IF(E4=ItemTable[[#This Row],[GradeType]],B4+1,4000))</f>
        <v>20</v>
      </c>
      <c r="E5" t="s">
        <v>97</v>
      </c>
      <c r="F5">
        <v>15</v>
      </c>
      <c r="G5">
        <v>25</v>
      </c>
      <c r="H5">
        <f>INDEX(아이템가격[],MATCH(MID(ItemTable[[#Headers],[CostGold]],5,10),아이템가격[재화],0),MATCH(ItemTable[[#This Row],[GradeType]],아이템가격[#Headers],0))*ItemTable[[#This Row],[Value]]</f>
        <v>0</v>
      </c>
      <c r="I5">
        <f t="array" ref="I5">_xlfn.IFS(OR(ItemTable[[#This Row],[GradeType]]="Hp",ItemTable[[#This Row],[GradeType]]="Gold"),0,TRUE,5000+ItemTable[[#This Row],[Index]])</f>
        <v>0</v>
      </c>
      <c r="J5" t="s">
        <v>36</v>
      </c>
      <c r="K5" s="4" t="str">
        <f>MID(ItemTable[[#This Row],[ItemIconPath]],FIND("icon",ItemTable[[#This Row],[ItemIconPath]]),999)</f>
        <v>icon/item/coin.png</v>
      </c>
      <c r="L5" s="21"/>
      <c r="M5" s="21"/>
      <c r="N5" s="21"/>
      <c r="O5" s="21"/>
    </row>
    <row r="6" spans="2:15">
      <c r="B6">
        <f t="array" ref="B6">_xlfn.IFS(ItemTable[[#This Row],[GradeType]]="Hp",IF(E5=ItemTable[[#This Row],[GradeType]],B5+1,10),ItemTable[[#This Row],[GradeType]]="Gold",IF(E5=ItemTable[[#This Row],[GradeType]],B5+1,20),ItemTable[[#This Row],[GradeType]]="Weapon",IF(E5=ItemTable[[#This Row],[GradeType]],B5+1,1000),ItemTable[[#This Row],[GradeType]]="Normal",IF(E5=ItemTable[[#This Row],[GradeType]],B5+1,2000),ItemTable[[#This Row],[GradeType]]="Rare",IF(E5=ItemTable[[#This Row],[GradeType]],B5+1,3000),ItemTable[[#This Row],[GradeType]]="Cursed",IF(E5=ItemTable[[#This Row],[GradeType]],B5+1,4000))</f>
        <v>21</v>
      </c>
      <c r="E6" t="s">
        <v>97</v>
      </c>
      <c r="F6">
        <v>30</v>
      </c>
      <c r="G6">
        <v>50</v>
      </c>
      <c r="H6">
        <f>INDEX(아이템가격[],MATCH(MID(ItemTable[[#Headers],[CostGold]],5,10),아이템가격[재화],0),MATCH(ItemTable[[#This Row],[GradeType]],아이템가격[#Headers],0))*ItemTable[[#This Row],[Value]]</f>
        <v>0</v>
      </c>
      <c r="I6">
        <f t="array" ref="I6">_xlfn.IFS(OR(ItemTable[[#This Row],[GradeType]]="Hp",ItemTable[[#This Row],[GradeType]]="Gold"),0,TRUE,5000+ItemTable[[#This Row],[Index]])</f>
        <v>0</v>
      </c>
      <c r="J6" t="s">
        <v>36</v>
      </c>
      <c r="K6" s="4" t="str">
        <f>MID(ItemTable[[#This Row],[ItemIconPath]],FIND("icon",ItemTable[[#This Row],[ItemIconPath]]),999)</f>
        <v>icon/item/coin.png</v>
      </c>
      <c r="L6" s="21"/>
      <c r="M6" s="21"/>
      <c r="N6" s="21"/>
      <c r="O6" s="21"/>
    </row>
    <row r="7" spans="2:15">
      <c r="B7">
        <f t="array" ref="B7">_xlfn.IFS(ItemTable[[#This Row],[GradeType]]="Hp",IF(E6=ItemTable[[#This Row],[GradeType]],B6+1,10),ItemTable[[#This Row],[GradeType]]="Gold",IF(E6=ItemTable[[#This Row],[GradeType]],B6+1,20),ItemTable[[#This Row],[GradeType]]="Weapon",IF(E6=ItemTable[[#This Row],[GradeType]],B6+1,1000),ItemTable[[#This Row],[GradeType]]="Normal",IF(E6=ItemTable[[#This Row],[GradeType]],B6+1,2000),ItemTable[[#This Row],[GradeType]]="Rare",IF(E6=ItemTable[[#This Row],[GradeType]],B6+1,3000),ItemTable[[#This Row],[GradeType]]="Cursed",IF(E6=ItemTable[[#This Row],[GradeType]],B6+1,4000))</f>
        <v>22</v>
      </c>
      <c r="E7" t="s">
        <v>97</v>
      </c>
      <c r="F7">
        <v>45</v>
      </c>
      <c r="G7">
        <v>75</v>
      </c>
      <c r="H7">
        <f>INDEX(아이템가격[],MATCH(MID(ItemTable[[#Headers],[CostGold]],5,10),아이템가격[재화],0),MATCH(ItemTable[[#This Row],[GradeType]],아이템가격[#Headers],0))*ItemTable[[#This Row],[Value]]</f>
        <v>0</v>
      </c>
      <c r="I7">
        <f t="array" ref="I7">_xlfn.IFS(OR(ItemTable[[#This Row],[GradeType]]="Hp",ItemTable[[#This Row],[GradeType]]="Gold"),0,TRUE,5000+ItemTable[[#This Row],[Index]])</f>
        <v>0</v>
      </c>
      <c r="J7" t="s">
        <v>36</v>
      </c>
      <c r="K7" s="4" t="str">
        <f>MID(ItemTable[[#This Row],[ItemIconPath]],FIND("icon",ItemTable[[#This Row],[ItemIconPath]]),999)</f>
        <v>icon/item/coin.png</v>
      </c>
      <c r="L7" s="21"/>
      <c r="M7" s="21"/>
      <c r="N7" s="21"/>
      <c r="O7" s="21"/>
    </row>
    <row r="8" spans="2:15">
      <c r="B8">
        <f t="array" ref="B8">_xlfn.IFS(ItemTable[[#This Row],[GradeType]]="Hp",IF(E7=ItemTable[[#This Row],[GradeType]],B7+1,10),ItemTable[[#This Row],[GradeType]]="Gold",IF(E7=ItemTable[[#This Row],[GradeType]],B7+1,20),ItemTable[[#This Row],[GradeType]]="Weapon",IF(E7=ItemTable[[#This Row],[GradeType]],B7+1,1000),ItemTable[[#This Row],[GradeType]]="Normal",IF(E7=ItemTable[[#This Row],[GradeType]],B7+1,2000),ItemTable[[#This Row],[GradeType]]="Rare",IF(E7=ItemTable[[#This Row],[GradeType]],B7+1,3000),ItemTable[[#This Row],[GradeType]]="Cursed",IF(E7=ItemTable[[#This Row],[GradeType]],B7+1,4000))</f>
        <v>2000</v>
      </c>
      <c r="C8" t="s">
        <v>401</v>
      </c>
      <c r="D8" s="20" t="s">
        <v>473</v>
      </c>
      <c r="E8" t="s">
        <v>84</v>
      </c>
      <c r="F8">
        <v>1</v>
      </c>
      <c r="G8">
        <f t="array" ref="G8">_xlfn.IFS(ItemTable[[#This Row],[GradeType]]="Normal",25,ItemTable[[#This Row],[GradeType]]="Cursed",50,ItemTable[[#This Row],[GradeType]]="Rare",50)</f>
        <v>25</v>
      </c>
      <c r="H8">
        <v>10</v>
      </c>
      <c r="I8">
        <f t="array" ref="I8">_xlfn.IFS(OR(ItemTable[[#This Row],[GradeType]]="Hp",ItemTable[[#This Row],[GradeType]]="Gold"),0,TRUE,5000+ItemTable[[#This Row],[Index]])</f>
        <v>7000</v>
      </c>
      <c r="J8" t="s">
        <v>278</v>
      </c>
      <c r="K8" s="4" t="str">
        <f>MID(ItemTable[[#This Row],[ItemIconPath]],FIND("icon",ItemTable[[#This Row],[ItemIconPath]]),999)</f>
        <v>icon/item/item_02.png</v>
      </c>
      <c r="L8" s="22" t="s">
        <v>455</v>
      </c>
      <c r="M8" s="21" t="s">
        <v>422</v>
      </c>
      <c r="N8" s="21"/>
      <c r="O8" s="21" t="str">
        <f>_xlfn.CONCAT(
_xlfn.CONCAT(L8,"\n\n",
"&lt;size=20&gt;&lt;color=#97C456&gt;",M8,"&lt;/color&gt;&lt;/size&gt;"),
IF(ISBLANK(N8),"",_xlfn.CONCAT("\n","&lt;size=20&gt;&lt;color=#FF6A6A&gt;",N8,"&lt;/color&gt;&lt;/size&gt;"))
)</f>
        <v>가끔 열쇠를 먹어버립니다.\n귀중품 관리에 주의하십시오.\n\n&lt;size=20&gt;&lt;color=#97C456&gt;공격속도 +30%&lt;/color&gt;&lt;/size&gt;</v>
      </c>
    </row>
    <row r="9" spans="2:15">
      <c r="B9">
        <f t="array" ref="B9">_xlfn.IFS(ItemTable[[#This Row],[GradeType]]="Hp",IF(E8=ItemTable[[#This Row],[GradeType]],B8+1,10),ItemTable[[#This Row],[GradeType]]="Gold",IF(E8=ItemTable[[#This Row],[GradeType]],B8+1,20),ItemTable[[#This Row],[GradeType]]="Weapon",IF(E8=ItemTable[[#This Row],[GradeType]],B8+1,1000),ItemTable[[#This Row],[GradeType]]="Normal",IF(E8=ItemTable[[#This Row],[GradeType]],B8+1,2000),ItemTable[[#This Row],[GradeType]]="Rare",IF(E8=ItemTable[[#This Row],[GradeType]],B8+1,3000),ItemTable[[#This Row],[GradeType]]="Cursed",IF(E8=ItemTable[[#This Row],[GradeType]],B8+1,4000))</f>
        <v>2001</v>
      </c>
      <c r="C9" t="s">
        <v>176</v>
      </c>
      <c r="D9" t="s">
        <v>474</v>
      </c>
      <c r="E9" t="s">
        <v>84</v>
      </c>
      <c r="F9">
        <v>1</v>
      </c>
      <c r="G9">
        <f t="array" ref="G9">_xlfn.IFS(ItemTable[[#This Row],[GradeType]]="Normal",25,ItemTable[[#This Row],[GradeType]]="Cursed",50,ItemTable[[#This Row],[GradeType]]="Rare",50)</f>
        <v>25</v>
      </c>
      <c r="H9">
        <v>10</v>
      </c>
      <c r="I9">
        <f t="array" ref="I9">_xlfn.IFS(OR(ItemTable[[#This Row],[GradeType]]="Hp",ItemTable[[#This Row],[GradeType]]="Gold"),0,TRUE,5000+ItemTable[[#This Row],[Index]])</f>
        <v>7001</v>
      </c>
      <c r="J9" t="s">
        <v>281</v>
      </c>
      <c r="K9" s="4" t="str">
        <f>MID(ItemTable[[#This Row],[ItemIconPath]],FIND("icon",ItemTable[[#This Row],[ItemIconPath]]),999)</f>
        <v>icon/item/item_04.png</v>
      </c>
      <c r="L9" s="22" t="s">
        <v>472</v>
      </c>
      <c r="M9" s="21" t="s">
        <v>429</v>
      </c>
      <c r="N9" s="21"/>
      <c r="O9" s="21" t="str">
        <f t="shared" ref="O9:O24" si="0">_xlfn.CONCAT(
_xlfn.CONCAT(L9,"\n\n",
"&lt;size=20&gt;&lt;color=#97C456&gt;",M9,"&lt;/color&gt;&lt;/size&gt;"),
IF(ISBLANK(N9),"",_xlfn.CONCAT("\n","&lt;size=20&gt;&lt;color=#FF6A6A&gt;",N9,"&lt;/color&gt;&lt;/size&gt;"))
)</f>
        <v>태초부터 시작되더라도 절망하지 않습니다.\n'자 이제 시작이야'\n\n&lt;size=20&gt;&lt;color=#97C456&gt;공격범위 +20%&lt;/color&gt;&lt;/size&gt;</v>
      </c>
    </row>
    <row r="10" spans="2:15">
      <c r="B10">
        <f t="array" ref="B10">_xlfn.IFS(ItemTable[[#This Row],[GradeType]]="Hp",IF(E9=ItemTable[[#This Row],[GradeType]],B9+1,10),ItemTable[[#This Row],[GradeType]]="Gold",IF(E9=ItemTable[[#This Row],[GradeType]],B9+1,20),ItemTable[[#This Row],[GradeType]]="Weapon",IF(E9=ItemTable[[#This Row],[GradeType]],B9+1,1000),ItemTable[[#This Row],[GradeType]]="Normal",IF(E9=ItemTable[[#This Row],[GradeType]],B9+1,2000),ItemTable[[#This Row],[GradeType]]="Rare",IF(E9=ItemTable[[#This Row],[GradeType]],B9+1,3000),ItemTable[[#This Row],[GradeType]]="Cursed",IF(E9=ItemTable[[#This Row],[GradeType]],B9+1,4000))</f>
        <v>2002</v>
      </c>
      <c r="C10" t="s">
        <v>179</v>
      </c>
      <c r="D10" t="s">
        <v>475</v>
      </c>
      <c r="E10" t="s">
        <v>84</v>
      </c>
      <c r="F10">
        <v>1</v>
      </c>
      <c r="G10">
        <f t="array" ref="G10">_xlfn.IFS(ItemTable[[#This Row],[GradeType]]="Normal",25,ItemTable[[#This Row],[GradeType]]="Cursed",50,ItemTable[[#This Row],[GradeType]]="Rare",50)</f>
        <v>25</v>
      </c>
      <c r="H10">
        <v>10</v>
      </c>
      <c r="I10">
        <f t="array" ref="I10">_xlfn.IFS(OR(ItemTable[[#This Row],[GradeType]]="Hp",ItemTable[[#This Row],[GradeType]]="Gold"),0,TRUE,5000+ItemTable[[#This Row],[Index]])</f>
        <v>7002</v>
      </c>
      <c r="J10" t="s">
        <v>275</v>
      </c>
      <c r="K10" s="4" t="str">
        <f>MID(ItemTable[[#This Row],[ItemIconPath]],FIND("icon",ItemTable[[#This Row],[ItemIconPath]]),999)</f>
        <v>icon/item/item_05.png</v>
      </c>
      <c r="L10" s="22" t="s">
        <v>453</v>
      </c>
      <c r="M10" s="21" t="s">
        <v>417</v>
      </c>
      <c r="N10" s="21"/>
      <c r="O10" s="21" t="str">
        <f t="shared" si="0"/>
        <v>얼.죽.아 클럽의 새로운 유행입니다.\n\n&lt;size=20&gt;&lt;color=#97C456&gt;차징속도 +20%&lt;/color&gt;&lt;/size&gt;</v>
      </c>
    </row>
    <row r="11" spans="2:15">
      <c r="B11">
        <f t="array" ref="B11">_xlfn.IFS(ItemTable[[#This Row],[GradeType]]="Hp",IF(E10=ItemTable[[#This Row],[GradeType]],B10+1,10),ItemTable[[#This Row],[GradeType]]="Gold",IF(E10=ItemTable[[#This Row],[GradeType]],B10+1,20),ItemTable[[#This Row],[GradeType]]="Weapon",IF(E10=ItemTable[[#This Row],[GradeType]],B10+1,1000),ItemTable[[#This Row],[GradeType]]="Normal",IF(E10=ItemTable[[#This Row],[GradeType]],B10+1,2000),ItemTable[[#This Row],[GradeType]]="Rare",IF(E10=ItemTable[[#This Row],[GradeType]],B10+1,3000),ItemTable[[#This Row],[GradeType]]="Cursed",IF(E10=ItemTable[[#This Row],[GradeType]],B10+1,4000))</f>
        <v>2003</v>
      </c>
      <c r="C11" t="s">
        <v>178</v>
      </c>
      <c r="D11" t="s">
        <v>476</v>
      </c>
      <c r="E11" t="s">
        <v>84</v>
      </c>
      <c r="F11">
        <v>1</v>
      </c>
      <c r="G11">
        <f t="array" ref="G11">_xlfn.IFS(ItemTable[[#This Row],[GradeType]]="Normal",25,ItemTable[[#This Row],[GradeType]]="Cursed",50,ItemTable[[#This Row],[GradeType]]="Rare",50)</f>
        <v>25</v>
      </c>
      <c r="H11">
        <v>10</v>
      </c>
      <c r="I11">
        <f t="array" ref="I11">_xlfn.IFS(OR(ItemTable[[#This Row],[GradeType]]="Hp",ItemTable[[#This Row],[GradeType]]="Gold"),0,TRUE,5000+ItemTable[[#This Row],[Index]])</f>
        <v>7003</v>
      </c>
      <c r="J11" t="s">
        <v>273</v>
      </c>
      <c r="K11" s="4" t="str">
        <f>MID(ItemTable[[#This Row],[ItemIconPath]],FIND("icon",ItemTable[[#This Row],[ItemIconPath]]),999)</f>
        <v>icon/item/item_07.png</v>
      </c>
      <c r="L11" s="22" t="s">
        <v>454</v>
      </c>
      <c r="M11" s="21" t="s">
        <v>416</v>
      </c>
      <c r="N11" s="21"/>
      <c r="O11" s="21" t="str">
        <f t="shared" si="0"/>
        <v>배트 이외의 물건에 사용하지 마시오\nQT추출물 0.0006% 함유\nQT향 0.1%함유\n\n&lt;size=20&gt;&lt;color=#97C456&gt;공 충돌횟수 +1&lt;/color&gt;&lt;/size&gt;</v>
      </c>
    </row>
    <row r="12" spans="2:15">
      <c r="B12">
        <f t="array" ref="B12">_xlfn.IFS(ItemTable[[#This Row],[GradeType]]="Hp",IF(E11=ItemTable[[#This Row],[GradeType]],B11+1,10),ItemTable[[#This Row],[GradeType]]="Gold",IF(E11=ItemTable[[#This Row],[GradeType]],B11+1,20),ItemTable[[#This Row],[GradeType]]="Weapon",IF(E11=ItemTable[[#This Row],[GradeType]],B11+1,1000),ItemTable[[#This Row],[GradeType]]="Normal",IF(E11=ItemTable[[#This Row],[GradeType]],B11+1,2000),ItemTable[[#This Row],[GradeType]]="Rare",IF(E11=ItemTable[[#This Row],[GradeType]],B11+1,3000),ItemTable[[#This Row],[GradeType]]="Cursed",IF(E11=ItemTable[[#This Row],[GradeType]],B11+1,4000))</f>
        <v>2004</v>
      </c>
      <c r="C12" t="s">
        <v>173</v>
      </c>
      <c r="D12" s="19" t="s">
        <v>477</v>
      </c>
      <c r="E12" t="s">
        <v>84</v>
      </c>
      <c r="F12">
        <v>1</v>
      </c>
      <c r="G12">
        <f t="array" ref="G12">_xlfn.IFS(ItemTable[[#This Row],[GradeType]]="Normal",25,ItemTable[[#This Row],[GradeType]]="Cursed",50,ItemTable[[#This Row],[GradeType]]="Rare",50)</f>
        <v>25</v>
      </c>
      <c r="H12">
        <v>10</v>
      </c>
      <c r="I12">
        <f t="array" ref="I12">_xlfn.IFS(OR(ItemTable[[#This Row],[GradeType]]="Hp",ItemTable[[#This Row],[GradeType]]="Gold"),0,TRUE,5000+ItemTable[[#This Row],[Index]])</f>
        <v>7004</v>
      </c>
      <c r="J12" t="s">
        <v>276</v>
      </c>
      <c r="K12" s="4" t="str">
        <f>MID(ItemTable[[#This Row],[ItemIconPath]],FIND("icon",ItemTable[[#This Row],[ItemIconPath]]),999)</f>
        <v>icon/item/item_11.png</v>
      </c>
      <c r="L12" s="22" t="s">
        <v>462</v>
      </c>
      <c r="M12" s="21" t="s">
        <v>415</v>
      </c>
      <c r="N12" s="21"/>
      <c r="O12" s="21" t="str">
        <f t="shared" si="0"/>
        <v>세 나라 이야기의 붉은 목마 입니다.\n시크한 표정이 매력적입니다.\n\n&lt;size=20&gt;&lt;color=#97C456&gt;이동속도 +10%&lt;/color&gt;&lt;/size&gt;</v>
      </c>
    </row>
    <row r="13" spans="2:15">
      <c r="B13">
        <f t="array" ref="B13">_xlfn.IFS(ItemTable[[#This Row],[GradeType]]="Hp",IF(E12=ItemTable[[#This Row],[GradeType]],B12+1,10),ItemTable[[#This Row],[GradeType]]="Gold",IF(E12=ItemTable[[#This Row],[GradeType]],B12+1,20),ItemTable[[#This Row],[GradeType]]="Weapon",IF(E12=ItemTable[[#This Row],[GradeType]],B12+1,1000),ItemTable[[#This Row],[GradeType]]="Normal",IF(E12=ItemTable[[#This Row],[GradeType]],B12+1,2000),ItemTable[[#This Row],[GradeType]]="Rare",IF(E12=ItemTable[[#This Row],[GradeType]],B12+1,3000),ItemTable[[#This Row],[GradeType]]="Cursed",IF(E12=ItemTable[[#This Row],[GradeType]],B12+1,4000))</f>
        <v>2005</v>
      </c>
      <c r="C13" t="s">
        <v>182</v>
      </c>
      <c r="D13" t="s">
        <v>478</v>
      </c>
      <c r="E13" t="s">
        <v>84</v>
      </c>
      <c r="F13">
        <v>1</v>
      </c>
      <c r="G13">
        <f t="array" ref="G13">_xlfn.IFS(ItemTable[[#This Row],[GradeType]]="Normal",25,ItemTable[[#This Row],[GradeType]]="Cursed",50,ItemTable[[#This Row],[GradeType]]="Rare",50)</f>
        <v>25</v>
      </c>
      <c r="H13">
        <v>10</v>
      </c>
      <c r="I13">
        <f t="array" ref="I13">_xlfn.IFS(OR(ItemTable[[#This Row],[GradeType]]="Hp",ItemTable[[#This Row],[GradeType]]="Gold"),0,TRUE,5000+ItemTable[[#This Row],[Index]])</f>
        <v>7005</v>
      </c>
      <c r="J13" t="s">
        <v>277</v>
      </c>
      <c r="K13" s="4" t="str">
        <f>MID(ItemTable[[#This Row],[ItemIconPath]],FIND("icon",ItemTable[[#This Row],[ItemIconPath]]),999)</f>
        <v>icon/item/item_15.png</v>
      </c>
      <c r="L13" s="22" t="s">
        <v>468</v>
      </c>
      <c r="M13" s="21" t="s">
        <v>413</v>
      </c>
      <c r="N13" s="21"/>
      <c r="O13" s="21" t="str">
        <f t="shared" si="0"/>
        <v>대나무 향을 머금은 흰 밥이\n까만 김을 만나 완성된 환상적인 조합.\n\n&lt;size=20&gt;&lt;color=#97C456&gt;최대 체력 +1하트&lt;/color&gt;&lt;/size&gt;</v>
      </c>
    </row>
    <row r="14" spans="2:15">
      <c r="B14">
        <f t="array" ref="B14">_xlfn.IFS(ItemTable[[#This Row],[GradeType]]="Hp",IF(E13=ItemTable[[#This Row],[GradeType]],B13+1,10),ItemTable[[#This Row],[GradeType]]="Gold",IF(E13=ItemTable[[#This Row],[GradeType]],B13+1,20),ItemTable[[#This Row],[GradeType]]="Weapon",IF(E13=ItemTable[[#This Row],[GradeType]],B13+1,1000),ItemTable[[#This Row],[GradeType]]="Normal",IF(E13=ItemTable[[#This Row],[GradeType]],B13+1,2000),ItemTable[[#This Row],[GradeType]]="Rare",IF(E13=ItemTable[[#This Row],[GradeType]],B13+1,3000),ItemTable[[#This Row],[GradeType]]="Cursed",IF(E13=ItemTable[[#This Row],[GradeType]],B13+1,4000))</f>
        <v>3000</v>
      </c>
      <c r="C14" t="s">
        <v>63</v>
      </c>
      <c r="D14" s="19" t="s">
        <v>491</v>
      </c>
      <c r="E14" t="s">
        <v>85</v>
      </c>
      <c r="F14">
        <v>1</v>
      </c>
      <c r="G14">
        <f t="array" ref="G14">_xlfn.IFS(ItemTable[[#This Row],[GradeType]]="Normal",25,ItemTable[[#This Row],[GradeType]]="Cursed",50,ItemTable[[#This Row],[GradeType]]="Rare",50)</f>
        <v>50</v>
      </c>
      <c r="H14">
        <v>20</v>
      </c>
      <c r="I14">
        <f t="array" ref="I14">_xlfn.IFS(OR(ItemTable[[#This Row],[GradeType]]="Hp",ItemTable[[#This Row],[GradeType]]="Gold"),0,TRUE,5000+ItemTable[[#This Row],[Index]])</f>
        <v>8000</v>
      </c>
      <c r="J14" t="s">
        <v>279</v>
      </c>
      <c r="K14" s="4" t="str">
        <f>MID(ItemTable[[#This Row],[ItemIconPath]],FIND("icon",ItemTable[[#This Row],[ItemIconPath]]),999)</f>
        <v>icon/item/item_17.png</v>
      </c>
      <c r="L14" s="22" t="s">
        <v>490</v>
      </c>
      <c r="M14" s="21" t="s">
        <v>301</v>
      </c>
      <c r="N14" s="21"/>
      <c r="O14" s="21" t="str">
        <f t="shared" si="0"/>
        <v>데빌불, 숨겨진 악성을 펼쳐줘요.\n아직도 마계에서 불티나게 팔리고 있는 음료입니다.\n\n&lt;size=20&gt;&lt;color=#97C456&gt;변화된 이동속도 1당 공격력 +20%&lt;/color&gt;&lt;/size&gt;</v>
      </c>
    </row>
    <row r="15" spans="2:15">
      <c r="B15">
        <f t="array" ref="B15">_xlfn.IFS(ItemTable[[#This Row],[GradeType]]="Hp",IF(E14=ItemTable[[#This Row],[GradeType]],B14+1,10),ItemTable[[#This Row],[GradeType]]="Gold",IF(E14=ItemTable[[#This Row],[GradeType]],B14+1,20),ItemTable[[#This Row],[GradeType]]="Weapon",IF(E14=ItemTable[[#This Row],[GradeType]],B14+1,1000),ItemTable[[#This Row],[GradeType]]="Normal",IF(E14=ItemTable[[#This Row],[GradeType]],B14+1,2000),ItemTable[[#This Row],[GradeType]]="Rare",IF(E14=ItemTable[[#This Row],[GradeType]],B14+1,3000),ItemTable[[#This Row],[GradeType]]="Cursed",IF(E14=ItemTable[[#This Row],[GradeType]],B14+1,4000))</f>
        <v>3001</v>
      </c>
      <c r="C15" s="20" t="s">
        <v>456</v>
      </c>
      <c r="D15" t="s">
        <v>492</v>
      </c>
      <c r="E15" t="s">
        <v>85</v>
      </c>
      <c r="F15">
        <v>1</v>
      </c>
      <c r="G15">
        <f t="array" ref="G15">_xlfn.IFS(ItemTable[[#This Row],[GradeType]]="Normal",25,ItemTable[[#This Row],[GradeType]]="Cursed",50,ItemTable[[#This Row],[GradeType]]="Rare",50)</f>
        <v>50</v>
      </c>
      <c r="H15">
        <v>20</v>
      </c>
      <c r="I15">
        <f t="array" ref="I15">_xlfn.IFS(OR(ItemTable[[#This Row],[GradeType]]="Hp",ItemTable[[#This Row],[GradeType]]="Gold"),0,TRUE,5000+ItemTable[[#This Row],[Index]])</f>
        <v>8001</v>
      </c>
      <c r="J15" t="s">
        <v>282</v>
      </c>
      <c r="K15" s="4" t="str">
        <f>MID(ItemTable[[#This Row],[ItemIconPath]],FIND("icon",ItemTable[[#This Row],[ItemIconPath]]),999)</f>
        <v>icon/item/item_12.png</v>
      </c>
      <c r="L15" s="22" t="s">
        <v>489</v>
      </c>
      <c r="M15" s="21" t="s">
        <v>38</v>
      </c>
      <c r="N15" s="21"/>
      <c r="O15" s="21" t="str">
        <f t="shared" si="0"/>
        <v>고대에 멸종된 것으로 보이는 유물 입니다. 많은 시간이 지났지만 튼튼하고 고통스럽습니다.\n\n&lt;size=20&gt;&lt;color=#97C456&gt;빈 하트 1개당 공격력 +10%&lt;/color&gt;&lt;/size&gt;</v>
      </c>
    </row>
    <row r="16" spans="2:15">
      <c r="B16">
        <f t="array" ref="B16">_xlfn.IFS(ItemTable[[#This Row],[GradeType]]="Hp",IF(E15=ItemTable[[#This Row],[GradeType]],B15+1,10),ItemTable[[#This Row],[GradeType]]="Gold",IF(E15=ItemTable[[#This Row],[GradeType]],B15+1,20),ItemTable[[#This Row],[GradeType]]="Weapon",IF(E15=ItemTable[[#This Row],[GradeType]],B15+1,1000),ItemTable[[#This Row],[GradeType]]="Normal",IF(E15=ItemTable[[#This Row],[GradeType]],B15+1,2000),ItemTable[[#This Row],[GradeType]]="Rare",IF(E15=ItemTable[[#This Row],[GradeType]],B15+1,3000),ItemTable[[#This Row],[GradeType]]="Cursed",IF(E15=ItemTable[[#This Row],[GradeType]],B15+1,4000))</f>
        <v>3002</v>
      </c>
      <c r="C16" t="s">
        <v>65</v>
      </c>
      <c r="D16" t="s">
        <v>479</v>
      </c>
      <c r="E16" t="s">
        <v>85</v>
      </c>
      <c r="F16">
        <v>1</v>
      </c>
      <c r="G16">
        <f t="array" ref="G16">_xlfn.IFS(ItemTable[[#This Row],[GradeType]]="Normal",25,ItemTable[[#This Row],[GradeType]]="Cursed",50,ItemTable[[#This Row],[GradeType]]="Rare",50)</f>
        <v>50</v>
      </c>
      <c r="H16">
        <v>20</v>
      </c>
      <c r="I16">
        <f t="array" ref="I16">_xlfn.IFS(OR(ItemTable[[#This Row],[GradeType]]="Hp",ItemTable[[#This Row],[GradeType]]="Gold"),0,TRUE,5000+ItemTable[[#This Row],[Index]])</f>
        <v>8002</v>
      </c>
      <c r="J16" t="s">
        <v>284</v>
      </c>
      <c r="K16" s="4" t="str">
        <f>MID(ItemTable[[#This Row],[ItemIconPath]],FIND("icon",ItemTable[[#This Row],[ItemIconPath]]),999)</f>
        <v>icon/item/item_09.png</v>
      </c>
      <c r="L16" s="22" t="s">
        <v>467</v>
      </c>
      <c r="M16" s="22" t="s">
        <v>452</v>
      </c>
      <c r="N16" s="21"/>
      <c r="O16" s="21" t="str">
        <f t="shared" si="0"/>
        <v>꽤 무게가 나가는 돌가면.\n이걸 쓰고도 단련을 하면 꽤 오래 살 수 있을 것 같은 느낌이 듭니다.\n\n&lt;size=20&gt;&lt;color=#97C456&gt;공격력 +10%\n이동속도 +0.5\n공격속도 +0.1초&lt;/color&gt;&lt;/size&gt;</v>
      </c>
    </row>
    <row r="17" spans="2:15">
      <c r="B17">
        <f t="array" ref="B17">_xlfn.IFS(ItemTable[[#This Row],[GradeType]]="Hp",IF(E16=ItemTable[[#This Row],[GradeType]],B16+1,10),ItemTable[[#This Row],[GradeType]]="Gold",IF(E16=ItemTable[[#This Row],[GradeType]],B16+1,20),ItemTable[[#This Row],[GradeType]]="Weapon",IF(E16=ItemTable[[#This Row],[GradeType]],B16+1,1000),ItemTable[[#This Row],[GradeType]]="Normal",IF(E16=ItemTable[[#This Row],[GradeType]],B16+1,2000),ItemTable[[#This Row],[GradeType]]="Rare",IF(E16=ItemTable[[#This Row],[GradeType]],B16+1,3000),ItemTable[[#This Row],[GradeType]]="Cursed",IF(E16=ItemTable[[#This Row],[GradeType]],B16+1,4000))</f>
        <v>3003</v>
      </c>
      <c r="C17" t="s">
        <v>398</v>
      </c>
      <c r="D17" t="s">
        <v>480</v>
      </c>
      <c r="E17" t="s">
        <v>85</v>
      </c>
      <c r="F17">
        <v>1</v>
      </c>
      <c r="G17">
        <f t="array" ref="G17">_xlfn.IFS(ItemTable[[#This Row],[GradeType]]="Normal",25,ItemTable[[#This Row],[GradeType]]="Cursed",50,ItemTable[[#This Row],[GradeType]]="Rare",50)</f>
        <v>50</v>
      </c>
      <c r="H17">
        <v>20</v>
      </c>
      <c r="I17">
        <f t="array" ref="I17">_xlfn.IFS(OR(ItemTable[[#This Row],[GradeType]]="Hp",ItemTable[[#This Row],[GradeType]]="Gold"),0,TRUE,5000+ItemTable[[#This Row],[Index]])</f>
        <v>8003</v>
      </c>
      <c r="J17" t="s">
        <v>285</v>
      </c>
      <c r="K17" s="4" t="str">
        <f>MID(ItemTable[[#This Row],[ItemIconPath]],FIND("icon",ItemTable[[#This Row],[ItemIconPath]]),999)</f>
        <v>icon/item/item_10.png</v>
      </c>
      <c r="L17" s="22" t="s">
        <v>457</v>
      </c>
      <c r="M17" s="21" t="s">
        <v>412</v>
      </c>
      <c r="N17" s="21"/>
      <c r="O17" s="21" t="str">
        <f t="shared" si="0"/>
        <v>자아를 가진 저금통입니다.\n숨겨진 돈을 잘 찾아내는 듯 합니다.\n잠깐, 제 지갑의 돈이 사라진 것 같습니다.\n\n&lt;size=20&gt;&lt;color=#97C456&gt;골드획득량 +50%&lt;/color&gt;&lt;/size&gt;</v>
      </c>
    </row>
    <row r="18" spans="2:15">
      <c r="B18">
        <f t="array" ref="B18">_xlfn.IFS(ItemTable[[#This Row],[GradeType]]="Hp",IF(E17=ItemTable[[#This Row],[GradeType]],B17+1,10),ItemTable[[#This Row],[GradeType]]="Gold",IF(E17=ItemTable[[#This Row],[GradeType]],B17+1,20),ItemTable[[#This Row],[GradeType]]="Weapon",IF(E17=ItemTable[[#This Row],[GradeType]],B17+1,1000),ItemTable[[#This Row],[GradeType]]="Normal",IF(E17=ItemTable[[#This Row],[GradeType]],B17+1,2000),ItemTable[[#This Row],[GradeType]]="Rare",IF(E17=ItemTable[[#This Row],[GradeType]],B17+1,3000),ItemTable[[#This Row],[GradeType]]="Cursed",IF(E17=ItemTable[[#This Row],[GradeType]],B17+1,4000))</f>
        <v>3004</v>
      </c>
      <c r="C18" t="s">
        <v>419</v>
      </c>
      <c r="D18" t="s">
        <v>481</v>
      </c>
      <c r="E18" t="s">
        <v>85</v>
      </c>
      <c r="F18">
        <v>1</v>
      </c>
      <c r="G18">
        <f t="array" ref="G18">_xlfn.IFS(ItemTable[[#This Row],[GradeType]]="Normal",25,ItemTable[[#This Row],[GradeType]]="Cursed",50,ItemTable[[#This Row],[GradeType]]="Rare",50)</f>
        <v>50</v>
      </c>
      <c r="H18">
        <v>20</v>
      </c>
      <c r="I18">
        <f t="array" ref="I18">_xlfn.IFS(OR(ItemTable[[#This Row],[GradeType]]="Hp",ItemTable[[#This Row],[GradeType]]="Gold"),0,TRUE,5000+ItemTable[[#This Row],[Index]])</f>
        <v>8004</v>
      </c>
      <c r="J18" t="s">
        <v>286</v>
      </c>
      <c r="K18" s="4" t="str">
        <f>MID(ItemTable[[#This Row],[ItemIconPath]],FIND("icon",ItemTable[[#This Row],[ItemIconPath]]),999)</f>
        <v>icon/item/item_16.png</v>
      </c>
      <c r="L18" s="22" t="s">
        <v>461</v>
      </c>
      <c r="M18" s="21" t="s">
        <v>414</v>
      </c>
      <c r="N18" s="21"/>
      <c r="O18" s="21" t="str">
        <f t="shared" si="0"/>
        <v>종교적인 용도로 보이는 컵입니다.\n잠깐, 방금 조금 움직인 것 같은데요?\n\n&lt;size=20&gt;&lt;color=#97C456&gt;공 충돌횟수 +2&lt;/color&gt;&lt;/size&gt;</v>
      </c>
    </row>
    <row r="19" spans="2:15">
      <c r="B19">
        <f t="array" ref="B19">_xlfn.IFS(ItemTable[[#This Row],[GradeType]]="Hp",IF(E18=ItemTable[[#This Row],[GradeType]],B18+1,10),ItemTable[[#This Row],[GradeType]]="Gold",IF(E18=ItemTable[[#This Row],[GradeType]],B18+1,20),ItemTable[[#This Row],[GradeType]]="Weapon",IF(E18=ItemTable[[#This Row],[GradeType]],B18+1,1000),ItemTable[[#This Row],[GradeType]]="Normal",IF(E18=ItemTable[[#This Row],[GradeType]],B18+1,2000),ItemTable[[#This Row],[GradeType]]="Rare",IF(E18=ItemTable[[#This Row],[GradeType]],B18+1,3000),ItemTable[[#This Row],[GradeType]]="Cursed",IF(E18=ItemTable[[#This Row],[GradeType]],B18+1,4000))</f>
        <v>3005</v>
      </c>
      <c r="C19" t="s">
        <v>185</v>
      </c>
      <c r="D19" t="s">
        <v>482</v>
      </c>
      <c r="E19" t="s">
        <v>85</v>
      </c>
      <c r="F19">
        <v>1</v>
      </c>
      <c r="G19">
        <f t="array" ref="G19">_xlfn.IFS(ItemTable[[#This Row],[GradeType]]="Normal",25,ItemTable[[#This Row],[GradeType]]="Cursed",50,ItemTable[[#This Row],[GradeType]]="Rare",50)</f>
        <v>50</v>
      </c>
      <c r="H19">
        <v>20</v>
      </c>
      <c r="I19">
        <f t="array" ref="I19">_xlfn.IFS(OR(ItemTable[[#This Row],[GradeType]]="Hp",ItemTable[[#This Row],[GradeType]]="Gold"),0,TRUE,5000+ItemTable[[#This Row],[Index]])</f>
        <v>8005</v>
      </c>
      <c r="J19" t="s">
        <v>289</v>
      </c>
      <c r="K19" s="4" t="str">
        <f>MID(ItemTable[[#This Row],[ItemIconPath]],FIND("icon",ItemTable[[#This Row],[ItemIconPath]]),999)</f>
        <v>icon/item/item_03.png</v>
      </c>
      <c r="L19" s="22" t="s">
        <v>458</v>
      </c>
      <c r="M19" s="22" t="s">
        <v>463</v>
      </c>
      <c r="N19" s="21"/>
      <c r="O19" s="21" t="str">
        <f t="shared" si="0"/>
        <v>이벤트성으로 100만봉지\n중 한 개만 들어간 ■̛̲͙̩͎͖̲̐̐̂͐ͅ■͓̟̦̹͚̇̓́͛͠ͅ맛 사탕입니다.\n\n&lt;size=20&gt;&lt;color=#97C456&gt;공 충돌횟수당 공격력 +20%&lt;/color&gt;&lt;/size&gt;</v>
      </c>
    </row>
    <row r="20" spans="2:15">
      <c r="B20">
        <f t="array" ref="B20">_xlfn.IFS(ItemTable[[#This Row],[GradeType]]="Hp",IF(E19=ItemTable[[#This Row],[GradeType]],B19+1,10),ItemTable[[#This Row],[GradeType]]="Gold",IF(E19=ItemTable[[#This Row],[GradeType]],B19+1,20),ItemTable[[#This Row],[GradeType]]="Weapon",IF(E19=ItemTable[[#This Row],[GradeType]],B19+1,1000),ItemTable[[#This Row],[GradeType]]="Normal",IF(E19=ItemTable[[#This Row],[GradeType]],B19+1,2000),ItemTable[[#This Row],[GradeType]]="Rare",IF(E19=ItemTable[[#This Row],[GradeType]],B19+1,3000),ItemTable[[#This Row],[GradeType]]="Cursed",IF(E19=ItemTable[[#This Row],[GradeType]],B19+1,4000))</f>
        <v>4000</v>
      </c>
      <c r="C20" t="s">
        <v>177</v>
      </c>
      <c r="D20" t="s">
        <v>483</v>
      </c>
      <c r="E20" t="s">
        <v>94</v>
      </c>
      <c r="F20">
        <v>1</v>
      </c>
      <c r="G20">
        <f t="array" ref="G20">_xlfn.IFS(ItemTable[[#This Row],[GradeType]]="Normal",25,ItemTable[[#This Row],[GradeType]]="Cursed",50,ItemTable[[#This Row],[GradeType]]="Rare",50)</f>
        <v>50</v>
      </c>
      <c r="H20">
        <v>20</v>
      </c>
      <c r="I20">
        <f t="array" ref="I20">_xlfn.IFS(OR(ItemTable[[#This Row],[GradeType]]="Hp",ItemTable[[#This Row],[GradeType]]="Gold"),0,TRUE,5000+ItemTable[[#This Row],[Index]])</f>
        <v>9000</v>
      </c>
      <c r="J20" t="s">
        <v>303</v>
      </c>
      <c r="K20" s="4" t="str">
        <f>MID(ItemTable[[#This Row],[ItemIconPath]],FIND("icon",ItemTable[[#This Row],[ItemIconPath]]),999)</f>
        <v>icon/item/item_06.png</v>
      </c>
      <c r="L20" s="22" t="s">
        <v>466</v>
      </c>
      <c r="M20" s="21" t="s">
        <v>428</v>
      </c>
      <c r="N20" s="21" t="s">
        <v>424</v>
      </c>
      <c r="O20" s="21" t="str">
        <f t="shared" si="0"/>
        <v>온 몸이 녹는 듯 한 강력한 단맛입니다.\n끈적해지지 않게 조심하세요!\n\n&lt;size=20&gt;&lt;color=#97C456&gt;차징속도 +45%&lt;/color&gt;&lt;/size&gt;\n&lt;size=20&gt;&lt;color=#FF6A6A&gt;공격속도 -20%&lt;/color&gt;&lt;/size&gt;</v>
      </c>
    </row>
    <row r="21" spans="2:15">
      <c r="B21">
        <f t="array" ref="B21">_xlfn.IFS(ItemTable[[#This Row],[GradeType]]="Hp",IF(E20=ItemTable[[#This Row],[GradeType]],B20+1,10),ItemTable[[#This Row],[GradeType]]="Gold",IF(E20=ItemTable[[#This Row],[GradeType]],B20+1,20),ItemTable[[#This Row],[GradeType]]="Weapon",IF(E20=ItemTable[[#This Row],[GradeType]],B20+1,1000),ItemTable[[#This Row],[GradeType]]="Normal",IF(E20=ItemTable[[#This Row],[GradeType]],B20+1,2000),ItemTable[[#This Row],[GradeType]]="Rare",IF(E20=ItemTable[[#This Row],[GradeType]],B20+1,3000),ItemTable[[#This Row],[GradeType]]="Cursed",IF(E20=ItemTable[[#This Row],[GradeType]],B20+1,4000))</f>
        <v>4001</v>
      </c>
      <c r="C21" t="s">
        <v>172</v>
      </c>
      <c r="D21" t="s">
        <v>484</v>
      </c>
      <c r="E21" t="s">
        <v>94</v>
      </c>
      <c r="F21">
        <v>1</v>
      </c>
      <c r="G21">
        <f t="array" ref="G21">_xlfn.IFS(ItemTable[[#This Row],[GradeType]]="Normal",25,ItemTable[[#This Row],[GradeType]]="Cursed",50,ItemTable[[#This Row],[GradeType]]="Rare",50)</f>
        <v>50</v>
      </c>
      <c r="H21">
        <v>20</v>
      </c>
      <c r="I21">
        <f t="array" ref="I21">_xlfn.IFS(OR(ItemTable[[#This Row],[GradeType]]="Hp",ItemTable[[#This Row],[GradeType]]="Gold"),0,TRUE,5000+ItemTable[[#This Row],[Index]])</f>
        <v>9001</v>
      </c>
      <c r="J21" t="s">
        <v>306</v>
      </c>
      <c r="K21" s="4" t="str">
        <f>MID(ItemTable[[#This Row],[ItemIconPath]],FIND("icon",ItemTable[[#This Row],[ItemIconPath]]),999)</f>
        <v>icon/item/item_08.png</v>
      </c>
      <c r="L21" s="22" t="s">
        <v>459</v>
      </c>
      <c r="M21" s="21" t="s">
        <v>423</v>
      </c>
      <c r="N21" s="21" t="s">
        <v>425</v>
      </c>
      <c r="O21" s="21" t="str">
        <f t="shared" si="0"/>
        <v>어째선지 계속해서 울고 있는 양초입니다.\n\n&lt;size=20&gt;&lt;color=#97C456&gt;최대체력 +4하트&lt;/color&gt;&lt;/size&gt;\n&lt;size=20&gt;&lt;color=#FF6A6A&gt;이동속도 -25%&lt;/color&gt;&lt;/size&gt;</v>
      </c>
    </row>
    <row r="22" spans="2:15">
      <c r="B22">
        <f t="array" ref="B22">_xlfn.IFS(ItemTable[[#This Row],[GradeType]]="Hp",IF(E21=ItemTable[[#This Row],[GradeType]],B21+1,10),ItemTable[[#This Row],[GradeType]]="Gold",IF(E21=ItemTable[[#This Row],[GradeType]],B21+1,20),ItemTable[[#This Row],[GradeType]]="Weapon",IF(E21=ItemTable[[#This Row],[GradeType]],B21+1,1000),ItemTable[[#This Row],[GradeType]]="Normal",IF(E21=ItemTable[[#This Row],[GradeType]],B21+1,2000),ItemTable[[#This Row],[GradeType]]="Rare",IF(E21=ItemTable[[#This Row],[GradeType]],B21+1,3000),ItemTable[[#This Row],[GradeType]]="Cursed",IF(E21=ItemTable[[#This Row],[GradeType]],B21+1,4000))</f>
        <v>4002</v>
      </c>
      <c r="C22" t="s">
        <v>408</v>
      </c>
      <c r="D22" t="s">
        <v>485</v>
      </c>
      <c r="E22" t="s">
        <v>94</v>
      </c>
      <c r="F22">
        <v>1</v>
      </c>
      <c r="G22">
        <f t="array" ref="G22">_xlfn.IFS(ItemTable[[#This Row],[GradeType]]="Normal",25,ItemTable[[#This Row],[GradeType]]="Cursed",50,ItemTable[[#This Row],[GradeType]]="Rare",50)</f>
        <v>50</v>
      </c>
      <c r="H22">
        <v>20</v>
      </c>
      <c r="I22">
        <f t="array" ref="I22">_xlfn.IFS(OR(ItemTable[[#This Row],[GradeType]]="Hp",ItemTable[[#This Row],[GradeType]]="Gold"),0,TRUE,5000+ItemTable[[#This Row],[Index]])</f>
        <v>9002</v>
      </c>
      <c r="J22" t="s">
        <v>304</v>
      </c>
      <c r="K22" s="4" t="str">
        <f>MID(ItemTable[[#This Row],[ItemIconPath]],FIND("icon",ItemTable[[#This Row],[ItemIconPath]]),999)</f>
        <v>icon/item/item_14.png</v>
      </c>
      <c r="L22" s="22" t="s">
        <v>465</v>
      </c>
      <c r="M22" s="21" t="s">
        <v>421</v>
      </c>
      <c r="N22" s="21" t="s">
        <v>264</v>
      </c>
      <c r="O22" s="21" t="str">
        <f t="shared" si="0"/>
        <v>바싹 구워도 여전히 미끌거립니다.\n시각적 거부감을 이겨내고 한입\n베어물면 무엇이든 반대로 하고 싶어집니다.\n\n&lt;size=20&gt;&lt;color=#97C456&gt;공격력 +50%&lt;/color&gt;&lt;/size&gt;\n&lt;size=20&gt;&lt;color=#FF6A6A&gt;공격 방향이 반대가 됩니다.&lt;/color&gt;&lt;/size&gt;</v>
      </c>
    </row>
    <row r="23" spans="2:15">
      <c r="B23">
        <f t="array" ref="B23">_xlfn.IFS(ItemTable[[#This Row],[GradeType]]="Hp",IF(E22=ItemTable[[#This Row],[GradeType]],B22+1,10),ItemTable[[#This Row],[GradeType]]="Gold",IF(E22=ItemTable[[#This Row],[GradeType]],B22+1,20),ItemTable[[#This Row],[GradeType]]="Weapon",IF(E22=ItemTable[[#This Row],[GradeType]],B22+1,1000),ItemTable[[#This Row],[GradeType]]="Normal",IF(E22=ItemTable[[#This Row],[GradeType]],B22+1,2000),ItemTable[[#This Row],[GradeType]]="Rare",IF(E22=ItemTable[[#This Row],[GradeType]],B22+1,3000),ItemTable[[#This Row],[GradeType]]="Cursed",IF(E22=ItemTable[[#This Row],[GradeType]],B22+1,4000))</f>
        <v>4003</v>
      </c>
      <c r="C23" t="s">
        <v>399</v>
      </c>
      <c r="D23" t="s">
        <v>486</v>
      </c>
      <c r="E23" t="s">
        <v>94</v>
      </c>
      <c r="F23">
        <v>1</v>
      </c>
      <c r="G23">
        <v>50</v>
      </c>
      <c r="H23">
        <v>20</v>
      </c>
      <c r="I23">
        <f t="array" ref="I23">_xlfn.IFS(OR(ItemTable[[#This Row],[GradeType]]="Hp",ItemTable[[#This Row],[GradeType]]="Gold"),0,TRUE,5000+ItemTable[[#This Row],[Index]])</f>
        <v>9003</v>
      </c>
      <c r="J23" t="s">
        <v>305</v>
      </c>
      <c r="K23" s="4" t="str">
        <f>MID(ItemTable[[#This Row],[ItemIconPath]],FIND("icon",ItemTable[[#This Row],[ItemIconPath]]),999)</f>
        <v>icon/item/item_01.png</v>
      </c>
      <c r="L23" s="22" t="s">
        <v>460</v>
      </c>
      <c r="M23" s="21" t="s">
        <v>418</v>
      </c>
      <c r="N23" s="21" t="s">
        <v>427</v>
      </c>
      <c r="O23" s="21" t="str">
        <f t="shared" si="0"/>
        <v>낡은 추억들이 느껴집니다.\n3년 전 이 사람은...\n잠깐, 우리가 이걸봐도 괜찮은걸까요?\n\n&lt;size=20&gt;&lt;color=#97C456&gt;공격력 +60%&lt;/color&gt;&lt;/size&gt;\n&lt;size=20&gt;&lt;color=#FF6A6A&gt;최대체력 -2하트&lt;/color&gt;&lt;/size&gt;</v>
      </c>
    </row>
    <row r="24" spans="2:15">
      <c r="B24">
        <f t="array" ref="B24">_xlfn.IFS(ItemTable[[#This Row],[GradeType]]="Hp",IF(E23=ItemTable[[#This Row],[GradeType]],B23+1,10),ItemTable[[#This Row],[GradeType]]="Gold",IF(E23=ItemTable[[#This Row],[GradeType]],B23+1,20),ItemTable[[#This Row],[GradeType]]="Weapon",IF(E23=ItemTable[[#This Row],[GradeType]],B23+1,1000),ItemTable[[#This Row],[GradeType]]="Normal",IF(E23=ItemTable[[#This Row],[GradeType]],B23+1,2000),ItemTable[[#This Row],[GradeType]]="Rare",IF(E23=ItemTable[[#This Row],[GradeType]],B23+1,3000),ItemTable[[#This Row],[GradeType]]="Cursed",IF(E23=ItemTable[[#This Row],[GradeType]],B23+1,4000))</f>
        <v>4004</v>
      </c>
      <c r="C24" t="s">
        <v>58</v>
      </c>
      <c r="D24" s="20" t="s">
        <v>487</v>
      </c>
      <c r="E24" t="s">
        <v>94</v>
      </c>
      <c r="F24">
        <v>1</v>
      </c>
      <c r="G24">
        <f t="array" ref="G24">_xlfn.IFS(ItemTable[[#This Row],[GradeType]]="Normal",25,ItemTable[[#This Row],[GradeType]]="Cursed",50,ItemTable[[#This Row],[GradeType]]="Rare",50)</f>
        <v>50</v>
      </c>
      <c r="H24">
        <v>20</v>
      </c>
      <c r="I24">
        <f t="array" ref="I24">_xlfn.IFS(OR(ItemTable[[#This Row],[GradeType]]="Hp",ItemTable[[#This Row],[GradeType]]="Gold"),0,TRUE,5000+ItemTable[[#This Row],[Index]])</f>
        <v>9004</v>
      </c>
      <c r="J24" t="s">
        <v>283</v>
      </c>
      <c r="K24" s="4" t="str">
        <f>MID(ItemTable[[#This Row],[ItemIconPath]],FIND("icon",ItemTable[[#This Row],[ItemIconPath]]),999)</f>
        <v>icon/item/item_13.png</v>
      </c>
      <c r="L24" s="22" t="s">
        <v>488</v>
      </c>
      <c r="M24" s="22" t="s">
        <v>464</v>
      </c>
      <c r="N24" s="21" t="s">
        <v>430</v>
      </c>
      <c r="O24" s="21" t="str">
        <f t="shared" si="0"/>
        <v>1. 태양의 방향으로 기립.\n2. 팔을 벌려 Y자로 선다.\n3. 태양을 바라보며 외친다.\n\n&lt;size=20&gt;&lt;color=#97C456&gt;차징샷이 적을 관통합니다.&lt;/color&gt;&lt;/size&gt;\n&lt;size=20&gt;&lt;color=#FF6A6A&gt;공 충돌횟수 -1&lt;/color&gt;&lt;/size&gt;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150" verticalDpi="15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>
    <tabColor rgb="FFFBE5D7"/>
  </sheetPr>
  <dimension ref="B1:S29"/>
  <sheetViews>
    <sheetView topLeftCell="A3" zoomScaleNormal="75" zoomScaleSheetLayoutView="100" workbookViewId="0">
      <selection activeCell="I3" sqref="I3:I29"/>
    </sheetView>
  </sheetViews>
  <sheetFormatPr baseColWidth="10" defaultColWidth="8.83203125" defaultRowHeight="17"/>
  <cols>
    <col min="2" max="2" width="12.33203125" bestFit="1" customWidth="1"/>
    <col min="3" max="3" width="20" bestFit="1" customWidth="1"/>
    <col min="4" max="4" width="10.1640625" bestFit="1" customWidth="1"/>
    <col min="5" max="5" width="8.6640625" bestFit="1" customWidth="1"/>
    <col min="6" max="6" width="21.1640625" bestFit="1" customWidth="1"/>
    <col min="7" max="7" width="21.1640625" customWidth="1"/>
    <col min="8" max="8" width="39.5" customWidth="1"/>
    <col min="9" max="9" width="32.33203125" customWidth="1"/>
    <col min="10" max="10" width="22.5" bestFit="1" customWidth="1"/>
    <col min="11" max="11" width="21.6640625" bestFit="1" customWidth="1"/>
    <col min="12" max="12" width="22.83203125" bestFit="1" customWidth="1"/>
    <col min="13" max="13" width="17.1640625" customWidth="1"/>
    <col min="14" max="14" width="19.6640625" customWidth="1"/>
    <col min="15" max="15" width="19.6640625" style="12" customWidth="1"/>
    <col min="16" max="17" width="20.33203125" customWidth="1"/>
    <col min="18" max="19" width="17.1640625" customWidth="1"/>
  </cols>
  <sheetData>
    <row r="1" spans="2:19">
      <c r="E1" t="s">
        <v>49</v>
      </c>
      <c r="F1" t="s">
        <v>134</v>
      </c>
      <c r="G1" t="s">
        <v>103</v>
      </c>
      <c r="J1" t="s">
        <v>103</v>
      </c>
      <c r="K1" t="s">
        <v>134</v>
      </c>
      <c r="L1" t="s">
        <v>134</v>
      </c>
      <c r="M1" s="12" t="s">
        <v>160</v>
      </c>
      <c r="N1" s="12"/>
      <c r="P1" s="12"/>
      <c r="Q1" s="12"/>
    </row>
    <row r="2" spans="2:19">
      <c r="B2" s="6" t="s">
        <v>132</v>
      </c>
      <c r="C2" s="6" t="s">
        <v>135</v>
      </c>
      <c r="D2" s="6" t="s">
        <v>137</v>
      </c>
      <c r="E2" t="s">
        <v>79</v>
      </c>
      <c r="F2" t="s">
        <v>315</v>
      </c>
      <c r="G2" t="s">
        <v>393</v>
      </c>
      <c r="H2" s="6" t="s">
        <v>131</v>
      </c>
      <c r="I2" s="6" t="s">
        <v>180</v>
      </c>
      <c r="J2" t="s">
        <v>308</v>
      </c>
      <c r="K2" t="s">
        <v>13</v>
      </c>
      <c r="L2" t="s">
        <v>309</v>
      </c>
      <c r="M2" s="6" t="s">
        <v>156</v>
      </c>
      <c r="N2" s="6" t="s">
        <v>165</v>
      </c>
      <c r="O2" s="6" t="s">
        <v>256</v>
      </c>
      <c r="P2" s="2" t="s">
        <v>164</v>
      </c>
      <c r="Q2" s="6" t="s">
        <v>153</v>
      </c>
      <c r="R2" s="16" t="s">
        <v>163</v>
      </c>
      <c r="S2" s="16" t="s">
        <v>166</v>
      </c>
    </row>
    <row r="3" spans="2:19" ht="18">
      <c r="B3" s="4"/>
      <c r="C3" s="4" t="str">
        <f>INDEX(ItemTable[Name],MATCH(ItemEffectTable[[#This Row],[Index]],ItemTable[ItemEffectDataId],0))</f>
        <v>메탈유니콘 키링</v>
      </c>
      <c r="D3" s="4" t="str">
        <f>INDEX(ItemTable[GradeType],MATCH(ItemEffectTable[[#This Row],[Index]],ItemTable[ItemEffectDataId],0))</f>
        <v>Normal</v>
      </c>
      <c r="E3">
        <v>7000</v>
      </c>
      <c r="F3" t="s">
        <v>409</v>
      </c>
      <c r="G3" s="13" t="s">
        <v>239</v>
      </c>
      <c r="H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3" s="5" t="s">
        <v>422</v>
      </c>
      <c r="J3">
        <v>0.7</v>
      </c>
      <c r="K3" t="s">
        <v>410</v>
      </c>
      <c r="L3" t="s">
        <v>183</v>
      </c>
      <c r="M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3" s="5">
        <f t="array" ref="N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3" s="17" t="s">
        <v>61</v>
      </c>
      <c r="P3" s="5">
        <f t="array" ref="P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1.0499999999999998</v>
      </c>
      <c r="Q3" s="5">
        <f t="array" ref="Q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30.000000000000014</v>
      </c>
      <c r="R3" s="5">
        <f t="array" ref="R3">SUM(IF($E$3:$E$56=E3,$Q$3:$Q$56))</f>
        <v>30.000000000000014</v>
      </c>
      <c r="S3" s="5">
        <f>INDEX(표9[],MATCH(ItemEffectTable[[#This Row],['#Grade]],표9[#Headers],0))-ItemEffectTable[[#This Row],['#총 효력가치]]</f>
        <v>0</v>
      </c>
    </row>
    <row r="4" spans="2:19" ht="18">
      <c r="B4" s="4"/>
      <c r="C4" s="4" t="str">
        <f>INDEX(ItemTable[Name],MATCH(ItemEffectTable[[#This Row],[Index]],ItemTable[ItemEffectDataId],0))</f>
        <v>챔피언 모자</v>
      </c>
      <c r="D4" s="4" t="str">
        <f>INDEX(ItemTable[GradeType],MATCH(ItemEffectTable[[#This Row],[Index]],ItemTable[ItemEffectDataId],0))</f>
        <v>Normal</v>
      </c>
      <c r="E4">
        <v>7001</v>
      </c>
      <c r="F4" t="s">
        <v>409</v>
      </c>
      <c r="G4" s="13" t="s">
        <v>355</v>
      </c>
      <c r="H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공격 범위 반지름 변경</v>
      </c>
      <c r="I4" s="5" t="s">
        <v>429</v>
      </c>
      <c r="J4">
        <v>1.2</v>
      </c>
      <c r="K4" s="13" t="s">
        <v>410</v>
      </c>
      <c r="L4" t="s">
        <v>183</v>
      </c>
      <c r="M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4" s="5">
        <f t="array" ref="N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2.2999999999999998</v>
      </c>
      <c r="O4" s="17"/>
      <c r="P4" s="5">
        <f t="array" ref="P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2.76</v>
      </c>
      <c r="Q4" s="5">
        <f t="array" ref="Q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4" s="5">
        <f t="array" ref="R4">SUM(IF($E$3:$E$56=E4,$Q$3:$Q$56))</f>
        <v>30</v>
      </c>
      <c r="S4" s="5">
        <f>INDEX(표9[],MATCH(ItemEffectTable[[#This Row],['#Grade]],표9[#Headers],0))-ItemEffectTable[[#This Row],['#총 효력가치]]</f>
        <v>0</v>
      </c>
    </row>
    <row r="5" spans="2:19" ht="18">
      <c r="B5" s="4"/>
      <c r="C5" s="4" t="str">
        <f>INDEX(ItemTable[Name],MATCH(ItemEffectTable[[#This Row],[Index]],ItemTable[ItemEffectDataId],0))</f>
        <v>쿨 - 도그</v>
      </c>
      <c r="D5" s="4" t="str">
        <f>INDEX(ItemTable[GradeType],MATCH(ItemEffectTable[[#This Row],[Index]],ItemTable[ItemEffectDataId],0))</f>
        <v>Normal</v>
      </c>
      <c r="E5">
        <v>7002</v>
      </c>
      <c r="F5" t="s">
        <v>409</v>
      </c>
      <c r="G5" s="13" t="s">
        <v>400</v>
      </c>
      <c r="H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5" s="5" t="s">
        <v>417</v>
      </c>
      <c r="J5">
        <v>0.8</v>
      </c>
      <c r="K5" t="s">
        <v>410</v>
      </c>
      <c r="L5" t="s">
        <v>183</v>
      </c>
      <c r="M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5" s="5">
        <f t="array" ref="N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5" s="17"/>
      <c r="P5" s="5">
        <f t="array" ref="P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0.8</v>
      </c>
      <c r="Q5" s="5">
        <f t="array" ref="Q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29.999999999999993</v>
      </c>
      <c r="R5" s="5">
        <f t="array" ref="R5">SUM(IF($E$3:$E$56=E5,$Q$3:$Q$56))</f>
        <v>29.999999999999993</v>
      </c>
      <c r="S5" s="5">
        <f>INDEX(표9[],MATCH(ItemEffectTable[[#This Row],['#Grade]],표9[#Headers],0))-ItemEffectTable[[#This Row],['#총 효력가치]]</f>
        <v>0</v>
      </c>
    </row>
    <row r="6" spans="2:19" ht="18">
      <c r="B6" s="4"/>
      <c r="C6" s="4" t="str">
        <f>INDEX(ItemTable[Name],MATCH(ItemEffectTable[[#This Row],[Index]],ItemTable[ItemEffectDataId],0))</f>
        <v>QT 파우더</v>
      </c>
      <c r="D6" s="4" t="str">
        <f>INDEX(ItemTable[GradeType],MATCH(ItemEffectTable[[#This Row],[Index]],ItemTable[ItemEffectDataId],0))</f>
        <v>Normal</v>
      </c>
      <c r="E6">
        <v>7003</v>
      </c>
      <c r="F6" t="s">
        <v>409</v>
      </c>
      <c r="G6" s="13" t="s">
        <v>24</v>
      </c>
      <c r="H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6" s="5" t="s">
        <v>416</v>
      </c>
      <c r="J6">
        <v>1</v>
      </c>
      <c r="K6" t="s">
        <v>407</v>
      </c>
      <c r="L6" t="s">
        <v>183</v>
      </c>
      <c r="M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6" s="5">
        <f t="array" ref="N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6" s="17"/>
      <c r="P6" s="5">
        <f t="array" ref="P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6" s="5">
        <f t="array" ref="Q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6" s="5">
        <f t="array" ref="R6">SUM(IF($E$3:$E$56=E6,$Q$3:$Q$56))</f>
        <v>30</v>
      </c>
      <c r="S6" s="5">
        <f>INDEX(표9[],MATCH(ItemEffectTable[[#This Row],['#Grade]],표9[#Headers],0))-ItemEffectTable[[#This Row],['#총 효력가치]]</f>
        <v>0</v>
      </c>
    </row>
    <row r="7" spans="2:19" ht="18">
      <c r="B7" s="4"/>
      <c r="C7" s="4" t="str">
        <f>INDEX(ItemTable[Name],MATCH(ItemEffectTable[[#This Row],[Index]],ItemTable[ItemEffectDataId],0))</f>
        <v>QT 파우더</v>
      </c>
      <c r="D7" s="4" t="str">
        <f>INDEX(ItemTable[GradeType],MATCH(ItemEffectTable[[#This Row],[Index]],ItemTable[ItemEffectDataId],0))</f>
        <v>Normal</v>
      </c>
      <c r="E7">
        <v>7003</v>
      </c>
      <c r="F7" t="s">
        <v>409</v>
      </c>
      <c r="G7" s="13" t="s">
        <v>30</v>
      </c>
      <c r="H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7" s="5" t="s">
        <v>416</v>
      </c>
      <c r="J7">
        <v>1</v>
      </c>
      <c r="K7" t="s">
        <v>407</v>
      </c>
      <c r="L7" t="s">
        <v>183</v>
      </c>
      <c r="M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7" s="5">
        <f t="array" ref="N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7" s="17"/>
      <c r="P7" s="5">
        <f t="array" ref="P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</v>
      </c>
      <c r="Q7" s="5">
        <f t="array" ref="Q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15</v>
      </c>
      <c r="R7" s="5">
        <f t="array" ref="R7">SUM(IF($E$3:$E$56=E7,$Q$3:$Q$56))</f>
        <v>30</v>
      </c>
      <c r="S7" s="5">
        <f>INDEX(표9[],MATCH(ItemEffectTable[[#This Row],['#Grade]],표9[#Headers],0))-ItemEffectTable[[#This Row],['#총 효력가치]]</f>
        <v>0</v>
      </c>
    </row>
    <row r="8" spans="2:19" ht="18">
      <c r="B8" s="4"/>
      <c r="C8" s="4" t="str">
        <f>INDEX(ItemTable[Name],MATCH(ItemEffectTable[[#This Row],[Index]],ItemTable[ItemEffectDataId],0))</f>
        <v>적토목마</v>
      </c>
      <c r="D8" s="4" t="str">
        <f>INDEX(ItemTable[GradeType],MATCH(ItemEffectTable[[#This Row],[Index]],ItemTable[ItemEffectDataId],0))</f>
        <v>Normal</v>
      </c>
      <c r="E8">
        <v>7004</v>
      </c>
      <c r="F8" t="s">
        <v>409</v>
      </c>
      <c r="G8" s="13" t="s">
        <v>2</v>
      </c>
      <c r="H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8" s="5" t="s">
        <v>415</v>
      </c>
      <c r="J8">
        <v>1.1000000000000001</v>
      </c>
      <c r="K8" s="13" t="s">
        <v>410</v>
      </c>
      <c r="L8" t="s">
        <v>183</v>
      </c>
      <c r="M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8" s="5">
        <f t="array" ref="N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8" s="17"/>
      <c r="P8" s="5">
        <f t="array" ref="P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6.6000000000000005</v>
      </c>
      <c r="Q8" s="5">
        <f t="array" ref="Q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30.000000000000028</v>
      </c>
      <c r="R8" s="5">
        <f t="array" ref="R8">SUM(IF($E$3:$E$56=E8,$Q$3:$Q$56))</f>
        <v>30.000000000000028</v>
      </c>
      <c r="S8" s="18">
        <f>INDEX(표9[],MATCH(ItemEffectTable[[#This Row],['#Grade]],표9[#Headers],0))-ItemEffectTable[[#This Row],['#총 효력가치]]</f>
        <v>-2.8421709430404007E-14</v>
      </c>
    </row>
    <row r="9" spans="2:19" ht="18">
      <c r="B9" s="4"/>
      <c r="C9" s="4" t="str">
        <f>INDEX(ItemTable[Name],MATCH(ItemEffectTable[[#This Row],[Index]],ItemTable[ItemEffectDataId],0))</f>
        <v>삼각김곰</v>
      </c>
      <c r="D9" s="4" t="str">
        <f>INDEX(ItemTable[GradeType],MATCH(ItemEffectTable[[#This Row],[Index]],ItemTable[ItemEffectDataId],0))</f>
        <v>Normal</v>
      </c>
      <c r="E9">
        <v>7005</v>
      </c>
      <c r="F9" t="s">
        <v>409</v>
      </c>
      <c r="G9" s="13" t="s">
        <v>59</v>
      </c>
      <c r="H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9" s="5" t="s">
        <v>413</v>
      </c>
      <c r="J9">
        <v>50</v>
      </c>
      <c r="K9" t="s">
        <v>407</v>
      </c>
      <c r="L9" t="s">
        <v>183</v>
      </c>
      <c r="M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9" s="5">
        <f t="array" ref="N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9" s="17"/>
      <c r="P9" s="5">
        <f t="array" ref="P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125</v>
      </c>
      <c r="Q9" s="5">
        <f t="array" ref="Q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9" s="5">
        <f t="array" ref="R9">SUM(IF($E$3:$E$56=E9,$Q$3:$Q$56))</f>
        <v>30</v>
      </c>
      <c r="S9" s="5">
        <f>INDEX(표9[],MATCH(ItemEffectTable[[#This Row],['#Grade]],표9[#Headers],0))-ItemEffectTable[[#This Row],['#총 효력가치]]</f>
        <v>0</v>
      </c>
    </row>
    <row r="10" spans="2:19" ht="18">
      <c r="B10" s="4"/>
      <c r="C10" s="4" t="str">
        <f>INDEX(ItemTable[Name],MATCH(ItemEffectTable[[#This Row],[Index]],ItemTable[ItemEffectDataId],0))</f>
        <v>데빌불</v>
      </c>
      <c r="D10" s="4" t="str">
        <f>INDEX(ItemTable[GradeType],MATCH(ItemEffectTable[[#This Row],[Index]],ItemTable[ItemEffectDataId],0))</f>
        <v>Rare</v>
      </c>
      <c r="E10">
        <v>8000</v>
      </c>
      <c r="F10" t="s">
        <v>409</v>
      </c>
      <c r="G10" s="13" t="s">
        <v>356</v>
      </c>
      <c r="H1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0" s="5" t="s">
        <v>301</v>
      </c>
      <c r="J10" t="s">
        <v>444</v>
      </c>
      <c r="K10" t="s">
        <v>407</v>
      </c>
      <c r="L10" t="s">
        <v>298</v>
      </c>
      <c r="M1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0" s="5">
        <f t="array" ref="N1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0" s="17">
        <f>2*0.1</f>
        <v>0.2</v>
      </c>
      <c r="P10" s="5">
        <f t="array" ref="P1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0" s="5">
        <f t="array" ref="Q1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0" s="5">
        <f t="array" ref="R10">SUM(IF($E$3:$E$56=E10,$Q$3:$Q$56))</f>
        <v>33.333333333333329</v>
      </c>
      <c r="S10" s="5">
        <f>INDEX(표9[],MATCH(ItemEffectTable[[#This Row],['#Grade]],표9[#Headers],0))-ItemEffectTable[[#This Row],['#총 효력가치]]</f>
        <v>16.666666666666671</v>
      </c>
    </row>
    <row r="11" spans="2:19" ht="18">
      <c r="B11" s="4"/>
      <c r="C11" s="4" t="str">
        <f>INDEX(ItemTable[Name],MATCH(ItemEffectTable[[#This Row],[Index]],ItemTable[ItemEffectDataId],0))</f>
        <v>대인 지뢰</v>
      </c>
      <c r="D11" s="4" t="str">
        <f>INDEX(ItemTable[GradeType],MATCH(ItemEffectTable[[#This Row],[Index]],ItemTable[ItemEffectDataId],0))</f>
        <v>Rare</v>
      </c>
      <c r="E11">
        <v>8001</v>
      </c>
      <c r="F11" t="s">
        <v>409</v>
      </c>
      <c r="G11" s="13" t="s">
        <v>356</v>
      </c>
      <c r="H1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1" s="5" t="s">
        <v>38</v>
      </c>
      <c r="J11" t="s">
        <v>302</v>
      </c>
      <c r="K11" t="s">
        <v>407</v>
      </c>
      <c r="L11" t="s">
        <v>411</v>
      </c>
      <c r="M1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1" s="5">
        <f t="array" ref="N1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1" s="17">
        <f>((6*25)-(2*25))*0.002</f>
        <v>0.2</v>
      </c>
      <c r="P11" s="5">
        <f t="array" ref="P1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1.2</v>
      </c>
      <c r="Q11" s="5">
        <f t="array" ref="Q1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33.333333333333329</v>
      </c>
      <c r="R11" s="5">
        <f t="array" ref="R11">SUM(IF($E$3:$E$56=E11,$Q$3:$Q$56))</f>
        <v>33.333333333333329</v>
      </c>
      <c r="S11" s="5">
        <f>INDEX(표9[],MATCH(ItemEffectTable[[#This Row],['#Grade]],표9[#Headers],0))-ItemEffectTable[[#This Row],['#총 효력가치]]</f>
        <v>16.666666666666671</v>
      </c>
    </row>
    <row r="12" spans="2:19">
      <c r="B12" s="4"/>
      <c r="C12" s="4" t="str">
        <f>INDEX(ItemTable[Name],MATCH(ItemEffectTable[[#This Row],[Index]],ItemTable[ItemEffectDataId],0))</f>
        <v>돌가면</v>
      </c>
      <c r="D12" s="4" t="str">
        <f>INDEX(ItemTable[GradeType],MATCH(ItemEffectTable[[#This Row],[Index]],ItemTable[ItemEffectDataId],0))</f>
        <v>Rare</v>
      </c>
      <c r="E12">
        <v>8002</v>
      </c>
      <c r="F12" t="s">
        <v>409</v>
      </c>
      <c r="G12" t="s">
        <v>356</v>
      </c>
      <c r="H1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2" s="5" t="s">
        <v>434</v>
      </c>
      <c r="J12">
        <v>0.1</v>
      </c>
      <c r="K12" t="s">
        <v>407</v>
      </c>
      <c r="L12" t="s">
        <v>183</v>
      </c>
      <c r="M1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2" s="5">
        <f t="array" ref="N1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2" s="17"/>
      <c r="P12" s="5">
        <f t="array" ref="P1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1.1000000000000001</v>
      </c>
      <c r="Q12" s="5">
        <f t="array" ref="Q1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16.666666666666682</v>
      </c>
      <c r="R12" s="5">
        <f t="array" ref="R12">SUM(IF($E$3:$E$56=E12,$Q$3:$Q$56))</f>
        <v>48.333333333333357</v>
      </c>
      <c r="S12" s="5">
        <f>INDEX(표9[],MATCH(ItemEffectTable[[#This Row],['#Grade]],표9[#Headers],0))-ItemEffectTable[[#This Row],['#총 효력가치]]</f>
        <v>1.666666666666643</v>
      </c>
    </row>
    <row r="13" spans="2:19">
      <c r="B13" s="4"/>
      <c r="C13" s="4" t="str">
        <f>INDEX(ItemTable[Name],MATCH(ItemEffectTable[[#This Row],[Index]],ItemTable[ItemEffectDataId],0))</f>
        <v>돌가면</v>
      </c>
      <c r="D13" s="4" t="str">
        <f>INDEX(ItemTable[GradeType],MATCH(ItemEffectTable[[#This Row],[Index]],ItemTable[ItemEffectDataId],0))</f>
        <v>Rare</v>
      </c>
      <c r="E13">
        <v>8002</v>
      </c>
      <c r="F13" t="s">
        <v>409</v>
      </c>
      <c r="G13" t="s">
        <v>2</v>
      </c>
      <c r="H1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13" s="5" t="s">
        <v>434</v>
      </c>
      <c r="J13">
        <v>0.5</v>
      </c>
      <c r="K13" t="s">
        <v>407</v>
      </c>
      <c r="L13" t="s">
        <v>183</v>
      </c>
      <c r="M1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3" s="5">
        <f t="array" ref="N1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13" s="17"/>
      <c r="P13" s="5">
        <f t="array" ref="P1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6.5</v>
      </c>
      <c r="Q13" s="5">
        <f t="array" ref="Q1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25</v>
      </c>
      <c r="R13" s="5">
        <f t="array" ref="R13">SUM(IF($E$3:$E$56=E13,$Q$3:$Q$56))</f>
        <v>48.333333333333357</v>
      </c>
      <c r="S13" s="5">
        <f>INDEX(표9[],MATCH(ItemEffectTable[[#This Row],['#Grade]],표9[#Headers],0))-ItemEffectTable[[#This Row],['#총 효력가치]]</f>
        <v>1.666666666666643</v>
      </c>
    </row>
    <row r="14" spans="2:19">
      <c r="B14" s="4"/>
      <c r="C14" s="4" t="str">
        <f>INDEX(ItemTable[Name],MATCH(ItemEffectTable[[#This Row],[Index]],ItemTable[ItemEffectDataId],0))</f>
        <v>돌가면</v>
      </c>
      <c r="D14" s="4" t="str">
        <f>INDEX(ItemTable[GradeType],MATCH(ItemEffectTable[[#This Row],[Index]],ItemTable[ItemEffectDataId],0))</f>
        <v>Rare</v>
      </c>
      <c r="E14">
        <v>8002</v>
      </c>
      <c r="F14" t="s">
        <v>409</v>
      </c>
      <c r="G14" t="s">
        <v>239</v>
      </c>
      <c r="H1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4" s="5" t="s">
        <v>434</v>
      </c>
      <c r="J14">
        <v>-0.1</v>
      </c>
      <c r="K14" t="s">
        <v>407</v>
      </c>
      <c r="L14" t="s">
        <v>183</v>
      </c>
      <c r="M1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4" s="5">
        <f t="array" ref="N1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4" s="17"/>
      <c r="P14" s="5">
        <f t="array" ref="P1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1.4</v>
      </c>
      <c r="Q14" s="5">
        <f t="array" ref="Q1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6.6666666666666732</v>
      </c>
      <c r="R14" s="5">
        <f t="array" ref="R14">SUM(IF($E$3:$E$56=E14,$Q$3:$Q$56))</f>
        <v>48.333333333333357</v>
      </c>
      <c r="S14" s="5">
        <f>INDEX(표9[],MATCH(ItemEffectTable[[#This Row],['#Grade]],표9[#Headers],0))-ItemEffectTable[[#This Row],['#총 효력가치]]</f>
        <v>1.666666666666643</v>
      </c>
    </row>
    <row r="15" spans="2:19">
      <c r="B15" s="4"/>
      <c r="C15" s="4" t="str">
        <f>INDEX(ItemTable[Name],MATCH(ItemEffectTable[[#This Row],[Index]],ItemTable[ItemEffectDataId],0))</f>
        <v>사나운 돼지저금통</v>
      </c>
      <c r="D15" s="4" t="str">
        <f>INDEX(ItemTable[GradeType],MATCH(ItemEffectTable[[#This Row],[Index]],ItemTable[ItemEffectDataId],0))</f>
        <v>Rare</v>
      </c>
      <c r="E15">
        <v>8003</v>
      </c>
      <c r="F15" t="s">
        <v>409</v>
      </c>
      <c r="G15" t="s">
        <v>310</v>
      </c>
      <c r="H1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골드획득량변경</v>
      </c>
      <c r="I15" s="5" t="s">
        <v>412</v>
      </c>
      <c r="J15">
        <v>0.5</v>
      </c>
      <c r="K15" t="s">
        <v>407</v>
      </c>
      <c r="L15" t="s">
        <v>183</v>
      </c>
      <c r="M1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15" s="5">
        <f t="array" ref="N1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5" s="17"/>
      <c r="P15" s="5">
        <f t="array" ref="P1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15" s="5">
        <f t="array" ref="Q1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</v>
      </c>
      <c r="R15" s="5">
        <f t="array" ref="R15">SUM(IF($E$3:$E$56=E15,$Q$3:$Q$56))</f>
        <v>50</v>
      </c>
      <c r="S15" s="5">
        <f>INDEX(표9[],MATCH(ItemEffectTable[[#This Row],['#Grade]],표9[#Headers],0))-ItemEffectTable[[#This Row],['#총 효력가치]]</f>
        <v>0</v>
      </c>
    </row>
    <row r="16" spans="2:19" ht="18">
      <c r="B16" s="4"/>
      <c r="C16" s="4" t="str">
        <f>INDEX(ItemTable[Name],MATCH(ItemEffectTable[[#This Row],[Index]],ItemTable[ItemEffectDataId],0))</f>
        <v>성배 속 무언가</v>
      </c>
      <c r="D16" s="4" t="str">
        <f>INDEX(ItemTable[GradeType],MATCH(ItemEffectTable[[#This Row],[Index]],ItemTable[ItemEffectDataId],0))</f>
        <v>Rare</v>
      </c>
      <c r="E16">
        <v>8004</v>
      </c>
      <c r="F16" t="s">
        <v>409</v>
      </c>
      <c r="G16" s="13" t="s">
        <v>24</v>
      </c>
      <c r="H1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16" s="5" t="s">
        <v>414</v>
      </c>
      <c r="J16">
        <v>2</v>
      </c>
      <c r="K16" t="s">
        <v>407</v>
      </c>
      <c r="L16" t="s">
        <v>183</v>
      </c>
      <c r="M1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6" s="5">
        <f t="array" ref="N1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6" s="17"/>
      <c r="P16" s="5">
        <f t="array" ref="P1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3</v>
      </c>
      <c r="Q16" s="5">
        <f t="array" ref="Q1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6" s="5">
        <f t="array" ref="R16">SUM(IF($E$3:$E$56=E16,$Q$3:$Q$56))</f>
        <v>60</v>
      </c>
      <c r="S16" s="5">
        <f>INDEX(표9[],MATCH(ItemEffectTable[[#This Row],['#Grade]],표9[#Headers],0))-ItemEffectTable[[#This Row],['#총 효력가치]]</f>
        <v>-10</v>
      </c>
    </row>
    <row r="17" spans="2:19" ht="18">
      <c r="B17" s="4"/>
      <c r="C17" s="4" t="str">
        <f>INDEX(ItemTable[Name],MATCH(ItemEffectTable[[#This Row],[Index]],ItemTable[ItemEffectDataId],0))</f>
        <v>성배 속 무언가</v>
      </c>
      <c r="D17" s="4" t="str">
        <f>INDEX(ItemTable[GradeType],MATCH(ItemEffectTable[[#This Row],[Index]],ItemTable[ItemEffectDataId],0))</f>
        <v>Rare</v>
      </c>
      <c r="E17">
        <v>8004</v>
      </c>
      <c r="F17" t="s">
        <v>409</v>
      </c>
      <c r="G17" s="13" t="s">
        <v>30</v>
      </c>
      <c r="H1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17" s="5" t="s">
        <v>414</v>
      </c>
      <c r="J17">
        <v>2</v>
      </c>
      <c r="K17" t="s">
        <v>407</v>
      </c>
      <c r="L17" t="s">
        <v>183</v>
      </c>
      <c r="M1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7" s="5">
        <f t="array" ref="N1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17" s="17"/>
      <c r="P17" s="5">
        <f t="array" ref="P1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5</v>
      </c>
      <c r="Q17" s="5">
        <f t="array" ref="Q1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30</v>
      </c>
      <c r="R17" s="5">
        <f t="array" ref="R17">SUM(IF($E$3:$E$56=E17,$Q$3:$Q$56))</f>
        <v>60</v>
      </c>
      <c r="S17" s="5">
        <f>INDEX(표9[],MATCH(ItemEffectTable[[#This Row],['#Grade]],표9[#Headers],0))-ItemEffectTable[[#This Row],['#총 효력가치]]</f>
        <v>-10</v>
      </c>
    </row>
    <row r="18" spans="2:19" ht="18">
      <c r="B18" s="4"/>
      <c r="C18" s="4" t="str">
        <f>INDEX(ItemTable[Name],MATCH(ItemEffectTable[[#This Row],[Index]],ItemTable[ItemEffectDataId],0))</f>
        <v>이상한 사탕</v>
      </c>
      <c r="D18" s="4" t="str">
        <f>INDEX(ItemTable[GradeType],MATCH(ItemEffectTable[[#This Row],[Index]],ItemTable[ItemEffectDataId],0))</f>
        <v>Rare</v>
      </c>
      <c r="E18">
        <v>8005</v>
      </c>
      <c r="F18" t="s">
        <v>409</v>
      </c>
      <c r="G18" s="13" t="s">
        <v>356</v>
      </c>
      <c r="H1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18" s="5" t="s">
        <v>39</v>
      </c>
      <c r="J18" t="s">
        <v>442</v>
      </c>
      <c r="K18" t="s">
        <v>407</v>
      </c>
      <c r="L18" t="s">
        <v>449</v>
      </c>
      <c r="M1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8" s="5">
        <f t="array" ref="N1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18" s="17">
        <f>3*0.1</f>
        <v>0.30000000000000004</v>
      </c>
      <c r="P18" s="5">
        <f t="array" ref="P1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1.3</v>
      </c>
      <c r="Q18" s="5">
        <f t="array" ref="Q1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50.000000000000014</v>
      </c>
      <c r="R18" s="5">
        <f t="array" ref="R18">SUM(IF($E$3:$E$56=E18,$Q$3:$Q$56))</f>
        <v>50.000000000000014</v>
      </c>
      <c r="S18" s="5">
        <f>INDEX(표9[],MATCH(ItemEffectTable[[#This Row],['#Grade]],표9[#Headers],0))-ItemEffectTable[[#This Row],['#총 효력가치]]</f>
        <v>0</v>
      </c>
    </row>
    <row r="19" spans="2:19" ht="18">
      <c r="B19" s="4"/>
      <c r="C19" s="4" t="str">
        <f>INDEX(ItemTable[Name],MATCH(ItemEffectTable[[#This Row],[Index]],ItemTable[ItemEffectDataId],0))</f>
        <v>코코아 한통</v>
      </c>
      <c r="D19" s="4" t="str">
        <f>INDEX(ItemTable[GradeType],MATCH(ItemEffectTable[[#This Row],[Index]],ItemTable[ItemEffectDataId],0))</f>
        <v>Cursed</v>
      </c>
      <c r="E19">
        <v>9000</v>
      </c>
      <c r="F19" t="s">
        <v>409</v>
      </c>
      <c r="G19" s="13" t="s">
        <v>239</v>
      </c>
      <c r="H1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휘두르기 재사용 시간 변경</v>
      </c>
      <c r="I19" s="5" t="s">
        <v>300</v>
      </c>
      <c r="J19">
        <v>1.2</v>
      </c>
      <c r="K19" t="s">
        <v>410</v>
      </c>
      <c r="L19" t="s">
        <v>183</v>
      </c>
      <c r="M1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19" s="5">
        <f t="array" ref="N1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1.5</v>
      </c>
      <c r="O19" s="17"/>
      <c r="P19" s="5">
        <f t="array" ref="P1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1.7999999999999998</v>
      </c>
      <c r="Q19" s="5">
        <f t="array" ref="Q1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-19.999999999999989</v>
      </c>
      <c r="R19" s="5">
        <f t="array" ref="R19">SUM(IF($E$3:$E$56=E19,$Q$3:$Q$56))</f>
        <v>47.500000000000014</v>
      </c>
      <c r="S19" s="5">
        <f>INDEX(표9[],MATCH(ItemEffectTable[[#This Row],['#Grade]],표9[#Headers],0))-ItemEffectTable[[#This Row],['#총 효력가치]]</f>
        <v>2.4999999999999858</v>
      </c>
    </row>
    <row r="20" spans="2:19" ht="18">
      <c r="B20" s="4"/>
      <c r="C20" s="4" t="str">
        <f>INDEX(ItemTable[Name],MATCH(ItemEffectTable[[#This Row],[Index]],ItemTable[ItemEffectDataId],0))</f>
        <v>코코아 한통</v>
      </c>
      <c r="D20" s="4" t="str">
        <f>INDEX(ItemTable[GradeType],MATCH(ItemEffectTable[[#This Row],[Index]],ItemTable[ItemEffectDataId],0))</f>
        <v>Cursed</v>
      </c>
      <c r="E20">
        <v>9000</v>
      </c>
      <c r="F20" t="s">
        <v>409</v>
      </c>
      <c r="G20" s="13" t="s">
        <v>400</v>
      </c>
      <c r="H20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차징속도변경-1단계</v>
      </c>
      <c r="I20" s="5" t="s">
        <v>300</v>
      </c>
      <c r="J20">
        <v>0.55000000000000004</v>
      </c>
      <c r="K20" t="s">
        <v>410</v>
      </c>
      <c r="L20" t="s">
        <v>183</v>
      </c>
      <c r="M20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0" s="5">
        <f t="array" ref="N20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0" s="17"/>
      <c r="P20" s="5">
        <f t="array" ref="P20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0.55000000000000004</v>
      </c>
      <c r="Q20" s="5">
        <f t="array" ref="Q20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67.5</v>
      </c>
      <c r="R20" s="5">
        <f t="array" ref="R20">SUM(IF($E$3:$E$56=E20,$Q$3:$Q$56))</f>
        <v>47.500000000000014</v>
      </c>
      <c r="S20" s="5">
        <f>INDEX(표9[],MATCH(ItemEffectTable[[#This Row],['#Grade]],표9[#Headers],0))-ItemEffectTable[[#This Row],['#총 효력가치]]</f>
        <v>2.4999999999999858</v>
      </c>
    </row>
    <row r="21" spans="2:19">
      <c r="B21" s="4"/>
      <c r="C21" s="4" t="str">
        <f>INDEX(ItemTable[Name],MATCH(ItemEffectTable[[#This Row],[Index]],ItemTable[ItemEffectDataId],0))</f>
        <v>슬픈 캔리오</v>
      </c>
      <c r="D21" s="4" t="str">
        <f>INDEX(ItemTable[GradeType],MATCH(ItemEffectTable[[#This Row],[Index]],ItemTable[ItemEffectDataId],0))</f>
        <v>Cursed</v>
      </c>
      <c r="E21">
        <v>9001</v>
      </c>
      <c r="F21" t="s">
        <v>409</v>
      </c>
      <c r="G21" t="s">
        <v>2</v>
      </c>
      <c r="H21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이동속도변경</v>
      </c>
      <c r="I21" s="5" t="s">
        <v>299</v>
      </c>
      <c r="J21">
        <v>0.75</v>
      </c>
      <c r="K21" t="s">
        <v>410</v>
      </c>
      <c r="L21" t="s">
        <v>183</v>
      </c>
      <c r="M21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1" s="5">
        <f t="array" ref="N21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6</v>
      </c>
      <c r="O21" s="17"/>
      <c r="P21" s="5">
        <f t="array" ref="P21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4.5</v>
      </c>
      <c r="Q21" s="5">
        <f t="array" ref="Q21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-75</v>
      </c>
      <c r="R21" s="5">
        <f t="array" ref="R21">SUM(IF($E$3:$E$56=E21,$Q$3:$Q$56))</f>
        <v>45</v>
      </c>
      <c r="S21" s="5">
        <f>INDEX(표9[],MATCH(ItemEffectTable[[#This Row],['#Grade]],표9[#Headers],0))-ItemEffectTable[[#This Row],['#총 효력가치]]</f>
        <v>5</v>
      </c>
    </row>
    <row r="22" spans="2:19" ht="18">
      <c r="B22" s="4"/>
      <c r="C22" s="4" t="str">
        <f>INDEX(ItemTable[Name],MATCH(ItemEffectTable[[#This Row],[Index]],ItemTable[ItemEffectDataId],0))</f>
        <v>슬픈 캔리오</v>
      </c>
      <c r="D22" s="4" t="str">
        <f>INDEX(ItemTable[GradeType],MATCH(ItemEffectTable[[#This Row],[Index]],ItemTable[ItemEffectDataId],0))</f>
        <v>Cursed</v>
      </c>
      <c r="E22">
        <v>9001</v>
      </c>
      <c r="F22" t="s">
        <v>409</v>
      </c>
      <c r="G22" s="13" t="s">
        <v>59</v>
      </c>
      <c r="H22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2" s="5" t="s">
        <v>299</v>
      </c>
      <c r="J22">
        <v>200</v>
      </c>
      <c r="K22" t="s">
        <v>407</v>
      </c>
      <c r="L22" t="s">
        <v>183</v>
      </c>
      <c r="M22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2" s="5">
        <f t="array" ref="N22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2" s="17"/>
      <c r="P22" s="5">
        <f t="array" ref="P22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275</v>
      </c>
      <c r="Q22" s="5">
        <f t="array" ref="Q22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120</v>
      </c>
      <c r="R22" s="5">
        <f t="array" ref="R22">SUM(IF($E$3:$E$56=E22,$Q$3:$Q$56))</f>
        <v>45</v>
      </c>
      <c r="S22" s="5">
        <f>INDEX(표9[],MATCH(ItemEffectTable[[#This Row],['#Grade]],표9[#Headers],0))-ItemEffectTable[[#This Row],['#총 효력가치]]</f>
        <v>5</v>
      </c>
    </row>
    <row r="23" spans="2:19">
      <c r="B23" s="4"/>
      <c r="C23" s="4" t="str">
        <f>INDEX(ItemTable[Name],MATCH(ItemEffectTable[[#This Row],[Index]],ItemTable[ItemEffectDataId],0))</f>
        <v>청개굴 버섯구이</v>
      </c>
      <c r="D23" s="4" t="str">
        <f>INDEX(ItemTable[GradeType],MATCH(ItemEffectTable[[#This Row],[Index]],ItemTable[ItemEffectDataId],0))</f>
        <v>Cursed</v>
      </c>
      <c r="E23">
        <v>9002</v>
      </c>
      <c r="F23" t="s">
        <v>409</v>
      </c>
      <c r="G23" t="s">
        <v>356</v>
      </c>
      <c r="H23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3" s="5" t="s">
        <v>436</v>
      </c>
      <c r="J23">
        <v>0.5</v>
      </c>
      <c r="K23" t="s">
        <v>407</v>
      </c>
      <c r="L23" t="s">
        <v>183</v>
      </c>
      <c r="M23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3" s="5">
        <f t="array" ref="N23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3" s="17"/>
      <c r="P23" s="5">
        <f t="array" ref="P23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1.5</v>
      </c>
      <c r="Q23" s="5">
        <f t="array" ref="Q23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83.333333333333343</v>
      </c>
      <c r="R23" s="5" t="e">
        <f t="array" ref="R23">SUM(IF($E$3:$E$56=E23,$Q$3:$Q$56))</f>
        <v>#VALUE!</v>
      </c>
      <c r="S23" s="5" t="e">
        <f>INDEX(표9[],MATCH(ItemEffectTable[[#This Row],['#Grade]],표9[#Headers],0))-ItemEffectTable[[#This Row],['#총 효력가치]]</f>
        <v>#VALUE!</v>
      </c>
    </row>
    <row r="24" spans="2:19">
      <c r="B24" s="4"/>
      <c r="C24" s="4" t="str">
        <f>INDEX(ItemTable[Name],MATCH(ItemEffectTable[[#This Row],[Index]],ItemTable[ItemEffectDataId],0))</f>
        <v>청개굴 버섯구이</v>
      </c>
      <c r="D24" s="4" t="str">
        <f>INDEX(ItemTable[GradeType],MATCH(ItemEffectTable[[#This Row],[Index]],ItemTable[ItemEffectDataId],0))</f>
        <v>Cursed</v>
      </c>
      <c r="E24">
        <v>9002</v>
      </c>
      <c r="F24" t="s">
        <v>155</v>
      </c>
      <c r="G24" t="s">
        <v>77</v>
      </c>
      <c r="H24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 방향이 반대 방향이 됨.</v>
      </c>
      <c r="I24" s="5" t="s">
        <v>436</v>
      </c>
      <c r="J24">
        <v>0</v>
      </c>
      <c r="K24" t="s">
        <v>181</v>
      </c>
      <c r="L24" t="s">
        <v>183</v>
      </c>
      <c r="M24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-</v>
      </c>
      <c r="N24" s="5" t="str">
        <f t="array" ref="N24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예외처리</v>
      </c>
      <c r="O24" s="17"/>
      <c r="P24" s="5">
        <f t="array" ref="P24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4" s="5" t="e">
        <f t="array" ref="Q24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#VALUE!</v>
      </c>
      <c r="R24" s="5" t="e">
        <f t="array" ref="R24">SUM(IF($E$3:$E$56=E24,$Q$3:$Q$56))</f>
        <v>#VALUE!</v>
      </c>
      <c r="S24" s="5" t="e">
        <f>INDEX(표9[],MATCH(ItemEffectTable[[#This Row],['#Grade]],표9[#Headers],0))-ItemEffectTable[[#This Row],['#총 효력가치]]</f>
        <v>#VALUE!</v>
      </c>
    </row>
    <row r="25" spans="2:19" ht="18">
      <c r="B25" s="4"/>
      <c r="C25" s="4" t="str">
        <f>INDEX(ItemTable[Name],MATCH(ItemEffectTable[[#This Row],[Index]],ItemTable[ItemEffectDataId],0))</f>
        <v>누군가의 일기장</v>
      </c>
      <c r="D25" s="4" t="str">
        <f>INDEX(ItemTable[GradeType],MATCH(ItemEffectTable[[#This Row],[Index]],ItemTable[ItemEffectDataId],0))</f>
        <v>Cursed</v>
      </c>
      <c r="E25">
        <v>9003</v>
      </c>
      <c r="F25" t="s">
        <v>409</v>
      </c>
      <c r="G25" s="13" t="s">
        <v>59</v>
      </c>
      <c r="H25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최대체력변경</v>
      </c>
      <c r="I25" s="5" t="s">
        <v>37</v>
      </c>
      <c r="J25">
        <v>-100</v>
      </c>
      <c r="K25" t="s">
        <v>407</v>
      </c>
      <c r="L25" t="s">
        <v>183</v>
      </c>
      <c r="M25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CharacterTable</v>
      </c>
      <c r="N25" s="5">
        <f t="array" ref="N25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75</v>
      </c>
      <c r="O25" s="17"/>
      <c r="P25" s="5">
        <f t="array" ref="P25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-25</v>
      </c>
      <c r="Q25" s="5">
        <f t="array" ref="Q25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-60</v>
      </c>
      <c r="R25" s="5">
        <f t="array" ref="R25">SUM(IF($E$3:$E$56=E25,$Q$3:$Q$56))</f>
        <v>40.000000000000028</v>
      </c>
      <c r="S25" s="5">
        <f>INDEX(표9[],MATCH(ItemEffectTable[[#This Row],['#Grade]],표9[#Headers],0))-ItemEffectTable[[#This Row],['#총 효력가치]]</f>
        <v>9.9999999999999716</v>
      </c>
    </row>
    <row r="26" spans="2:19">
      <c r="B26" s="4"/>
      <c r="C26" s="4" t="str">
        <f>INDEX(ItemTable[Name],MATCH(ItemEffectTable[[#This Row],[Index]],ItemTable[ItemEffectDataId],0))</f>
        <v>누군가의 일기장</v>
      </c>
      <c r="D26" s="4" t="str">
        <f>INDEX(ItemTable[GradeType],MATCH(ItemEffectTable[[#This Row],[Index]],ItemTable[ItemEffectDataId],0))</f>
        <v>Cursed</v>
      </c>
      <c r="E26">
        <v>9003</v>
      </c>
      <c r="F26" t="s">
        <v>409</v>
      </c>
      <c r="G26" t="s">
        <v>356</v>
      </c>
      <c r="H26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공격력변경</v>
      </c>
      <c r="I26" s="5" t="s">
        <v>37</v>
      </c>
      <c r="J26">
        <v>0.6</v>
      </c>
      <c r="K26" t="s">
        <v>407</v>
      </c>
      <c r="L26" t="s">
        <v>183</v>
      </c>
      <c r="M26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6" s="5">
        <f t="array" ref="N26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6" s="17"/>
      <c r="P26" s="5">
        <f t="array" ref="P26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1.6</v>
      </c>
      <c r="Q26" s="5">
        <f t="array" ref="Q26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100.00000000000003</v>
      </c>
      <c r="R26" s="5">
        <f t="array" ref="R26">SUM(IF($E$3:$E$56=E26,$Q$3:$Q$56))</f>
        <v>40.000000000000028</v>
      </c>
      <c r="S26" s="5">
        <f>INDEX(표9[],MATCH(ItemEffectTable[[#This Row],['#Grade]],표9[#Headers],0))-ItemEffectTable[[#This Row],['#총 효력가치]]</f>
        <v>9.9999999999999716</v>
      </c>
    </row>
    <row r="27" spans="2:19" ht="18">
      <c r="B27" s="4"/>
      <c r="C27" s="4" t="str">
        <f>INDEX(ItemTable[Name],MATCH(ItemEffectTable[[#This Row],[Index]],ItemTable[ItemEffectDataId],0))</f>
        <v>태양</v>
      </c>
      <c r="D27" s="4" t="str">
        <f>INDEX(ItemTable[GradeType],MATCH(ItemEffectTable[[#This Row],[Index]],ItemTable[ItemEffectDataId],0))</f>
        <v>Cursed</v>
      </c>
      <c r="E27">
        <v>9004</v>
      </c>
      <c r="F27" t="s">
        <v>409</v>
      </c>
      <c r="G27" s="13" t="s">
        <v>24</v>
      </c>
      <c r="H27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미차징</v>
      </c>
      <c r="I27" s="5" t="s">
        <v>440</v>
      </c>
      <c r="J27">
        <v>-1</v>
      </c>
      <c r="K27" t="s">
        <v>407</v>
      </c>
      <c r="L27" t="s">
        <v>183</v>
      </c>
      <c r="M27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7" s="5">
        <f t="array" ref="N27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1</v>
      </c>
      <c r="O27" s="17"/>
      <c r="P27" s="5">
        <f t="array" ref="P27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0</v>
      </c>
      <c r="Q27" s="5">
        <f t="array" ref="Q27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7" s="5">
        <f t="array" ref="R27">SUM(IF($E$3:$E$56=E27,$Q$3:$Q$56))</f>
        <v>50</v>
      </c>
      <c r="S27" s="5">
        <f>INDEX(표9[],MATCH(ItemEffectTable[[#This Row],['#Grade]],표9[#Headers],0))-ItemEffectTable[[#This Row],['#총 효력가치]]</f>
        <v>0</v>
      </c>
    </row>
    <row r="28" spans="2:19" ht="18">
      <c r="B28" s="4"/>
      <c r="C28" s="4" t="str">
        <f>INDEX(ItemTable[Name],MATCH(ItemEffectTable[[#This Row],[Index]],ItemTable[ItemEffectDataId],0))</f>
        <v>태양</v>
      </c>
      <c r="D28" s="4" t="str">
        <f>INDEX(ItemTable[GradeType],MATCH(ItemEffectTable[[#This Row],[Index]],ItemTable[ItemEffectDataId],0))</f>
        <v>Cursed</v>
      </c>
      <c r="E28">
        <v>9004</v>
      </c>
      <c r="F28" t="s">
        <v>409</v>
      </c>
      <c r="G28" s="13" t="s">
        <v>30</v>
      </c>
      <c r="H28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충돌 횟수 변경 - 1단계</v>
      </c>
      <c r="I28" s="5" t="s">
        <v>440</v>
      </c>
      <c r="J28">
        <v>-1</v>
      </c>
      <c r="K28" t="s">
        <v>407</v>
      </c>
      <c r="L28" t="s">
        <v>183</v>
      </c>
      <c r="M28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8" s="5">
        <f t="array" ref="N28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3</v>
      </c>
      <c r="O28" s="17"/>
      <c r="P28" s="5">
        <f t="array" ref="P28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8" s="5">
        <f t="array" ref="Q28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-15</v>
      </c>
      <c r="R28" s="5">
        <f t="array" ref="R28">SUM(IF($E$3:$E$56=E28,$Q$3:$Q$56))</f>
        <v>50</v>
      </c>
      <c r="S28" s="5">
        <f>INDEX(표9[],MATCH(ItemEffectTable[[#This Row],['#Grade]],표9[#Headers],0))-ItemEffectTable[[#This Row],['#총 효력가치]]</f>
        <v>0</v>
      </c>
    </row>
    <row r="29" spans="2:19">
      <c r="B29" s="4"/>
      <c r="C29" s="4" t="str">
        <f>INDEX(ItemTable[Name],MATCH(ItemEffectTable[[#This Row],[Index]],ItemTable[ItemEffectDataId],0))</f>
        <v>태양</v>
      </c>
      <c r="D29" s="4" t="str">
        <f>INDEX(ItemTable[GradeType],MATCH(ItemEffectTable[[#This Row],[Index]],ItemTable[ItemEffectDataId],0))</f>
        <v>Cursed</v>
      </c>
      <c r="E29">
        <v>9004</v>
      </c>
      <c r="F29" t="s">
        <v>409</v>
      </c>
      <c r="G29" t="s">
        <v>207</v>
      </c>
      <c r="H29" s="5" t="str">
        <f>IF(ItemEffectTable[[#This Row],[ApplyType]]="PlayerStat",INDEX(스텟별가치[설명],MATCH(ItemEffectTable[[#This Row],[ApplyStat]],스텟별가치[스텟],0)),INDEX(스텟별가치[설명],MATCH(ItemEffectTable[[#This Row],[ApplyType]],스텟별가치[스텟],0)))</f>
        <v>차징에 따른 관통샷 변경</v>
      </c>
      <c r="I29" s="5" t="s">
        <v>440</v>
      </c>
      <c r="J29">
        <v>2</v>
      </c>
      <c r="K29" t="s">
        <v>181</v>
      </c>
      <c r="L29" t="s">
        <v>183</v>
      </c>
      <c r="M29" s="5" t="str">
        <f>IF(ItemEffectTable[[#This Row],[ApplyType]]="PlayerStat",INDEX(스텟별가치[참조 테이블],MATCH(ItemEffectTable[[#This Row],[ApplyStat]],스텟별가치[스텟],0)),INDEX(스텟별가치[참조 테이블],MATCH(ItemEffectTable[[#This Row],[ApplyType]],스텟별가치[스텟],0)))</f>
        <v>CharacterAtkTable</v>
      </c>
      <c r="N29" s="5">
        <f t="array" ref="N29">_xlfn.IFS(ItemEffectTable[[#This Row],['#참조 테이블]]="-","예외처리",ItemEffectTable[[#This Row],[ApplyStat]]="HP",CharacterTable[MaxHP],ItemEffectTable[[#This Row],['#참조 테이블]]="CharacterAtkTable",INDEX(CharacterAtkTable[],1,MATCH(ItemEffectTable[[#This Row],[ApplyStat]],CharacterAtkTable[#Headers],0)),ItemEffectTable[[#This Row],['#참조 테이블]]="CharacterTable",INDEX(CharacterTable[],1,MATCH(ItemEffectTable[[#This Row],[ApplyStat]],CharacterTable[#Headers],0)),ItemEffectTable[[#This Row],['#참조 테이블]]="ProjectileTable",INDEX(ProjectileTable[],MATCH(CharacterTable[DefaultBallDataId],ProjectileTable[Index],0),MATCH(ItemEffectTable[[#This Row],[ApplyStat]],ProjectileTable[#Headers],0)),ItemEffectTable[[#This Row],['#참조 테이블]]="ItemResourceTable",_xlfn.CONCAT("리소스변경(식별자:",ItemEffectTable[[#This Row],[ApplyValue]],")"))</f>
        <v>0</v>
      </c>
      <c r="O29" s="17"/>
      <c r="P29" s="5">
        <f t="array" ref="P29">_xlfn.IFS(AND(ISTEXT(ItemEffectTable[[#This Row],[ApplyValue]]),ItemEffectTable[[#This Row],[ValueOperatorType]]="Addition"),ItemEffectTable[[#This Row],['#ApplyValue 수식]]+ItemEffectTable[[#This Row],['#기본값]],AND(ISTEXT(ItemEffectTable[[#This Row],[ApplyValue]]),ItemEffectTable[[#This Row],[ValueOperatorType]]="Multiply"),ItemEffectTable[[#This Row],['#ApplyValue 수식]]*ItemEffectTable[[#This Row],['#기본값]],ItemEffectTable[[#This Row],[ValueOperatorType]]="None","예외처리",ItemEffectTable[[#This Row],[ValueOperatorType]]="Addition",ItemEffectTable[[#This Row],[ApplyValue]]+ItemEffectTable[[#This Row],['#기본값]],ItemEffectTable[[#This Row],[ValueOperatorType]]="Multiply",ItemEffectTable[[#This Row],[ApplyValue]]*ItemEffectTable[[#This Row],['#기본값]],ItemEffectTable[[#This Row],[ValueOperatorType]]="Hard",ItemEffectTable[[#This Row],[ApplyValue]])</f>
        <v>2</v>
      </c>
      <c r="Q29" s="5">
        <f t="array" ref="Q29">_xlfn.IFS(ItemEffectTable[[#This Row],['#적용 후]]="수식",ItemEffectTable[[#This Row],['#ApplyValue 수식]],ItemEffectTable[[#This Row],['#적용 후]]="예외처리",INDEX(스텟별가치[Value 1당 가치],MATCH(ItemEffectTable[[#This Row],[ApplyType]],스텟별가치[스텟],0)),TRUE,((ItemEffectTable[[#This Row],['#적용 후]]-ItemEffectTable[[#This Row],['#기본값]])*INDEX(스텟별가치[Value 1당 가치],MATCH(ItemEffectTable[[#This Row],[ApplyStat]],스텟별가치[스텟],0))))</f>
        <v>80</v>
      </c>
      <c r="R29" s="5">
        <f t="array" ref="R29">SUM(IF($E$3:$E$56=E29,$Q$3:$Q$56))</f>
        <v>50</v>
      </c>
      <c r="S29" s="5">
        <f>INDEX(표9[],MATCH(ItemEffectTable[[#This Row],['#Grade]],표9[#Headers],0))-ItemEffectTable[[#This Row],['#총 효력가치]]</f>
        <v>0</v>
      </c>
    </row>
  </sheetData>
  <phoneticPr fontId="8" type="noConversion"/>
  <conditionalFormatting sqref="S3:S29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{A3F509AD-3D70-4F54-82E6-8CD23F1F41A7}</x14:id>
        </ext>
      </extLst>
    </cfRule>
  </conditionalFormatting>
  <pageMargins left="0.69999998807907104" right="0.69999998807907104" top="0.75" bottom="0.75" header="0.30000001192092896" footer="0.30000001192092896"/>
  <pageSetup paperSize="9" orientation="portrait" horizontalDpi="150" verticalDpi="15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509AD-3D70-4F54-82E6-8CD23F1F41A7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S3:S29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>
    <tabColor rgb="FFFBE5D7"/>
  </sheetPr>
  <dimension ref="B1:F9"/>
  <sheetViews>
    <sheetView zoomScaleNormal="75" zoomScaleSheetLayoutView="100" workbookViewId="0">
      <selection activeCell="F6" sqref="F6"/>
    </sheetView>
  </sheetViews>
  <sheetFormatPr baseColWidth="10" defaultColWidth="8.83203125" defaultRowHeight="17"/>
  <cols>
    <col min="3" max="3" width="15.1640625" bestFit="1" customWidth="1"/>
    <col min="4" max="4" width="28.33203125" customWidth="1"/>
    <col min="5" max="5" width="16.33203125" bestFit="1" customWidth="1"/>
    <col min="6" max="6" width="33.1640625" customWidth="1"/>
  </cols>
  <sheetData>
    <row r="1" spans="2:6">
      <c r="B1" t="s">
        <v>54</v>
      </c>
      <c r="C1" t="s">
        <v>52</v>
      </c>
      <c r="D1" t="s">
        <v>52</v>
      </c>
      <c r="E1" t="s">
        <v>81</v>
      </c>
      <c r="F1" t="s">
        <v>80</v>
      </c>
    </row>
    <row r="2" spans="2:6">
      <c r="B2" t="s">
        <v>79</v>
      </c>
      <c r="C2" s="6" t="s">
        <v>125</v>
      </c>
      <c r="D2" s="6" t="s">
        <v>126</v>
      </c>
      <c r="E2" t="s">
        <v>240</v>
      </c>
      <c r="F2" t="s">
        <v>241</v>
      </c>
    </row>
    <row r="3" spans="2:6">
      <c r="B3">
        <v>900</v>
      </c>
      <c r="C3" s="4" t="e">
        <f>INDEX(#REF!,MATCH(ItemResourceTable[[#This Row],[Index]],ItemEffectTable[ApplyValue],0))</f>
        <v>#REF!</v>
      </c>
      <c r="D3" s="4" t="s">
        <v>361</v>
      </c>
      <c r="E3" t="s">
        <v>60</v>
      </c>
      <c r="F3" t="s">
        <v>270</v>
      </c>
    </row>
    <row r="4" spans="2:6">
      <c r="B4">
        <v>900</v>
      </c>
      <c r="C4" s="4" t="e">
        <f>INDEX(#REF!,MATCH(ItemResourceTable[[#This Row],[Index]],ItemEffectTable[ApplyValue],0))</f>
        <v>#REF!</v>
      </c>
      <c r="D4" s="4" t="s">
        <v>127</v>
      </c>
      <c r="E4" t="s">
        <v>333</v>
      </c>
      <c r="F4" t="s">
        <v>447</v>
      </c>
    </row>
    <row r="5" spans="2:6">
      <c r="B5">
        <v>901</v>
      </c>
      <c r="C5" s="4" t="e">
        <f>INDEX(#REF!,MATCH(ItemResourceTable[[#This Row],[Index]],ItemEffectTable[ApplyValue],0))</f>
        <v>#REF!</v>
      </c>
      <c r="D5" s="4" t="s">
        <v>361</v>
      </c>
      <c r="E5" t="s">
        <v>60</v>
      </c>
      <c r="F5" t="s">
        <v>445</v>
      </c>
    </row>
    <row r="6" spans="2:6">
      <c r="B6">
        <v>901</v>
      </c>
      <c r="C6" s="4" t="e">
        <f>INDEX(#REF!,MATCH(ItemResourceTable[[#This Row],[Index]],ItemEffectTable[ApplyValue],0))</f>
        <v>#REF!</v>
      </c>
      <c r="D6" s="4" t="s">
        <v>332</v>
      </c>
      <c r="E6" t="s">
        <v>220</v>
      </c>
      <c r="F6" t="s">
        <v>203</v>
      </c>
    </row>
    <row r="7" spans="2:6">
      <c r="B7">
        <v>901</v>
      </c>
      <c r="C7" s="4" t="e">
        <f>INDEX(#REF!,MATCH(ItemResourceTable[[#This Row],[Index]],ItemEffectTable[ApplyValue],0))</f>
        <v>#REF!</v>
      </c>
      <c r="D7" s="4" t="s">
        <v>362</v>
      </c>
      <c r="E7" t="s">
        <v>342</v>
      </c>
      <c r="F7" t="s">
        <v>450</v>
      </c>
    </row>
    <row r="8" spans="2:6">
      <c r="B8">
        <v>902</v>
      </c>
      <c r="C8" s="4" t="e">
        <f>INDEX(#REF!,MATCH(ItemResourceTable[[#This Row],[Index]],ItemEffectTable[ApplyValue],0))</f>
        <v>#REF!</v>
      </c>
      <c r="D8" s="4" t="s">
        <v>361</v>
      </c>
      <c r="E8" t="s">
        <v>60</v>
      </c>
      <c r="F8" t="s">
        <v>448</v>
      </c>
    </row>
    <row r="9" spans="2:6">
      <c r="B9">
        <v>902</v>
      </c>
      <c r="C9" s="4" t="e">
        <f>INDEX(#REF!,MATCH(ItemResourceTable[[#This Row],[Index]],ItemEffectTable[ApplyValue],0))</f>
        <v>#REF!</v>
      </c>
      <c r="D9" s="4" t="s">
        <v>362</v>
      </c>
      <c r="E9" t="s">
        <v>342</v>
      </c>
      <c r="F9" t="s">
        <v>293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0">
    <tabColor rgb="FFE2F0D9"/>
  </sheetPr>
  <dimension ref="A1:D76"/>
  <sheetViews>
    <sheetView topLeftCell="A37" zoomScaleNormal="75" zoomScaleSheetLayoutView="100" workbookViewId="0">
      <selection activeCell="B24" sqref="B24"/>
    </sheetView>
  </sheetViews>
  <sheetFormatPr baseColWidth="10" defaultColWidth="8.83203125" defaultRowHeight="17"/>
  <cols>
    <col min="1" max="1" width="12.6640625" customWidth="1"/>
    <col min="2" max="2" width="63.6640625" customWidth="1"/>
    <col min="3" max="3" width="35.6640625" customWidth="1"/>
    <col min="4" max="4" width="20" bestFit="1" customWidth="1"/>
  </cols>
  <sheetData>
    <row r="1" spans="1:4">
      <c r="A1" t="s">
        <v>54</v>
      </c>
      <c r="B1" t="s">
        <v>80</v>
      </c>
      <c r="C1" t="s">
        <v>80</v>
      </c>
      <c r="D1" t="s">
        <v>52</v>
      </c>
    </row>
    <row r="2" spans="1:4">
      <c r="A2" t="s">
        <v>79</v>
      </c>
      <c r="B2" t="s">
        <v>319</v>
      </c>
      <c r="C2" t="s">
        <v>317</v>
      </c>
      <c r="D2" s="6" t="s">
        <v>124</v>
      </c>
    </row>
    <row r="3" spans="1:4">
      <c r="A3">
        <f>ItemTable[[#This Row],[Index]]+10000</f>
        <v>10010</v>
      </c>
      <c r="B3" t="s">
        <v>98</v>
      </c>
      <c r="C3" t="s">
        <v>105</v>
      </c>
      <c r="D3" s="4" t="str">
        <f t="array" ref="D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" spans="1:4">
      <c r="A4">
        <f>ItemTable[[#This Row],[Index]]+10000</f>
        <v>10011</v>
      </c>
      <c r="B4" t="s">
        <v>99</v>
      </c>
      <c r="C4" t="s">
        <v>106</v>
      </c>
      <c r="D4" s="4" t="str">
        <f t="array" ref="D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5" spans="1:4">
      <c r="A5">
        <f>ItemTable[[#This Row],[Index]]+10000</f>
        <v>10020</v>
      </c>
      <c r="B5" t="s">
        <v>95</v>
      </c>
      <c r="C5" t="s">
        <v>107</v>
      </c>
      <c r="D5" s="4" t="str">
        <f t="array" ref="D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6" spans="1:4">
      <c r="A6">
        <f>ItemTable[[#This Row],[Index]]+10000</f>
        <v>10021</v>
      </c>
      <c r="B6" t="s">
        <v>100</v>
      </c>
      <c r="D6" s="4" t="str">
        <f t="array" ref="D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7" spans="1:4">
      <c r="A7">
        <f>ItemTable[[#This Row],[Index]]+10000</f>
        <v>10022</v>
      </c>
      <c r="B7" t="s">
        <v>101</v>
      </c>
      <c r="D7" s="4" t="str">
        <f t="array" ref="D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8" spans="1:4">
      <c r="A8">
        <f>ItemTable[[#This Row],[Index]]+10000</f>
        <v>12000</v>
      </c>
      <c r="B8" t="s">
        <v>102</v>
      </c>
      <c r="D8" s="4" t="str">
        <f t="array" ref="D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9" spans="1:4">
      <c r="A9">
        <f>ItemTable[[#This Row],[Index]]+10000</f>
        <v>12001</v>
      </c>
      <c r="B9" t="s">
        <v>144</v>
      </c>
      <c r="C9" t="s">
        <v>145</v>
      </c>
      <c r="D9" s="4" t="str">
        <f t="array" ref="D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0" spans="1:4">
      <c r="A10">
        <f>ItemTable[[#This Row],[Index]]+10000</f>
        <v>12002</v>
      </c>
      <c r="B10" t="s">
        <v>350</v>
      </c>
      <c r="D10" s="4" t="str">
        <f t="array" ref="D1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1" spans="1:4">
      <c r="A11">
        <v>11002</v>
      </c>
      <c r="B11" t="s">
        <v>40</v>
      </c>
      <c r="D11" s="4" t="str">
        <f t="array" ref="D1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2" spans="1:4">
      <c r="A12">
        <v>12000</v>
      </c>
      <c r="B12" t="s">
        <v>67</v>
      </c>
      <c r="C12" t="s">
        <v>318</v>
      </c>
      <c r="D12" s="4" t="str">
        <f t="array" ref="D1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3" spans="1:4">
      <c r="A13">
        <v>12001</v>
      </c>
      <c r="B13" t="s">
        <v>56</v>
      </c>
      <c r="D13" s="4" t="str">
        <f t="array" ref="D1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4" spans="1:4">
      <c r="A14">
        <v>12002</v>
      </c>
      <c r="B14" t="s">
        <v>88</v>
      </c>
      <c r="D14" s="4" t="str">
        <f t="array" ref="D1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5" spans="1:4">
      <c r="A15">
        <v>12003</v>
      </c>
      <c r="B15" t="s">
        <v>323</v>
      </c>
      <c r="D15" s="4" t="str">
        <f t="array" ref="D1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6" spans="1:4">
      <c r="A16">
        <v>12004</v>
      </c>
      <c r="B16" t="s">
        <v>91</v>
      </c>
      <c r="D16" s="4" t="str">
        <f t="array" ref="D1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7" spans="1:4">
      <c r="A17">
        <v>12005</v>
      </c>
      <c r="B17" t="s">
        <v>69</v>
      </c>
      <c r="D17" s="4" t="str">
        <f t="array" ref="D1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8" spans="1:4">
      <c r="A18">
        <v>12006</v>
      </c>
      <c r="B18" t="s">
        <v>57</v>
      </c>
      <c r="D18" s="4" t="str">
        <f t="array" ref="D1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19" spans="1:4">
      <c r="A19">
        <v>13000</v>
      </c>
      <c r="B19" t="s">
        <v>211</v>
      </c>
      <c r="D19" s="4" t="str">
        <f t="array" ref="D1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0" spans="1:4">
      <c r="A20">
        <v>13001</v>
      </c>
      <c r="B20" t="s">
        <v>66</v>
      </c>
      <c r="D20" s="4" t="str">
        <f t="array" ref="D2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1" spans="1:4">
      <c r="A21">
        <v>13002</v>
      </c>
      <c r="B21" t="s">
        <v>112</v>
      </c>
      <c r="D21" s="4" t="str">
        <f t="array" ref="D2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2" spans="1:4">
      <c r="A22">
        <v>13003</v>
      </c>
      <c r="B22" t="s">
        <v>47</v>
      </c>
      <c r="D22" s="4" t="str">
        <f t="array" ref="D2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3" spans="1:4">
      <c r="A23">
        <v>13004</v>
      </c>
      <c r="B23" t="s">
        <v>68</v>
      </c>
      <c r="D23" s="4" t="str">
        <f t="array" ref="D2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4" spans="1:4">
      <c r="A24">
        <v>13005</v>
      </c>
      <c r="B24" t="s">
        <v>70</v>
      </c>
      <c r="D24" s="4" t="str">
        <f t="array" ref="D2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5" spans="1:4">
      <c r="A25">
        <v>13006</v>
      </c>
      <c r="B25" t="s">
        <v>50</v>
      </c>
      <c r="D25" s="4" t="str">
        <f t="array" ref="D2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6" spans="1:4">
      <c r="A26">
        <v>13007</v>
      </c>
      <c r="B26" t="s">
        <v>89</v>
      </c>
      <c r="D26" s="4" t="str">
        <f t="array" ref="D2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7" spans="1:4">
      <c r="A27">
        <v>13008</v>
      </c>
      <c r="B27" t="s">
        <v>86</v>
      </c>
      <c r="D27" s="4" t="str">
        <f t="array" ref="D2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8" spans="1:4">
      <c r="A28">
        <v>13009</v>
      </c>
      <c r="B28" t="s">
        <v>1</v>
      </c>
      <c r="D28" s="4" t="str">
        <f t="array" ref="D2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29" spans="1:4">
      <c r="A29">
        <v>13010</v>
      </c>
      <c r="B29" t="s">
        <v>78</v>
      </c>
      <c r="D29" s="4" t="str">
        <f t="array" ref="D2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0" spans="1:4">
      <c r="A30">
        <v>13011</v>
      </c>
      <c r="B30" t="s">
        <v>71</v>
      </c>
      <c r="D30" s="4" t="str">
        <f t="array" ref="D30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1" spans="1:4">
      <c r="A31">
        <v>13012</v>
      </c>
      <c r="B31" t="s">
        <v>113</v>
      </c>
      <c r="D31" s="4" t="str">
        <f t="array" ref="D31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2" spans="1:4">
      <c r="A32">
        <v>14000</v>
      </c>
      <c r="B32" t="s">
        <v>72</v>
      </c>
      <c r="D32" s="4" t="str">
        <f t="array" ref="D32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3" spans="1:4">
      <c r="A33">
        <v>14001</v>
      </c>
      <c r="B33" t="s">
        <v>73</v>
      </c>
      <c r="D33" s="4" t="str">
        <f t="array" ref="D33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4" spans="1:4">
      <c r="A34">
        <v>14002</v>
      </c>
      <c r="B34" t="s">
        <v>0</v>
      </c>
      <c r="D34" s="4" t="str">
        <f t="array" ref="D34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5" spans="1:4">
      <c r="A35">
        <v>14003</v>
      </c>
      <c r="B35" t="s">
        <v>74</v>
      </c>
      <c r="D35" s="4" t="str">
        <f t="array" ref="D35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6" spans="1:4">
      <c r="A36">
        <v>14004</v>
      </c>
      <c r="B36" t="s">
        <v>90</v>
      </c>
      <c r="D36" s="4" t="str">
        <f t="array" ref="D36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7" spans="1:4">
      <c r="A37">
        <v>14005</v>
      </c>
      <c r="B37" t="s">
        <v>82</v>
      </c>
      <c r="D37" s="4" t="str">
        <f t="array" ref="D37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8" spans="1:4">
      <c r="A38">
        <v>14006</v>
      </c>
      <c r="B38" t="s">
        <v>76</v>
      </c>
      <c r="D38" s="4" t="str">
        <f t="array" ref="D38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39" spans="1:4">
      <c r="A39">
        <v>14007</v>
      </c>
      <c r="B39" t="s">
        <v>3</v>
      </c>
      <c r="D39" s="4" t="str">
        <f t="array" ref="D39">IF(ISERROR((INDEX(LocaleTable[LocaleKR],MATCH(LocaleTable[[#This Row],[Index]]-10000,LocaleTable[Index]),0))),"아이템 자체",(INDEX(LocaleTable[LocaleKR],MATCH(LocaleTable[[#This Row],[Index]]-10000,LocaleTable[Index]),0)))</f>
        <v>아이템 자체</v>
      </c>
    </row>
    <row r="40" spans="1:4">
      <c r="A40">
        <v>20010</v>
      </c>
      <c r="D40" s="4" t="str">
        <f t="array" ref="D40">IF(ISERROR((INDEX(LocaleTable[LocaleKR],MATCH(LocaleTable[[#This Row],[Index]]-10000,LocaleTable[Index]),0))),"아이템 자체",(INDEX(LocaleTable[LocaleKR],MATCH(LocaleTable[[#This Row],[Index]]-10000,LocaleTable[Index]),0)))</f>
        <v>하트 1개</v>
      </c>
    </row>
    <row r="41" spans="1:4">
      <c r="A41">
        <v>20011</v>
      </c>
      <c r="D41" s="4" t="str">
        <f t="array" ref="D41">IF(ISERROR((INDEX(LocaleTable[LocaleKR],MATCH(LocaleTable[[#This Row],[Index]]-10000,LocaleTable[Index]),0))),"아이템 자체",(INDEX(LocaleTable[LocaleKR],MATCH(LocaleTable[[#This Row],[Index]]-10000,LocaleTable[Index]),0)))</f>
        <v>하트 2개</v>
      </c>
    </row>
    <row r="42" spans="1:4">
      <c r="A42">
        <v>20020</v>
      </c>
      <c r="D42" s="4" t="str">
        <f t="array" ref="D42">IF(ISERROR((INDEX(LocaleTable[LocaleKR],MATCH(LocaleTable[[#This Row],[Index]]-10000,LocaleTable[Index]),0))),"아이템 자체",(INDEX(LocaleTable[LocaleKR],MATCH(LocaleTable[[#This Row],[Index]]-10000,LocaleTable[Index]),0)))</f>
        <v>15 골드</v>
      </c>
    </row>
    <row r="43" spans="1:4">
      <c r="A43">
        <v>20021</v>
      </c>
      <c r="D43" s="4" t="str">
        <f t="array" ref="D43">IF(ISERROR((INDEX(LocaleTable[LocaleKR],MATCH(LocaleTable[[#This Row],[Index]]-10000,LocaleTable[Index]),0))),"아이템 자체",(INDEX(LocaleTable[LocaleKR],MATCH(LocaleTable[[#This Row],[Index]]-10000,LocaleTable[Index]),0)))</f>
        <v>30 골드</v>
      </c>
    </row>
    <row r="44" spans="1:4">
      <c r="A44">
        <v>20022</v>
      </c>
      <c r="D44" s="4" t="str">
        <f t="array" ref="D44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5" spans="1:4">
      <c r="A45">
        <v>20023</v>
      </c>
      <c r="D45" s="4" t="str">
        <f t="array" ref="D45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6" spans="1:4">
      <c r="A46">
        <v>21000</v>
      </c>
      <c r="B46" t="s">
        <v>192</v>
      </c>
      <c r="D46" s="4" t="str">
        <f t="array" ref="D46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7" spans="1:4">
      <c r="A47">
        <v>21001</v>
      </c>
      <c r="B47" t="s">
        <v>274</v>
      </c>
      <c r="D47" s="4" t="str">
        <f t="array" ref="D47">IF(ISERROR((INDEX(LocaleTable[LocaleKR],MATCH(LocaleTable[[#This Row],[Index]]-10000,LocaleTable[Index]),0))),"아이템 자체",(INDEX(LocaleTable[LocaleKR],MATCH(LocaleTable[[#This Row],[Index]]-10000,LocaleTable[Index]),0)))</f>
        <v>45 골드</v>
      </c>
    </row>
    <row r="48" spans="1:4">
      <c r="A48">
        <v>21002</v>
      </c>
      <c r="B48" t="s">
        <v>437</v>
      </c>
      <c r="D48" s="4" t="str">
        <f t="array" ref="D48">IF(ISERROR((INDEX(LocaleTable[LocaleKR],MATCH(LocaleTable[[#This Row],[Index]]-10000,LocaleTable[Index]),0))),"아이템 자체",(INDEX(LocaleTable[LocaleKR],MATCH(LocaleTable[[#This Row],[Index]]-10000,LocaleTable[Index]),0)))</f>
        <v>트럼펫</v>
      </c>
    </row>
    <row r="49" spans="1:4">
      <c r="A49">
        <v>22000</v>
      </c>
      <c r="B49" t="s">
        <v>210</v>
      </c>
      <c r="D49" s="4" t="str">
        <f t="array" ref="D49">IF(ISERROR((INDEX(LocaleTable[LocaleKR],MATCH(LocaleTable[[#This Row],[Index]]-10000,LocaleTable[Index]),0))),"아이템 자체",(INDEX(LocaleTable[LocaleKR],MATCH(LocaleTable[[#This Row],[Index]]-10000,LocaleTable[Index]),0)))</f>
        <v>신성한 종</v>
      </c>
    </row>
    <row r="50" spans="1:4">
      <c r="A50">
        <v>22001</v>
      </c>
      <c r="B50" t="s">
        <v>451</v>
      </c>
      <c r="D50" s="4" t="str">
        <f t="array" ref="D50">IF(ISERROR((INDEX(LocaleTable[LocaleKR],MATCH(LocaleTable[[#This Row],[Index]]-10000,LocaleTable[Index]),0))),"아이템 자체",(INDEX(LocaleTable[LocaleKR],MATCH(LocaleTable[[#This Row],[Index]]-10000,LocaleTable[Index]),0)))</f>
        <v>미정1</v>
      </c>
    </row>
    <row r="51" spans="1:4">
      <c r="A51">
        <v>22002</v>
      </c>
      <c r="B51" t="s">
        <v>209</v>
      </c>
      <c r="D51" s="4" t="str">
        <f t="array" ref="D51">IF(ISERROR((INDEX(LocaleTable[LocaleKR],MATCH(LocaleTable[[#This Row],[Index]]-10000,LocaleTable[Index]),0))),"아이템 자체",(INDEX(LocaleTable[LocaleKR],MATCH(LocaleTable[[#This Row],[Index]]-10000,LocaleTable[Index]),0)))</f>
        <v>무언가 담긴병</v>
      </c>
    </row>
    <row r="52" spans="1:4">
      <c r="A52">
        <v>22003</v>
      </c>
      <c r="B52" t="s">
        <v>206</v>
      </c>
      <c r="D52" s="4" t="str">
        <f t="array" ref="D52">IF(ISERROR((INDEX(LocaleTable[LocaleKR],MATCH(LocaleTable[[#This Row],[Index]]-10000,LocaleTable[Index]),0))),"아이템 자체",(INDEX(LocaleTable[LocaleKR],MATCH(LocaleTable[[#This Row],[Index]]-10000,LocaleTable[Index]),0)))</f>
        <v>아저씨의 금구슬</v>
      </c>
    </row>
    <row r="53" spans="1:4">
      <c r="A53">
        <v>22004</v>
      </c>
      <c r="B53" t="s">
        <v>204</v>
      </c>
      <c r="D53" s="4" t="str">
        <f t="array" ref="D53">IF(ISERROR((INDEX(LocaleTable[LocaleKR],MATCH(LocaleTable[[#This Row],[Index]]-10000,LocaleTable[Index]),0))),"아이템 자체",(INDEX(LocaleTable[LocaleKR],MATCH(LocaleTable[[#This Row],[Index]]-10000,LocaleTable[Index]),0)))</f>
        <v>작은 십자가</v>
      </c>
    </row>
    <row r="54" spans="1:4">
      <c r="A54">
        <v>22005</v>
      </c>
      <c r="B54" t="s">
        <v>224</v>
      </c>
      <c r="D54" s="4" t="str">
        <f t="array" ref="D54">IF(ISERROR((INDEX(LocaleTable[LocaleKR],MATCH(LocaleTable[[#This Row],[Index]]-10000,LocaleTable[Index]),0))),"아이템 자체",(INDEX(LocaleTable[LocaleKR],MATCH(LocaleTable[[#This Row],[Index]]-10000,LocaleTable[Index]),0)))</f>
        <v>목없는 갑옷</v>
      </c>
    </row>
    <row r="55" spans="1:4">
      <c r="A55">
        <v>22006</v>
      </c>
      <c r="B55" t="s">
        <v>290</v>
      </c>
      <c r="D55" s="4" t="str">
        <f t="array" ref="D55">IF(ISERROR((INDEX(LocaleTable[LocaleKR],MATCH(LocaleTable[[#This Row],[Index]]-10000,LocaleTable[Index]),0))),"아이템 자체",(INDEX(LocaleTable[LocaleKR],MATCH(LocaleTable[[#This Row],[Index]]-10000,LocaleTable[Index]),0)))</f>
        <v>미정2</v>
      </c>
    </row>
    <row r="56" spans="1:4">
      <c r="A56">
        <v>23000</v>
      </c>
      <c r="B56" t="s">
        <v>208</v>
      </c>
      <c r="D56" s="4" t="str">
        <f t="array" ref="D56">IF(ISERROR((INDEX(LocaleTable[LocaleKR],MATCH(LocaleTable[[#This Row],[Index]]-10000,LocaleTable[Index]),0))),"아이템 자체",(INDEX(LocaleTable[LocaleKR],MATCH(LocaleTable[[#This Row],[Index]]-10000,LocaleTable[Index]),0)))</f>
        <v>Dys : 0N Mk2</v>
      </c>
    </row>
    <row r="57" spans="1:4">
      <c r="A57">
        <v>23001</v>
      </c>
      <c r="B57" t="s">
        <v>4</v>
      </c>
      <c r="D57" s="4" t="str">
        <f t="array" ref="D57">IF(ISERROR((INDEX(LocaleTable[LocaleKR],MATCH(LocaleTable[[#This Row],[Index]]-10000,LocaleTable[Index]),0))),"아이템 자체",(INDEX(LocaleTable[LocaleKR],MATCH(LocaleTable[[#This Row],[Index]]-10000,LocaleTable[Index]),0)))</f>
        <v>무해한 불꽃</v>
      </c>
    </row>
    <row r="58" spans="1:4">
      <c r="A58">
        <v>23002</v>
      </c>
      <c r="B58" t="s">
        <v>287</v>
      </c>
      <c r="D58" s="4" t="str">
        <f t="array" ref="D58">IF(ISERROR((INDEX(LocaleTable[LocaleKR],MATCH(LocaleTable[[#This Row],[Index]]-10000,LocaleTable[Index]),0))),"아이템 자체",(INDEX(LocaleTable[LocaleKR],MATCH(LocaleTable[[#This Row],[Index]]-10000,LocaleTable[Index]),0)))</f>
        <v>롱기누스</v>
      </c>
    </row>
    <row r="59" spans="1:4">
      <c r="A59">
        <v>23003</v>
      </c>
      <c r="B59" t="s">
        <v>6</v>
      </c>
      <c r="D59" s="4" t="str">
        <f t="array" ref="D59">IF(ISERROR((INDEX(LocaleTable[LocaleKR],MATCH(LocaleTable[[#This Row],[Index]]-10000,LocaleTable[Index]),0))),"아이템 자체",(INDEX(LocaleTable[LocaleKR],MATCH(LocaleTable[[#This Row],[Index]]-10000,LocaleTable[Index]),0)))</f>
        <v>석가면</v>
      </c>
    </row>
    <row r="60" spans="1:4">
      <c r="A60">
        <v>23004</v>
      </c>
      <c r="B60" t="s">
        <v>194</v>
      </c>
      <c r="D60" s="4" t="str">
        <f t="array" ref="D60">IF(ISERROR((INDEX(LocaleTable[LocaleKR],MATCH(LocaleTable[[#This Row],[Index]]-10000,LocaleTable[Index]),0))),"아이템 자체",(INDEX(LocaleTable[LocaleKR],MATCH(LocaleTable[[#This Row],[Index]]-10000,LocaleTable[Index]),0)))</f>
        <v>거인의 주먹</v>
      </c>
    </row>
    <row r="61" spans="1:4">
      <c r="A61">
        <v>23005</v>
      </c>
      <c r="B61" t="s">
        <v>10</v>
      </c>
      <c r="D61" s="4" t="str">
        <f t="array" ref="D61">IF(ISERROR((INDEX(LocaleTable[LocaleKR],MATCH(LocaleTable[[#This Row],[Index]]-10000,LocaleTable[Index]),0))),"아이템 자체",(INDEX(LocaleTable[LocaleKR],MATCH(LocaleTable[[#This Row],[Index]]-10000,LocaleTable[Index]),0)))</f>
        <v>황금왕의 갑옷</v>
      </c>
    </row>
    <row r="62" spans="1:4">
      <c r="A62">
        <v>23006</v>
      </c>
      <c r="B62" t="s">
        <v>197</v>
      </c>
      <c r="D62" s="4" t="str">
        <f t="array" ref="D62">IF(ISERROR((INDEX(LocaleTable[LocaleKR],MATCH(LocaleTable[[#This Row],[Index]]-10000,LocaleTable[Index]),0))),"아이템 자체",(INDEX(LocaleTable[LocaleKR],MATCH(LocaleTable[[#This Row],[Index]]-10000,LocaleTable[Index]),0)))</f>
        <v>복사기</v>
      </c>
    </row>
    <row r="63" spans="1:4">
      <c r="A63">
        <v>23007</v>
      </c>
      <c r="B63" t="s">
        <v>296</v>
      </c>
      <c r="D63" s="4" t="str">
        <f t="array" ref="D63">IF(ISERROR((INDEX(LocaleTable[LocaleKR],MATCH(LocaleTable[[#This Row],[Index]]-10000,LocaleTable[Index]),0))),"아이템 자체",(INDEX(LocaleTable[LocaleKR],MATCH(LocaleTable[[#This Row],[Index]]-10000,LocaleTable[Index]),0)))</f>
        <v>어른의 카드</v>
      </c>
    </row>
    <row r="64" spans="1:4">
      <c r="A64">
        <v>23008</v>
      </c>
      <c r="B64" t="s">
        <v>9</v>
      </c>
      <c r="D64" s="4" t="str">
        <f t="array" ref="D64">IF(ISERROR((INDEX(LocaleTable[LocaleKR],MATCH(LocaleTable[[#This Row],[Index]]-10000,LocaleTable[Index]),0))),"아이템 자체",(INDEX(LocaleTable[LocaleKR],MATCH(LocaleTable[[#This Row],[Index]]-10000,LocaleTable[Index]),0)))</f>
        <v>회광반조</v>
      </c>
    </row>
    <row r="65" spans="1:4">
      <c r="A65">
        <v>23009</v>
      </c>
      <c r="B65" t="s">
        <v>292</v>
      </c>
      <c r="D65" s="4" t="str">
        <f t="array" ref="D65">IF(ISERROR((INDEX(LocaleTable[LocaleKR],MATCH(LocaleTable[[#This Row],[Index]]-10000,LocaleTable[Index]),0))),"아이템 자체",(INDEX(LocaleTable[LocaleKR],MATCH(LocaleTable[[#This Row],[Index]]-10000,LocaleTable[Index]),0)))</f>
        <v>이카루스의 날개</v>
      </c>
    </row>
    <row r="66" spans="1:4">
      <c r="A66">
        <v>23010</v>
      </c>
      <c r="B66" t="s">
        <v>232</v>
      </c>
      <c r="D66" s="4" t="str">
        <f t="array" ref="D66">IF(ISERROR((INDEX(LocaleTable[LocaleKR],MATCH(LocaleTable[[#This Row],[Index]]-10000,LocaleTable[Index]),0))),"아이템 자체",(INDEX(LocaleTable[LocaleKR],MATCH(LocaleTable[[#This Row],[Index]]-10000,LocaleTable[Index]),0)))</f>
        <v>신성한 수류탄</v>
      </c>
    </row>
    <row r="67" spans="1:4">
      <c r="A67">
        <v>23011</v>
      </c>
      <c r="B67" t="s">
        <v>19</v>
      </c>
      <c r="D67" s="4" t="str">
        <f t="array" ref="D67">IF(ISERROR((INDEX(LocaleTable[LocaleKR],MATCH(LocaleTable[[#This Row],[Index]]-10000,LocaleTable[Index]),0))),"아이템 자체",(INDEX(LocaleTable[LocaleKR],MATCH(LocaleTable[[#This Row],[Index]]-10000,LocaleTable[Index]),0)))</f>
        <v>슈퍼콜드</v>
      </c>
    </row>
    <row r="68" spans="1:4">
      <c r="A68">
        <v>23012</v>
      </c>
      <c r="B68" t="s">
        <v>195</v>
      </c>
      <c r="D68" s="4" t="str">
        <f t="array" ref="D68">IF(ISERROR((INDEX(LocaleTable[LocaleKR],MATCH(LocaleTable[[#This Row],[Index]]-10000,LocaleTable[Index]),0))),"아이템 자체",(INDEX(LocaleTable[LocaleKR],MATCH(LocaleTable[[#This Row],[Index]]-10000,LocaleTable[Index]),0)))</f>
        <v>게이볼그</v>
      </c>
    </row>
    <row r="69" spans="1:4">
      <c r="A69">
        <v>24000</v>
      </c>
      <c r="B69" t="s">
        <v>199</v>
      </c>
      <c r="D69" s="4" t="str">
        <f t="array" ref="D69">IF(ISERROR((INDEX(LocaleTable[LocaleKR],MATCH(LocaleTable[[#This Row],[Index]]-10000,LocaleTable[Index]),0))),"아이템 자체",(INDEX(LocaleTable[LocaleKR],MATCH(LocaleTable[[#This Row],[Index]]-10000,LocaleTable[Index]),0)))</f>
        <v>불길한 깃발</v>
      </c>
    </row>
    <row r="70" spans="1:4">
      <c r="A70">
        <v>24001</v>
      </c>
      <c r="B70" t="s">
        <v>198</v>
      </c>
      <c r="D70" s="4" t="str">
        <f t="array" ref="D70">IF(ISERROR((INDEX(LocaleTable[LocaleKR],MATCH(LocaleTable[[#This Row],[Index]]-10000,LocaleTable[Index]),0))),"아이템 자체",(INDEX(LocaleTable[LocaleKR],MATCH(LocaleTable[[#This Row],[Index]]-10000,LocaleTable[Index]),0)))</f>
        <v>빗바랜 천가죽</v>
      </c>
    </row>
    <row r="71" spans="1:4">
      <c r="A71">
        <v>24002</v>
      </c>
      <c r="B71" t="s">
        <v>188</v>
      </c>
      <c r="D71" s="4" t="str">
        <f t="array" ref="D71">IF(ISERROR((INDEX(LocaleTable[LocaleKR],MATCH(LocaleTable[[#This Row],[Index]]-10000,LocaleTable[Index]),0))),"아이템 자체",(INDEX(LocaleTable[LocaleKR],MATCH(LocaleTable[[#This Row],[Index]]-10000,LocaleTable[Index]),0)))</f>
        <v>나자렛의 몽키스패너</v>
      </c>
    </row>
    <row r="72" spans="1:4">
      <c r="A72">
        <v>24003</v>
      </c>
      <c r="B72" t="s">
        <v>193</v>
      </c>
      <c r="D72" s="4" t="str">
        <f t="array" ref="D72">IF(ISERROR((INDEX(LocaleTable[LocaleKR],MATCH(LocaleTable[[#This Row],[Index]]-10000,LocaleTable[Index]),0))),"아이템 자체",(INDEX(LocaleTable[LocaleKR],MATCH(LocaleTable[[#This Row],[Index]]-10000,LocaleTable[Index]),0)))</f>
        <v>저주받은 갑옷</v>
      </c>
    </row>
    <row r="73" spans="1:4">
      <c r="A73">
        <v>24004</v>
      </c>
      <c r="B73" t="s">
        <v>191</v>
      </c>
      <c r="D73" s="4" t="str">
        <f t="array" ref="D73">IF(ISERROR((INDEX(LocaleTable[LocaleKR],MATCH(LocaleTable[[#This Row],[Index]]-10000,LocaleTable[Index]),0))),"아이템 자체",(INDEX(LocaleTable[LocaleKR],MATCH(LocaleTable[[#This Row],[Index]]-10000,LocaleTable[Index]),0)))</f>
        <v>유리 대포</v>
      </c>
    </row>
    <row r="74" spans="1:4">
      <c r="A74">
        <v>24005</v>
      </c>
      <c r="B74" t="s">
        <v>196</v>
      </c>
      <c r="D74" s="4" t="str">
        <f t="array" ref="D74">IF(ISERROR((INDEX(LocaleTable[LocaleKR],MATCH(LocaleTable[[#This Row],[Index]]-10000,LocaleTable[Index]),0))),"아이템 자체",(INDEX(LocaleTable[LocaleKR],MATCH(LocaleTable[[#This Row],[Index]]-10000,LocaleTable[Index]),0)))</f>
        <v>청개구리 총</v>
      </c>
    </row>
    <row r="75" spans="1:4">
      <c r="A75">
        <v>24006</v>
      </c>
      <c r="B75" t="s">
        <v>5</v>
      </c>
      <c r="D75" s="4" t="str">
        <f t="array" ref="D75">IF(ISERROR((INDEX(LocaleTable[LocaleKR],MATCH(LocaleTable[[#This Row],[Index]]-10000,LocaleTable[Index]),0))),"아이템 자체",(INDEX(LocaleTable[LocaleKR],MATCH(LocaleTable[[#This Row],[Index]]-10000,LocaleTable[Index]),0)))</f>
        <v>불운의 황금상</v>
      </c>
    </row>
    <row r="76" spans="1:4">
      <c r="A76">
        <v>24007</v>
      </c>
      <c r="B76" t="s">
        <v>7</v>
      </c>
      <c r="D76" s="4" t="str">
        <f t="array" ref="D76">IF(ISERROR((INDEX(LocaleTable[LocaleKR],MATCH(LocaleTable[[#This Row],[Index]]-10000,LocaleTable[Index]),0))),"아이템 자체",(INDEX(LocaleTable[LocaleKR],MATCH(LocaleTable[[#This Row],[Index]]-10000,LocaleTable[Index]),0)))</f>
        <v>저주받은 테니스채</v>
      </c>
    </row>
  </sheetData>
  <phoneticPr fontId="8" type="noConversion"/>
  <pageMargins left="0.69999998807907104" right="0.69999998807907104" top="0.75" bottom="0.75" header="0.30000001192092896" footer="0.30000001192092896"/>
  <pageSetup paperSize="9" fitToWidth="0" fitToHeight="0" orientation="portrait" horizontalDpi="0" verticalDpi="0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#시트별저장버튼</vt:lpstr>
      <vt:lpstr>#아이템 밸런스 시트</vt:lpstr>
      <vt:lpstr>#전투 밸런스 시트</vt:lpstr>
      <vt:lpstr>#공용데이터(참고용)</vt:lpstr>
      <vt:lpstr>CharacterGameData</vt:lpstr>
      <vt:lpstr>CharacterAtkGameData</vt:lpstr>
      <vt:lpstr>ProductialMapGameData</vt:lpstr>
      <vt:lpstr>DropGameData</vt:lpstr>
      <vt:lpstr>EnemyGameData</vt:lpstr>
      <vt:lpstr>EnemyAtkGameData</vt:lpstr>
      <vt:lpstr>ShootGameData</vt:lpstr>
      <vt:lpstr>ProjectileGameData</vt:lpstr>
      <vt:lpstr>ItemGameData</vt:lpstr>
      <vt:lpstr>ItemEffectGameData</vt:lpstr>
      <vt:lpstr>ItemResourceGameData</vt:lpstr>
      <vt:lpstr>LocaleGameData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Kim_Dongju</dc:creator>
  <cp:lastModifiedBy>Microsoft Office User</cp:lastModifiedBy>
  <cp:revision>2</cp:revision>
  <dcterms:created xsi:type="dcterms:W3CDTF">2023-03-25T04:43:38Z</dcterms:created>
  <dcterms:modified xsi:type="dcterms:W3CDTF">2023-06-08T02:09:57Z</dcterms:modified>
  <cp:version>1200.0100.01</cp:version>
</cp:coreProperties>
</file>