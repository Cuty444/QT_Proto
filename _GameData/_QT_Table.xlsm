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33F8ED59-4003-4B4B-9A83-A05497218C19}" xr6:coauthVersionLast="47" xr6:coauthVersionMax="47" xr10:uidLastSave="{00000000-0000-0000-0000-000000000000}"/>
  <bookViews>
    <workbookView xWindow="-28920" yWindow="-120" windowWidth="29040" windowHeight="15840" firstSheet="6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" i="14" l="1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O8" i="3" a="1"/>
  <c r="O8" i="3" s="1"/>
  <c r="O9" i="3" a="1"/>
  <c r="O9" i="3" s="1"/>
  <c r="O10" i="3" a="1"/>
  <c r="O10" i="3" s="1"/>
  <c r="O11" i="3" a="1"/>
  <c r="O11" i="3" s="1"/>
  <c r="O12" i="3" a="1"/>
  <c r="O12" i="3" s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H45" i="10"/>
  <c r="H46" i="10"/>
  <c r="H47" i="10"/>
  <c r="H48" i="10"/>
  <c r="H49" i="10"/>
  <c r="H50" i="10"/>
  <c r="H51" i="10"/>
  <c r="H52" i="10"/>
  <c r="H53" i="10"/>
  <c r="T11" i="9"/>
  <c r="E11" i="9"/>
  <c r="H22" i="10"/>
  <c r="T16" i="9"/>
  <c r="E16" i="9"/>
  <c r="T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T10" i="9"/>
  <c r="E10" i="9"/>
  <c r="T9" i="9"/>
  <c r="E9" i="9"/>
  <c r="T8" i="9"/>
  <c r="E8" i="9"/>
  <c r="T7" i="9"/>
  <c r="E7" i="9"/>
  <c r="T6" i="9"/>
  <c r="E6" i="9"/>
  <c r="T5" i="9"/>
  <c r="E5" i="9"/>
  <c r="T4" i="9"/>
  <c r="E4" i="9"/>
  <c r="T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Q26" i="14" l="1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<sst xmlns="http://schemas.openxmlformats.org/spreadsheetml/2006/main" count="1071" uniqueCount="551">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</sst>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" fillId="0" borderId="0" xfId="0" quotePrefix="1" applyFont="1">
      <alignment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1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8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T16" totalsRowShown="0">
  <autoFilter ref="B2:T16" xr:uid="{00000000-0009-0000-0100-000012000000}"/>
  <tableColumns count="19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3" totalsRowShown="0">
  <autoFilter ref="B2:I53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73" totalsRowShown="0">
  <autoFilter ref="B2:G73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37" t="s">
        <v>344</v>
      </c>
      <c r="C1" s="38"/>
      <c r="D1" s="38"/>
      <c r="E1" s="38"/>
    </row>
    <row r="2" spans="2:5" s="1" customFormat="1" x14ac:dyDescent="0.3">
      <c r="B2" s="38"/>
      <c r="C2" s="38"/>
      <c r="D2" s="38"/>
      <c r="E2" s="38"/>
    </row>
    <row r="3" spans="2:5" s="1" customFormat="1" x14ac:dyDescent="0.3">
      <c r="B3" s="38"/>
      <c r="C3" s="38"/>
      <c r="D3" s="38"/>
      <c r="E3" s="38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defaultColWidth="8.875" defaultRowHeight="16.5" x14ac:dyDescent="0.3"/>
  <cols>
    <col min="2" max="2" width="10.25" customWidth="1"/>
    <col min="3" max="3" width="6.5" customWidth="1"/>
    <col min="4" max="4" width="12.625" bestFit="1" customWidth="1"/>
    <col min="5" max="5" width="10.375" bestFit="1" customWidth="1"/>
    <col min="6" max="6" width="11.25" customWidth="1"/>
    <col min="7" max="7" width="9.875" bestFit="1" customWidth="1"/>
    <col min="8" max="8" width="11" bestFit="1" customWidth="1"/>
  </cols>
  <sheetData>
    <row r="1" spans="2:12" s="1" customFormat="1" x14ac:dyDescent="0.3">
      <c r="B1" s="37" t="s">
        <v>218</v>
      </c>
      <c r="C1" s="38"/>
      <c r="D1" s="38"/>
      <c r="E1" s="38"/>
    </row>
    <row r="2" spans="2:12" s="1" customFormat="1" x14ac:dyDescent="0.3">
      <c r="B2" s="38"/>
      <c r="C2" s="38"/>
      <c r="D2" s="38"/>
      <c r="E2" s="38"/>
    </row>
    <row r="3" spans="2:12" s="1" customFormat="1" x14ac:dyDescent="0.3">
      <c r="B3" s="38"/>
      <c r="C3" s="38"/>
      <c r="D3" s="38"/>
      <c r="E3" s="38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520</v>
      </c>
      <c r="C10" s="2"/>
      <c r="D10" s="2"/>
      <c r="I10" s="2" t="s">
        <v>521</v>
      </c>
      <c r="J10" s="2"/>
      <c r="K10" s="2"/>
    </row>
    <row r="11" spans="2:12" x14ac:dyDescent="0.3">
      <c r="B11" s="20" t="s">
        <v>518</v>
      </c>
      <c r="C11" s="20" t="s">
        <v>519</v>
      </c>
      <c r="D11" s="20" t="s">
        <v>516</v>
      </c>
      <c r="E11" s="20" t="s">
        <v>517</v>
      </c>
      <c r="F11" s="20" t="s">
        <v>522</v>
      </c>
      <c r="I11" s="20" t="s">
        <v>523</v>
      </c>
      <c r="J11" s="20" t="s">
        <v>519</v>
      </c>
      <c r="K11" s="20" t="s">
        <v>516</v>
      </c>
      <c r="L11" s="20" t="s">
        <v>517</v>
      </c>
    </row>
    <row r="12" spans="2:12" x14ac:dyDescent="0.3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20" t="s">
        <v>524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20" t="s">
        <v>525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526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526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37" t="s">
        <v>318</v>
      </c>
      <c r="C1" s="38"/>
      <c r="D1" s="38"/>
      <c r="E1" s="38"/>
      <c r="F1" s="38"/>
    </row>
    <row r="2" spans="1:21" s="1" customFormat="1" x14ac:dyDescent="0.3">
      <c r="B2" s="38"/>
      <c r="C2" s="38"/>
      <c r="D2" s="38"/>
      <c r="E2" s="38"/>
      <c r="F2" s="38"/>
    </row>
    <row r="3" spans="1:21" s="1" customFormat="1" x14ac:dyDescent="0.3">
      <c r="B3" s="38"/>
      <c r="C3" s="38"/>
      <c r="D3" s="38"/>
      <c r="E3" s="38"/>
      <c r="F3" s="38"/>
    </row>
    <row r="5" spans="1:21" x14ac:dyDescent="0.3">
      <c r="B5" s="2" t="s">
        <v>108</v>
      </c>
      <c r="G5" s="2" t="s">
        <v>232</v>
      </c>
      <c r="H5" s="2"/>
      <c r="R5" s="2" t="s">
        <v>117</v>
      </c>
    </row>
    <row r="6" spans="1:21" x14ac:dyDescent="0.3">
      <c r="B6" t="s">
        <v>54</v>
      </c>
      <c r="C6" t="s">
        <v>151</v>
      </c>
      <c r="D6" t="s">
        <v>61</v>
      </c>
      <c r="E6" t="s">
        <v>364</v>
      </c>
      <c r="G6" t="s">
        <v>44</v>
      </c>
      <c r="H6" t="s">
        <v>83</v>
      </c>
      <c r="I6" t="s">
        <v>84</v>
      </c>
      <c r="J6" t="s">
        <v>119</v>
      </c>
      <c r="K6" t="s">
        <v>118</v>
      </c>
      <c r="L6" t="s">
        <v>114</v>
      </c>
      <c r="M6" t="s">
        <v>116</v>
      </c>
      <c r="N6" t="s">
        <v>324</v>
      </c>
      <c r="O6" t="s">
        <v>362</v>
      </c>
      <c r="P6" t="s">
        <v>322</v>
      </c>
      <c r="R6" t="s">
        <v>107</v>
      </c>
      <c r="S6" s="20" t="s">
        <v>527</v>
      </c>
    </row>
    <row r="7" spans="1:21" x14ac:dyDescent="0.3">
      <c r="A7" s="15"/>
      <c r="B7" s="13" t="s">
        <v>201</v>
      </c>
      <c r="C7" s="15" t="s">
        <v>33</v>
      </c>
      <c r="D7" t="s">
        <v>143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97.972972972972968</v>
      </c>
      <c r="P7">
        <f>(밸런스시트[[#This Row],[레벨당 평균 적]]*밸런스시트[[#This Row],[방 개수]]*밸런스시트[[#This Row],[적 체력]])/밸런스시트[[#This Row],[PC 최대 DPS]]</f>
        <v>51.03448275862069</v>
      </c>
      <c r="R7">
        <f>1/15</f>
        <v>6.6666666666666666E-2</v>
      </c>
      <c r="S7">
        <f>표11[[#Totals],[평균 골드]]</f>
        <v>9.15</v>
      </c>
    </row>
    <row r="8" spans="1:21" x14ac:dyDescent="0.3">
      <c r="A8" s="13"/>
      <c r="B8" s="13" t="s">
        <v>2</v>
      </c>
      <c r="C8" s="13" t="s">
        <v>256</v>
      </c>
      <c r="D8" t="s">
        <v>154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97.972972972972968</v>
      </c>
      <c r="P8">
        <f>(밸런스시트[[#This Row],[레벨당 평균 적]]*밸런스시트[[#This Row],[방 개수]]*밸런스시트[[#This Row],[적 체력]])/밸런스시트[[#This Row],[PC 최대 DPS]]</f>
        <v>73.489655172413791</v>
      </c>
    </row>
    <row r="9" spans="1:21" x14ac:dyDescent="0.3">
      <c r="A9" s="13"/>
      <c r="B9" s="13" t="s">
        <v>58</v>
      </c>
      <c r="C9" s="13" t="s">
        <v>256</v>
      </c>
      <c r="D9" t="s">
        <v>156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97.972972972972968</v>
      </c>
      <c r="P9">
        <f>(밸런스시트[[#This Row],[레벨당 평균 적]]*밸런스시트[[#This Row],[방 개수]]*밸런스시트[[#This Row],[적 체력]])/밸런스시트[[#This Row],[PC 최대 DPS]]</f>
        <v>100.02758620689656</v>
      </c>
      <c r="R9" s="2" t="s">
        <v>287</v>
      </c>
      <c r="S9" s="2"/>
      <c r="T9" s="2"/>
    </row>
    <row r="10" spans="1:21" x14ac:dyDescent="0.3">
      <c r="A10" s="13"/>
      <c r="B10" s="13" t="s">
        <v>211</v>
      </c>
      <c r="C10" s="13" t="s">
        <v>256</v>
      </c>
      <c r="D10" t="s">
        <v>359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97.972972972972968</v>
      </c>
      <c r="P10">
        <f>(밸런스시트[[#This Row],[레벨당 평균 적]]*밸런스시트[[#This Row],[방 개수]]*밸런스시트[[#This Row],[적 체력]])/밸런스시트[[#This Row],[PC 최대 DPS]]</f>
        <v>130.64827586206897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3"/>
      <c r="B11" s="13" t="s">
        <v>304</v>
      </c>
      <c r="C11" s="13" t="s">
        <v>256</v>
      </c>
      <c r="D11" t="s">
        <v>149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97.972972972972968</v>
      </c>
      <c r="P11">
        <f>(밸런스시트[[#This Row],[레벨당 평균 적]]*밸런스시트[[#This Row],[방 개수]]*밸런스시트[[#This Row],[적 체력]])/밸런스시트[[#This Row],[PC 최대 DPS]]</f>
        <v>165.35172413793103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3"/>
      <c r="B12" s="13" t="s">
        <v>185</v>
      </c>
      <c r="C12" s="13" t="s">
        <v>241</v>
      </c>
      <c r="D12" t="s">
        <v>155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97.972972972972968</v>
      </c>
      <c r="P12">
        <f>(밸런스시트[[#This Row],[레벨당 평균 적]]*밸런스시트[[#This Row],[방 개수]]*밸런스시트[[#This Row],[적 체력]])/밸런스시트[[#This Row],[PC 최대 DPS]]</f>
        <v>204.13793103448276</v>
      </c>
    </row>
    <row r="13" spans="1:21" x14ac:dyDescent="0.3">
      <c r="A13" s="13"/>
      <c r="B13" s="13" t="s">
        <v>348</v>
      </c>
      <c r="C13" s="13" t="s">
        <v>22</v>
      </c>
      <c r="D13" t="s">
        <v>32</v>
      </c>
      <c r="E13">
        <f>30/0.46</f>
        <v>65.217391304347828</v>
      </c>
      <c r="R13" s="2" t="s">
        <v>113</v>
      </c>
    </row>
    <row r="14" spans="1:21" x14ac:dyDescent="0.3">
      <c r="A14" s="13"/>
      <c r="B14" s="13" t="s">
        <v>17</v>
      </c>
      <c r="C14" s="13" t="s">
        <v>22</v>
      </c>
      <c r="D14" t="s">
        <v>34</v>
      </c>
      <c r="E14">
        <f>50/360</f>
        <v>0.1388888888888889</v>
      </c>
      <c r="R14" t="s">
        <v>115</v>
      </c>
      <c r="S14" t="s">
        <v>316</v>
      </c>
    </row>
    <row r="15" spans="1:21" x14ac:dyDescent="0.3">
      <c r="A15" s="13"/>
      <c r="B15" s="13" t="s">
        <v>235</v>
      </c>
      <c r="C15" s="13" t="s">
        <v>22</v>
      </c>
      <c r="D15" t="s">
        <v>249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3"/>
      <c r="B16" s="13" t="s">
        <v>203</v>
      </c>
      <c r="C16" s="13" t="s">
        <v>22</v>
      </c>
      <c r="D16" t="s">
        <v>261</v>
      </c>
      <c r="E16" s="12">
        <v>40</v>
      </c>
    </row>
    <row r="17" spans="1:5" x14ac:dyDescent="0.3">
      <c r="A17" s="13"/>
      <c r="B17" s="13" t="s">
        <v>349</v>
      </c>
      <c r="C17" s="13" t="s">
        <v>22</v>
      </c>
      <c r="D17" t="s">
        <v>144</v>
      </c>
      <c r="E17">
        <f>50/0.3</f>
        <v>166.66666666666669</v>
      </c>
    </row>
    <row r="18" spans="1:5" x14ac:dyDescent="0.3">
      <c r="A18" s="13"/>
      <c r="B18" s="13" t="s">
        <v>372</v>
      </c>
      <c r="C18" s="13" t="s">
        <v>22</v>
      </c>
      <c r="D18" t="s">
        <v>361</v>
      </c>
      <c r="E18" s="14">
        <f>30/-0.2</f>
        <v>-150</v>
      </c>
    </row>
    <row r="19" spans="1:5" x14ac:dyDescent="0.3">
      <c r="A19" s="13"/>
      <c r="B19" s="13" t="s">
        <v>225</v>
      </c>
      <c r="C19" s="13" t="s">
        <v>22</v>
      </c>
      <c r="D19" t="s">
        <v>248</v>
      </c>
      <c r="E19">
        <f>50/100</f>
        <v>0.5</v>
      </c>
    </row>
    <row r="20" spans="1:5" x14ac:dyDescent="0.3">
      <c r="A20" s="13"/>
      <c r="B20" s="13" t="s">
        <v>258</v>
      </c>
      <c r="C20" s="13" t="s">
        <v>22</v>
      </c>
      <c r="D20" t="s">
        <v>251</v>
      </c>
      <c r="E20">
        <f>50/100</f>
        <v>0.5</v>
      </c>
    </row>
    <row r="21" spans="1:5" x14ac:dyDescent="0.3">
      <c r="A21" s="13"/>
      <c r="B21" s="13" t="s">
        <v>24</v>
      </c>
      <c r="C21" s="13" t="s">
        <v>22</v>
      </c>
      <c r="D21" t="s">
        <v>276</v>
      </c>
      <c r="E21">
        <f>30/1/2</f>
        <v>15</v>
      </c>
    </row>
    <row r="22" spans="1:5" x14ac:dyDescent="0.3">
      <c r="A22" s="13"/>
      <c r="B22" s="13" t="s">
        <v>30</v>
      </c>
      <c r="C22" s="13" t="s">
        <v>22</v>
      </c>
      <c r="D22" t="s">
        <v>268</v>
      </c>
      <c r="E22">
        <f>30/1/2</f>
        <v>15</v>
      </c>
    </row>
    <row r="23" spans="1:5" x14ac:dyDescent="0.3">
      <c r="A23" s="13"/>
      <c r="B23" s="13" t="s">
        <v>239</v>
      </c>
      <c r="C23" s="13" t="s">
        <v>22</v>
      </c>
      <c r="D23" t="s">
        <v>357</v>
      </c>
      <c r="E23">
        <f>50/25</f>
        <v>2</v>
      </c>
    </row>
    <row r="24" spans="1:5" x14ac:dyDescent="0.3">
      <c r="A24" s="13"/>
      <c r="B24" s="13" t="s">
        <v>247</v>
      </c>
      <c r="C24" s="13" t="s">
        <v>22</v>
      </c>
      <c r="D24" t="s">
        <v>358</v>
      </c>
      <c r="E24">
        <f>50/25</f>
        <v>2</v>
      </c>
    </row>
    <row r="25" spans="1:5" x14ac:dyDescent="0.3">
      <c r="A25" s="13"/>
      <c r="B25" s="13" t="s">
        <v>267</v>
      </c>
      <c r="C25" s="13" t="s">
        <v>22</v>
      </c>
      <c r="D25" t="s">
        <v>377</v>
      </c>
      <c r="E25">
        <v>2</v>
      </c>
    </row>
    <row r="26" spans="1:5" x14ac:dyDescent="0.3">
      <c r="A26" s="13"/>
      <c r="B26" s="13" t="s">
        <v>290</v>
      </c>
      <c r="C26" s="13" t="s">
        <v>22</v>
      </c>
      <c r="D26" t="s">
        <v>378</v>
      </c>
      <c r="E26">
        <v>2</v>
      </c>
    </row>
    <row r="27" spans="1:5" x14ac:dyDescent="0.3">
      <c r="A27" s="13"/>
      <c r="B27" s="13" t="s">
        <v>209</v>
      </c>
      <c r="C27" s="13" t="s">
        <v>60</v>
      </c>
      <c r="D27" s="13" t="s">
        <v>25</v>
      </c>
      <c r="E27">
        <v>-50</v>
      </c>
    </row>
    <row r="28" spans="1:5" x14ac:dyDescent="0.3">
      <c r="A28" s="13"/>
      <c r="B28" s="13" t="s">
        <v>152</v>
      </c>
      <c r="C28" s="13" t="s">
        <v>60</v>
      </c>
      <c r="D28" s="13" t="s">
        <v>23</v>
      </c>
      <c r="E28">
        <v>-30</v>
      </c>
    </row>
    <row r="29" spans="1:5" x14ac:dyDescent="0.3">
      <c r="A29" s="13"/>
      <c r="B29" s="13" t="s">
        <v>305</v>
      </c>
      <c r="C29" s="13" t="s">
        <v>60</v>
      </c>
      <c r="D29" s="13" t="s">
        <v>21</v>
      </c>
      <c r="E29">
        <v>50</v>
      </c>
    </row>
    <row r="30" spans="1:5" x14ac:dyDescent="0.3">
      <c r="A30" s="13"/>
      <c r="B30" s="13" t="s">
        <v>52</v>
      </c>
      <c r="C30" s="13" t="s">
        <v>60</v>
      </c>
      <c r="D30" s="13" t="s">
        <v>412</v>
      </c>
      <c r="E30">
        <v>50</v>
      </c>
    </row>
    <row r="31" spans="1:5" x14ac:dyDescent="0.3">
      <c r="A31" s="13"/>
      <c r="B31" s="13" t="s">
        <v>301</v>
      </c>
      <c r="C31" s="13" t="s">
        <v>60</v>
      </c>
      <c r="D31" s="13" t="s">
        <v>196</v>
      </c>
      <c r="E31">
        <v>50</v>
      </c>
    </row>
    <row r="32" spans="1:5" x14ac:dyDescent="0.3">
      <c r="A32" s="13"/>
      <c r="B32" s="13" t="s">
        <v>208</v>
      </c>
      <c r="C32" s="13" t="s">
        <v>60</v>
      </c>
      <c r="D32" s="13" t="s">
        <v>242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120</v>
      </c>
      <c r="C2" t="s">
        <v>74</v>
      </c>
      <c r="D2" s="6" t="s">
        <v>45</v>
      </c>
    </row>
    <row r="3" spans="1:4" x14ac:dyDescent="0.3">
      <c r="A3">
        <v>1</v>
      </c>
      <c r="B3" s="4" t="s">
        <v>198</v>
      </c>
      <c r="C3">
        <v>5</v>
      </c>
      <c r="D3" s="4" t="s">
        <v>222</v>
      </c>
    </row>
    <row r="4" spans="1:4" x14ac:dyDescent="0.3">
      <c r="A4">
        <v>2</v>
      </c>
      <c r="B4" s="4" t="s">
        <v>265</v>
      </c>
      <c r="C4">
        <v>5</v>
      </c>
      <c r="D4" s="4" t="s">
        <v>197</v>
      </c>
    </row>
    <row r="5" spans="1:4" x14ac:dyDescent="0.3">
      <c r="A5">
        <v>3</v>
      </c>
      <c r="B5" s="4" t="s">
        <v>291</v>
      </c>
      <c r="C5">
        <v>20</v>
      </c>
      <c r="D5" s="4" t="s">
        <v>8</v>
      </c>
    </row>
    <row r="6" spans="1:4" x14ac:dyDescent="0.3">
      <c r="A6">
        <v>4</v>
      </c>
      <c r="B6" s="4" t="s">
        <v>293</v>
      </c>
      <c r="C6">
        <v>0.5</v>
      </c>
      <c r="D6" s="4" t="s">
        <v>213</v>
      </c>
    </row>
    <row r="7" spans="1:4" x14ac:dyDescent="0.3">
      <c r="A7">
        <v>5</v>
      </c>
      <c r="B7" s="4" t="s">
        <v>352</v>
      </c>
      <c r="C7">
        <v>50</v>
      </c>
      <c r="D7" s="4" t="s">
        <v>410</v>
      </c>
    </row>
    <row r="8" spans="1:4" x14ac:dyDescent="0.3">
      <c r="A8">
        <v>6</v>
      </c>
      <c r="B8" s="4" t="s">
        <v>356</v>
      </c>
      <c r="C8">
        <v>1</v>
      </c>
      <c r="D8" s="4" t="s">
        <v>186</v>
      </c>
    </row>
    <row r="9" spans="1:4" x14ac:dyDescent="0.3">
      <c r="A9">
        <v>7</v>
      </c>
      <c r="B9" s="4" t="s">
        <v>407</v>
      </c>
      <c r="C9">
        <v>10</v>
      </c>
      <c r="D9" s="4" t="s">
        <v>404</v>
      </c>
    </row>
    <row r="10" spans="1:4" x14ac:dyDescent="0.3">
      <c r="A10">
        <v>8</v>
      </c>
      <c r="B10" s="4" t="s">
        <v>27</v>
      </c>
      <c r="C10">
        <v>5</v>
      </c>
      <c r="D10" s="4" t="s">
        <v>182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D3" sqref="D3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167</v>
      </c>
      <c r="L1" t="s">
        <v>167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164</v>
      </c>
      <c r="E2" t="s">
        <v>314</v>
      </c>
      <c r="F2" t="s">
        <v>2</v>
      </c>
      <c r="G2" t="s">
        <v>29</v>
      </c>
      <c r="H2" t="s">
        <v>14</v>
      </c>
      <c r="I2" t="s">
        <v>214</v>
      </c>
      <c r="J2" t="s">
        <v>12</v>
      </c>
      <c r="K2" t="s">
        <v>28</v>
      </c>
      <c r="L2" t="s">
        <v>245</v>
      </c>
      <c r="M2" t="s">
        <v>310</v>
      </c>
      <c r="N2" t="s">
        <v>211</v>
      </c>
      <c r="O2" t="s">
        <v>304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J1" zoomScaleNormal="75" zoomScaleSheetLayoutView="100" workbookViewId="0">
      <selection activeCell="M3" sqref="M3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AD1" s="12" t="s">
        <v>183</v>
      </c>
    </row>
    <row r="2" spans="2:31" x14ac:dyDescent="0.3">
      <c r="B2" t="s">
        <v>78</v>
      </c>
      <c r="C2" s="6" t="s">
        <v>45</v>
      </c>
      <c r="D2" s="8" t="s">
        <v>219</v>
      </c>
      <c r="E2" s="7" t="s">
        <v>226</v>
      </c>
      <c r="F2" s="7" t="s">
        <v>351</v>
      </c>
      <c r="G2" s="8" t="s">
        <v>20</v>
      </c>
      <c r="H2" s="9" t="s">
        <v>235</v>
      </c>
      <c r="I2" s="9" t="s">
        <v>238</v>
      </c>
      <c r="J2" s="9" t="s">
        <v>348</v>
      </c>
      <c r="K2" s="9" t="s">
        <v>17</v>
      </c>
      <c r="L2" s="9" t="s">
        <v>372</v>
      </c>
      <c r="M2" s="9" t="s">
        <v>203</v>
      </c>
      <c r="N2" s="9" t="s">
        <v>225</v>
      </c>
      <c r="O2" s="9" t="s">
        <v>258</v>
      </c>
      <c r="P2" s="9" t="s">
        <v>24</v>
      </c>
      <c r="Q2" s="9" t="s">
        <v>30</v>
      </c>
      <c r="R2" s="9" t="s">
        <v>31</v>
      </c>
      <c r="S2" s="10" t="s">
        <v>239</v>
      </c>
      <c r="T2" s="10" t="s">
        <v>247</v>
      </c>
      <c r="U2" s="10" t="s">
        <v>267</v>
      </c>
      <c r="V2" s="10" t="s">
        <v>290</v>
      </c>
      <c r="W2" s="1" t="s">
        <v>349</v>
      </c>
      <c r="X2" s="1" t="s">
        <v>414</v>
      </c>
      <c r="Y2" s="6" t="s">
        <v>365</v>
      </c>
      <c r="Z2" s="6" t="s">
        <v>240</v>
      </c>
      <c r="AA2" s="6" t="s">
        <v>264</v>
      </c>
      <c r="AB2" s="6" t="s">
        <v>243</v>
      </c>
      <c r="AC2" s="6" t="s">
        <v>263</v>
      </c>
      <c r="AD2" s="6" t="s">
        <v>255</v>
      </c>
      <c r="AE2" s="6" t="s">
        <v>26</v>
      </c>
    </row>
    <row r="3" spans="2:31" x14ac:dyDescent="0.3">
      <c r="B3">
        <v>200</v>
      </c>
      <c r="C3" s="4" t="s">
        <v>323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1</v>
      </c>
      <c r="X3">
        <v>8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13.333333333333334</v>
      </c>
      <c r="AA3">
        <f>CharacterAtkTable[[#This Row],[ChargeRigidDmg2]]/(CharacterAtkTable[[#This Row],[SwingCooldown]]+CharacterAtkTable[[#This Row],[ChargeTime]])</f>
        <v>16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97.972972972972968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H1" zoomScaleNormal="75" zoomScaleSheetLayoutView="100" workbookViewId="0">
      <selection activeCell="R8" sqref="R8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231</v>
      </c>
      <c r="E2" s="36" t="s">
        <v>221</v>
      </c>
      <c r="F2" s="36" t="s">
        <v>315</v>
      </c>
      <c r="G2" t="s">
        <v>15</v>
      </c>
      <c r="H2" t="s">
        <v>337</v>
      </c>
      <c r="I2" t="s">
        <v>229</v>
      </c>
      <c r="J2" t="s">
        <v>227</v>
      </c>
      <c r="K2" t="s">
        <v>319</v>
      </c>
      <c r="L2" t="s">
        <v>223</v>
      </c>
      <c r="M2" t="s">
        <v>230</v>
      </c>
      <c r="N2" s="6" t="s">
        <v>137</v>
      </c>
      <c r="O2" s="6" t="s">
        <v>145</v>
      </c>
      <c r="P2" s="6" t="s">
        <v>146</v>
      </c>
      <c r="Q2" s="6" t="s">
        <v>147</v>
      </c>
      <c r="R2" s="6" t="s">
        <v>148</v>
      </c>
      <c r="S2" s="6" t="s">
        <v>140</v>
      </c>
    </row>
    <row r="3" spans="2:19" x14ac:dyDescent="0.3">
      <c r="B3">
        <v>800</v>
      </c>
      <c r="C3" s="24" t="s">
        <v>532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2:19" x14ac:dyDescent="0.3">
      <c r="B4">
        <v>801</v>
      </c>
      <c r="C4" s="24" t="s">
        <v>533</v>
      </c>
      <c r="D4">
        <v>12</v>
      </c>
      <c r="E4">
        <v>0</v>
      </c>
      <c r="F4">
        <v>0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4" t="s">
        <v>534</v>
      </c>
      <c r="D5">
        <v>14</v>
      </c>
      <c r="E5">
        <v>0</v>
      </c>
      <c r="F5">
        <v>0</v>
      </c>
      <c r="G5">
        <v>1.4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9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9" x14ac:dyDescent="0.3">
      <c r="B3">
        <v>9000</v>
      </c>
      <c r="C3" s="4" t="s">
        <v>327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 x14ac:dyDescent="0.3">
      <c r="B4">
        <v>9001</v>
      </c>
      <c r="C4" s="11" t="s">
        <v>320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 x14ac:dyDescent="0.3">
      <c r="B5">
        <v>9002</v>
      </c>
      <c r="C5" s="11" t="s">
        <v>321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 x14ac:dyDescent="0.3">
      <c r="B6">
        <v>9003</v>
      </c>
      <c r="C6" s="11" t="s">
        <v>110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 x14ac:dyDescent="0.3">
      <c r="B7">
        <v>9004</v>
      </c>
      <c r="C7" s="4" t="s">
        <v>109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 x14ac:dyDescent="0.3">
      <c r="B8">
        <v>9005</v>
      </c>
      <c r="C8" s="11" t="s">
        <v>308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 x14ac:dyDescent="0.3">
      <c r="A9" t="s">
        <v>51</v>
      </c>
      <c r="B9">
        <v>9100</v>
      </c>
      <c r="C9" s="11" t="s">
        <v>328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 x14ac:dyDescent="0.3">
      <c r="A10" t="s">
        <v>51</v>
      </c>
      <c r="B10">
        <v>9101</v>
      </c>
      <c r="C10" s="11" t="s">
        <v>353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 x14ac:dyDescent="0.3">
      <c r="A11" t="s">
        <v>51</v>
      </c>
      <c r="B11">
        <v>9102</v>
      </c>
      <c r="C11" s="11" t="s">
        <v>329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 x14ac:dyDescent="0.3">
      <c r="A12" t="s">
        <v>51</v>
      </c>
      <c r="B12">
        <v>9103</v>
      </c>
      <c r="C12" s="11" t="s">
        <v>126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 x14ac:dyDescent="0.3">
      <c r="A13" t="s">
        <v>51</v>
      </c>
      <c r="B13">
        <v>9104</v>
      </c>
      <c r="C13" s="11" t="s">
        <v>125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 x14ac:dyDescent="0.3">
      <c r="A14" t="s">
        <v>51</v>
      </c>
      <c r="B14">
        <v>9105</v>
      </c>
      <c r="C14" s="11" t="s">
        <v>338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T16"/>
  <sheetViews>
    <sheetView topLeftCell="B1" zoomScaleNormal="75" zoomScaleSheetLayoutView="100" workbookViewId="0">
      <selection activeCell="M15" sqref="M15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2.875" bestFit="1" customWidth="1"/>
    <col min="7" max="7" width="14" bestFit="1" customWidth="1"/>
    <col min="8" max="8" width="27.875" bestFit="1" customWidth="1"/>
    <col min="9" max="9" width="17" bestFit="1" customWidth="1"/>
    <col min="10" max="10" width="17.5" bestFit="1" customWidth="1"/>
    <col min="11" max="11" width="15.625" bestFit="1" customWidth="1"/>
    <col min="12" max="12" width="17.125" bestFit="1" customWidth="1"/>
    <col min="13" max="13" width="12.625" bestFit="1" customWidth="1"/>
    <col min="14" max="14" width="17.625" bestFit="1" customWidth="1"/>
    <col min="15" max="15" width="16" bestFit="1" customWidth="1"/>
    <col min="16" max="16" width="16.375" bestFit="1" customWidth="1"/>
    <col min="17" max="17" width="18.375" bestFit="1" customWidth="1"/>
    <col min="18" max="18" width="25" bestFit="1" customWidth="1"/>
    <col min="19" max="19" width="20.625" bestFit="1" customWidth="1"/>
    <col min="20" max="20" width="17.875" bestFit="1" customWidth="1"/>
  </cols>
  <sheetData>
    <row r="1" spans="2:20" x14ac:dyDescent="0.3">
      <c r="B1" t="s">
        <v>48</v>
      </c>
      <c r="C1" t="s">
        <v>51</v>
      </c>
      <c r="D1" s="20" t="s">
        <v>454</v>
      </c>
      <c r="E1" t="s">
        <v>48</v>
      </c>
      <c r="F1" t="s">
        <v>131</v>
      </c>
      <c r="G1" t="s">
        <v>48</v>
      </c>
      <c r="H1" t="s">
        <v>103</v>
      </c>
      <c r="I1" t="s">
        <v>103</v>
      </c>
      <c r="J1" t="s">
        <v>103</v>
      </c>
      <c r="K1" t="s">
        <v>131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102</v>
      </c>
      <c r="S1" t="s">
        <v>51</v>
      </c>
      <c r="T1" t="s">
        <v>51</v>
      </c>
    </row>
    <row r="2" spans="2:20" x14ac:dyDescent="0.3">
      <c r="B2" t="s">
        <v>78</v>
      </c>
      <c r="C2" s="6" t="s">
        <v>63</v>
      </c>
      <c r="D2" s="23" t="s">
        <v>454</v>
      </c>
      <c r="E2" t="s">
        <v>135</v>
      </c>
      <c r="F2" t="s">
        <v>331</v>
      </c>
      <c r="G2" t="s">
        <v>333</v>
      </c>
      <c r="H2" t="s">
        <v>284</v>
      </c>
      <c r="I2" t="s">
        <v>2</v>
      </c>
      <c r="J2" t="s">
        <v>217</v>
      </c>
      <c r="K2" t="s">
        <v>212</v>
      </c>
      <c r="L2" t="s">
        <v>215</v>
      </c>
      <c r="M2" t="s">
        <v>330</v>
      </c>
      <c r="N2" t="s">
        <v>224</v>
      </c>
      <c r="O2" t="s">
        <v>336</v>
      </c>
      <c r="P2" t="s">
        <v>334</v>
      </c>
      <c r="Q2" t="s">
        <v>11</v>
      </c>
      <c r="R2" t="s">
        <v>339</v>
      </c>
      <c r="S2" s="6" t="s">
        <v>341</v>
      </c>
      <c r="T2" s="6" t="s">
        <v>360</v>
      </c>
    </row>
    <row r="3" spans="2:20" x14ac:dyDescent="0.3">
      <c r="B3">
        <v>500</v>
      </c>
      <c r="C3" s="4" t="s">
        <v>42</v>
      </c>
      <c r="D3" s="24" t="s">
        <v>455</v>
      </c>
      <c r="E3">
        <f>표14[적 기준 체력]*EnemyGameData[[#This Row],['#기준 적 체력 비율]]</f>
        <v>20</v>
      </c>
      <c r="F3" t="s">
        <v>127</v>
      </c>
      <c r="G3">
        <v>0.1</v>
      </c>
      <c r="H3">
        <v>0.3</v>
      </c>
      <c r="I3">
        <v>1.8</v>
      </c>
      <c r="J3">
        <v>0</v>
      </c>
      <c r="K3" t="s">
        <v>76</v>
      </c>
      <c r="L3">
        <v>1</v>
      </c>
      <c r="M3">
        <v>0</v>
      </c>
      <c r="N3">
        <v>0</v>
      </c>
      <c r="O3">
        <v>0</v>
      </c>
      <c r="P3">
        <v>0</v>
      </c>
      <c r="Q3">
        <v>501</v>
      </c>
      <c r="R3" t="s">
        <v>408</v>
      </c>
      <c r="S3">
        <v>0.2</v>
      </c>
      <c r="T3">
        <f>AVERAGE(EnemyGameData[[#This Row],[GoldDropMin]],EnemyGameData[[#This Row],[GoldDropMax]])</f>
        <v>0</v>
      </c>
    </row>
    <row r="4" spans="2:20" x14ac:dyDescent="0.3">
      <c r="B4">
        <v>501</v>
      </c>
      <c r="C4" s="24" t="s">
        <v>489</v>
      </c>
      <c r="D4" s="24" t="s">
        <v>457</v>
      </c>
      <c r="E4">
        <f>표14[적 기준 체력]*EnemyGameData[[#This Row],['#기준 적 체력 비율]]</f>
        <v>80</v>
      </c>
      <c r="F4" t="s">
        <v>340</v>
      </c>
      <c r="G4">
        <v>6</v>
      </c>
      <c r="H4">
        <v>2</v>
      </c>
      <c r="I4">
        <v>2</v>
      </c>
      <c r="J4">
        <v>1.5</v>
      </c>
      <c r="K4" t="s">
        <v>233</v>
      </c>
      <c r="L4">
        <v>2</v>
      </c>
      <c r="M4">
        <v>600</v>
      </c>
      <c r="N4">
        <v>0</v>
      </c>
      <c r="O4">
        <v>0</v>
      </c>
      <c r="P4">
        <v>3</v>
      </c>
      <c r="Q4">
        <v>501</v>
      </c>
      <c r="R4" t="s">
        <v>402</v>
      </c>
      <c r="S4">
        <v>0.8</v>
      </c>
      <c r="T4">
        <f>AVERAGE(EnemyGameData[[#This Row],[GoldDropMin]],EnemyGameData[[#This Row],[GoldDropMax]])</f>
        <v>1.5</v>
      </c>
    </row>
    <row r="5" spans="2:20" x14ac:dyDescent="0.3">
      <c r="B5">
        <v>502</v>
      </c>
      <c r="C5" s="4" t="s">
        <v>368</v>
      </c>
      <c r="D5" s="24" t="s">
        <v>460</v>
      </c>
      <c r="E5">
        <f>표14[적 기준 체력]*EnemyGameData[[#This Row],['#기준 적 체력 비율]]</f>
        <v>100</v>
      </c>
      <c r="F5" t="s">
        <v>127</v>
      </c>
      <c r="G5">
        <v>0.1</v>
      </c>
      <c r="H5">
        <v>1.2</v>
      </c>
      <c r="I5">
        <v>2</v>
      </c>
      <c r="J5">
        <v>1.5</v>
      </c>
      <c r="K5" t="s">
        <v>130</v>
      </c>
      <c r="L5">
        <v>3</v>
      </c>
      <c r="M5">
        <v>601</v>
      </c>
      <c r="N5">
        <v>0</v>
      </c>
      <c r="O5">
        <v>0</v>
      </c>
      <c r="P5">
        <v>3</v>
      </c>
      <c r="Q5">
        <v>501</v>
      </c>
      <c r="R5" t="s">
        <v>402</v>
      </c>
      <c r="S5">
        <v>1</v>
      </c>
      <c r="T5">
        <f>AVERAGE(EnemyGameData[[#This Row],[GoldDropMin]],EnemyGameData[[#This Row],[GoldDropMax]])</f>
        <v>1.5</v>
      </c>
    </row>
    <row r="6" spans="2:20" x14ac:dyDescent="0.3">
      <c r="B6">
        <v>503</v>
      </c>
      <c r="C6" s="4" t="s">
        <v>262</v>
      </c>
      <c r="D6" s="24" t="s">
        <v>479</v>
      </c>
      <c r="E6">
        <f>표14[적 기준 체력]*EnemyGameData[[#This Row],['#기준 적 체력 비율]]</f>
        <v>80</v>
      </c>
      <c r="F6" t="s">
        <v>340</v>
      </c>
      <c r="G6">
        <v>6</v>
      </c>
      <c r="H6">
        <v>1.2</v>
      </c>
      <c r="I6">
        <v>2</v>
      </c>
      <c r="J6">
        <v>2.5</v>
      </c>
      <c r="K6" t="s">
        <v>130</v>
      </c>
      <c r="L6">
        <v>5</v>
      </c>
      <c r="M6">
        <v>602</v>
      </c>
      <c r="N6">
        <v>0</v>
      </c>
      <c r="O6">
        <v>0</v>
      </c>
      <c r="P6">
        <v>3</v>
      </c>
      <c r="Q6">
        <v>501</v>
      </c>
      <c r="R6" t="s">
        <v>402</v>
      </c>
      <c r="S6">
        <v>0.8</v>
      </c>
      <c r="T6">
        <f>AVERAGE(EnemyGameData[[#This Row],[GoldDropMin]],EnemyGameData[[#This Row],[GoldDropMax]])</f>
        <v>1.5</v>
      </c>
    </row>
    <row r="7" spans="2:20" s="31" customFormat="1" x14ac:dyDescent="0.3">
      <c r="B7" s="31">
        <v>504</v>
      </c>
      <c r="C7" s="32" t="s">
        <v>253</v>
      </c>
      <c r="D7" s="32" t="s">
        <v>487</v>
      </c>
      <c r="E7" s="31">
        <f>표14[적 기준 체력]*EnemyGameData[[#This Row],['#기준 적 체력 비율]]</f>
        <v>80</v>
      </c>
      <c r="F7" s="31" t="s">
        <v>340</v>
      </c>
      <c r="G7" s="31">
        <v>4</v>
      </c>
      <c r="H7" s="31">
        <v>1.5</v>
      </c>
      <c r="I7" s="31">
        <v>2</v>
      </c>
      <c r="J7" s="31">
        <v>3</v>
      </c>
      <c r="K7" s="31" t="s">
        <v>130</v>
      </c>
      <c r="L7" s="31">
        <v>4</v>
      </c>
      <c r="M7" s="31">
        <v>603</v>
      </c>
      <c r="N7" s="31">
        <v>0</v>
      </c>
      <c r="O7" s="31">
        <v>0</v>
      </c>
      <c r="P7" s="31">
        <v>0</v>
      </c>
      <c r="Q7" s="31">
        <v>501</v>
      </c>
      <c r="R7" s="31" t="s">
        <v>402</v>
      </c>
      <c r="S7" s="31">
        <v>0.8</v>
      </c>
      <c r="T7" s="31">
        <f>AVERAGE(EnemyGameData[[#This Row],[GoldDropMin]],EnemyGameData[[#This Row],[GoldDropMax]])</f>
        <v>0</v>
      </c>
    </row>
    <row r="8" spans="2:20" s="31" customFormat="1" x14ac:dyDescent="0.3">
      <c r="B8" s="31">
        <v>505</v>
      </c>
      <c r="C8" s="32" t="s">
        <v>254</v>
      </c>
      <c r="D8" s="32" t="s">
        <v>487</v>
      </c>
      <c r="E8" s="31">
        <f>표14[적 기준 체력]*EnemyGameData[[#This Row],['#기준 적 체력 비율]]</f>
        <v>100</v>
      </c>
      <c r="F8" s="31" t="s">
        <v>340</v>
      </c>
      <c r="G8" s="31">
        <v>4</v>
      </c>
      <c r="H8" s="31">
        <v>1.8</v>
      </c>
      <c r="I8" s="31">
        <v>2</v>
      </c>
      <c r="J8" s="31">
        <v>3</v>
      </c>
      <c r="K8" s="31" t="s">
        <v>130</v>
      </c>
      <c r="L8" s="31">
        <v>4</v>
      </c>
      <c r="M8" s="31">
        <v>604</v>
      </c>
      <c r="N8" s="31">
        <v>0</v>
      </c>
      <c r="O8" s="31">
        <v>0</v>
      </c>
      <c r="P8" s="31">
        <v>0</v>
      </c>
      <c r="Q8" s="31">
        <v>501</v>
      </c>
      <c r="R8" s="31" t="s">
        <v>402</v>
      </c>
      <c r="S8" s="31">
        <v>1</v>
      </c>
      <c r="T8" s="31">
        <f>AVERAGE(EnemyGameData[[#This Row],[GoldDropMin]],EnemyGameData[[#This Row],[GoldDropMax]])</f>
        <v>0</v>
      </c>
    </row>
    <row r="9" spans="2:20" x14ac:dyDescent="0.3">
      <c r="B9">
        <v>506</v>
      </c>
      <c r="C9" s="4" t="s">
        <v>257</v>
      </c>
      <c r="D9" s="24" t="s">
        <v>485</v>
      </c>
      <c r="E9">
        <f>표14[적 기준 체력]*EnemyGameData[[#This Row],['#기준 적 체력 비율]]</f>
        <v>100</v>
      </c>
      <c r="F9" t="s">
        <v>340</v>
      </c>
      <c r="G9">
        <v>4</v>
      </c>
      <c r="H9">
        <v>1.4</v>
      </c>
      <c r="I9">
        <v>2</v>
      </c>
      <c r="J9">
        <v>2</v>
      </c>
      <c r="K9" t="s">
        <v>130</v>
      </c>
      <c r="L9">
        <v>3.5</v>
      </c>
      <c r="M9">
        <v>605</v>
      </c>
      <c r="N9">
        <v>0</v>
      </c>
      <c r="O9">
        <v>0</v>
      </c>
      <c r="P9">
        <v>3</v>
      </c>
      <c r="Q9">
        <v>501</v>
      </c>
      <c r="R9" t="s">
        <v>402</v>
      </c>
      <c r="S9">
        <v>1</v>
      </c>
      <c r="T9">
        <f>AVERAGE(EnemyGameData[[#This Row],[GoldDropMin]],EnemyGameData[[#This Row],[GoldDropMax]])</f>
        <v>1.5</v>
      </c>
    </row>
    <row r="10" spans="2:20" x14ac:dyDescent="0.3">
      <c r="B10">
        <v>507</v>
      </c>
      <c r="C10" s="4" t="s">
        <v>396</v>
      </c>
      <c r="D10" s="4"/>
      <c r="E10">
        <f>표14[적 기준 체력]*EnemyGameData[[#This Row],['#기준 적 체력 비율]]</f>
        <v>1000</v>
      </c>
      <c r="F10" t="s">
        <v>127</v>
      </c>
      <c r="G10">
        <v>0.1</v>
      </c>
      <c r="H10">
        <v>2</v>
      </c>
      <c r="I10">
        <v>1.5</v>
      </c>
      <c r="J10">
        <v>4</v>
      </c>
      <c r="K10" t="s">
        <v>130</v>
      </c>
      <c r="L10">
        <v>6</v>
      </c>
      <c r="M10">
        <v>0</v>
      </c>
      <c r="N10">
        <v>0</v>
      </c>
      <c r="O10">
        <v>25</v>
      </c>
      <c r="P10">
        <v>25</v>
      </c>
      <c r="Q10">
        <v>0</v>
      </c>
      <c r="S10">
        <v>10</v>
      </c>
      <c r="T10">
        <f>AVERAGE(EnemyGameData[[#This Row],[GoldDropMin]],EnemyGameData[[#This Row],[GoldDropMax]])</f>
        <v>25</v>
      </c>
    </row>
    <row r="11" spans="2:20" x14ac:dyDescent="0.3">
      <c r="B11">
        <v>508</v>
      </c>
      <c r="C11" s="25" t="s">
        <v>491</v>
      </c>
      <c r="D11" s="24" t="s">
        <v>490</v>
      </c>
      <c r="E11">
        <f>표14[적 기준 체력]*EnemyGameData[[#This Row],['#기준 적 체력 비율]]</f>
        <v>80</v>
      </c>
      <c r="F11" t="s">
        <v>340</v>
      </c>
      <c r="G11">
        <v>6</v>
      </c>
      <c r="H11">
        <v>2</v>
      </c>
      <c r="I11">
        <v>2</v>
      </c>
      <c r="J11">
        <v>1.5</v>
      </c>
      <c r="K11" t="s">
        <v>233</v>
      </c>
      <c r="L11">
        <v>2</v>
      </c>
      <c r="M11">
        <v>607</v>
      </c>
      <c r="N11">
        <v>0</v>
      </c>
      <c r="O11">
        <v>0</v>
      </c>
      <c r="P11">
        <v>3</v>
      </c>
      <c r="Q11">
        <v>501</v>
      </c>
      <c r="R11" t="s">
        <v>402</v>
      </c>
      <c r="S11">
        <v>0.8</v>
      </c>
      <c r="T11">
        <f>AVERAGE(EnemyGameData[[#This Row],[GoldDropMin]],EnemyGameData[[#This Row],[GoldDropMax]])</f>
        <v>1.5</v>
      </c>
    </row>
    <row r="12" spans="2:20" x14ac:dyDescent="0.3">
      <c r="B12">
        <v>550</v>
      </c>
      <c r="C12" s="24" t="s">
        <v>483</v>
      </c>
      <c r="D12" s="24" t="s">
        <v>456</v>
      </c>
      <c r="E12">
        <f>표14[적 기준 체력]*EnemyGameData[[#This Row],['#기준 적 체력 비율]]</f>
        <v>140</v>
      </c>
      <c r="F12" t="s">
        <v>340</v>
      </c>
      <c r="G12">
        <v>6</v>
      </c>
      <c r="H12">
        <v>2</v>
      </c>
      <c r="I12">
        <v>3.5</v>
      </c>
      <c r="J12">
        <v>1.5</v>
      </c>
      <c r="K12" t="s">
        <v>233</v>
      </c>
      <c r="L12">
        <v>2</v>
      </c>
      <c r="M12">
        <v>650</v>
      </c>
      <c r="N12">
        <v>0</v>
      </c>
      <c r="O12">
        <v>3</v>
      </c>
      <c r="P12">
        <v>5</v>
      </c>
      <c r="Q12">
        <v>501</v>
      </c>
      <c r="R12" t="s">
        <v>402</v>
      </c>
      <c r="S12">
        <v>1.4</v>
      </c>
      <c r="T12">
        <v>7</v>
      </c>
    </row>
    <row r="13" spans="2:20" x14ac:dyDescent="0.3">
      <c r="B13">
        <v>551</v>
      </c>
      <c r="C13" s="24" t="s">
        <v>481</v>
      </c>
      <c r="D13" s="24" t="s">
        <v>461</v>
      </c>
      <c r="E13">
        <f>표14[적 기준 체력]*EnemyGameData[[#This Row],['#기준 적 체력 비율]]</f>
        <v>160</v>
      </c>
      <c r="F13" t="s">
        <v>127</v>
      </c>
      <c r="G13">
        <v>0.1</v>
      </c>
      <c r="H13">
        <v>1.2</v>
      </c>
      <c r="I13">
        <v>3</v>
      </c>
      <c r="J13">
        <v>1.5</v>
      </c>
      <c r="K13" t="s">
        <v>130</v>
      </c>
      <c r="L13">
        <v>3.5</v>
      </c>
      <c r="M13">
        <v>651</v>
      </c>
      <c r="N13">
        <v>0</v>
      </c>
      <c r="O13">
        <v>3</v>
      </c>
      <c r="P13">
        <v>5</v>
      </c>
      <c r="Q13">
        <v>501</v>
      </c>
      <c r="R13" t="s">
        <v>402</v>
      </c>
      <c r="S13">
        <v>1.6</v>
      </c>
      <c r="T13">
        <v>7</v>
      </c>
    </row>
    <row r="14" spans="2:20" x14ac:dyDescent="0.3">
      <c r="B14">
        <v>552</v>
      </c>
      <c r="C14" s="24" t="s">
        <v>482</v>
      </c>
      <c r="D14" s="24" t="s">
        <v>480</v>
      </c>
      <c r="E14">
        <f>표14[적 기준 체력]*EnemyGameData[[#This Row],['#기준 적 체력 비율]]</f>
        <v>140</v>
      </c>
      <c r="F14" t="s">
        <v>340</v>
      </c>
      <c r="G14">
        <v>6</v>
      </c>
      <c r="H14">
        <v>1.2</v>
      </c>
      <c r="I14">
        <v>3.5</v>
      </c>
      <c r="J14">
        <v>2</v>
      </c>
      <c r="K14" t="s">
        <v>130</v>
      </c>
      <c r="L14">
        <v>6</v>
      </c>
      <c r="M14">
        <v>652</v>
      </c>
      <c r="N14">
        <v>0</v>
      </c>
      <c r="O14">
        <v>3</v>
      </c>
      <c r="P14">
        <v>5</v>
      </c>
      <c r="Q14">
        <v>501</v>
      </c>
      <c r="R14" t="s">
        <v>402</v>
      </c>
      <c r="S14">
        <v>1.4</v>
      </c>
      <c r="T14">
        <v>7</v>
      </c>
    </row>
    <row r="15" spans="2:20" x14ac:dyDescent="0.3">
      <c r="B15">
        <v>553</v>
      </c>
      <c r="C15" s="25" t="s">
        <v>486</v>
      </c>
      <c r="D15" s="24" t="s">
        <v>484</v>
      </c>
      <c r="E15">
        <f>표14[적 기준 체력]*EnemyGameData[[#This Row],['#기준 적 체력 비율]]</f>
        <v>160</v>
      </c>
      <c r="F15" t="s">
        <v>340</v>
      </c>
      <c r="G15">
        <v>4</v>
      </c>
      <c r="H15">
        <v>2.5</v>
      </c>
      <c r="I15">
        <v>3.5</v>
      </c>
      <c r="J15">
        <v>1.5</v>
      </c>
      <c r="K15" t="s">
        <v>130</v>
      </c>
      <c r="L15">
        <v>3.5</v>
      </c>
      <c r="M15">
        <v>604</v>
      </c>
      <c r="N15">
        <v>0</v>
      </c>
      <c r="O15">
        <v>3</v>
      </c>
      <c r="P15">
        <v>5</v>
      </c>
      <c r="Q15">
        <v>501</v>
      </c>
      <c r="R15" t="s">
        <v>402</v>
      </c>
      <c r="S15">
        <v>1.6</v>
      </c>
      <c r="T15">
        <f>AVERAGE(EnemyGameData[[#This Row],[GoldDropMin]],EnemyGameData[[#This Row],[GoldDropMax]])</f>
        <v>4</v>
      </c>
    </row>
    <row r="16" spans="2:20" s="31" customFormat="1" x14ac:dyDescent="0.3">
      <c r="B16" s="31">
        <v>554</v>
      </c>
      <c r="C16" s="33" t="s">
        <v>488</v>
      </c>
      <c r="D16" s="32" t="s">
        <v>487</v>
      </c>
      <c r="E16" s="31">
        <f>표14[적 기준 체력]*EnemyGameData[[#This Row],['#기준 적 체력 비율]]</f>
        <v>20</v>
      </c>
      <c r="F16" s="31" t="s">
        <v>127</v>
      </c>
      <c r="G16" s="31">
        <v>1</v>
      </c>
      <c r="H16" s="31">
        <v>0.3</v>
      </c>
      <c r="I16" s="31">
        <v>1.8</v>
      </c>
      <c r="J16" s="31">
        <v>0</v>
      </c>
      <c r="K16" s="31" t="s">
        <v>76</v>
      </c>
      <c r="L16" s="31">
        <v>1</v>
      </c>
      <c r="M16" s="31">
        <v>0</v>
      </c>
      <c r="N16" s="31">
        <v>0</v>
      </c>
      <c r="O16" s="31">
        <v>0</v>
      </c>
      <c r="P16" s="31">
        <v>0</v>
      </c>
      <c r="Q16" s="31">
        <v>501</v>
      </c>
      <c r="R16" s="31" t="s">
        <v>408</v>
      </c>
      <c r="S16" s="31">
        <v>0.2</v>
      </c>
      <c r="T16" s="31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3"/>
  <sheetViews>
    <sheetView zoomScaleNormal="75" zoomScaleSheetLayoutView="100" workbookViewId="0">
      <selection activeCell="C18" sqref="C18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131</v>
      </c>
      <c r="F1" t="s">
        <v>103</v>
      </c>
      <c r="G1" t="s">
        <v>103</v>
      </c>
      <c r="H1" s="20" t="s">
        <v>454</v>
      </c>
      <c r="I1" s="20" t="s">
        <v>454</v>
      </c>
    </row>
    <row r="2" spans="2:9" x14ac:dyDescent="0.3">
      <c r="B2" t="s">
        <v>78</v>
      </c>
      <c r="C2" s="6" t="s">
        <v>45</v>
      </c>
      <c r="D2" t="s">
        <v>346</v>
      </c>
      <c r="E2" t="s">
        <v>133</v>
      </c>
      <c r="F2" t="s">
        <v>345</v>
      </c>
      <c r="G2" t="s">
        <v>342</v>
      </c>
      <c r="H2" s="20" t="s">
        <v>454</v>
      </c>
      <c r="I2" s="20" t="s">
        <v>515</v>
      </c>
    </row>
    <row r="3" spans="2:9" x14ac:dyDescent="0.3">
      <c r="B3">
        <v>600</v>
      </c>
      <c r="C3" s="26" t="s">
        <v>505</v>
      </c>
      <c r="D3">
        <v>700</v>
      </c>
      <c r="E3" t="s">
        <v>166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4" t="s">
        <v>462</v>
      </c>
      <c r="D4">
        <v>702</v>
      </c>
      <c r="E4" t="s">
        <v>158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4" t="s">
        <v>462</v>
      </c>
      <c r="D5">
        <v>706</v>
      </c>
      <c r="E5" t="s">
        <v>158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4" t="s">
        <v>462</v>
      </c>
      <c r="D6">
        <v>712</v>
      </c>
      <c r="E6" t="s">
        <v>158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4" t="s">
        <v>462</v>
      </c>
      <c r="D7">
        <v>709</v>
      </c>
      <c r="E7" t="s">
        <v>158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4" t="s">
        <v>462</v>
      </c>
      <c r="D8">
        <v>711</v>
      </c>
      <c r="E8" t="s">
        <v>158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4" t="s">
        <v>462</v>
      </c>
      <c r="D9">
        <v>708</v>
      </c>
      <c r="E9" t="s">
        <v>158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4" t="s">
        <v>462</v>
      </c>
      <c r="D10">
        <v>718</v>
      </c>
      <c r="E10" t="s">
        <v>158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4" t="s">
        <v>462</v>
      </c>
      <c r="D11">
        <v>710</v>
      </c>
      <c r="E11" t="s">
        <v>158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4" t="s">
        <v>462</v>
      </c>
      <c r="D12">
        <v>703</v>
      </c>
      <c r="E12" t="s">
        <v>158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6" t="s">
        <v>501</v>
      </c>
      <c r="D13">
        <v>719</v>
      </c>
      <c r="E13" t="s">
        <v>158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168</v>
      </c>
      <c r="D14">
        <v>720</v>
      </c>
      <c r="E14" t="s">
        <v>158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6" t="s">
        <v>509</v>
      </c>
      <c r="D15">
        <v>721</v>
      </c>
      <c r="E15" t="s">
        <v>158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6" t="s">
        <v>510</v>
      </c>
      <c r="D16">
        <v>722</v>
      </c>
      <c r="E16" t="s">
        <v>158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6" t="s">
        <v>511</v>
      </c>
      <c r="D17">
        <v>723</v>
      </c>
      <c r="E17" t="s">
        <v>158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6" t="s">
        <v>500</v>
      </c>
      <c r="D18">
        <v>724</v>
      </c>
      <c r="E18" t="s">
        <v>158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374</v>
      </c>
      <c r="D19">
        <v>724</v>
      </c>
      <c r="E19" t="s">
        <v>158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374</v>
      </c>
      <c r="D20">
        <v>724</v>
      </c>
      <c r="E20" t="s">
        <v>158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374</v>
      </c>
      <c r="D21">
        <v>724</v>
      </c>
      <c r="E21" t="s">
        <v>158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8" t="s">
        <v>499</v>
      </c>
      <c r="D22">
        <v>701</v>
      </c>
      <c r="E22" t="s">
        <v>166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6" t="s">
        <v>506</v>
      </c>
      <c r="D23">
        <v>725</v>
      </c>
      <c r="E23" t="s">
        <v>166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6" t="s">
        <v>507</v>
      </c>
      <c r="D24">
        <v>725</v>
      </c>
      <c r="E24" t="s">
        <v>166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6" t="s">
        <v>508</v>
      </c>
      <c r="D25">
        <v>725</v>
      </c>
      <c r="E25" t="s">
        <v>166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8" t="s">
        <v>542</v>
      </c>
      <c r="D26">
        <v>716</v>
      </c>
      <c r="E26" t="s">
        <v>158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 x14ac:dyDescent="0.3">
      <c r="B27">
        <v>651</v>
      </c>
      <c r="C27" s="28" t="s">
        <v>542</v>
      </c>
      <c r="D27">
        <v>718</v>
      </c>
      <c r="E27" t="s">
        <v>158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 x14ac:dyDescent="0.3">
      <c r="B28">
        <v>651</v>
      </c>
      <c r="C28" s="28" t="s">
        <v>542</v>
      </c>
      <c r="D28">
        <v>708</v>
      </c>
      <c r="E28" t="s">
        <v>158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 x14ac:dyDescent="0.3">
      <c r="B29">
        <v>651</v>
      </c>
      <c r="C29" s="28" t="s">
        <v>542</v>
      </c>
      <c r="D29">
        <v>712</v>
      </c>
      <c r="E29" t="s">
        <v>158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 x14ac:dyDescent="0.3">
      <c r="B30">
        <v>651</v>
      </c>
      <c r="C30" s="28" t="s">
        <v>542</v>
      </c>
      <c r="D30">
        <v>708</v>
      </c>
      <c r="E30" t="s">
        <v>158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 x14ac:dyDescent="0.3">
      <c r="B31">
        <v>651</v>
      </c>
      <c r="C31" s="28" t="s">
        <v>542</v>
      </c>
      <c r="D31">
        <v>711</v>
      </c>
      <c r="E31" t="s">
        <v>158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 x14ac:dyDescent="0.3">
      <c r="B32">
        <v>651</v>
      </c>
      <c r="C32" s="28" t="s">
        <v>542</v>
      </c>
      <c r="D32">
        <v>713</v>
      </c>
      <c r="E32" t="s">
        <v>158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 x14ac:dyDescent="0.3">
      <c r="B33">
        <v>651</v>
      </c>
      <c r="C33" s="28" t="s">
        <v>542</v>
      </c>
      <c r="D33">
        <v>713</v>
      </c>
      <c r="E33" t="s">
        <v>158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 x14ac:dyDescent="0.3">
      <c r="B34">
        <v>651</v>
      </c>
      <c r="C34" s="28" t="s">
        <v>542</v>
      </c>
      <c r="D34">
        <v>705</v>
      </c>
      <c r="E34" t="s">
        <v>158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 x14ac:dyDescent="0.3">
      <c r="B35">
        <v>651</v>
      </c>
      <c r="C35" s="28" t="s">
        <v>542</v>
      </c>
      <c r="D35">
        <v>706</v>
      </c>
      <c r="E35" t="s">
        <v>158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 x14ac:dyDescent="0.3">
      <c r="B36">
        <v>651</v>
      </c>
      <c r="C36" s="28" t="s">
        <v>542</v>
      </c>
      <c r="D36">
        <v>711</v>
      </c>
      <c r="E36" t="s">
        <v>158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 x14ac:dyDescent="0.3">
      <c r="B37">
        <v>651</v>
      </c>
      <c r="C37" s="28" t="s">
        <v>542</v>
      </c>
      <c r="D37">
        <v>712</v>
      </c>
      <c r="E37" t="s">
        <v>158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 x14ac:dyDescent="0.3">
      <c r="B38">
        <v>651</v>
      </c>
      <c r="C38" s="28" t="s">
        <v>542</v>
      </c>
      <c r="D38">
        <v>708</v>
      </c>
      <c r="E38" t="s">
        <v>158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 x14ac:dyDescent="0.3">
      <c r="B39">
        <v>651</v>
      </c>
      <c r="C39" s="28" t="s">
        <v>542</v>
      </c>
      <c r="D39">
        <v>702</v>
      </c>
      <c r="E39" t="s">
        <v>158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 x14ac:dyDescent="0.3">
      <c r="B40">
        <v>651</v>
      </c>
      <c r="C40" s="28" t="s">
        <v>542</v>
      </c>
      <c r="D40">
        <v>708</v>
      </c>
      <c r="E40" t="s">
        <v>158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 x14ac:dyDescent="0.3">
      <c r="B41">
        <v>651</v>
      </c>
      <c r="C41" s="28" t="s">
        <v>542</v>
      </c>
      <c r="D41">
        <v>717</v>
      </c>
      <c r="E41" t="s">
        <v>158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 x14ac:dyDescent="0.3">
      <c r="B42">
        <v>652</v>
      </c>
      <c r="C42" s="28" t="s">
        <v>512</v>
      </c>
      <c r="D42">
        <v>726</v>
      </c>
      <c r="E42" t="s">
        <v>158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8" t="s">
        <v>513</v>
      </c>
      <c r="D43">
        <v>726</v>
      </c>
      <c r="E43" t="s">
        <v>158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8" t="s">
        <v>514</v>
      </c>
      <c r="D44">
        <v>726</v>
      </c>
      <c r="E44" t="s">
        <v>158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29" t="s">
        <v>494</v>
      </c>
      <c r="D45">
        <v>700</v>
      </c>
      <c r="E45" t="s">
        <v>158</v>
      </c>
      <c r="F45">
        <v>0.7</v>
      </c>
      <c r="G45">
        <v>0.25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4.7499999999999991</v>
      </c>
    </row>
    <row r="46" spans="2:9" x14ac:dyDescent="0.3">
      <c r="B46">
        <v>9991</v>
      </c>
      <c r="C46" s="29" t="s">
        <v>494</v>
      </c>
      <c r="D46">
        <v>701</v>
      </c>
      <c r="E46" t="s">
        <v>158</v>
      </c>
      <c r="F46">
        <v>0.7</v>
      </c>
      <c r="G46">
        <v>0.2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4.7499999999999991</v>
      </c>
    </row>
    <row r="47" spans="2:9" x14ac:dyDescent="0.3">
      <c r="B47">
        <v>9991</v>
      </c>
      <c r="C47" s="29" t="s">
        <v>494</v>
      </c>
      <c r="D47">
        <v>700</v>
      </c>
      <c r="E47" t="s">
        <v>158</v>
      </c>
      <c r="F47">
        <v>0.7</v>
      </c>
      <c r="G47">
        <v>0.1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4.7499999999999991</v>
      </c>
    </row>
    <row r="48" spans="2:9" x14ac:dyDescent="0.3">
      <c r="B48">
        <v>9991</v>
      </c>
      <c r="C48" s="29" t="s">
        <v>494</v>
      </c>
      <c r="D48">
        <v>701</v>
      </c>
      <c r="E48" t="s">
        <v>158</v>
      </c>
      <c r="F48">
        <v>0.6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4.7499999999999991</v>
      </c>
    </row>
    <row r="49" spans="2:9" x14ac:dyDescent="0.3">
      <c r="B49">
        <v>9991</v>
      </c>
      <c r="C49" s="29" t="s">
        <v>494</v>
      </c>
      <c r="D49">
        <v>700</v>
      </c>
      <c r="E49" t="s">
        <v>158</v>
      </c>
      <c r="F49">
        <v>0.5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4.7499999999999991</v>
      </c>
    </row>
    <row r="50" spans="2:9" x14ac:dyDescent="0.3">
      <c r="B50">
        <v>9991</v>
      </c>
      <c r="C50" s="29" t="s">
        <v>494</v>
      </c>
      <c r="D50">
        <v>701</v>
      </c>
      <c r="E50" t="s">
        <v>158</v>
      </c>
      <c r="F50">
        <v>0.5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4.7499999999999991</v>
      </c>
    </row>
    <row r="51" spans="2:9" x14ac:dyDescent="0.3">
      <c r="B51">
        <v>9991</v>
      </c>
      <c r="C51" s="29" t="s">
        <v>494</v>
      </c>
      <c r="D51">
        <v>700</v>
      </c>
      <c r="E51" t="s">
        <v>158</v>
      </c>
      <c r="F51">
        <v>0.5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4.7499999999999991</v>
      </c>
    </row>
    <row r="52" spans="2:9" x14ac:dyDescent="0.3">
      <c r="B52">
        <v>9992</v>
      </c>
      <c r="C52" s="29" t="s">
        <v>495</v>
      </c>
      <c r="D52">
        <v>700</v>
      </c>
      <c r="E52" s="27" t="s">
        <v>492</v>
      </c>
      <c r="F52">
        <v>0</v>
      </c>
      <c r="G52">
        <v>0</v>
      </c>
      <c r="H52" t="str">
        <f>INDEX(ShootTable['#설명],MATCH(EnemyAtkTable[[#This Row],[ShootDataId]],ShootTable[Index],0))</f>
        <v>4발 상하좌우 뿌리기</v>
      </c>
      <c r="I52">
        <f>SUMIF(EnemyAtkTable[Index],EnemyAtkTable[[#This Row],[Index]],EnemyAtkTable[BeforeDelay])+SUMIF(EnemyAtkTable[Index],EnemyAtkTable[[#This Row],[Index]],EnemyAtkTable[AfterDelay])</f>
        <v>0</v>
      </c>
    </row>
    <row r="53" spans="2:9" x14ac:dyDescent="0.3">
      <c r="B53">
        <v>9993</v>
      </c>
      <c r="C53" s="29" t="s">
        <v>496</v>
      </c>
      <c r="D53">
        <v>999</v>
      </c>
      <c r="E53" s="27" t="s">
        <v>493</v>
      </c>
      <c r="F53">
        <v>0.6</v>
      </c>
      <c r="G53">
        <v>0.4</v>
      </c>
      <c r="H53" t="str">
        <f>INDEX(ShootTable['#설명],MATCH(EnemyAtkTable[[#This Row],[ShootDataId]],ShootTable[Index],0))</f>
        <v>듀라한 공 던지기</v>
      </c>
      <c r="I53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73"/>
  <sheetViews>
    <sheetView topLeftCell="A46" zoomScaleNormal="75" zoomScaleSheetLayoutView="100" workbookViewId="0">
      <selection activeCell="I62" sqref="I62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131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347</v>
      </c>
      <c r="E2" t="s">
        <v>11</v>
      </c>
      <c r="F2" t="s">
        <v>234</v>
      </c>
      <c r="G2" t="s">
        <v>350</v>
      </c>
    </row>
    <row r="3" spans="2:7" x14ac:dyDescent="0.3">
      <c r="B3">
        <v>700</v>
      </c>
      <c r="C3" s="4" t="s">
        <v>366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366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366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366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244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244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244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244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159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24" t="s">
        <v>465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24" t="s">
        <v>466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24" t="s">
        <v>467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24" t="s">
        <v>468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24" t="s">
        <v>469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24" t="s">
        <v>470</v>
      </c>
      <c r="D17" s="20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24" t="s">
        <v>471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24" t="s">
        <v>472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24" t="s">
        <v>473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24" t="s">
        <v>474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24" t="s">
        <v>475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24" t="s">
        <v>463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24" t="s">
        <v>476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24" t="s">
        <v>464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24" t="s">
        <v>477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24" t="s">
        <v>478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24" t="s">
        <v>502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375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375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375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375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375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375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375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375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246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246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246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246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246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246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246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246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259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259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259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259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259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259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259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259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250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250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250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250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250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250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250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250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171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171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171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24" t="s">
        <v>459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24" t="s">
        <v>459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24" t="s">
        <v>458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24" t="s">
        <v>458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24" t="s">
        <v>458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24" t="s">
        <v>458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24" t="s">
        <v>458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24" t="s">
        <v>458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30" t="s">
        <v>367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999</v>
      </c>
      <c r="C73" s="29" t="s">
        <v>497</v>
      </c>
      <c r="D73">
        <v>0</v>
      </c>
      <c r="E73">
        <v>999</v>
      </c>
      <c r="F73">
        <v>1</v>
      </c>
      <c r="G73">
        <v>6.5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F4" sqref="F4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138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363</v>
      </c>
      <c r="E2" t="s">
        <v>185</v>
      </c>
      <c r="F2" t="s">
        <v>332</v>
      </c>
      <c r="G2" t="s">
        <v>339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403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401</v>
      </c>
    </row>
    <row r="5" spans="2:7" x14ac:dyDescent="0.3">
      <c r="B5">
        <v>501</v>
      </c>
      <c r="C5" s="4" t="s">
        <v>165</v>
      </c>
      <c r="D5" s="3" t="b">
        <v>0</v>
      </c>
      <c r="E5">
        <v>1</v>
      </c>
      <c r="F5">
        <v>60</v>
      </c>
      <c r="G5" t="s">
        <v>401</v>
      </c>
    </row>
    <row r="6" spans="2:7" x14ac:dyDescent="0.3">
      <c r="B6">
        <v>400</v>
      </c>
      <c r="C6" s="4" t="s">
        <v>139</v>
      </c>
      <c r="D6" s="3" t="b">
        <v>0</v>
      </c>
      <c r="E6">
        <v>0.25</v>
      </c>
      <c r="F6">
        <v>25</v>
      </c>
      <c r="G6" t="s">
        <v>401</v>
      </c>
    </row>
    <row r="7" spans="2:7" x14ac:dyDescent="0.3">
      <c r="B7">
        <v>401</v>
      </c>
      <c r="C7" s="4" t="s">
        <v>376</v>
      </c>
      <c r="D7" s="3" t="b">
        <v>1</v>
      </c>
      <c r="E7">
        <v>0.25</v>
      </c>
      <c r="F7">
        <v>25</v>
      </c>
      <c r="G7" t="s">
        <v>401</v>
      </c>
    </row>
    <row r="8" spans="2:7" x14ac:dyDescent="0.3">
      <c r="B8">
        <v>402</v>
      </c>
      <c r="C8" s="4" t="s">
        <v>136</v>
      </c>
      <c r="D8" s="3" t="b">
        <v>0</v>
      </c>
      <c r="E8">
        <v>0.4</v>
      </c>
      <c r="F8">
        <v>25</v>
      </c>
      <c r="G8" t="s">
        <v>401</v>
      </c>
    </row>
    <row r="9" spans="2:7" x14ac:dyDescent="0.3">
      <c r="B9">
        <v>403</v>
      </c>
      <c r="C9" s="24" t="s">
        <v>503</v>
      </c>
      <c r="D9" s="3" t="b">
        <v>0</v>
      </c>
      <c r="E9">
        <v>0.8</v>
      </c>
      <c r="F9">
        <v>25</v>
      </c>
      <c r="G9" t="s">
        <v>401</v>
      </c>
    </row>
    <row r="10" spans="2:7" x14ac:dyDescent="0.3">
      <c r="B10">
        <v>404</v>
      </c>
      <c r="C10" s="24" t="s">
        <v>504</v>
      </c>
      <c r="D10" s="3" t="b">
        <v>1</v>
      </c>
      <c r="E10">
        <v>0.8</v>
      </c>
      <c r="F10">
        <v>25</v>
      </c>
      <c r="G10" t="s">
        <v>401</v>
      </c>
    </row>
    <row r="11" spans="2:7" x14ac:dyDescent="0.3">
      <c r="B11">
        <v>999</v>
      </c>
      <c r="C11" s="29" t="s">
        <v>498</v>
      </c>
      <c r="D11" t="b">
        <v>1</v>
      </c>
      <c r="E11">
        <v>1</v>
      </c>
      <c r="F11">
        <v>25</v>
      </c>
      <c r="G11" t="s">
        <v>403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tabSelected="1" topLeftCell="B1" zoomScaleNormal="75" zoomScaleSheetLayoutView="100" workbookViewId="0">
      <selection activeCell="D13" sqref="D13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6" width="64.5" customWidth="1"/>
  </cols>
  <sheetData>
    <row r="1" spans="2:17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 x14ac:dyDescent="0.3">
      <c r="B2" t="s">
        <v>78</v>
      </c>
      <c r="C2" t="s">
        <v>82</v>
      </c>
      <c r="D2" t="s">
        <v>180</v>
      </c>
      <c r="E2" t="s">
        <v>306</v>
      </c>
      <c r="F2" t="s">
        <v>91</v>
      </c>
      <c r="G2" t="s">
        <v>95</v>
      </c>
      <c r="H2" t="s">
        <v>307</v>
      </c>
      <c r="I2" t="s">
        <v>16</v>
      </c>
      <c r="J2" t="s">
        <v>210</v>
      </c>
      <c r="K2" s="6" t="s">
        <v>391</v>
      </c>
      <c r="L2" s="1" t="s">
        <v>51</v>
      </c>
      <c r="M2" s="1" t="s">
        <v>435</v>
      </c>
      <c r="N2" s="1" t="s">
        <v>436</v>
      </c>
      <c r="O2" s="1" t="s">
        <v>437</v>
      </c>
      <c r="P2" s="35" t="s">
        <v>543</v>
      </c>
      <c r="Q2" s="35" t="s">
        <v>530</v>
      </c>
    </row>
    <row r="3" spans="2:17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  <c r="P3" s="21"/>
      <c r="Q3" s="21" t="str">
        <f>IF(ItemTable[[#This Row],['#4]]=ItemTable[[#This Row],[Desc]],"T","F")</f>
        <v>T</v>
      </c>
    </row>
    <row r="4" spans="2:17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  <c r="P4" s="21"/>
      <c r="Q4" s="21" t="str">
        <f>IF(ItemTable[[#This Row],['#4]]=ItemTable[[#This Row],[Desc]],"T","F")</f>
        <v>T</v>
      </c>
    </row>
    <row r="5" spans="2:17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  <c r="P5" s="21"/>
      <c r="Q5" s="21" t="str">
        <f>IF(ItemTable[[#This Row],['#4]]=ItemTable[[#This Row],[Desc]],"T","F")</f>
        <v>T</v>
      </c>
    </row>
    <row r="6" spans="2:17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  <c r="P6" s="21"/>
      <c r="Q6" s="21" t="str">
        <f>IF(ItemTable[[#This Row],['#4]]=ItemTable[[#This Row],[Desc]],"T","F")</f>
        <v>T</v>
      </c>
    </row>
    <row r="7" spans="2:17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  <c r="P7" s="21"/>
      <c r="Q7" s="21" t="str">
        <f>IF(ItemTable[[#This Row],['#4]]=ItemTable[[#This Row],[Desc]],"T","F")</f>
        <v>T</v>
      </c>
    </row>
    <row r="8" spans="2:17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373</v>
      </c>
      <c r="D8" s="20" t="s">
        <v>439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274</v>
      </c>
      <c r="K8" s="4" t="str">
        <f>MID(ItemTable[[#This Row],[ItemIconPath]],FIND("icon",ItemTable[[#This Row],[ItemIconPath]]),999)</f>
        <v>icon/item/item_02.png</v>
      </c>
      <c r="L8" s="22" t="s">
        <v>422</v>
      </c>
      <c r="M8" s="21" t="s">
        <v>392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1"/>
      <c r="Q8" s="21" t="str">
        <f>IF(ItemTable[[#This Row],['#4]]=ItemTable[[#This Row],[Desc]],"T","F")</f>
        <v>T</v>
      </c>
    </row>
    <row r="9" spans="2:17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172</v>
      </c>
      <c r="D9" t="s">
        <v>440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277</v>
      </c>
      <c r="K9" s="4" t="str">
        <f>MID(ItemTable[[#This Row],[ItemIconPath]],FIND("icon",ItemTable[[#This Row],[ItemIconPath]]),999)</f>
        <v>icon/item/item_04.png</v>
      </c>
      <c r="L9" s="22" t="s">
        <v>438</v>
      </c>
      <c r="M9" s="21" t="s">
        <v>399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1"/>
      <c r="Q9" s="21" t="str">
        <f>IF(ItemTable[[#This Row],['#4]]=ItemTable[[#This Row],[Desc]],"T","F")</f>
        <v>T</v>
      </c>
    </row>
    <row r="10" spans="2:17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175</v>
      </c>
      <c r="D10" t="s">
        <v>441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271</v>
      </c>
      <c r="K10" s="4" t="str">
        <f>MID(ItemTable[[#This Row],[ItemIconPath]],FIND("icon",ItemTable[[#This Row],[ItemIconPath]]),999)</f>
        <v>icon/item/item_05.png</v>
      </c>
      <c r="L10" s="22" t="s">
        <v>420</v>
      </c>
      <c r="M10" s="21" t="s">
        <v>388</v>
      </c>
      <c r="N10" s="21"/>
      <c r="O10" s="21" t="str">
        <f t="shared" si="0"/>
        <v>얼.죽.아 클럽의 새로운 유행입니다.\n\n&lt;size=20&gt;&lt;color=#97C456&gt;차징속도 +20%&lt;/color&gt;&lt;/size&gt;</v>
      </c>
      <c r="P10" s="21"/>
      <c r="Q10" s="21" t="str">
        <f>IF(ItemTable[[#This Row],['#4]]=ItemTable[[#This Row],[Desc]],"T","F")</f>
        <v>T</v>
      </c>
    </row>
    <row r="11" spans="2:17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174</v>
      </c>
      <c r="D11" t="s">
        <v>442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269</v>
      </c>
      <c r="K11" s="4" t="str">
        <f>MID(ItemTable[[#This Row],[ItemIconPath]],FIND("icon",ItemTable[[#This Row],[ItemIconPath]]),999)</f>
        <v>icon/item/item_07.png</v>
      </c>
      <c r="L11" s="22" t="s">
        <v>421</v>
      </c>
      <c r="M11" s="21" t="s">
        <v>387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  <c r="P11" s="21"/>
      <c r="Q11" s="21" t="str">
        <f>IF(ItemTable[[#This Row],['#4]]=ItemTable[[#This Row],[Desc]],"T","F")</f>
        <v>T</v>
      </c>
    </row>
    <row r="12" spans="2:17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170</v>
      </c>
      <c r="D12" s="19" t="s">
        <v>547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272</v>
      </c>
      <c r="K12" s="4" t="str">
        <f>MID(ItemTable[[#This Row],[ItemIconPath]],FIND("icon",ItemTable[[#This Row],[ItemIconPath]]),999)</f>
        <v>icon/item/item_11.png</v>
      </c>
      <c r="L12" s="22" t="s">
        <v>546</v>
      </c>
      <c r="M12" s="22" t="s">
        <v>537</v>
      </c>
      <c r="N12" s="21"/>
      <c r="O12" s="21" t="str">
        <f t="shared" si="0"/>
        <v>시크한 표정이 매력적입니다.\n세 나라 이야기의 붉은 목마 입니다.\n\n&lt;size=20&gt;&lt;color=#97C456&gt;이동속도 +6&lt;/color&gt;&lt;/size&gt;</v>
      </c>
      <c r="P12" s="21"/>
      <c r="Q12" s="21" t="str">
        <f>IF(ItemTable[[#This Row],['#4]]=ItemTable[[#This Row],[Desc]],"T","F")</f>
        <v>T</v>
      </c>
    </row>
    <row r="13" spans="2:17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178</v>
      </c>
      <c r="D13" t="s">
        <v>443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273</v>
      </c>
      <c r="K13" s="4" t="str">
        <f>MID(ItemTable[[#This Row],[ItemIconPath]],FIND("icon",ItemTable[[#This Row],[ItemIconPath]]),999)</f>
        <v>icon/item/item_15.png</v>
      </c>
      <c r="L13" s="22" t="s">
        <v>434</v>
      </c>
      <c r="M13" s="21" t="s">
        <v>385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  <c r="P13" s="21"/>
      <c r="Q13" s="21" t="str">
        <f>IF(ItemTable[[#This Row],['#4]]=ItemTable[[#This Row],[Desc]],"T","F")</f>
        <v>T</v>
      </c>
    </row>
    <row r="14" spans="2:17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9" t="s">
        <v>549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275</v>
      </c>
      <c r="K14" s="4" t="str">
        <f>MID(ItemTable[[#This Row],[ItemIconPath]],FIND("icon",ItemTable[[#This Row],[ItemIconPath]]),999)</f>
        <v>icon/item/item_17.png</v>
      </c>
      <c r="L14" s="22" t="s">
        <v>452</v>
      </c>
      <c r="M14" s="22" t="s">
        <v>538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2" t="s">
        <v>548</v>
      </c>
      <c r="Q14" s="21" t="str">
        <f>IF(ItemTable[[#This Row],['#4]]=ItemTable[[#This Row],[Desc]],"T","F")</f>
        <v>T</v>
      </c>
    </row>
    <row r="15" spans="2:17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423</v>
      </c>
      <c r="D15" t="s">
        <v>453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278</v>
      </c>
      <c r="K15" s="4" t="str">
        <f>MID(ItemTable[[#This Row],[ItemIconPath]],FIND("icon",ItemTable[[#This Row],[ItemIconPath]]),999)</f>
        <v>icon/item/item_12.png</v>
      </c>
      <c r="L15" s="22" t="s">
        <v>451</v>
      </c>
      <c r="M15" s="21" t="s">
        <v>37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1"/>
      <c r="Q15" s="21" t="str">
        <f>IF(ItemTable[[#This Row],['#4]]=ItemTable[[#This Row],[Desc]],"T","F")</f>
        <v>T</v>
      </c>
    </row>
    <row r="16" spans="2:17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541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280</v>
      </c>
      <c r="K16" s="4" t="str">
        <f>MID(ItemTable[[#This Row],[ItemIconPath]],FIND("icon",ItemTable[[#This Row],[ItemIconPath]]),999)</f>
        <v>icon/item/item_09.png</v>
      </c>
      <c r="L16" s="22" t="s">
        <v>433</v>
      </c>
      <c r="M16" s="22" t="s">
        <v>540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1"/>
      <c r="Q16" s="21" t="str">
        <f>IF(ItemTable[[#This Row],['#4]]=ItemTable[[#This Row],[Desc]],"T","F")</f>
        <v>T</v>
      </c>
    </row>
    <row r="17" spans="2:17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370</v>
      </c>
      <c r="D17" t="s">
        <v>444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281</v>
      </c>
      <c r="K17" s="4" t="str">
        <f>MID(ItemTable[[#This Row],[ItemIconPath]],FIND("icon",ItemTable[[#This Row],[ItemIconPath]]),999)</f>
        <v>icon/item/item_10.png</v>
      </c>
      <c r="L17" s="22" t="s">
        <v>424</v>
      </c>
      <c r="M17" s="21" t="s">
        <v>384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1"/>
      <c r="Q17" s="21" t="str">
        <f>IF(ItemTable[[#This Row],['#4]]=ItemTable[[#This Row],[Desc]],"T","F")</f>
        <v>T</v>
      </c>
    </row>
    <row r="18" spans="2:17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390</v>
      </c>
      <c r="D18" t="s">
        <v>445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282</v>
      </c>
      <c r="K18" s="4" t="str">
        <f>MID(ItemTable[[#This Row],[ItemIconPath]],FIND("icon",ItemTable[[#This Row],[ItemIconPath]]),999)</f>
        <v>icon/item/item_16.png</v>
      </c>
      <c r="L18" s="22" t="s">
        <v>428</v>
      </c>
      <c r="M18" s="21" t="s">
        <v>386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  <c r="P18" s="21"/>
      <c r="Q18" s="21" t="str">
        <f>IF(ItemTable[[#This Row],['#4]]=ItemTable[[#This Row],[Desc]],"T","F")</f>
        <v>T</v>
      </c>
    </row>
    <row r="19" spans="2:17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181</v>
      </c>
      <c r="D19" t="s">
        <v>446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285</v>
      </c>
      <c r="K19" s="4" t="str">
        <f>MID(ItemTable[[#This Row],[ItemIconPath]],FIND("icon",ItemTable[[#This Row],[ItemIconPath]]),999)</f>
        <v>icon/item/item_03.png</v>
      </c>
      <c r="L19" s="22" t="s">
        <v>425</v>
      </c>
      <c r="M19" s="22" t="s">
        <v>429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1"/>
      <c r="Q19" s="21" t="str">
        <f>IF(ItemTable[[#This Row],['#4]]=ItemTable[[#This Row],[Desc]],"T","F")</f>
        <v>T</v>
      </c>
    </row>
    <row r="20" spans="2:17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173</v>
      </c>
      <c r="D20" t="s">
        <v>447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297</v>
      </c>
      <c r="K20" s="4" t="str">
        <f>MID(ItemTable[[#This Row],[ItemIconPath]],FIND("icon",ItemTable[[#This Row],[ItemIconPath]]),999)</f>
        <v>icon/item/item_06.png</v>
      </c>
      <c r="L20" s="22" t="s">
        <v>432</v>
      </c>
      <c r="M20" s="21" t="s">
        <v>398</v>
      </c>
      <c r="N20" s="21" t="s">
        <v>394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1"/>
      <c r="Q20" s="21" t="str">
        <f>IF(ItemTable[[#This Row],['#4]]=ItemTable[[#This Row],[Desc]],"T","F")</f>
        <v>T</v>
      </c>
    </row>
    <row r="21" spans="2:17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169</v>
      </c>
      <c r="D21" t="s">
        <v>448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300</v>
      </c>
      <c r="K21" s="4" t="str">
        <f>MID(ItemTable[[#This Row],[ItemIconPath]],FIND("icon",ItemTable[[#This Row],[ItemIconPath]]),999)</f>
        <v>icon/item/item_08.png</v>
      </c>
      <c r="L21" s="22" t="s">
        <v>426</v>
      </c>
      <c r="M21" s="21" t="s">
        <v>393</v>
      </c>
      <c r="N21" s="21" t="s">
        <v>395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1"/>
      <c r="Q21" s="21" t="str">
        <f>IF(ItemTable[[#This Row],['#4]]=ItemTable[[#This Row],[Desc]],"T","F")</f>
        <v>T</v>
      </c>
    </row>
    <row r="22" spans="2:17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380</v>
      </c>
      <c r="D22" t="s">
        <v>544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298</v>
      </c>
      <c r="K22" s="4" t="str">
        <f>MID(ItemTable[[#This Row],[ItemIconPath]],FIND("icon",ItemTable[[#This Row],[ItemIconPath]]),999)</f>
        <v>icon/item/item_14.png</v>
      </c>
      <c r="L22" s="22" t="s">
        <v>431</v>
      </c>
      <c r="M22" s="22" t="s">
        <v>529</v>
      </c>
      <c r="N22" s="21" t="s">
        <v>260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2" t="s">
        <v>545</v>
      </c>
      <c r="Q22" s="21" t="str">
        <f>IF(ItemTable[[#This Row],['#4]]=ItemTable[[#This Row],[Desc]],"T","F")</f>
        <v>F</v>
      </c>
    </row>
    <row r="23" spans="2:17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371</v>
      </c>
      <c r="D23" t="s">
        <v>449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299</v>
      </c>
      <c r="K23" s="4" t="str">
        <f>MID(ItemTable[[#This Row],[ItemIconPath]],FIND("icon",ItemTable[[#This Row],[ItemIconPath]]),999)</f>
        <v>icon/item/item_01.png</v>
      </c>
      <c r="L23" s="22" t="s">
        <v>427</v>
      </c>
      <c r="M23" s="21" t="s">
        <v>389</v>
      </c>
      <c r="N23" s="21" t="s">
        <v>397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1"/>
      <c r="Q23" s="21" t="str">
        <f>IF(ItemTable[[#This Row],['#4]]=ItemTable[[#This Row],[Desc]],"T","F")</f>
        <v>T</v>
      </c>
    </row>
    <row r="24" spans="2:17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20" t="s">
        <v>550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279</v>
      </c>
      <c r="K24" s="4" t="str">
        <f>MID(ItemTable[[#This Row],[ItemIconPath]],FIND("icon",ItemTable[[#This Row],[ItemIconPath]]),999)</f>
        <v>icon/item/item_13.png</v>
      </c>
      <c r="L24" s="22" t="s">
        <v>450</v>
      </c>
      <c r="M24" s="22" t="s">
        <v>430</v>
      </c>
      <c r="N24" s="21" t="s">
        <v>400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1"/>
      <c r="Q24" s="21" t="str">
        <f>IF(ItemTable[[#This Row],['#4]]=ItemTable[[#This Row],[Desc]],"T","F")</f>
        <v>F</v>
      </c>
    </row>
    <row r="26" spans="2:17" x14ac:dyDescent="0.3">
      <c r="I26" s="20"/>
    </row>
    <row r="27" spans="2:17" x14ac:dyDescent="0.3">
      <c r="I27" s="20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E1" zoomScaleNormal="75" zoomScaleSheetLayoutView="100" workbookViewId="0">
      <selection activeCell="M14" sqref="M14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2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131</v>
      </c>
      <c r="G1" t="s">
        <v>102</v>
      </c>
      <c r="J1" t="s">
        <v>102</v>
      </c>
      <c r="K1" t="s">
        <v>131</v>
      </c>
      <c r="L1" t="s">
        <v>131</v>
      </c>
      <c r="M1" s="12" t="s">
        <v>157</v>
      </c>
      <c r="N1" s="12"/>
      <c r="P1" s="12"/>
      <c r="Q1" s="12"/>
    </row>
    <row r="2" spans="2:19" x14ac:dyDescent="0.3">
      <c r="B2" s="6" t="s">
        <v>129</v>
      </c>
      <c r="C2" s="6" t="s">
        <v>132</v>
      </c>
      <c r="D2" s="6" t="s">
        <v>134</v>
      </c>
      <c r="E2" t="s">
        <v>78</v>
      </c>
      <c r="F2" t="s">
        <v>309</v>
      </c>
      <c r="G2" t="s">
        <v>369</v>
      </c>
      <c r="H2" s="6" t="s">
        <v>128</v>
      </c>
      <c r="I2" s="6" t="s">
        <v>176</v>
      </c>
      <c r="J2" t="s">
        <v>302</v>
      </c>
      <c r="K2" t="s">
        <v>13</v>
      </c>
      <c r="L2" t="s">
        <v>303</v>
      </c>
      <c r="M2" s="6" t="s">
        <v>153</v>
      </c>
      <c r="N2" s="6" t="s">
        <v>162</v>
      </c>
      <c r="O2" s="6" t="s">
        <v>252</v>
      </c>
      <c r="P2" s="2" t="s">
        <v>161</v>
      </c>
      <c r="Q2" s="6" t="s">
        <v>150</v>
      </c>
      <c r="R2" s="16" t="s">
        <v>160</v>
      </c>
      <c r="S2" s="16" t="s">
        <v>163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381</v>
      </c>
      <c r="G3" s="13" t="s">
        <v>235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392</v>
      </c>
      <c r="J3">
        <v>0.7</v>
      </c>
      <c r="K3" t="s">
        <v>382</v>
      </c>
      <c r="L3" t="s">
        <v>179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381</v>
      </c>
      <c r="G4" s="13" t="s">
        <v>348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399</v>
      </c>
      <c r="J4">
        <v>1.2</v>
      </c>
      <c r="K4" s="13" t="s">
        <v>382</v>
      </c>
      <c r="L4" t="s">
        <v>179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381</v>
      </c>
      <c r="G5" s="13" t="s">
        <v>372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388</v>
      </c>
      <c r="J5">
        <v>0.8</v>
      </c>
      <c r="K5" t="s">
        <v>382</v>
      </c>
      <c r="L5" t="s">
        <v>179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381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387</v>
      </c>
      <c r="J6">
        <v>1</v>
      </c>
      <c r="K6" t="s">
        <v>379</v>
      </c>
      <c r="L6" t="s">
        <v>179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381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387</v>
      </c>
      <c r="J7">
        <v>1</v>
      </c>
      <c r="K7" t="s">
        <v>379</v>
      </c>
      <c r="L7" t="s">
        <v>179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381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4" t="s">
        <v>537</v>
      </c>
      <c r="J8">
        <v>0.6</v>
      </c>
      <c r="K8" t="s">
        <v>379</v>
      </c>
      <c r="L8" t="s">
        <v>179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8">
        <f>INDEX(표9[],MATCH(ItemEffectTable[[#This Row],['#Grade]],표9[#Headers],0))-ItemEffectTable[[#This Row],['#총 효력가치]]</f>
        <v>0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381</v>
      </c>
      <c r="G9" s="13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385</v>
      </c>
      <c r="J9">
        <v>25</v>
      </c>
      <c r="K9" t="s">
        <v>379</v>
      </c>
      <c r="L9" t="s">
        <v>179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381</v>
      </c>
      <c r="G10" s="13" t="s">
        <v>349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4" t="s">
        <v>535</v>
      </c>
      <c r="J10" s="20" t="s">
        <v>536</v>
      </c>
      <c r="K10" t="s">
        <v>379</v>
      </c>
      <c r="L10" t="s">
        <v>294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381</v>
      </c>
      <c r="G11" s="13" t="s">
        <v>349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20" t="s">
        <v>531</v>
      </c>
      <c r="K11" t="s">
        <v>379</v>
      </c>
      <c r="L11" t="s">
        <v>383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381</v>
      </c>
      <c r="G12" t="s">
        <v>349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4" t="s">
        <v>539</v>
      </c>
      <c r="J12">
        <v>0.1</v>
      </c>
      <c r="K12" t="s">
        <v>379</v>
      </c>
      <c r="L12" t="s">
        <v>179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381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4" t="s">
        <v>539</v>
      </c>
      <c r="J13">
        <v>0.5</v>
      </c>
      <c r="K13" t="s">
        <v>379</v>
      </c>
      <c r="L13" t="s">
        <v>179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381</v>
      </c>
      <c r="G14" t="s">
        <v>235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4" t="s">
        <v>539</v>
      </c>
      <c r="J14">
        <v>-0.1</v>
      </c>
      <c r="K14" t="s">
        <v>379</v>
      </c>
      <c r="L14" t="s">
        <v>179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381</v>
      </c>
      <c r="G15" t="s">
        <v>304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384</v>
      </c>
      <c r="J15">
        <v>0.5</v>
      </c>
      <c r="K15" t="s">
        <v>379</v>
      </c>
      <c r="L15" t="s">
        <v>179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381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386</v>
      </c>
      <c r="J16">
        <v>2</v>
      </c>
      <c r="K16" t="s">
        <v>379</v>
      </c>
      <c r="L16" t="s">
        <v>179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381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386</v>
      </c>
      <c r="J17">
        <v>2</v>
      </c>
      <c r="K17" t="s">
        <v>379</v>
      </c>
      <c r="L17" t="s">
        <v>179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381</v>
      </c>
      <c r="G18" s="13" t="s">
        <v>349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411</v>
      </c>
      <c r="K18" t="s">
        <v>379</v>
      </c>
      <c r="L18" t="s">
        <v>417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381</v>
      </c>
      <c r="G19" s="13" t="s">
        <v>235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296</v>
      </c>
      <c r="J19">
        <v>1.2</v>
      </c>
      <c r="K19" t="s">
        <v>382</v>
      </c>
      <c r="L19" t="s">
        <v>179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381</v>
      </c>
      <c r="G20" s="13" t="s">
        <v>372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296</v>
      </c>
      <c r="J20">
        <v>0.55000000000000004</v>
      </c>
      <c r="K20" t="s">
        <v>382</v>
      </c>
      <c r="L20" t="s">
        <v>179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381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295</v>
      </c>
      <c r="J21">
        <v>0.75</v>
      </c>
      <c r="K21" t="s">
        <v>382</v>
      </c>
      <c r="L21" t="s">
        <v>179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381</v>
      </c>
      <c r="G22" s="13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295</v>
      </c>
      <c r="J22">
        <v>100</v>
      </c>
      <c r="K22" t="s">
        <v>379</v>
      </c>
      <c r="L22" t="s">
        <v>179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381</v>
      </c>
      <c r="G23" t="s">
        <v>349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4" t="s">
        <v>528</v>
      </c>
      <c r="J23">
        <v>1</v>
      </c>
      <c r="K23" t="s">
        <v>379</v>
      </c>
      <c r="L23" t="s">
        <v>179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152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405</v>
      </c>
      <c r="J24">
        <v>0</v>
      </c>
      <c r="K24" t="s">
        <v>177</v>
      </c>
      <c r="L24" t="s">
        <v>179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381</v>
      </c>
      <c r="G25" s="13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379</v>
      </c>
      <c r="L25" t="s">
        <v>179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381</v>
      </c>
      <c r="G26" t="s">
        <v>349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379</v>
      </c>
      <c r="L26" t="s">
        <v>179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381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409</v>
      </c>
      <c r="J27">
        <v>-1</v>
      </c>
      <c r="K27" t="s">
        <v>379</v>
      </c>
      <c r="L27" t="s">
        <v>179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381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409</v>
      </c>
      <c r="J28">
        <v>-1</v>
      </c>
      <c r="K28" t="s">
        <v>379</v>
      </c>
      <c r="L28" t="s">
        <v>179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381</v>
      </c>
      <c r="G29" t="s">
        <v>203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409</v>
      </c>
      <c r="J29">
        <v>1</v>
      </c>
      <c r="K29" t="s">
        <v>177</v>
      </c>
      <c r="L29" t="s">
        <v>179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122</v>
      </c>
      <c r="D2" s="6" t="s">
        <v>123</v>
      </c>
      <c r="E2" t="s">
        <v>236</v>
      </c>
      <c r="F2" t="s">
        <v>237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354</v>
      </c>
      <c r="E3" t="s">
        <v>59</v>
      </c>
      <c r="F3" t="s">
        <v>266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124</v>
      </c>
      <c r="E4" t="s">
        <v>326</v>
      </c>
      <c r="F4" t="s">
        <v>415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354</v>
      </c>
      <c r="E5" t="s">
        <v>59</v>
      </c>
      <c r="F5" t="s">
        <v>413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325</v>
      </c>
      <c r="E6" t="s">
        <v>216</v>
      </c>
      <c r="F6" t="s">
        <v>199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355</v>
      </c>
      <c r="E7" t="s">
        <v>335</v>
      </c>
      <c r="F7" t="s">
        <v>418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354</v>
      </c>
      <c r="E8" t="s">
        <v>59</v>
      </c>
      <c r="F8" t="s">
        <v>416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355</v>
      </c>
      <c r="E9" t="s">
        <v>335</v>
      </c>
      <c r="F9" t="s">
        <v>289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313</v>
      </c>
      <c r="C2" t="s">
        <v>311</v>
      </c>
      <c r="D2" s="6" t="s">
        <v>121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141</v>
      </c>
      <c r="C9" t="s">
        <v>142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343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312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317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207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111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112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188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270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406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206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205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202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200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220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204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190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193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228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191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195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194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184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189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187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192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2023-06-10T10:46:44Z</dcterms:modified>
  <cp:version>1200.0100.01</cp:version>
</cp:coreProperties>
</file>