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2887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nity\QT_Proto\_GameData\"/>
    </mc:Choice>
  </mc:AlternateContent>
  <x:bookViews>
    <x:workbookView xWindow="0" yWindow="0" windowWidth="28545" windowHeight="13140" firstSheet="7" activeTab="5"/>
  </x:bookViews>
  <x:sheets>
    <x:sheet name="#시트별저장버튼" sheetId="1" r:id="rId4"/>
    <x:sheet name="#아이템 밸런스 시트" sheetId="2" r:id="rId5"/>
    <x:sheet name="#전투 밸런스 시트" sheetId="3" r:id="rId6"/>
    <x:sheet name="#공용데이터(참고용)" sheetId="4" r:id="rId7"/>
    <x:sheet name="CharacterGameData" sheetId="5" r:id="rId8"/>
    <x:sheet name="CharacterAtkGameData" sheetId="6" r:id="rId9"/>
    <x:sheet name="ProductialMapGameData" sheetId="7" r:id="rId10"/>
    <x:sheet name="DropGameData" sheetId="8" r:id="rId11"/>
    <x:sheet name="EnemyGameData" sheetId="9" r:id="rId12"/>
    <x:sheet name="EnemyAtkGameData" sheetId="10" r:id="rId13"/>
    <x:sheet name="ShootGameData" sheetId="11" r:id="rId14"/>
    <x:sheet name="ProjectileGameData" sheetId="12" r:id="rId15"/>
    <x:sheet name="ItemGameData" sheetId="13" r:id="rId16"/>
    <x:sheet name="ItemEffectGameData" sheetId="14" r:id="rId17"/>
    <x:sheet name="ItemResourceGameData" sheetId="15" r:id="rId18"/>
    <x:sheet name="LocaleGameData" sheetId="16" r:id="rId19"/>
  </x:sheets>
  <x:calcPr xmlns:mc="http://schemas.openxmlformats.org/markup-compatibility/2006" xmlns:hs="http://schemas.haansoft.com/office/spreadsheet/8.0" mc:Ignorable="hs" hs:hclCalcId="904"/>
</x:workbook>
</file>

<file path=xl/comments1.xml><?xml version="1.0" encoding="utf-8"?>
<x:comments xmlns:r="http://schemas.openxmlformats.org/officeDocument/2006/relationships" xmlns:c="http://schemas.openxmlformats.org/drawingml/2006/chart" xmlns:x="http://schemas.openxmlformats.org/spreadsheetml/2006/main">
  <x:authors>
    <x:author>Kim_Dongju</x:author>
  </x:authors>
  <x:commentList>
    <x:comment ref="E16:E16" authorId="0">
      <x:text>
        <x:r>
          <x:rPr>
            <x:rFont val="Tahoma"/>
            <x:sz val="9"/>
            <x:color rgb="ff000000"/>
            <x:b val="1"/>
          </x:rPr>
          <x:t xml:space="preserve">Kim_Dongju:
</x:t>
        </x:r>
        <x:r>
          <x:rPr>
            <x:rFont val="Tahoma"/>
            <x:sz val="9"/>
            <x:color rgb="ff000000"/>
          </x:rPr>
          <x:t>2</x:t>
        </x:r>
        <x:r>
          <x:rPr>
            <x:rFont val="돋움"/>
            <x:sz val="9"/>
            <x:color rgb="ff000000"/>
          </x:rPr>
          <x:t>진수를</x:t>
        </x:r>
        <x:r>
          <x:rPr>
            <x:rFont val="Tahoma"/>
            <x:sz val="9"/>
            <x:color rgb="ff000000"/>
          </x:rPr>
          <x:t xml:space="preserve"> 10</x:t>
        </x:r>
        <x:r>
          <x:rPr>
            <x:rFont val="돋움"/>
            <x:sz val="9"/>
            <x:color rgb="ff000000"/>
          </x:rPr>
          <x:t>진수로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변환한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값에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가치를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매긴거라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매우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비정확함</x:t>
        </x:r>
        <x:r>
          <x:rPr>
            <x:rFont val="Tahoma"/>
            <x:sz val="9"/>
            <x:color rgb="ff000000"/>
          </x:rPr>
          <x:t>;;
15(</x:t>
        </x:r>
        <x:r>
          <x:rPr>
            <x:rFont val="돋움"/>
            <x:sz val="9"/>
            <x:color rgb="ff000000"/>
          </x:rPr>
          <x:t>모든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공격에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차징샷가능</x:t>
        </x:r>
        <x:r>
          <x:rPr>
            <x:rFont val="Tahoma"/>
            <x:sz val="9"/>
            <x:color rgb="ff000000"/>
          </x:rPr>
          <x:t xml:space="preserve">)
</x:t>
        </x:r>
        <x:r>
          <x:rPr>
            <x:rFont val="돋움"/>
            <x:sz val="9"/>
            <x:color rgb="ff000000"/>
          </x:rPr>
          <x:t xml:space="preserve">기준
</x:t>
        </x:r>
      </x:text>
    </x:comment>
  </x:commentList>
</x:comments>
</file>

<file path=xl/comments2.xml><?xml version="1.0" encoding="utf-8"?>
<x:comments xmlns:r="http://schemas.openxmlformats.org/officeDocument/2006/relationships" xmlns:c="http://schemas.openxmlformats.org/drawingml/2006/chart" xmlns:x="http://schemas.openxmlformats.org/spreadsheetml/2006/main">
  <x:authors>
    <x:author>Kim_Dongju</x:author>
  </x:authors>
  <x:commentList>
    <x:comment ref="S2:S2" authorId="0">
      <x:text>
        <x:r>
          <x:rPr>
            <x:rFont val="Tahoma"/>
            <x:sz val="9"/>
            <x:color rgb="ff000000"/>
            <x:b val="1"/>
          </x:rPr>
          <x:t>Kim_Dongju:</x:t>
        </x:r>
        <x:r>
          <x:rPr>
            <x:rFont val="Tahoma"/>
            <x:sz val="9"/>
            <x:color rgb="ff000000"/>
          </x:rPr>
          <x:t xml:space="preserve">
</x:t>
        </x:r>
        <x:r>
          <x:rPr>
            <x:rFont val="돋움"/>
            <x:sz val="9"/>
            <x:color rgb="ff000000"/>
          </x:rPr>
          <x:t>무기는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크게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차이나도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상관없습니다</x:t>
        </x:r>
        <x:r>
          <x:rPr>
            <x:rFont val="Tahoma"/>
            <x:sz val="9"/>
            <x:color rgb="ff000000"/>
          </x:rPr>
          <x:t xml:space="preserve">.
</x:t>
        </x:r>
        <x:r>
          <x:rPr>
            <x:rFont val="돋움"/>
            <x:sz val="9"/>
            <x:color rgb="ff000000"/>
          </x:rPr>
          <x:t>다른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아이템들은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오차범위</x:t>
        </x:r>
        <x:r>
          <x:rPr>
            <x:rFont val="Tahoma"/>
            <x:sz val="9"/>
            <x:color rgb="ff000000"/>
          </x:rPr>
          <x:t xml:space="preserve"> 5 </x:t>
        </x:r>
        <x:r>
          <x:rPr>
            <x:rFont val="돋움"/>
            <x:sz val="9"/>
            <x:color rgb="ff000000"/>
          </x:rPr>
          <x:t>이내로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맞추는걸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목표로함</x:t>
        </x:r>
        <x:r>
          <x:rPr>
            <x:rFont val="Tahoma"/>
            <x:sz val="9"/>
            <x:color rgb="ff000000"/>
          </x:rPr>
          <x:t>.</x:t>
        </x:r>
      </x:text>
    </x:comment>
    <x:comment ref="S24:S24" authorId="0">
      <x:text>
        <x:r>
          <x:rPr>
            <x:rFont val="Tahoma"/>
            <x:sz val="9"/>
            <x:color rgb="ff000000"/>
            <x:b val="1"/>
          </x:rPr>
          <x:t>Kim_Dongju:</x:t>
        </x:r>
        <x:r>
          <x:rPr>
            <x:rFont val="Tahoma"/>
            <x:sz val="9"/>
            <x:color rgb="ff000000"/>
          </x:rPr>
          <x:t xml:space="preserve">
</x:t>
        </x:r>
        <x:r>
          <x:rPr>
            <x:rFont val="돋움"/>
            <x:sz val="9"/>
            <x:color rgb="ff000000"/>
          </x:rPr>
          <x:t>인덱스의</x:t>
        </x:r>
        <x:r>
          <x:rPr>
            <x:rFont val="Tahoma"/>
            <x:sz val="9"/>
            <x:color rgb="ff000000"/>
          </x:rPr>
          <x:t xml:space="preserve"> # </x:t>
        </x:r>
        <x:r>
          <x:rPr>
            <x:rFont val="돋움"/>
            <x:sz val="9"/>
            <x:color rgb="ff000000"/>
          </x:rPr>
          <x:t>빼면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정상작동</x:t>
        </x:r>
        <x:r>
          <x:rPr>
            <x:rFont val="Tahoma"/>
            <x:sz val="9"/>
            <x:color rgb="ff000000"/>
          </x:rPr>
          <x:t xml:space="preserve">.
# </x:t>
        </x:r>
        <x:r>
          <x:rPr>
            <x:rFont val="돋움"/>
            <x:sz val="9"/>
            <x:color rgb="ff000000"/>
          </x:rPr>
          <x:t>빼보고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오차값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괜찮은지</x:t>
        </x:r>
        <x:r>
          <x:rPr>
            <x:rFont val="Tahoma"/>
            <x:sz val="9"/>
            <x:color rgb="ff000000"/>
          </x:rPr>
          <x:t xml:space="preserve"> </x:t>
        </x:r>
        <x:r>
          <x:rPr>
            <x:rFont val="돋움"/>
            <x:sz val="9"/>
            <x:color rgb="ff000000"/>
          </x:rPr>
          <x:t>확인하세요</x:t>
        </x:r>
        <x:r>
          <x:rPr>
            <x:rFont val="Tahoma"/>
            <x:sz val="9"/>
            <x:color rgb="ff000000"/>
          </x:rPr>
          <x:t>.</x:t>
        </x:r>
      </x:text>
    </x:comment>
  </x:commentList>
</x:comments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<x:sst xmlns:r="http://schemas.openxmlformats.org/officeDocument/2006/relationships" xmlns:c="http://schemas.openxmlformats.org/drawingml/2006/chart" xmlns:x="http://schemas.openxmlformats.org/spreadsheetml/2006/main" count="1156" uniqueCount="473">
  <x:si>
    <x:t>꽤 무게가 나가는 돌가면.\n이걸 쓰고도 단련을 하면\n꽤 오래 살 수 있을 것 같은\n느낌이 듭니다.\n\n&lt;size=24&gt;&lt;color=#97C456&gt;공격력 +10%, 이동속도 +0.5, 공격속도 +0.1초&lt;/color&gt;&lt;/size&gt;</x:t>
  </x:si>
  <x:si>
    <x:t>자아를 가진 저금통입니다.\n숨겨진 돈을 잘 찾아내는 듯 합니다.\n잠깐, 제 지갑의 돈이 사라진 것 같습니다.\n\n&lt;size=24&gt;&lt;color=#97C456&gt;골드획득량 +50%&lt;/color&gt;&lt;/size&gt;</x:t>
  </x:si>
  <x:si>
    <x:t>나자렛의 몽키스패너</x:t>
  </x:si>
  <x:si>
    <x:t>이카루스의 날개</x:t>
  </x:si>
  <x:si>
    <x:t>1. 태양이 있는 방향으로 기립.\n2. 발을 모으고 팔을 벌려 Y자로 선다.\n3. 태양을 바라보며 외친다.\n\n&lt;size=24&gt;&lt;color=#97C456&gt;차징샷이 적을 관통합니다.&lt;/color&gt;&lt;/size&gt;\n&lt;size=24&gt;&lt;color=#FF6A6A&gt;공 충돌횟수 -1&lt;/color&gt;&lt;/size&gt;\n\n&lt;size=24&gt;&lt;color=#97C456&gt;차징샷이 적을 관통합니다.&lt;/color&gt;&lt;/size&gt;\n&lt;size=24&gt;&lt;color=#FF6A6A&gt;공 충돌횟수 -1&lt;/color&gt;&lt;/size&gt;</x:t>
  </x:si>
  <x:si>
    <x:t>데빌불, 숨겨진 악성을 펼쳐줘요.\n아직도 마계에서 불티나게 팔리고 있는 음료입니다.\n\n&lt;size=24&gt;&lt;color=#97C456&gt;변화된 이동속도 1당 공격력 +20%&lt;/color&gt;&lt;/size&gt;</x:t>
  </x:si>
  <x:si>
    <x:t>MovementSpd</x:t>
  </x:si>
  <x:si>
    <x:t>저주받은 테니스채</x:t>
  </x:si>
  <x:si>
    <x:t>“실례지만 불타고 계십니다” 현재의 이동속도 비례하여 공격속도 증가</x:t>
  </x:si>
  <x:si>
    <x:t>더 이상 골드를 획득할 수 없습니다. 데미지가 30% 상승합니다.</x:t>
  </x:si>
  <x:si>
    <x:t>[하트]가 1개 증가합니다. 이동속도, 공격속도가 10% 빨라집니다.</x:t>
  </x:si>
  <x:si>
    <x:t>공 던지기 개수 3개 감소. 직접 공격 데미지가 450% 상승합니다.</x:t>
  </x:si>
  <x:si>
    <x:t>플레이어가 던진 공이 충돌 횟수만큼 튕기고 포물선으로 떨어지는 거리</x:t>
  </x:si>
  <x:si>
    <x:t>아이템 자체</x:t>
  </x:si>
  <x:si>
    <x:t>예외처리</x:t>
  </x:si>
  <x:si>
    <x:t>빈 하트 1개당 피해량 5% 상승</x:t>
  </x:si>
  <x:si>
    <x:t>골드를 20%씩 더 획득합니다.</x:t>
  </x:si>
  <x:si>
    <x:t>ProjectileDataId</x:t>
  </x:si>
  <x:si>
    <x:t>DodgeInvincibleTime</x:t>
  </x:si>
  <x:si>
    <x:t>ValueOperatorType</x:t>
  </x:si>
  <x:si>
    <x:t>MercyInvincibleTime</x:t>
  </x:si>
  <x:si>
    <x:t>EnemyHpIncreasePer</x:t>
  </x:si>
  <x:si>
    <x:t>ItemEffectDataId</x:t>
  </x:si>
  <x:si>
    <x:t>SwingCentralAngle</x:t>
  </x:si>
  <x:si>
    <x:t>DefaultBallDataId</x:t>
  </x:si>
  <x:si>
    <x:t>이동하지 않을 때 시간이 멈춤</x:t>
  </x:si>
  <x:si>
    <x:t>ThrowBounceCount</x:t>
  </x:si>
  <x:si>
    <x:t>행동하지 않을 때 시간이 멈춤.</x:t>
  </x:si>
  <x:si>
    <x:t>CharacterAtkTable</x:t>
  </x:si>
  <x:si>
    <x:t>공격 방향이 반대 방향이 됨.</x:t>
  </x:si>
  <x:si>
    <x:t>ChargeBounceCount1</x:t>
  </x:si>
  <x:si>
    <x:t>공격 방향이 무작위 방향이 됨.</x:t>
  </x:si>
  <x:si>
    <x:t>#던진공 차징1 튕겨내기 DPS</x:t>
  </x:si>
  <x:si>
    <x:t>DeadAfterStunTime</x:t>
  </x:si>
  <x:si>
    <x:t>DodgeDurationTime</x:t>
  </x:si>
  <x:si>
    <x:t>ChargeMovementSpd</x:t>
  </x:si>
  <x:si>
    <x:t>ChargeBounceCount2</x:t>
  </x:si>
  <x:si>
    <x:t>ReflectCorrection</x:t>
  </x:si>
  <x:si>
    <x:t>방사 상하좌우4발 + 대각4발</x:t>
  </x:si>
  <x:si>
    <x:t>휘두르기 공격 범위 반지름 변경</x:t>
  </x:si>
  <x:si>
    <x:t>ItemResourceTable</x:t>
  </x:si>
  <x:si>
    <x:t>휘두르기 공격 범위 각도 변경</x:t>
  </x:si>
  <x:si>
    <x:t>icon/item/coin.png</x:t>
  </x:si>
  <x:si>
    <x:t>최대체력 -2하트, 공격력 +60%</x:t>
  </x:si>
  <x:si>
    <x:t>빈 하트 1개당 공격력 +10%</x:t>
  </x:si>
  <x:si>
    <x:t>공 충돌횟수당 공격력 +20%</x:t>
  </x:si>
  <x:si>
    <x:t>트럼펫</x:t>
  </x:si>
  <x:si>
    <x:t>주인공</x:t>
  </x:si>
  <x:si>
    <x:t>기본공</x:t>
  </x:si>
  <x:si>
    <x:t>박쥐</x:t>
  </x:si>
  <x:si>
    <x:t>#메모</x:t>
  </x:si>
  <x:si>
    <x:t>층</x:t>
  </x:si>
  <x:si>
    <x:t>#설명</x:t>
  </x:si>
  <x:si>
    <x:t>석가면</x:t>
  </x:si>
  <x:si>
    <x:t>재화</x:t>
  </x:si>
  <x:si>
    <x:t>int</x:t>
  </x:si>
  <x:si>
    <x:t>복사기</x:t>
  </x:si>
  <x:si>
    <x:t>Hp</x:t>
  </x:si>
  <x:si>
    <x:t>#</x:t>
  </x:si>
  <x:si>
    <x:t>Fly</x:t>
  </x:si>
  <x:si>
    <x:t>Int</x:t>
  </x:si>
  <x:si>
    <x:t>스텟</x:t>
  </x:si>
  <x:si>
    <x:t>미정1</x:t>
  </x:si>
  <x:si>
    <x:t>미정2</x:t>
  </x:si>
  <x:si>
    <x:t>태양</x:t>
  </x:si>
  <x:si>
    <x:t>HP</x:t>
  </x:si>
  <x:si>
    <x:t>Bat</x:t>
  </x:si>
  <x:si>
    <x:t>-</x:t>
  </x:si>
  <x:si>
    <x:t>설명</x:t>
  </x:si>
  <x:si>
    <x:t>데빌불</x:t>
  </x:si>
  <x:si>
    <x:t>#이름</x:t>
  </x:si>
  <x:si>
    <x:t>돌가면</x:t>
  </x:si>
  <x:si>
    <x:t>낡은 추억들이 느껴집니다.\n3년 전 이 사람은...\n잠깐, 우리가 이걸봐도 괜찮은걸까요?\n\n&lt;size=24&gt;&lt;color=#97C456&gt;공격력 +60%&lt;/color&gt;&lt;/size&gt;\n&lt;size=24&gt;&lt;color=#FF6A6A&gt;최대체력 -2하트&lt;/color&gt;&lt;/size&gt;</x:t>
  </x:si>
  <x:si>
    <x:t>무해한 불꽃</x:t>
  </x:si>
  <x:si>
    <x:t>신성한 종</x:t>
  </x:si>
  <x:si>
    <x:t>거인의 주먹</x:t>
  </x:si>
  <x:si>
    <x:t>목없는 갑옷</x:t>
  </x:si>
  <x:si>
    <x:t>황금왕의 갑옷</x:t>
  </x:si>
  <x:si>
    <x:t>슈퍼콜드</x:t>
  </x:si>
  <x:si>
    <x:t>불길한 깃발</x:t>
  </x:si>
  <x:si>
    <x:t>빗바랜 천가죽</x:t>
  </x:si>
  <x:si>
    <x:t>저주받은 갑옷</x:t>
  </x:si>
  <x:si>
    <x:t>value</x:t>
  </x:si>
  <x:si>
    <x:t>불운의 황금상</x:t>
  </x:si>
  <x:si>
    <x:t>None</x:t>
  </x:si>
  <x:si>
    <x:t>신성한 수류탄</x:t>
  </x:si>
  <x:si>
    <x:t>Index</x:t>
  </x:si>
  <x:si>
    <x:t>String</x:t>
  </x:si>
  <x:si>
    <x:t>Enum</x:t>
  </x:si>
  <x:si>
    <x:t>청개구리 총</x:t>
  </x:si>
  <x:si>
    <x:t>Name</x:t>
  </x:si>
  <x:si>
    <x:t>Normal</x:t>
  </x:si>
  <x:si>
    <x:t>Rare</x:t>
  </x:si>
  <x:si>
    <x:t>회광반조</x:t>
  </x:si>
  <x:si>
    <x:t>Weapon</x:t>
  </x:si>
  <x:si>
    <x:t>무언가 담긴병</x:t>
  </x:si>
  <x:si>
    <x:t>어른의 카드</x:t>
  </x:si>
  <x:si>
    <x:t>유리 대포</x:t>
  </x:si>
  <x:si>
    <x:t>작은 십자가</x:t>
  </x:si>
  <x:si>
    <x:t>Value</x:t>
  </x:si>
  <x:si>
    <x:t>개당 가격</x:t>
  </x:si>
  <x:si>
    <x:t>Cursed</x:t>
  </x:si>
  <x:si>
    <x:t>15 골드</x:t>
  </x:si>
  <x:si>
    <x:t>CostHp</x:t>
  </x:si>
  <x:si>
    <x:t>Gold</x:t>
  </x:si>
  <x:si>
    <x:t>하트 1개</x:t>
  </x:si>
  <x:si>
    <x:t>하트 2개</x:t>
  </x:si>
  <x:si>
    <x:t>30 골드</x:t>
  </x:si>
  <x:si>
    <x:t>45 골드</x:t>
  </x:si>
  <x:si>
    <x:t>60 골드</x:t>
  </x:si>
  <x:si>
    <x:t>string</x:t>
  </x:si>
  <x:si>
    <x:t>float</x:t>
  </x:si>
  <x:si>
    <x:t>HP 1</x:t>
  </x:si>
  <x:si>
    <x:t>HP 2</x:t>
  </x:si>
  <x:si>
    <x:t>15 Gold</x:t>
  </x:si>
  <x:si>
    <x:t>골드 가치</x:t>
  </x:si>
  <x:si>
    <x:t>스텟별 가치</x:t>
  </x:si>
  <x:si>
    <x:t>1층_보스</x:t>
  </x:si>
  <x:si>
    <x:t>1층_선택지</x:t>
  </x:si>
  <x:si>
    <x:t>롱기누스</x:t>
  </x:si>
  <x:si>
    <x:t>게이볼그</x:t>
  </x:si>
  <x:si>
    <x:t>2층_서커스단</x:t>
  </x:si>
  <x:si>
    <x:t>적 방어성</x:t>
  </x:si>
  <x:si>
    <x:t>적 체력</x:t>
  </x:si>
  <x:si>
    <x:t>적 기준 체력</x:t>
  </x:si>
  <x:si>
    <x:t>1층_폐가</x:t>
  </x:si>
  <x:si>
    <x:t>방 개수</x:t>
  </x:si>
  <x:si>
    <x:t>골드 밸런스</x:t>
  </x:si>
  <x:si>
    <x:t>획득 골드</x:t>
  </x:si>
  <x:si>
    <x:t>획득 무기</x:t>
  </x:si>
  <x:si>
    <x:t>#변수명</x:t>
  </x:si>
  <x:si>
    <x:t>#설명값참조</x:t>
  </x:si>
  <x:si>
    <x:t>#대상 아이템</x:t>
  </x:si>
  <x:si>
    <x:t>#리소스 유형</x:t>
  </x:si>
  <x:si>
    <x:t>이동 사운드</x:t>
  </x:si>
  <x:si>
    <x:t>2층_보스</x:t>
  </x:si>
  <x:si>
    <x:t>2층_선택지</x:t>
  </x:si>
  <x:si>
    <x:t>Spacing</x:t>
  </x:si>
  <x:si>
    <x:t>#효과 한글</x:t>
  </x:si>
  <x:si>
    <x:t>#개발여부</x:t>
  </x:si>
  <x:si>
    <x:t>Sight</x:t>
  </x:si>
  <x:si>
    <x:t>enum</x:t>
  </x:si>
  <x:si>
    <x:t>#이름값</x:t>
  </x:si>
  <x:si>
    <x:t>AimType</x:t>
  </x:si>
  <x:si>
    <x:t>#Grade</x:t>
  </x:si>
  <x:si>
    <x:t>MaxHp</x:t>
  </x:si>
  <x:si>
    <x:t>적 공격2</x:t>
  </x:si>
  <x:si>
    <x:t>#드랍테이블1</x:t>
  </x:si>
  <x:si>
    <x:t>bool</x:t>
  </x:si>
  <x:si>
    <x:t>적 공격1</x:t>
  </x:si>
  <x:si>
    <x:t>#드랍테이블6</x:t>
  </x:si>
  <x:si>
    <x:t>장난감 배트</x:t>
  </x:si>
  <x:si>
    <x:t>Toy Bat</x:t>
  </x:si>
  <x:si>
    <x:t>리소스변경</x:t>
  </x:si>
  <x:si>
    <x:t>공격력변경</x:t>
  </x:si>
  <x:si>
    <x:t>#드랍테이블2</x:t>
  </x:si>
  <x:si>
    <x:t>#드랍테이블3</x:t>
  </x:si>
  <x:si>
    <x:t>#드랍테이블4</x:t>
  </x:si>
  <x:si>
    <x:t>#드랍테이블5</x:t>
  </x:si>
  <x:si>
    <x:t>골드획득량변경</x:t>
  </x:si>
  <x:si>
    <x:t>#효력 가치</x:t>
  </x:si>
  <x:si>
    <x:t>참조 테이블</x:t>
  </x:si>
  <x:si>
    <x:t>Reverse</x:t>
  </x:si>
  <x:si>
    <x:t>#참조 테이블</x:t>
  </x:si>
  <x:si>
    <x:t>이동속도변경</x:t>
  </x:si>
  <x:si>
    <x:t>공크기변경</x:t>
  </x:si>
  <x:si>
    <x:t>최대체력변경</x:t>
  </x:si>
  <x:si>
    <x:t>효력 검사 ▶</x:t>
  </x:si>
  <x:si>
    <x:t>Target</x:t>
  </x:si>
  <x:si>
    <x:t>정방향 발사</x:t>
  </x:si>
  <x:si>
    <x:t>#총 효력가치</x:t>
  </x:si>
  <x:si>
    <x:t>#적용 후</x:t>
  </x:si>
  <x:si>
    <x:t>#기본값</x:t>
  </x:si>
  <x:si>
    <x:t>#오차값</x:t>
  </x:si>
  <x:si>
    <x:t>MaxHP</x:t>
  </x:si>
  <x:si>
    <x:t>야구공전사</x:t>
  </x:si>
  <x:si>
    <x:t>World</x:t>
  </x:si>
  <x:si>
    <x:t>flaot</x:t>
  </x:si>
  <x:si>
    <x:t>샷건 발사</x:t>
  </x:si>
  <x:si>
    <x:t>슬픈 캔리오</x:t>
  </x:si>
  <x:si>
    <x:t>적토목마</x:t>
  </x:si>
  <x:si>
    <x:t>3발 발사</x:t>
  </x:si>
  <x:si>
    <x:t>샷건 3연발</x:t>
  </x:si>
  <x:si>
    <x:t>챔피언 모자</x:t>
  </x:si>
  <x:si>
    <x:t>코코아 한통</x:t>
  </x:si>
  <x:si>
    <x:t>QT 파우더</x:t>
  </x:si>
  <x:si>
    <x:t>쿨 - 도그</x:t>
  </x:si>
  <x:si>
    <x:t>#효과 한글2</x:t>
  </x:si>
  <x:si>
    <x:t>Hard</x:t>
  </x:si>
  <x:si>
    <x:t>공룡블록</x:t>
  </x:si>
  <x:si>
    <x:t>삼각김곰</x:t>
  </x:si>
  <x:si>
    <x:t>Equip</x:t>
  </x:si>
  <x:si>
    <x:t>Desc</x:t>
  </x:si>
  <x:si>
    <x:t>이상한 사탕</x:t>
  </x:si>
  <x:si>
    <x:t>가끔 열쇠를 먹어버립니다.\n귀중품 관리에 주의하십시오.\n\n&lt;size=24&gt;&lt;color=#97C456&gt;공격속도 +30%&lt;/color&gt;&lt;/size&gt;</x:t>
  </x:si>
  <x:si>
    <x:t>얼.죽.아 클럽의\n새로운 유행입니다.\n\n&lt;size=24&gt;&lt;color=#97C456&gt;차징속도 +20%&lt;/color&gt;&lt;/size&gt;</x:t>
  </x:si>
  <x:si>
    <x:t>세 나라 이야기의\n붉은 목마 입니다.\n시크한 표정이 매력적입니다.\n\n&lt;size=24&gt;&lt;color=#97C456&gt;이동속도 +10%&lt;/color&gt;&lt;/size&gt;</x:t>
  </x:si>
  <x:si>
    <x:t>대나무 향을 머금은 흰 밥이\n까만 김을 만나\n완성된 환상적인 조합\n\n&lt;size=24&gt;&lt;color=#97C456&gt;최대 체력 +1하트&lt;/color&gt;&lt;/size&gt;</x:t>
  </x:si>
  <x:si>
    <x:t>태초부터 시작되더라도\n절망하지 않습니다.\n'자 이제 시작이야'\n\n&lt;size=24&gt;&lt;color=#97C456&gt;공격범위 +20%&lt;/color&gt;&lt;/size&gt;</x:t>
  </x:si>
  <x:si>
    <x:t>과거에 멸종했던 유물입니다.\n대인 지뢰로 추정됩니다.\n\n&lt;size=24&gt;&lt;color=#97C456&gt;빈 하트 1개당 공격력 +10%&lt;/color&gt;&lt;/size&gt;</x:t>
  </x:si>
  <x:si>
    <x:t>바싹 구워도 여전히 미끌거립니다.\n시각적 거부감을 이겨내고 한입 \n베어물면 무엇이든 반대로 하고 싶어집니다.\n\n&lt;size=24&gt;&lt;color=#97C456&gt;공격력 +50%&lt;/color&gt;&lt;/size&gt;\n&lt;size=24&gt;&lt;color=#FF6A6A&gt;공격 방향이 반대가 됩니다.&lt;/color&gt;&lt;/size&gt;</x:t>
  </x:si>
  <x:si>
    <x:t>기절 후 사망까지 걸리는 시간 *투사체 상태로 전이될 경우 해당 값은 사용되지 않는다.</x:t>
  </x:si>
  <x:si>
    <x:t>지금 휘두르기 쿨타임 단위계 이상해서 밸런스 툴 오작동중임. 수정후 정상작동할거임.</x:t>
  </x:si>
  <x:si>
    <x:t>차징 속도가 40% 느려집니다. 대신 공을 튕겨내는 속도가 30% 상승합니다.</x:t>
  </x:si>
  <x:si>
    <x:t>ColliderRad</x:t>
  </x:si>
  <x:si>
    <x:t>적이 직접공격 당한 후 일반 상태가 되기까지 걸리는 시간</x:t>
  </x:si>
  <x:si>
    <x:t>[하트]가 3개 감소, 피해량이 35% 증가합니다.</x:t>
  </x:si>
  <x:si>
    <x:t>아무 능력이 없지만 이동할 때 뾱뾱 소리가 납니다.</x:t>
  </x:si>
  <x:si>
    <x:t>[하트]가 3개 증가, 이동속도가 40% 느려집니다.</x:t>
  </x:si>
  <x:si>
    <x:t>최대 [하트] 1개 당 5% 만큼 피해량이 증가합니다.</x:t>
  </x:si>
  <x:si>
    <x:t>공을 칠 때 자동으로 가장 가까운 적을 향해 날라감</x:t>
  </x:si>
  <x:si>
    <x:t>공격을 반대로 합니다. 대신 피해량이 25% 증가합니다.</x:t>
  </x:si>
  <x:si>
    <x:t>“공이 복사가 된다고” 공 던지기 개수가 2개 증가합니다.</x:t>
  </x:si>
  <x:si>
    <x:t>이동속도가 20% 감소합니다. 피해량이 20% 감소합니다.</x:t>
  </x:si>
  <x:si>
    <x:t>이동속도가 30% 감소합니다. 차징 속도가 40% 빨라집니다.</x:t>
  </x:si>
  <x:si>
    <x:t>온 몸이 녹는 듯 한\n강력한 단맛입니다.\n끈적해지지 않게\n조심하세요!\n\n&lt;size=24&gt;&lt;color=#97C456&gt;차징속도 +45%&lt;/color&gt;&lt;/size&gt;\n&lt;size=24&gt;&lt;color=#FF6A6A&gt;공격속도 -20%&lt;/color&gt;&lt;/size&gt;</x:t>
  </x:si>
  <x:si>
    <x:t>이벤트성으로 100만봉지\n중 한 개만 들어간 ■̛̲͙̩͎͖̲̐̐̂͐ͅ■͓̟̦̹͚̇̓́͛͠ͅ맛 사탕입니다.\n\n&lt;size=24&gt;&lt;color=#97C456&gt;공 충돌횟수당 공격력 +20%&lt;/color&gt;&lt;/size&gt;</x:t>
  </x:si>
  <x:si>
    <x:t>신성한 성배입니다.\n잠깐, 방금 조금 움직인 것 같은데요?\n\n&lt;size=24&gt;&lt;color=#97C456&gt;공 충돌횟수 +2&lt;/color&gt;&lt;/size&gt;</x:t>
  </x:si>
  <x:si>
    <x:t>어째선지 계속해서 울고 있는 양초입니다.\n\n&lt;size=24&gt;&lt;color=#97C456&gt;최대체력 +4하트&lt;/color&gt;&lt;/size&gt;\n&lt;size=24&gt;&lt;color=#FF6A6A&gt;이동속도 -25%&lt;/color&gt;&lt;/size&gt;</x:t>
  </x:si>
  <x:si>
    <x:t>배트 이외의 물건에 사용하지 마시오\nQT추출물 0.0006% 함유\nQT향 0.1%함유\n\n&lt;size=24&gt;&lt;color=#97C456&gt;공 충돌횟수 +1&lt;/color&gt;&lt;/size&gt;</x:t>
  </x:si>
  <x:si>
    <x:t>차징 중 ApplyValue반지름 주변 공을 끌어당김.</x:t>
  </x:si>
  <x:si>
    <x:t>플레이어가 던진 공이 멈추고 삭제되기까지 대기 시간</x:t>
  </x:si>
  <x:si>
    <x:t>ProjectileSpdDecelerationValue</x:t>
  </x:si>
  <x:si>
    <x:t>/Resource/Effect/RainbowTrail</x:t>
  </x:si>
  <x:si>
    <x:t>공격 범위가 2 증가합니다.</x:t>
  </x:si>
  <x:si>
    <x:t>ResourceChange</x:t>
  </x:si>
  <x:si>
    <x:t>공 크기가 3 커집니다.</x:t>
  </x:si>
  <x:si>
    <x:t>ChargeAtkPierce</x:t>
  </x:si>
  <x:si>
    <x:t>차징중에 공을 끌어당김</x:t>
  </x:si>
  <x:si>
    <x:t>차징 속도 20% 상승</x:t>
  </x:si>
  <x:si>
    <x:t>이동속도가 조금 빨라집니다.</x:t>
  </x:si>
  <x:si>
    <x:t>Dys : 0N Mk2</x:t>
  </x:si>
  <x:si>
    <x:t>GuideProjectile</x:t>
  </x:si>
  <x:si>
    <x:t>RandomDirection</x:t>
  </x:si>
  <x:si>
    <x:t>ItemIconPath</x:t>
  </x:si>
  <x:si>
    <x:t>BallStackMax</x:t>
  </x:si>
  <x:si>
    <x:t>AtkStartType</x:t>
  </x:si>
  <x:si>
    <x:t>투사체 공용 충돌 시 감속량</x:t>
  </x:si>
  <x:si>
    <x:t>DodgeCooldown</x:t>
  </x:si>
  <x:si>
    <x:t>AtkStartParam</x:t>
  </x:si>
  <x:si>
    <x:t>ProjectileTrail</x:t>
  </x:si>
  <x:si>
    <x:t>AtkCheckDelay</x:t>
  </x:si>
  <x:si>
    <x:t>QT 재화 밸런스 시트</x:t>
  </x:si>
  <x:si>
    <x:t>ThrowCooldown</x:t>
  </x:si>
  <x:si>
    <x:t>[하트]가 1개 증가합니다.</x:t>
  </x:si>
  <x:si>
    <x:t>GoldShopProb</x:t>
  </x:si>
  <x:si>
    <x:t>투사체 공용 시간당 감속량</x:t>
  </x:si>
  <x:si>
    <x:t>ChoiceDropId</x:t>
  </x:si>
  <x:si>
    <x:t>DeadAtkDataId</x:t>
  </x:si>
  <x:si>
    <x:t>ChargeShootSpd1</x:t>
  </x:si>
  <x:si>
    <x:t>ThrowAfterDelay</x:t>
  </x:si>
  <x:si>
    <x:t>GoldShopDropId</x:t>
  </x:si>
  <x:si>
    <x:t>피해량이 20% 증가합니다.</x:t>
  </x:si>
  <x:si>
    <x:t>HpShopDropId</x:t>
  </x:si>
  <x:si>
    <x:t>WeaponDropId</x:t>
  </x:si>
  <x:si>
    <x:t>MaxRoomValue</x:t>
  </x:si>
  <x:si>
    <x:t>성장에 따른 예상 전투 시간</x:t>
  </x:si>
  <x:si>
    <x:t>AfterIdleSec</x:t>
  </x:si>
  <x:si>
    <x:t>MaxBounceCount</x:t>
  </x:si>
  <x:si>
    <x:t>SwingCooldown</x:t>
  </x:si>
  <x:si>
    <x:t>ResourceType</x:t>
  </x:si>
  <x:si>
    <x:t>ResourcePath</x:t>
  </x:si>
  <x:si>
    <x:t>SwingAfterDelay</x:t>
  </x:si>
  <x:si>
    <x:t>ChargeRigidDmg1</x:t>
  </x:si>
  <x:si>
    <x:t>#휘두르기 직접 공격 DPS</x:t>
  </x:si>
  <x:si>
    <x:t>ProjectileTable</x:t>
  </x:si>
  <x:si>
    <x:t>가장 가까운 적을 추격</x:t>
  </x:si>
  <x:si>
    <x:t>#차징2 직접 공격 DPS</x:t>
  </x:si>
  <x:si>
    <x:t>4발 대각상하좌우 뿌리기</x:t>
  </x:si>
  <x:si>
    <x:t>DodgeAddForce</x:t>
  </x:si>
  <x:si>
    <x:t>샷건 8불릿 발사 랜덤1</x:t>
  </x:si>
  <x:si>
    <x:t>ChargeRigidDmg2</x:t>
  </x:si>
  <x:si>
    <x:t>튕겨내기탄환속도변경-미차징</x:t>
  </x:si>
  <x:si>
    <x:t>휘두르기 재사용 시간 변경</x:t>
  </x:si>
  <x:si>
    <x:t>샷건 8불릿 발사 랜덤3</x:t>
  </x:si>
  <x:si>
    <x:t>튕겨내기탄환속도변경-1단계</x:t>
  </x:si>
  <x:si>
    <x:t>#ApplyValue 수식</x:t>
  </x:si>
  <x:si>
    <x:t>플레이어조준 샷건 1회 발사</x:t>
  </x:si>
  <x:si>
    <x:t>플레이어조준 샷건 3연발</x:t>
  </x:si>
  <x:si>
    <x:t>#던진공 튕겨내기 DPS</x:t>
  </x:si>
  <x:si>
    <x:t>차징샷이 적을 관통합니다.</x:t>
  </x:si>
  <x:si>
    <x:t>CharacterTable</x:t>
  </x:si>
  <x:si>
    <x:t>플레이어조준 3발 3연발</x:t>
  </x:si>
  <x:si>
    <x:t>ChargeShootSpd2</x:t>
  </x:si>
  <x:si>
    <x:t>샷건 8불릿 발사 랜덤2</x:t>
  </x:si>
  <x:si>
    <x:t>공격 방향이 반대가 됩니다.</x:t>
  </x:si>
  <x:si>
    <x:t>차징에 따른 관통샷 변경</x:t>
  </x:si>
  <x:si>
    <x:t>플레이어조준 튕김공 발사</x:t>
  </x:si>
  <x:si>
    <x:t>#차징3 직접 공격 DPS</x:t>
  </x:si>
  <x:si>
    <x:t>#차징1 직접 공격 DPS</x:t>
  </x:si>
  <x:si>
    <x:t>ProjectileDestroyDelay</x:t>
  </x:si>
  <x:si>
    <x:t>/Resource/Bat/ToyBat</x:t>
  </x:si>
  <x:si>
    <x:t>ChargeProjectileDmg1</x:t>
  </x:si>
  <x:si>
    <x:t>차징에 따른 충돌 횟수 변경 - 1단계</x:t>
  </x:si>
  <x:si>
    <x:t>icon/item/item_07.png</x:t>
  </x:si>
  <x:si>
    <x:t>냥냥냥. 모든 탄환이 적을 관통합니다.</x:t>
  </x:si>
  <x:si>
    <x:t>icon/item/item_05.png</x:t>
  </x:si>
  <x:si>
    <x:t>icon/item/item_11.png</x:t>
  </x:si>
  <x:si>
    <x:t>icon/item/item_15.png</x:t>
  </x:si>
  <x:si>
    <x:t>icon/item/item_02.png</x:t>
  </x:si>
  <x:si>
    <x:t>icon/item/item_17.png</x:t>
  </x:si>
  <x:si>
    <x:t>차징에 따른 충돌 횟수 변경 - 미차징</x:t>
  </x:si>
  <x:si>
    <x:t>icon/item/item_04.png</x:t>
  </x:si>
  <x:si>
    <x:t>icon/item/item_12.png</x:t>
  </x:si>
  <x:si>
    <x:t>icon/item/item_13.png</x:t>
  </x:si>
  <x:si>
    <x:t>icon/item/item_09.png</x:t>
  </x:si>
  <x:si>
    <x:t>icon/item/item_10.png</x:t>
  </x:si>
  <x:si>
    <x:t>icon/item/item_16.png</x:t>
  </x:si>
  <x:si>
    <x:t>[배트]로 쳐낸 공이 적을 관통합니다.</x:t>
  </x:si>
  <x:si>
    <x:t>MoveTargetUpdatePeroid</x:t>
  </x:si>
  <x:si>
    <x:t>icon/item/item_03.png</x:t>
  </x:si>
  <x:si>
    <x:t>공 던지기 가능 개수가 1개 증가합니다.</x:t>
  </x:si>
  <x:si>
    <x:t>아이템 등급 별 가질 수 있는 효력 총량</x:t>
  </x:si>
  <x:si>
    <x:t>RowCollider을 무시하고 이동함.</x:t>
  </x:si>
  <x:si>
    <x:t>/Resource/Bat/Trumpet</x:t>
  </x:si>
  <x:si>
    <x:t>ChargeProjectileDmg2</x:t>
  </x:si>
  <x:si>
    <x:t>ProjectileStopDistance</x:t>
  </x:si>
  <x:si>
    <x:t>소지중인 골드의 1%만큼 데미지 상승</x:t>
  </x:si>
  <x:si>
    <x:t>BounceSpdReductionRate</x:t>
  </x:si>
  <x:si>
    <x:t>OnMovementSpdChanged</x:t>
  </x:si>
  <x:si>
    <x:t>이동속도 -25%, 최대체력 +4하트</x:t>
  </x:si>
  <x:si>
    <x:t>공격속도 -20%, 차징속도 +45%</x:t>
  </x:si>
  <x:si>
    <x:t>변화된 이동속도 1당 공격력 +20%</x:t>
  </x:si>
  <x:si>
    <x:t>(HP_Base - HP)*0.002</x:t>
  </x:si>
  <x:si>
    <x:t>icon/item/item_06.png</x:t>
  </x:si>
  <x:si>
    <x:t>icon/item/item_14.png</x:t>
  </x:si>
  <x:si>
    <x:t>icon/item/item_01.png</x:t>
  </x:si>
  <x:si>
    <x:t>icon/item/item_08.png</x:t>
  </x:si>
  <x:si>
    <x:t>BlackHole</x:t>
  </x:si>
  <x:si>
    <x:t>ApplyValue</x:t>
  </x:si>
  <x:si>
    <x:t>ApplyPoint</x:t>
  </x:si>
  <x:si>
    <x:t>GoldGain</x:t>
  </x:si>
  <x:si>
    <x:t>TimeStop</x:t>
  </x:si>
  <x:si>
    <x:t>GradeType</x:t>
  </x:si>
  <x:si>
    <x:t>CostGold</x:t>
  </x:si>
  <x:si>
    <x:t>1층_시작무기선택</x:t>
  </x:si>
  <x:si>
    <x:t>ApplyType</x:t>
  </x:si>
  <x:si>
    <x:t>ItemSlotMax</x:t>
  </x:si>
  <x:si>
    <x:t>LocaleUS</x:t>
  </x:si>
  <x:si>
    <x:t>Glorygun</x:t>
  </x:si>
  <x:si>
    <x:t>LocaleKR</x:t>
  </x:si>
  <x:si>
    <x:t>PCHitboxRad</x:t>
  </x:si>
  <x:si>
    <x:t>HpShopProb</x:t>
  </x:si>
  <x:si>
    <x:t>적 체력 상승량</x:t>
  </x:si>
  <x:si>
    <x:t>아저씨의 금구슬</x:t>
  </x:si>
  <x:si>
    <x:t>QT 밸런스 시트</x:t>
  </x:si>
  <x:si>
    <x:t>BossDropId</x:t>
  </x:si>
  <x:si>
    <x:t>1층_Hp상점_슬롯</x:t>
  </x:si>
  <x:si>
    <x:t>1층_골드상점_슬롯</x:t>
  </x:si>
  <x:si>
    <x:t>예상 전투 시간</x:t>
  </x:si>
  <x:si>
    <x:t>휘두르기/던지기</x:t>
  </x:si>
  <x:si>
    <x:t>레벨당 평균 적</x:t>
  </x:si>
  <x:si>
    <x:t>적 개체당 드랍골드</x:t>
  </x:si>
  <x:si>
    <x:t>휘두르기 탄환 트레일</x:t>
  </x:si>
  <x:si>
    <x:t>MoveSound</x:t>
  </x:si>
  <x:si>
    <x:t>1층_아이템보상</x:t>
  </x:si>
  <x:si>
    <x:t>2층_아이템보상</x:t>
  </x:si>
  <x:si>
    <x:t>2층_골드상점_슬롯</x:t>
  </x:si>
  <x:si>
    <x:t>AtkDataId</x:t>
  </x:si>
  <x:si>
    <x:t>MoveType</x:t>
  </x:si>
  <x:si>
    <x:t>DirectDmg</x:t>
  </x:si>
  <x:si>
    <x:t>SpacingRad</x:t>
  </x:si>
  <x:si>
    <x:t>GoldDropMax</x:t>
  </x:si>
  <x:si>
    <x:t>SwingSound</x:t>
  </x:si>
  <x:si>
    <x:t>GoldDropMin</x:t>
  </x:si>
  <x:si>
    <x:t>ItemDropId</x:t>
  </x:si>
  <x:si>
    <x:t>2층_시작무기선택</x:t>
  </x:si>
  <x:si>
    <x:t>PrefabPath</x:t>
  </x:si>
  <x:si>
    <x:t>SpacingLeft</x:t>
  </x:si>
  <x:si>
    <x:t>#기준 적 체력 비율</x:t>
  </x:si>
  <x:si>
    <x:t>AfterDelay</x:t>
  </x:si>
  <x:si>
    <x:t>무지개빛 총공격</x:t>
  </x:si>
  <x:si>
    <x:t>QT 시트 저장 버튼</x:t>
  </x:si>
  <x:si>
    <x:t>BeforeDelay</x:t>
  </x:si>
  <x:si>
    <x:t>ShootDataId</x:t>
  </x:si>
  <x:si>
    <x:t>ShootAngle</x:t>
  </x:si>
  <x:si>
    <x:t>SwingRad</x:t>
  </x:si>
  <x:si>
    <x:t>AtkDmgPer</x:t>
  </x:si>
  <x:si>
    <x:t>InitalSpd</x:t>
  </x:si>
  <x:si>
    <x:t>ThrowSpd</x:t>
  </x:si>
  <x:si>
    <x:t>RigidSpd</x:t>
  </x:si>
  <x:si>
    <x:t>2층_Hp상점_슬롯</x:t>
  </x:si>
  <x:si>
    <x:t>배트 스프라이트</x:t>
  </x:si>
  <x:si>
    <x:t>휘두르기 사운드</x:t>
  </x:si>
  <x:si>
    <x:t>RigidTime</x:t>
  </x:si>
  <x:si>
    <x:t>직접공격피해량-미차징</x:t>
  </x:si>
  <x:si>
    <x:t>직접공격피해량-1단계</x:t>
  </x:si>
  <x:si>
    <x:t>공최대소지개수변경</x:t>
  </x:si>
  <x:si>
    <x:t>#평균 드랍 골드</x:t>
  </x:si>
  <x:si>
    <x:t>차징속도변경-1단계</x:t>
  </x:si>
  <x:si>
    <x:t>PC 최대 DPS</x:t>
  </x:si>
  <x:si>
    <x:t>IsBounce</x:t>
  </x:si>
  <x:si>
    <x:t>Value 1당 가치</x:t>
  </x:si>
  <x:si>
    <x:t>#던지기 DPS</x:t>
  </x:si>
  <x:si>
    <x:t>기관총 난사 4도</x:t>
  </x:si>
  <x:si>
    <x:t>기관총 난사 -4도</x:t>
  </x:si>
  <x:si>
    <x:t>기관총 난사 -6도</x:t>
  </x:si>
  <x:si>
    <x:t>기관총 난사 2도</x:t>
  </x:si>
  <x:si>
    <x:t>공격1_상하좌우뿌리기</x:t>
  </x:si>
  <x:si>
    <x:t>기관총 난사 6도</x:t>
  </x:si>
  <x:si>
    <x:t>공격2_기관총난사</x:t>
  </x:si>
  <x:si>
    <x:t>기관총 난사 10도</x:t>
  </x:si>
  <x:si>
    <x:t>기관총 난사 -2도</x:t>
  </x:si>
  <x:si>
    <x:t>공격1_대각뿌리기</x:t>
  </x:si>
  <x:si>
    <x:t>기관총 난사 12도</x:t>
  </x:si>
  <x:si>
    <x:t>기관총 난사 14도</x:t>
  </x:si>
  <x:si>
    <x:t>기관총 난사 16도</x:t>
  </x:si>
  <x:si>
    <x:t>4발 상하좌우 뿌리기</x:t>
  </x:si>
  <x:si>
    <x:t>기관총 난사 8도</x:t>
  </x:si>
  <x:si>
    <x:t>기관총 난사 -12도</x:t>
  </x:si>
  <x:si>
    <x:t>기관총 난사 -14도</x:t>
  </x:si>
  <x:si>
    <x:t>정방향 발사 튕김</x:t>
  </x:si>
  <x:si>
    <x:t>튕김 공 한발쏘기</x:t>
  </x:si>
  <x:si>
    <x:t>플레이어조준 기관총</x:t>
  </x:si>
  <x:si>
    <x:t>ApplyStat</x:t>
  </x:si>
  <x:si>
    <x:t>기관총 난사 -10도</x:t>
  </x:si>
  <x:si>
    <x:t>기관총 난사 -8도</x:t>
  </x:si>
  <x:si>
    <x:t>기관총 난사 -16도</x:t>
  </x:si>
  <x:si>
    <x:t>적 공격2 튕김</x:t>
  </x:si>
  <x:si>
    <x:t>사나운 돼지저금통</x:t>
  </x:si>
  <x:si>
    <x:t>누군가의 일기장</x:t>
  </x:si>
  <x:si>
    <x:t>ChargeTime</x:t>
  </x:si>
  <x:si>
    <x:t>메탈유니콘 키링</x:t>
  </x:si>
  <x:si>
    <x:t>3발 발사 연발</x:t>
  </x:si>
  <x:si>
    <x:t>샷건 8불릿 발사</x:t>
  </x:si>
  <x:si>
    <x:t>적 공격1 튕김</x:t>
  </x:si>
  <x:si>
    <x:t>차징피해량-미차징</x:t>
  </x:si>
  <x:si>
    <x:t>차징피해량-1단계</x:t>
  </x:si>
  <x:si>
    <x:t>Addition</x:t>
  </x:si>
  <x:si>
    <x:t>청개굴 버섯구이</x:t>
  </x:si>
  <x:si>
    <x:t>PlayerStat</x:t>
  </x:si>
  <x:si>
    <x:t>Multiply</x:t>
  </x:si>
  <x:si>
    <x:t>OnHpChanged</x:t>
  </x:si>
  <x:si>
    <x:t>골드획득량 +50%</x:t>
  </x:si>
  <x:si>
    <x:t>최대 체력 +1하트</x:t>
  </x:si>
  <x:si>
    <x:t>공 충돌횟수 +2</x:t>
  </x:si>
  <x:si>
    <x:t>이동속도 +10%</x:t>
  </x:si>
  <x:si>
    <x:t>공 충돌횟수 +1</x:t>
  </x:si>
  <x:si>
    <x:t>차징속도 +20%</x:t>
  </x:si>
  <x:si>
    <x:t>공격력 +60%</x:t>
  </x:si>
  <x:si>
    <x:t>성배 속 무언가</x:t>
  </x:si>
  <x:si>
    <x:t>#자료 위치 변환기</x:t>
  </x:si>
  <x:si>
    <x:t>공격력 +50%</x:t>
  </x:si>
  <x:si>
    <x:t>공격속도 +30%</x:t>
  </x:si>
  <x:si>
    <x:t>최대체력 +4하트</x:t>
  </x:si>
  <x:si>
    <x:t>공격속도 -20%</x:t>
  </x:si>
  <x:si>
    <x:t>이동속도 -25%</x:t>
  </x:si>
  <x:si>
    <x:t>보스1 - 듀라한</x:t>
  </x:si>
  <x:si>
    <x:t>최대체력 -2하트</x:t>
  </x:si>
  <x:si>
    <x:t>차징속도 +45%</x:t>
  </x:si>
  <x:si>
    <x:t>공격범위 +20%</x:t>
  </x:si>
  <x:si>
    <x:t>공 충돌횟수 -1</x:t>
  </x:si>
  <x:si>
    <x:t>Prefabs/EnemyProjectile.prefab</x:t>
  </x:si>
  <x:si>
    <x:t>Prefabs/Enemy_pitcher.prefab</x:t>
  </x:si>
  <x:si>
    <x:t>Prefabs/PlayerProjectile.prefab</x:t>
  </x:si>
  <x:si>
    <x:t>공격력 +10%, 이동속도 +0.5, 공격속도 +0.1초</x:t>
  </x:si>
  <x:si>
    <x:t>적에게 직접공격 시 경직될 때 시간당 감속 속도</x:t>
  </x:si>
  <x:si>
    <x:t>공격력 +50%, 공격 방향이 반대가 됩니다.</x:t>
  </x:si>
  <x:si>
    <x:t>트럼펫 소리가 납니다. 공격력이 20%증가합니다.</x:t>
  </x:si>
  <x:si>
    <x:t>RigidSpdDecelerationValue</x:t>
  </x:si>
  <x:si>
    <x:t>Prefabs/Enemy_bat.prefab</x:t>
  </x:si>
  <x:si>
    <x:t>공 충돌횟수 -1, 차징샷이 적을 관통합니다.</x:t>
  </x:si>
  <x:si>
    <x:t>적에게 직접공격 시 경직될 때 밀려나는 속도</x:t>
  </x:si>
  <x:si>
    <x:t>ChargeBounceCount1 * 0.2</x:t>
  </x:si>
  <x:si>
    <x:t>RowColider과 플레이어가 충돌하지 않음.</x:t>
  </x:si>
  <x:si>
    <x:t>(MovementSpd * 0.02) - 6</x:t>
  </x:si>
  <x:si>
    <x:t>/Resource/Bat/RainbowBat</x:t>
  </x:si>
  <x:si>
    <x:t>TeleportAllowableDistance</x:t>
  </x:si>
  <x:si>
    <x:t>/Resource/Sound/ToyBat_Walk</x:t>
  </x:si>
  <x:si>
    <x:t>/Resource/Bat/TrumpetBat</x:t>
  </x:si>
  <x:si>
    <x:t>OnChargeBounceCountChanged</x:t>
  </x:si>
  <x:si>
    <x:t>/Resource/Sound/RainbowAtk</x:t>
  </x:si>
  <x:si>
    <x:t>골드를 20% 더 많이 획득할 수 있습니다.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</x:si>
</x:sst>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2">
    <x:numFmt numFmtId="164" formatCode="0.0"/>
    <x:numFmt numFmtId="165" formatCode="0.000E+00"/>
  </x:numFmts>
  <x:fonts count="14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11"/>
      <x:color rgb="ffffffff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0000"/>
          <x:b val="1"/>
        </x:font>
      </mc:Fallback>
    </mc:AlternateContent>
    <x:font>
      <x:name val="맑은 고딕"/>
      <x:sz val="20"/>
      <x:color rgb="ffffc000"/>
      <x:b val="1"/>
    </x:font>
    <x:font>
      <x:name val="맑은 고딕"/>
      <x:sz val="11"/>
      <x:color rgb="ffffc000"/>
    </x:font>
    <mc:AlternateContent xmlns:mc="http://schemas.openxmlformats.org/markup-compatibility/2006">
      <mc:Choice xmlns:hs="http://schemas.haansoft.com/office/spreadsheet/8.0" Requires="hs">
        <x:font hs:extension="1">
          <x:name val="Tahoma"/>
          <x:sz val="9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Tahoma"/>
          <x:sz val="9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Tahoma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Tahoma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9"/>
          <x:color rgb="ff000000"/>
        </x:font>
      </mc:Fallback>
    </mc:AlternateContent>
  </x:fonts>
  <x:fills count="9">
    <x:fill>
      <x:patternFill patternType="none"/>
    </x:fill>
    <x:fill>
      <x:patternFill patternType="gray125"/>
    </x:fill>
    <x:fill>
      <x:patternFill patternType="solid">
        <x:fgColor rgb="ff262626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rgb="fffff2cc"/>
        <x:bgColor indexed="64"/>
      </x:patternFill>
    </x:fill>
    <x:fill>
      <x:patternFill patternType="solid">
        <x:fgColor rgb="ffffe699"/>
        <x:bgColor indexed="64"/>
      </x:patternFill>
    </x:fill>
    <x:fill>
      <x:patternFill patternType="solid">
        <x:fgColor rgb="ff548235"/>
        <x:bgColor indexed="64"/>
      </x:patternFill>
    </x:fill>
    <x:fill>
      <x:patternFill patternType="solid">
        <x:fgColor rgb="ff2e75b6"/>
        <x:bgColor indexed="64"/>
      </x:patternFill>
    </x:fill>
    <x:fill>
      <x:patternFill patternType="solid">
        <x:fgColor rgb="ffed7d31"/>
        <x:bgColor indexed="64"/>
      </x:patternFill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rgb="ffc9c9c9"/>
      </x:left>
      <x:right style="thin">
        <x:color rgb="ffc9c9c9"/>
      </x:right>
      <x:top style="thin">
        <x:color rgb="ffc9c9c9"/>
      </x:top>
      <x:bottom style="thin">
        <x:color rgb="ffc9c9c9"/>
      </x:bottom>
    </x:border>
  </x:borders>
  <x:cellStyleXfs count="1">
    <x:xf numFmtId="0" fontId="0" fillId="0" borderId="0">
      <x:alignment horizontal="general" vertical="center"/>
    </x:xf>
  </x:cellStyleXfs>
  <x:cellXfs count="29">
    <x:xf numFmtId="0" fontId="0" fillId="0" borderId="0" xfId="0" applyNumberFormat="1">
      <x:alignment horizontal="general" vertical="center"/>
    </x:xf>
    <x:xf numFmtId="0" fontId="0" fillId="2" borderId="0" xfId="0" applyNumberFormat="1" applyFill="1">
      <x:alignment horizontal="general" vertical="center"/>
    </x:xf>
    <x:xf numFmtId="0" fontId="6" fillId="3" borderId="0" xfId="0" applyNumberFormat="1" applyFont="1" applyFill="1">
      <x:alignment horizontal="general" vertical="center"/>
    </x:xf>
    <x:xf numFmtId="0" fontId="6" fillId="3" borderId="0" xfId="0" applyNumberFormat="1" applyFont="1" applyFill="1">
      <x:alignment horizontal="general" vertical="center"/>
    </x:xf>
    <x:xf numFmtId="0" fontId="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x:xf numFmtId="0" fontId="0" fillId="4" borderId="0" xfId="0" applyNumberFormat="1" applyFill="1">
      <x:alignment horizontal="general" vertical="center"/>
    </x:xf>
    <x:xf numFmtId="0" fontId="0" fillId="5" borderId="0" xfId="0" applyNumberFormat="1" applyFill="1">
      <x:alignment horizontal="general" vertical="center"/>
    </x:xf>
    <x:xf numFmtId="0" fontId="0" fillId="3" borderId="0" xfId="0" applyNumberFormat="1" applyFont="1" applyFill="1">
      <x:alignment horizontal="general" vertical="center"/>
    </x:xf>
    <x:xf numFmtId="0" fontId="0" fillId="3" borderId="0" xfId="0" applyNumberFormat="1" applyFont="1" applyFill="1">
      <x:alignment horizontal="general" vertical="center"/>
    </x:xf>
    <x:xf numFmtId="0" fontId="7" fillId="6" borderId="0" xfId="0" applyNumberFormat="1" applyFont="1" applyFill="1">
      <x:alignment horizontal="general" vertical="center"/>
    </x:xf>
    <x:xf numFmtId="0" fontId="0" fillId="6" borderId="0" xfId="0" applyNumberFormat="1" applyFill="1">
      <x:alignment horizontal="general" vertical="center"/>
    </x:xf>
    <x:xf numFmtId="0" fontId="0" fillId="7" borderId="0" xfId="0" applyNumberFormat="1" applyFill="1">
      <x:alignment horizontal="general" vertical="center"/>
    </x:xf>
    <x:xf numFmtId="0" fontId="0" fillId="8" borderId="0" xfId="0" applyNumberFormat="1" applyFill="1">
      <x:alignment horizontal="general" vertical="center"/>
    </x:xf>
    <x:xf numFmtId="0" fontId="0" fillId="4" borderId="1" xfId="0" applyNumberFormat="1" applyFill="1" applyBorder="1">
      <x:alignment horizontal="general" vertical="center"/>
    </x:xf>
    <x:xf numFmtId="0" fontId="0" fillId="4" borderId="0" xfId="0" applyNumberFormat="1" applyFont="1" applyFill="1">
      <x:alignment horizontal="general" vertical="center"/>
    </x:xf>
    <x:xf numFmtId="0" fontId="8" fillId="0" borderId="0" xfId="0" applyNumberFormat="1" applyFont="1">
      <x:alignment horizontal="general" vertical="center"/>
    </x:xf>
    <x:xf numFmtId="0" fontId="0" fillId="0" borderId="0" xfId="0" applyNumberFormat="1" applyAlignment="1">
      <x:alignment horizontal="general" vertical="center" wrapText="1"/>
    </x:xf>
    <x:xf numFmtId="0" fontId="0" fillId="0" borderId="0" xfId="0" applyNumberFormat="1" applyFont="1" applyAlignment="1">
      <x:alignment horizontal="general" vertical="center" wrapText="1"/>
    </x:xf>
    <x:xf numFmtId="164" fontId="0" fillId="0" borderId="0" xfId="0" applyNumberFormat="1" applyFont="1">
      <x:alignment horizontal="general" vertical="center"/>
    </x:xf>
    <x:xf numFmtId="0" fontId="6" fillId="0" borderId="0" xfId="0" applyNumberFormat="1" applyFont="1" applyAlignment="1">
      <x:alignment horizontal="general" vertical="center" wrapText="1"/>
    </x:xf>
    <x:xf numFmtId="0" fontId="8" fillId="3" borderId="0" xfId="0" applyNumberFormat="1" applyFont="1" applyFill="1">
      <x:alignment horizontal="general" vertical="center"/>
    </x:xf>
    <x:xf numFmtId="0" fontId="6" fillId="3" borderId="0" xfId="0" applyNumberFormat="1" applyFont="1" applyFill="1">
      <x:alignment horizontal="general" vertical="center"/>
    </x:xf>
    <x:xf numFmtId="0" fontId="0" fillId="0" borderId="0" xfId="0" applyNumberFormat="1" applyFont="1">
      <x:alignment horizontal="general" vertical="center"/>
    </x:xf>
    <x:xf numFmtId="0" fontId="8" fillId="4" borderId="0" xfId="0" applyNumberFormat="1" applyFont="1" applyFill="1">
      <x:alignment horizontal="general" vertical="center"/>
    </x:xf>
    <x:xf numFmtId="165" fontId="0" fillId="5" borderId="0" xfId="0" applyNumberFormat="1" applyFill="1">
      <x:alignment horizontal="general" vertical="center"/>
    </x:xf>
    <x:xf numFmtId="0" fontId="0" fillId="0" borderId="0" xfId="0" quotePrefix="1" applyNumberFormat="1">
      <x:alignment horizontal="general" vertical="center"/>
    </x:xf>
    <x:xf numFmtId="0" fontId="9" fillId="2" borderId="0" xfId="0" applyNumberFormat="1" applyFont="1" applyFill="1" applyAlignment="1">
      <x:alignment horizontal="left" vertical="center"/>
    </x:xf>
    <x:xf numFmtId="0" fontId="10" fillId="2" borderId="0" xfId="0" applyNumberFormat="1" applyFont="1" applyFill="1" applyAlignment="1">
      <x:alignment horizontal="left" vertical="center"/>
    </x:xf>
  </x:cellXfs>
  <x:cellStyles count="1">
    <x:cellStyle name="표준" xfId="0" builtinId="0"/>
  </x:cellStyles>
  <x:dxfs count="73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  <x:dxf>
      <x:numFmt numFmtId="0" formatCode="General"/>
      <x:fill>
        <x:patternFill patternType="solid">
          <x:fgColor indexed="65"/>
          <x:bgColor rgb="fffff2cc"/>
        </x:patternFill>
      </x:fill>
    </x:dxf>
    <x:dxf>
      <x:fill>
        <x:patternFill patternType="none">
          <x:fgColor auto="1"/>
          <x:bgColor auto="1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fill>
        <x:patternFill patternType="solid">
          <x:fgColor indexed="65"/>
          <x:bgColor rgb="ff262626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262626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sz val="11"/>
            <x:color rgb="ffff0000"/>
            <x:b val="1"/>
            <x:strike val="0"/>
            <x:u val="none"/>
            <hs:underlineType val="0"/>
            <hs:underlineShape val="solid"/>
            <hs:underlineColor rgb="ffff0000"/>
            <hs:strikeoutType val="0"/>
            <hs:strikeoutShape val="solid"/>
            <hs:strikeoutColor rgb="ff000000"/>
            <hs:useFontSpace val="0"/>
            <hs:size val="0"/>
            <hs:ratio val="0"/>
            <hs:spacing val="0"/>
            <hs:offset val="0"/>
          </x:font>
          <x:numFmt numFmtId="0" formatCode="General"/>
          <x:fill>
            <x:patternFill patternType="solid">
              <x:fgColor indexed="65"/>
              <x:bgColor rgb="fffff2cc"/>
            </x:patternFill>
          </x:fill>
        </x:dxf>
      </mc:Choice>
      <mc:Fallback>
        <x:dxf>
          <x:font>
            <x:sz val="11"/>
            <x:color rgb="ffff0000"/>
            <x:b val="1"/>
            <x:strike val="0"/>
            <x:u val="none"/>
          </x:font>
          <x:numFmt numFmtId="0" formatCode="General"/>
          <x:fill>
            <x:patternFill patternType="solid">
              <x:fgColor indexed="65"/>
              <x:bgColor rgb="fffff2cc"/>
            </x:patternFill>
          </x:fill>
        </x:dxf>
      </mc:Fallback>
    </mc:AlternateContent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  <x:fill>
        <x:patternFill patternType="solid">
          <x:fgColor indexed="65"/>
          <x:bgColor rgb="ffffe699"/>
        </x:patternFill>
      </x:fill>
    </x:dxf>
    <x:dxf>
      <x:numFmt numFmtId="0" formatCode="General"/>
    </x:dxf>
    <x:dxf>
      <x:numFmt numFmtId="0" formatCode="General"/>
      <x:fill>
        <x:patternFill patternType="solid">
          <x:fgColor indexed="65"/>
          <x:bgColor rgb="fffff2cc"/>
        </x:patternFill>
      </x:fill>
    </x:dxf>
    <x:dxf>
      <x:numFmt numFmtId="0" formatCode="General"/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numFmt numFmtId="0" formatCode="General"/>
      <x:fill>
        <x:patternFill patternType="none">
          <x:fgColor auto="1"/>
          <x:bgColor auto="1"/>
        </x:patternFill>
      </x:fill>
    </x:dxf>
    <x:dxf>
      <x:fill>
        <x:patternFill patternType="solid">
          <x:fgColor indexed="65"/>
          <x:bgColor rgb="ff262626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none">
          <x:fgColor auto="1"/>
          <x:bgColor auto="1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numFmt numFmtId="0" formatCode="General"/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262626"/>
        </x:patternFill>
      </x:fill>
    </x:dxf>
    <x:dxf>
      <x:numFmt numFmtId="0" formatCode="General"/>
      <x:fill>
        <x:patternFill patternType="solid">
          <x:fgColor indexed="65"/>
          <x:bgColor rgb="fffff2cc"/>
        </x:patternFill>
      </x:fill>
    </x:dxf>
    <x:dxf>
      <x:numFmt numFmtId="0" formatCode="General"/>
      <x:fill>
        <x:patternFill patternType="solid">
          <x:fgColor indexed="65"/>
          <x:bgColor rgb="fffff2cc"/>
        </x:patternFill>
      </x:fill>
    </x:dxf>
    <x:dxf>
      <x:numFmt numFmtId="0" formatCode="General"/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262626"/>
        </x:patternFill>
      </x:fill>
    </x:dxf>
    <x:dxf>
      <x:fill>
        <x:patternFill patternType="solid">
          <x:fgColor indexed="65"/>
          <x:bgColor rgb="fffff2cc"/>
        </x:patternFill>
      </x:fill>
    </x:dxf>
    <x:dxf>
      <x:fill>
        <x:patternFill patternType="solid">
          <x:fgColor indexed="65"/>
          <x:bgColor rgb="ff26262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sz val="11"/>
            <x:color auto="1"/>
            <x:b val="0"/>
            <x:strike val="0"/>
            <x:u val="none"/>
            <hs:underlineType val="0"/>
            <hs:underlineShape val="solid"/>
            <hs:underlineColor auto="1"/>
            <hs:strikeoutType val="0"/>
            <hs:strikeoutShape val="solid"/>
            <hs:strikeoutColor rgb="ff000000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sz val="11"/>
            <x:color auto="1"/>
            <x:b val="0"/>
            <x:strike val="0"/>
            <x:u val="none"/>
          </x:font>
        </x:dxf>
      </mc:Fallback>
    </mc:AlternateContent>
    <x:dxf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x:dxf>
      <x:fill>
        <x:patternFill patternType="none">
          <x:fgColor auto="1"/>
          <x:bgColor auto="1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sz val="11"/>
            <x:color rgb="ff000000"/>
            <x:b val="0"/>
            <x:i val="0"/>
            <x:strike val="0"/>
            <x:u val="none"/>
            <hs:underlineType val="0"/>
            <hs:underlineShape val="solid"/>
            <hs:underlineColor rgb="ff000000"/>
            <hs:strikeoutType val="0"/>
            <hs:strikeoutShape val="solid"/>
            <hs:strikeoutColor rgb="ff000000"/>
            <hs:useFontSpace val="0"/>
            <hs:size val="0"/>
            <hs:ratio val="0"/>
            <hs:spacing val="0"/>
            <hs:offset val="0"/>
          </x:font>
          <x:fill>
            <x:patternFill patternType="none">
              <x:fgColor auto="1"/>
              <x:bgColor auto="1"/>
            </x:patternFill>
          </x:fill>
        </x:dxf>
      </mc:Choice>
      <mc:Fallback>
        <x:dxf>
          <x:font>
            <x:sz val="11"/>
            <x:color rgb="ff000000"/>
            <x:b val="0"/>
            <x:i val="0"/>
            <x:strike val="0"/>
            <x:u val="none"/>
          </x:font>
          <x:fill>
            <x:patternFill patternType="none">
              <x:fgColor auto="1"/>
              <x:bgColor auto="1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sz val="11"/>
            <x:color rgb="ff000000"/>
            <x:b val="0"/>
            <x:i val="0"/>
            <x:strike val="0"/>
            <x:u val="none"/>
            <hs:underlineType val="0"/>
            <hs:underlineShape val="solid"/>
            <hs:underlineColor rgb="ff000000"/>
            <hs:strikeoutType val="0"/>
            <hs:strikeoutShape val="solid"/>
            <hs:strikeoutColor rgb="ff000000"/>
            <hs:useFontSpace val="0"/>
            <hs:size val="0"/>
            <hs:ratio val="0"/>
            <hs:spacing val="0"/>
            <hs:offset val="0"/>
          </x:font>
          <x:fill>
            <x:patternFill patternType="none">
              <x:fgColor auto="1"/>
              <x:bgColor auto="1"/>
            </x:patternFill>
          </x:fill>
        </x:dxf>
      </mc:Choice>
      <mc:Fallback>
        <x:dxf>
          <x:font>
            <x:sz val="11"/>
            <x:color rgb="ff000000"/>
            <x:b val="0"/>
            <x:i val="0"/>
            <x:strike val="0"/>
            <x:u val="none"/>
          </x:font>
          <x:fill>
            <x:patternFill patternType="none">
              <x:fgColor auto="1"/>
              <x:bgColor auto="1"/>
            </x:patternFill>
          </x:fill>
        </x:dxf>
      </mc:Fallback>
    </mc:AlternateContent>
    <x:dxf>
      <x:fill>
        <x:patternFill patternType="none">
          <x:fgColor auto="1"/>
          <x:bgColor auto="1"/>
        </x:patternFill>
      </x:fill>
    </x:dxf>
    <x:dxf>
      <x:fill>
        <x:patternFill>
          <x:bgColor rgb="ffdbdbdb"/>
        </x:patternFill>
      </x:fill>
    </x:dxf>
    <x:dxf>
      <x:fill>
        <x:patternFill>
          <x:bgColor rgb="ffededed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x:i val="0"/>
            <hs:useFontSpace val="0"/>
            <hs:size val="0"/>
            <hs:ratio val="0"/>
            <hs:spacing val="0"/>
            <hs:offset val="0"/>
          </x:font>
          <x:fill>
            <x:patternFill>
              <x:bgColor rgb="ff262626"/>
            </x:patternFill>
          </x:fill>
          <x:border>
            <x:left style="thin">
              <x:color auto="1"/>
            </x:left>
            <x:right style="thin">
              <x:color auto="1"/>
            </x:right>
            <x:top>
              <x:color auto="1"/>
            </x:top>
            <x:bottom style="thick">
              <x:color rgb="ffffffff"/>
            </x:bottom>
            <x:vertical style="thin">
              <x:color rgb="ffa6a6a6"/>
            </x:vertical>
            <x:horizontal style="thin">
              <x:color rgb="ffa6a6a6"/>
            </x:horizontal>
          </x:border>
        </x:dxf>
      </mc:Choice>
      <mc:Fallback>
        <x:dxf>
          <x:font>
            <x:color rgb="ffffffff"/>
            <x:b val="1"/>
            <x:i val="0"/>
          </x:font>
          <x:fill>
            <x:patternFill>
              <x:bgColor rgb="ff262626"/>
            </x:patternFill>
          </x:fill>
          <x:border>
            <x:left style="thin">
              <x:color auto="1"/>
            </x:left>
            <x:right style="thin">
              <x:color auto="1"/>
            </x:right>
            <x:top>
              <x:color auto="1"/>
            </x:top>
            <x:bottom style="thick">
              <x:color rgb="ffffffff"/>
            </x:bottom>
            <x:vertical style="thin">
              <x:color rgb="ffa6a6a6"/>
            </x:vertical>
            <x:horizontal style="thin">
              <x:color rgb="ffa6a6a6"/>
            </x:horizontal>
          </x:border>
        </x:dxf>
      </mc:Fallback>
    </mc:AlternateContent>
    <x:dxf>
      <x:border>
        <x:left style="thin">
          <x:color auto="1"/>
        </x:left>
        <x:right style="thin">
          <x:color auto="1"/>
        </x:right>
        <x:top style="thin">
          <x:color auto="1"/>
        </x:top>
        <x:bottom style="thin">
          <x:color auto="1"/>
        </x:bottom>
        <x:vertical style="thin">
          <x:color rgb="ffc9c9c9"/>
        </x:vertical>
        <x:horizontal style="thin">
          <x:color rgb="ffc9c9c9"/>
        </x:horizontal>
      </x:border>
    </x:dxf>
    <x:dxf>
      <x:fill>
        <x:patternFill patternType="solid">
          <x:bgColor rgb="ff262626"/>
        </x:patternFill>
      </x:fill>
    </x:dxf>
  </x:dxfs>
  <x:tableStyles count="3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  <x:tableStyle name="표 스타일 1" pivot="0" table="1" count="4">
      <x:tableStyleElement type="wholeTable" size="1" dxfId="71"/>
      <x:tableStyleElement type="headerRow" size="1" dxfId="70"/>
      <x:tableStyleElement type="firstRowStripe" size="1" dxfId="69"/>
      <x:tableStyleElement type="secondRowStripe" size="1" dxfId="6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worksheet" Target="worksheets/sheet9.xml"  /><Relationship Id="rId13" Type="http://schemas.openxmlformats.org/officeDocument/2006/relationships/worksheet" Target="worksheets/sheet10.xml"  /><Relationship Id="rId14" Type="http://schemas.openxmlformats.org/officeDocument/2006/relationships/worksheet" Target="worksheets/sheet11.xml"  /><Relationship Id="rId15" Type="http://schemas.openxmlformats.org/officeDocument/2006/relationships/worksheet" Target="worksheets/sheet12.xml"  /><Relationship Id="rId16" Type="http://schemas.openxmlformats.org/officeDocument/2006/relationships/worksheet" Target="worksheets/sheet13.xml"  /><Relationship Id="rId17" Type="http://schemas.openxmlformats.org/officeDocument/2006/relationships/worksheet" Target="worksheets/sheet14.xml"  /><Relationship Id="rId18" Type="http://schemas.openxmlformats.org/officeDocument/2006/relationships/worksheet" Target="worksheets/sheet15.xml"  /><Relationship Id="rId19" Type="http://schemas.openxmlformats.org/officeDocument/2006/relationships/worksheet" Target="worksheets/sheet16.xml"  /><Relationship Id="rId2" Type="http://schemas.openxmlformats.org/officeDocument/2006/relationships/styles" Target="styles.xml"  /><Relationship Id="rId20" Type="http://schemas.microsoft.com/office/2006/relationships/vbaProject" Target="vbaProject.bin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tables/table1.xml><?xml version="1.0" encoding="utf-8"?>
<x:table xmlns:r="http://schemas.openxmlformats.org/officeDocument/2006/relationships" xmlns:c="http://schemas.openxmlformats.org/drawingml/2006/chart" xmlns:x="http://schemas.openxmlformats.org/spreadsheetml/2006/main" id="5" name="아이템가격" displayName="아이템가격" ref="B6:H8" totalsRowShown="0" headerRowDxfId="67">
  <x:autoFilter ref="B6:H8"/>
  <x:tableColumns count="7">
    <x:tableColumn id="1" name="재화"/>
    <x:tableColumn id="2" name="Hp"/>
    <x:tableColumn id="3" name="Gold"/>
    <x:tableColumn id="4" name="Normal"/>
    <x:tableColumn id="5" name="Rare"/>
    <x:tableColumn id="6" name="Cursed"/>
    <x:tableColumn id="7" name="Weapon"/>
  </x:tableColumns>
  <x:tableStyleInfo name="표 스타일 1" showFirstColumn="0" showLastColumn="0" showRowStripes="1" showColumnStripes="0"/>
</x:table>
</file>

<file path=xl/tables/table2.xml><?xml version="1.0" encoding="utf-8"?>
<x:table xmlns:r="http://schemas.openxmlformats.org/officeDocument/2006/relationships" xmlns:c="http://schemas.openxmlformats.org/drawingml/2006/chart" xmlns:x="http://schemas.openxmlformats.org/spreadsheetml/2006/main" id="8" name="스텟별가치" displayName="스텟별가치" ref="B6:E32" totalsRowShown="0" headerRowDxfId="66" dataDxfId="65">
  <x:autoFilter ref="B6:E32"/>
  <x:tableColumns count="4">
    <x:tableColumn id="1" name="스텟" dataDxfId="61"/>
    <x:tableColumn id="2" name="참조 테이블" dataDxfId="60"/>
    <x:tableColumn id="3" name="설명" dataDxfId="59"/>
    <x:tableColumn id="4" name="Value 1당 가치" dataDxfId="58"/>
  </x:tableColumns>
  <x:tableStyleInfo name="표 스타일 1" showFirstColumn="0" showLastColumn="0" showRowStripes="1" showColumnStripes="0"/>
</x:table>
</file>

<file path=xl/tables/table3.xml><?xml version="1.0" encoding="utf-8"?>
<x:table xmlns:r="http://schemas.openxmlformats.org/officeDocument/2006/relationships" xmlns:c="http://schemas.openxmlformats.org/drawingml/2006/chart" xmlns:x="http://schemas.openxmlformats.org/spreadsheetml/2006/main" id="10" name="표10" displayName="표10" ref="R6:S7" totalsRowShown="0" headerRowDxfId="64">
  <x:autoFilter ref="R6:S7"/>
  <x:tableColumns count="2">
    <x:tableColumn id="1" name="골드 가치"/>
    <x:tableColumn id="2" name="적 개체당 드랍골드"/>
  </x:tableColumns>
  <x:tableStyleInfo name="표 스타일 1" showFirstColumn="0" showLastColumn="0" showRowStripes="1" showColumnStripes="0"/>
</x:table>
</file>

<file path=xl/tables/table4.xml><?xml version="1.0" encoding="utf-8"?>
<x:table xmlns:r="http://schemas.openxmlformats.org/officeDocument/2006/relationships" xmlns:c="http://schemas.openxmlformats.org/drawingml/2006/chart" xmlns:x="http://schemas.openxmlformats.org/spreadsheetml/2006/main" id="14" name="표14" displayName="표14" ref="R14:S15" totalsRowShown="0" headerRowDxfId="63">
  <x:autoFilter ref="R14:S15"/>
  <x:tableColumns count="2">
    <x:tableColumn id="1" name="적 기준 체력"/>
    <x:tableColumn id="2" name="적 체력 상승량"/>
  </x:tableColumns>
  <x:tableStyleInfo name="표 스타일 1" showFirstColumn="0" showLastColumn="0" showRowStripes="1" showColumnStripes="0"/>
</x:table>
</file>

<file path=xl/tables/table5.xml><?xml version="1.0" encoding="utf-8"?>
<x:table xmlns:r="http://schemas.openxmlformats.org/officeDocument/2006/relationships" xmlns:c="http://schemas.openxmlformats.org/drawingml/2006/chart" xmlns:x="http://schemas.openxmlformats.org/spreadsheetml/2006/main" id="15" name="밸런스시트" displayName="밸런스시트" ref="G6:P12" totalsRowShown="0" headerRowDxfId="62">
  <x:autoFilter ref="G6:P12"/>
  <x:tableColumns count="10">
    <x:tableColumn id="1" name="층"/>
    <x:tableColumn id="2" name="Normal"/>
    <x:tableColumn id="3" name="Rare" dataDxfId="57"/>
    <x:tableColumn id="4" name="획득 무기"/>
    <x:tableColumn id="5" name="획득 골드" dataDxfId="56"/>
    <x:tableColumn id="6" name="적 체력" dataDxfId="55"/>
    <x:tableColumn id="7" name="방 개수"/>
    <x:tableColumn id="8" name="레벨당 평균 적"/>
    <x:tableColumn id="9" name="PC 최대 DPS" dataDxfId="54"/>
    <x:tableColumn id="10" name="예상 전투 시간" dataDxfId="53"/>
  </x:tableColumns>
  <x:tableStyleInfo name="표 스타일 1" showFirstColumn="0" showLastColumn="0" showRowStripes="1" showColumnStripes="0"/>
</x:table>
</file>

<file path=xl/tables/table6.xml><?xml version="1.0" encoding="utf-8"?>
<x:table xmlns:r="http://schemas.openxmlformats.org/officeDocument/2006/relationships" xmlns:c="http://schemas.openxmlformats.org/drawingml/2006/chart" xmlns:x="http://schemas.openxmlformats.org/spreadsheetml/2006/main" id="9" name="표9" displayName="표9" ref="R10:U11" totalsRowShown="0" headerRowDxfId="61">
  <x:autoFilter ref="R10:U11"/>
  <x:tableColumns count="4">
    <x:tableColumn id="1" name="Normal"/>
    <x:tableColumn id="2" name="Rare"/>
    <x:tableColumn id="3" name="Cursed"/>
    <x:tableColumn id="4" name="Weapon" dataDxfId="52"/>
  </x:tableColumns>
  <x:tableStyleInfo name="표 스타일 1" showFirstColumn="0" showLastColumn="0" showRowStripes="1" showColumnStripes="0"/>
</x:table>
</file>

<file path=xl/tables/table7.xml><?xml version="1.0" encoding="utf-8"?>
<x:table xmlns:r="http://schemas.openxmlformats.org/officeDocument/2006/relationships" xmlns:c="http://schemas.openxmlformats.org/drawingml/2006/chart" xmlns:x="http://schemas.openxmlformats.org/spreadsheetml/2006/main" id="2" name="표2" displayName="표2" ref="A2:D10" totalsRowShown="0" headerRowDxfId="72">
  <x:autoFilter ref="A2:D10"/>
  <x:tableColumns count="4">
    <x:tableColumn id="1" name="Index"/>
    <x:tableColumn id="2" name="#변수명" dataDxfId="51"/>
    <x:tableColumn id="3" name="value"/>
    <x:tableColumn id="4" name="#설명" dataDxfId="50"/>
  </x:tableColumns>
  <x:tableStyleInfo name="표 스타일 1" showFirstColumn="0" showLastColumn="0" showRowStripes="1" showColumnStripes="0"/>
</x:table>
</file>

<file path=xl/tables/table8.xml><?xml version="1.0" encoding="utf-8"?>
<x:table xmlns:r="http://schemas.openxmlformats.org/officeDocument/2006/relationships" xmlns:c="http://schemas.openxmlformats.org/drawingml/2006/chart" xmlns:x="http://schemas.openxmlformats.org/spreadsheetml/2006/main" id="6" name="CharacterTable" displayName="CharacterTable" ref="B2:P3" totalsRowShown="0" headerRowDxfId="72">
  <x:autoFilter ref="B2:P3"/>
  <x:tableColumns count="15">
    <x:tableColumn id="1" name="Index"/>
    <x:tableColumn id="2" name="#설명" dataDxfId="49"/>
    <x:tableColumn id="3" name="MaxHP"/>
    <x:tableColumn id="4" name="PCHitboxRad"/>
    <x:tableColumn id="5" name="MovementSpd"/>
    <x:tableColumn id="6" name="ChargeMovementSpd"/>
    <x:tableColumn id="7" name="MercyInvincibleTime"/>
    <x:tableColumn id="8" name="DodgeCooldown"/>
    <x:tableColumn id="9" name="DodgeInvincibleTime"/>
    <x:tableColumn id="10" name="DodgeDurationTime"/>
    <x:tableColumn id="11" name="DodgeAddForce"/>
    <x:tableColumn id="12" name="ItemSlotMax"/>
    <x:tableColumn id="13" name="BallStackMax"/>
    <x:tableColumn id="14" name="GoldGain"/>
    <x:tableColumn id="15" name="DefaultBallDataId"/>
  </x:tableColumns>
  <x:tableStyleInfo name="표 스타일 1" showFirstColumn="0" showLastColumn="0" showRowStripes="1" showColumnStripes="0"/>
</x:table>
</file>

<file path=xl/tables/table9.xml><?xml version="1.0" encoding="utf-8"?>
<x:table xmlns:r="http://schemas.openxmlformats.org/officeDocument/2006/relationships" xmlns:c="http://schemas.openxmlformats.org/drawingml/2006/chart" xmlns:x="http://schemas.openxmlformats.org/spreadsheetml/2006/main" id="7" name="CharacterAtkTable" displayName="CharacterAtkTable" ref="B2:AE3" totalsRowShown="0" headerRowDxfId="72">
  <x:autoFilter ref="B2:AE3"/>
  <x:tableColumns count="30">
    <x:tableColumn id="1" name="Index"/>
    <x:tableColumn id="2" name="#설명" dataDxfId="48"/>
    <x:tableColumn id="3" name="ThrowCooldown" dataDxfId="47"/>
    <x:tableColumn id="4" name="ThrowAfterDelay" dataDxfId="46"/>
    <x:tableColumn id="5" name="ThrowSpd"/>
    <x:tableColumn id="6" name="ThrowBounceCount"/>
    <x:tableColumn id="7" name="SwingCooldown" dataDxfId="45"/>
    <x:tableColumn id="8" name="SwingAfterDelay"/>
    <x:tableColumn id="9" name="SwingRad"/>
    <x:tableColumn id="10" name="SwingCentralAngle"/>
    <x:tableColumn id="11" name="ChargeTime"/>
    <x:tableColumn id="12" name="ChargeAtkPierce"/>
    <x:tableColumn id="13" name="ChargeShootSpd1"/>
    <x:tableColumn id="14" name="ChargeShootSpd2"/>
    <x:tableColumn id="15" name="ChargeBounceCount1"/>
    <x:tableColumn id="16" name="ChargeBounceCount2"/>
    <x:tableColumn id="17" name="ReflectCorrection"/>
    <x:tableColumn id="18" name="ChargeRigidDmg1"/>
    <x:tableColumn id="19" name="ChargeRigidDmg2"/>
    <x:tableColumn id="20" name="ChargeProjectileDmg1"/>
    <x:tableColumn id="21" name="ChargeProjectileDmg2"/>
    <x:tableColumn id="22" name="AtkDmgPer"/>
    <x:tableColumn id="23" name="TeleportAllowableDistance"/>
    <x:tableColumn id="24" name="#던지기 DPS"/>
    <x:tableColumn id="25" name="#휘두르기 직접 공격 DPS"/>
    <x:tableColumn id="26" name="#차징1 직접 공격 DPS"/>
    <x:tableColumn id="27" name="#차징2 직접 공격 DPS"/>
    <x:tableColumn id="28" name="#차징3 직접 공격 DPS"/>
    <x:tableColumn id="29" name="#던진공 튕겨내기 DPS"/>
    <x:tableColumn id="30" name="#던진공 차징1 튕겨내기 DPS"/>
  </x:tableColumns>
  <x:tableStyleInfo name="표 스타일 1" showFirstColumn="0" showLastColumn="0" showRowStripes="1" showColumnStripes="0"/>
</x:table>
</file>

<file path=xl/tables/table10.xml><?xml version="1.0" encoding="utf-8"?>
<x:table xmlns:r="http://schemas.openxmlformats.org/officeDocument/2006/relationships" xmlns:c="http://schemas.openxmlformats.org/drawingml/2006/chart" xmlns:x="http://schemas.openxmlformats.org/spreadsheetml/2006/main" id="13" name="ProductialTable" displayName="ProductialTable" ref="B2:S4" totalsRowShown="0" headerRowDxfId="72">
  <x:autoFilter ref="B2:S4"/>
  <x:tableColumns count="18">
    <x:tableColumn id="1" name="Index"/>
    <x:tableColumn id="2" name="#이름" dataDxfId="44"/>
    <x:tableColumn id="3" name="MaxRoomValue"/>
    <x:tableColumn id="4" name="GoldShopProb"/>
    <x:tableColumn id="5" name="HpShopProb"/>
    <x:tableColumn id="6" name="EnemyHpIncreasePer"/>
    <x:tableColumn id="7" name="ItemDropId"/>
    <x:tableColumn id="8" name="HpShopDropId"/>
    <x:tableColumn id="9" name="GoldShopDropId"/>
    <x:tableColumn id="10" name="BossDropId"/>
    <x:tableColumn id="11" name="ChoiceDropId"/>
    <x:tableColumn id="12" name="WeaponDropId"/>
    <x:tableColumn id="13" name="#드랍테이블1" dataDxfId="43"/>
    <x:tableColumn id="14" name="#드랍테이블2" dataDxfId="42"/>
    <x:tableColumn id="15" name="#드랍테이블3" dataDxfId="41"/>
    <x:tableColumn id="16" name="#드랍테이블4" dataDxfId="40"/>
    <x:tableColumn id="17" name="#드랍테이블5" dataDxfId="39"/>
    <x:tableColumn id="18" name="#드랍테이블6" dataDxfId="38"/>
  </x:tableColumns>
  <x:tableStyleInfo name="표 스타일 1" showFirstColumn="0" showLastColumn="0" showRowStripes="1" showColumnStripes="0"/>
</x:table>
</file>

<file path=xl/tables/table11.xml><?xml version="1.0" encoding="utf-8"?>
<x:table xmlns:r="http://schemas.openxmlformats.org/officeDocument/2006/relationships" xmlns:c="http://schemas.openxmlformats.org/drawingml/2006/chart" xmlns:x="http://schemas.openxmlformats.org/spreadsheetml/2006/main" id="12" name="DropTable" displayName="DropTable" ref="B2:I14" totalsRowShown="0" headerRowDxfId="72">
  <x:autoFilter ref="B2:I14"/>
  <x:tableColumns count="8">
    <x:tableColumn id="1" name="Index"/>
    <x:tableColumn id="2" name="#메모" dataDxfId="37"/>
    <x:tableColumn id="3" name="Normal"/>
    <x:tableColumn id="4" name="Rare"/>
    <x:tableColumn id="5" name="Cursed"/>
    <x:tableColumn id="6" name="Weapon"/>
    <x:tableColumn id="7" name="Hp"/>
    <x:tableColumn id="8" name="Gold"/>
  </x:tableColumns>
  <x:tableStyleInfo name="표 스타일 1" showFirstColumn="0" showLastColumn="0" showRowStripes="1" showColumnStripes="0"/>
</x:table>
</file>

<file path=xl/tables/table12.xml><?xml version="1.0" encoding="utf-8"?>
<x:table xmlns:r="http://schemas.openxmlformats.org/officeDocument/2006/relationships" xmlns:c="http://schemas.openxmlformats.org/drawingml/2006/chart" xmlns:x="http://schemas.openxmlformats.org/spreadsheetml/2006/main" id="18" name="EnemyGameData" displayName="EnemyGameData" ref="B2:S11" totalsRowShown="0">
  <x:autoFilter ref="B2:S11"/>
  <x:tableColumns count="18">
    <x:tableColumn id="1" name="Index"/>
    <x:tableColumn id="2" name="#이름" dataDxfId="36"/>
    <x:tableColumn id="3" name="MaxHp"/>
    <x:tableColumn id="4" name="MoveType"/>
    <x:tableColumn id="5" name="SpacingRad"/>
    <x:tableColumn id="6" name="MoveTargetUpdatePeroid"/>
    <x:tableColumn id="7" name="MovementSpd"/>
    <x:tableColumn id="8" name="AtkCheckDelay"/>
    <x:tableColumn id="9" name="AtkStartType"/>
    <x:tableColumn id="10" name="AtkStartParam"/>
    <x:tableColumn id="11" name="AtkDataId"/>
    <x:tableColumn id="12" name="DeadAtkDataId"/>
    <x:tableColumn id="13" name="GoldDropMin"/>
    <x:tableColumn id="14" name="GoldDropMax"/>
    <x:tableColumn id="15" name="ProjectileDataId"/>
    <x:tableColumn id="16" name="PrefabPath"/>
    <x:tableColumn id="17" name="#기준 적 체력 비율"/>
    <x:tableColumn id="18" name="#평균 드랍 골드" dataDxfId="35"/>
  </x:tableColumns>
  <x:tableStyleInfo name="표 스타일 1" showFirstColumn="0" showLastColumn="0" showRowStripes="1" showColumnStripes="0"/>
</x:table>
</file>

<file path=xl/tables/table13.xml><?xml version="1.0" encoding="utf-8"?>
<x:table xmlns:r="http://schemas.openxmlformats.org/officeDocument/2006/relationships" xmlns:c="http://schemas.openxmlformats.org/drawingml/2006/chart" xmlns:x="http://schemas.openxmlformats.org/spreadsheetml/2006/main" id="21" name="EnemyAtkTable" displayName="EnemyAtkTable" ref="B2:G30" totalsRowShown="0">
  <x:autoFilter ref="B2:G30"/>
  <x:tableColumns count="6">
    <x:tableColumn id="1" name="Index"/>
    <x:tableColumn id="2" name="#설명" dataDxfId="34"/>
    <x:tableColumn id="3" name="ShootDataId" dataDxfId="33"/>
    <x:tableColumn id="4" name="AimType"/>
    <x:tableColumn id="5" name="BeforeDelay"/>
    <x:tableColumn id="6" name="AfterDelay"/>
  </x:tableColumns>
  <x:tableStyleInfo name="표 스타일 1" showFirstColumn="0" showLastColumn="0" showRowStripes="1" showColumnStripes="0"/>
</x:table>
</file>

<file path=xl/tables/table14.xml><?xml version="1.0" encoding="utf-8"?>
<x:table xmlns:r="http://schemas.openxmlformats.org/officeDocument/2006/relationships" xmlns:c="http://schemas.openxmlformats.org/drawingml/2006/chart" xmlns:x="http://schemas.openxmlformats.org/spreadsheetml/2006/main" id="19" name="ShootTable" displayName="ShootTable" ref="B2:G63" totalsRowShown="0">
  <x:autoFilter ref="B2:G63"/>
  <x:tableColumns count="6">
    <x:tableColumn id="1" name="Index"/>
    <x:tableColumn id="2" name="#설명" dataDxfId="32"/>
    <x:tableColumn id="3" name="ShootAngle"/>
    <x:tableColumn id="4" name="ProjectileDataId"/>
    <x:tableColumn id="5" name="MaxBounceCount"/>
    <x:tableColumn id="6" name="InitalSpd"/>
  </x:tableColumns>
  <x:tableStyleInfo name="표 스타일 1" showFirstColumn="0" showLastColumn="0" showRowStripes="1" showColumnStripes="0"/>
</x:table>
</file>

<file path=xl/tables/table15.xml><?xml version="1.0" encoding="utf-8"?>
<x:table xmlns:r="http://schemas.openxmlformats.org/officeDocument/2006/relationships" xmlns:c="http://schemas.openxmlformats.org/drawingml/2006/chart" xmlns:x="http://schemas.openxmlformats.org/spreadsheetml/2006/main" id="17" name="ProjectileTable" displayName="ProjectileTable" ref="B2:G9" totalsRowShown="0" headerRowDxfId="42">
  <x:autoFilter ref="B2:G9"/>
  <x:tableColumns count="6">
    <x:tableColumn id="1" name="Index"/>
    <x:tableColumn id="2" name="#설명" dataDxfId="31"/>
    <x:tableColumn id="3" name="IsBounce"/>
    <x:tableColumn id="4" name="ColliderRad"/>
    <x:tableColumn id="5" name="DirectDmg"/>
    <x:tableColumn id="6" name="PrefabPath"/>
  </x:tableColumns>
  <x:tableStyleInfo name="표 스타일 1" showFirstColumn="0" showLastColumn="0" showRowStripes="1" showColumnStripes="0"/>
</x:table>
</file>

<file path=xl/tables/table16.xml><?xml version="1.0" encoding="utf-8"?>
<x:table xmlns:r="http://schemas.openxmlformats.org/officeDocument/2006/relationships" xmlns:c="http://schemas.openxmlformats.org/drawingml/2006/chart" xmlns:x="http://schemas.openxmlformats.org/spreadsheetml/2006/main" id="4" name="ItemTable" displayName="ItemTable" ref="B2:L24" totalsRowShown="0" headerRowDxfId="72">
  <x:autoFilter ref="B2:L24"/>
  <x:tableColumns count="11">
    <x:tableColumn id="1" name="Index" dataDxfId="30"/>
    <x:tableColumn id="2" name="Name" dataDxfId="29"/>
    <x:tableColumn id="3" name="Desc" dataDxfId="28"/>
    <x:tableColumn id="4" name="GradeType" dataDxfId="27"/>
    <x:tableColumn id="5" name="Value" dataDxfId="26"/>
    <x:tableColumn id="6" name="CostHp" dataDxfId="25"/>
    <x:tableColumn id="7" name="CostGold" dataDxfId="24"/>
    <x:tableColumn id="8" name="ItemEffectDataId" dataDxfId="23"/>
    <x:tableColumn id="9" name="ItemIconPath" dataDxfId="22"/>
    <x:tableColumn id="10" name="#자료 위치 변환기" dataDxfId="21"/>
    <x:tableColumn id="11" name="#" dataDxfId="20"/>
  </x:tableColumns>
  <x:tableStyleInfo name="표 스타일 1" showFirstColumn="0" showLastColumn="0" showRowStripes="1" showColumnStripes="0"/>
</x:table>
</file>

<file path=xl/tables/table17.xml><?xml version="1.0" encoding="utf-8"?>
<x:table xmlns:r="http://schemas.openxmlformats.org/officeDocument/2006/relationships" xmlns:c="http://schemas.openxmlformats.org/drawingml/2006/chart" xmlns:x="http://schemas.openxmlformats.org/spreadsheetml/2006/main" id="1" name="ItemEffectTable" displayName="ItemEffectTable" ref="B2:S29" totalsRowShown="0" headerRowDxfId="72">
  <x:autoFilter ref="B2:S29"/>
  <x:tableColumns count="18">
    <x:tableColumn id="1" name="#개발여부" dataDxfId="19"/>
    <x:tableColumn id="2" name="#이름값" dataDxfId="18"/>
    <x:tableColumn id="3" name="#Grade" dataDxfId="17"/>
    <x:tableColumn id="4" name="Index" dataDxfId="16"/>
    <x:tableColumn id="5" name="ApplyType"/>
    <x:tableColumn id="6" name="ApplyStat"/>
    <x:tableColumn id="7" name="#효과 한글" dataDxfId="15"/>
    <x:tableColumn id="8" name="#효과 한글2" dataDxfId="14"/>
    <x:tableColumn id="9" name="ApplyValue"/>
    <x:tableColumn id="10" name="ValueOperatorType"/>
    <x:tableColumn id="11" name="ApplyPoint"/>
    <x:tableColumn id="12" name="#참조 테이블" dataDxfId="13"/>
    <x:tableColumn id="13" name="#기본값" dataDxfId="12"/>
    <x:tableColumn id="14" name="#ApplyValue 수식" dataDxfId="11"/>
    <x:tableColumn id="15" name="#적용 후" dataDxfId="10"/>
    <x:tableColumn id="16" name="#효력 가치" dataDxfId="9"/>
    <x:tableColumn id="17" name="#총 효력가치" dataDxfId="8"/>
    <x:tableColumn id="18" name="#오차값" dataDxfId="7"/>
  </x:tableColumns>
  <x:tableStyleInfo name="표 스타일 1" showFirstColumn="0" showLastColumn="0" showRowStripes="1" showColumnStripes="0"/>
</x:table>
</file>

<file path=xl/tables/table18.xml><?xml version="1.0" encoding="utf-8"?>
<x:table xmlns:r="http://schemas.openxmlformats.org/officeDocument/2006/relationships" xmlns:c="http://schemas.openxmlformats.org/drawingml/2006/chart" xmlns:x="http://schemas.openxmlformats.org/spreadsheetml/2006/main" id="16" name="ItemResourceTable" displayName="ItemResourceTable" ref="B2:F9" totalsRowShown="0" headerRowDxfId="72">
  <x:autoFilter ref="B2:F9"/>
  <x:tableColumns count="5">
    <x:tableColumn id="1" name="Index"/>
    <x:tableColumn id="2" name="#대상 아이템" dataDxfId="5"/>
    <x:tableColumn id="3" name="#리소스 유형" dataDxfId="4"/>
    <x:tableColumn id="4" name="ResourceType"/>
    <x:tableColumn id="5" name="ResourcePath"/>
  </x:tableColumns>
  <x:tableStyleInfo name="표 스타일 1" showFirstColumn="0" showLastColumn="0" showRowStripes="1" showColumnStripes="0"/>
</x:table>
</file>

<file path=xl/tables/table19.xml><?xml version="1.0" encoding="utf-8"?>
<x:table xmlns:r="http://schemas.openxmlformats.org/officeDocument/2006/relationships" xmlns:c="http://schemas.openxmlformats.org/drawingml/2006/chart" xmlns:x="http://schemas.openxmlformats.org/spreadsheetml/2006/main" id="3" name="LocaleTable" displayName="LocaleTable" ref="A2:D76" totalsRowShown="0" headerRowDxfId="72">
  <x:autoFilter ref="A2:D76"/>
  <x:tableColumns count="4">
    <x:tableColumn id="1" name="Index" dataDxfId="2"/>
    <x:tableColumn id="2" name="LocaleKR" dataDxfId="1"/>
    <x:tableColumn id="3" name="LocaleUS"/>
    <x:tableColumn id="4" name="#설명값참조" dataDxfId="0"/>
  </x:tableColumns>
  <x:tableStyleInfo name="표 스타일 1" showFirstColumn="0" showLastColumn="0" showRowStripes="1" showColumnStripes="0"/>
</x:table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vmlDrawing" Target="../drawings/vmlDrawing1.vml"  /></Relationships>
</file>

<file path=xl/worksheets/_rels/sheet2.xml.rels><?xml version="1.0" encoding="UTF-8" standalone="yes" ?><Relationships xmlns="http://schemas.openxmlformats.org/package/2006/relationships"><Relationship Id="rId1" Type="http://schemas.openxmlformats.org/officeDocument/2006/relationships/table" Target="../tables/table1.xml"  /></Relationships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vmlDrawing" Target="../drawings/vmlDrawing2.vml"  /><Relationship Id="rId2" Type="http://schemas.openxmlformats.org/officeDocument/2006/relationships/table" Target="../tables/table2.xml"  /><Relationship Id="rId3" Type="http://schemas.openxmlformats.org/officeDocument/2006/relationships/table" Target="../tables/table3.xml"  /><Relationship Id="rId4" Type="http://schemas.openxmlformats.org/officeDocument/2006/relationships/table" Target="../tables/table4.xml"  /><Relationship Id="rId5" Type="http://schemas.openxmlformats.org/officeDocument/2006/relationships/table" Target="../tables/table5.xml"  /><Relationship Id="rId6" Type="http://schemas.openxmlformats.org/officeDocument/2006/relationships/table" Target="../tables/table6.xml"  /><Relationship Id="rId7" Type="http://schemas.openxmlformats.org/officeDocument/2006/relationships/comments" Target="../comments1.xml"  /></Relationships>
</file>

<file path=xl/worksheets/_rels/sheet4.xml.rels><?xml version="1.0" encoding="UTF-8" standalone="yes" ?><Relationships xmlns="http://schemas.openxmlformats.org/package/2006/relationships"><Relationship Id="rId1" Type="http://schemas.openxmlformats.org/officeDocument/2006/relationships/table" Target="../tables/table7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table" Target="../tables/table8.xml"  /></Relationships>
</file>

<file path=xl/worksheets/_rels/sheet6.xml.rels><?xml version="1.0" encoding="UTF-8" standalone="yes" ?><Relationships xmlns="http://schemas.openxmlformats.org/package/2006/relationships"><Relationship Id="rId1" Type="http://schemas.openxmlformats.org/officeDocument/2006/relationships/table" Target="../tables/table9.xml"  /></Relationships>
</file>

<file path=xl/worksheets/_rels/sheet7.xml.rels><?xml version="1.0" encoding="UTF-8" standalone="yes" ?><Relationships xmlns="http://schemas.openxmlformats.org/package/2006/relationships"><Relationship Id="rId1" Type="http://schemas.openxmlformats.org/officeDocument/2006/relationships/table" Target="../tables/table10.xml"  /></Relationships>
</file>

<file path=xl/worksheets/_rels/sheet8.xml.rels><?xml version="1.0" encoding="UTF-8" standalone="yes" ?><Relationships xmlns="http://schemas.openxmlformats.org/package/2006/relationships"><Relationship Id="rId1" Type="http://schemas.openxmlformats.org/officeDocument/2006/relationships/table" Target="../tables/table11.xml"  /></Relationships>
</file>

<file path=xl/worksheets/_rels/sheet9.xml.rels><?xml version="1.0" encoding="UTF-8" standalone="yes" ?><Relationships xmlns="http://schemas.openxmlformats.org/package/2006/relationships"><Relationship Id="rId1" Type="http://schemas.openxmlformats.org/officeDocument/2006/relationships/table" Target="../tables/table12.xml"  /></Relationships>
</file>

<file path=xl/worksheets/_rels/sheet10.xml.rels><?xml version="1.0" encoding="UTF-8" standalone="yes" ?><Relationships xmlns="http://schemas.openxmlformats.org/package/2006/relationships"><Relationship Id="rId1" Type="http://schemas.openxmlformats.org/officeDocument/2006/relationships/table" Target="../tables/table13.xml"  /></Relationships>
</file>

<file path=xl/worksheets/_rels/sheet11.xml.rels><?xml version="1.0" encoding="UTF-8" standalone="yes" ?><Relationships xmlns="http://schemas.openxmlformats.org/package/2006/relationships"><Relationship Id="rId1" Type="http://schemas.openxmlformats.org/officeDocument/2006/relationships/table" Target="../tables/table14.xml"  /></Relationships>
</file>

<file path=xl/worksheets/_rels/sheet12.xml.rels><?xml version="1.0" encoding="UTF-8" standalone="yes" ?><Relationships xmlns="http://schemas.openxmlformats.org/package/2006/relationships"><Relationship Id="rId1" Type="http://schemas.openxmlformats.org/officeDocument/2006/relationships/table" Target="../tables/table15.xml"  /></Relationships>
</file>

<file path=xl/worksheets/_rels/sheet13.xml.rels><?xml version="1.0" encoding="UTF-8" standalone="yes" ?><Relationships xmlns="http://schemas.openxmlformats.org/package/2006/relationships"><Relationship Id="rId1" Type="http://schemas.openxmlformats.org/officeDocument/2006/relationships/table" Target="../tables/table16.xml"  /></Relationships>
</file>

<file path=xl/worksheets/_rels/sheet14.xml.rels><?xml version="1.0" encoding="UTF-8" standalone="yes" ?><Relationships xmlns="http://schemas.openxmlformats.org/package/2006/relationships"><Relationship Id="rId1" Type="http://schemas.openxmlformats.org/officeDocument/2006/relationships/vmlDrawing" Target="../drawings/vmlDrawing3.vml"  /><Relationship Id="rId2" Type="http://schemas.openxmlformats.org/officeDocument/2006/relationships/table" Target="../tables/table17.xml"  /><Relationship Id="rId3" Type="http://schemas.openxmlformats.org/officeDocument/2006/relationships/comments" Target="../comments2.xml"  /></Relationships>
</file>

<file path=xl/worksheets/_rels/sheet15.xml.rels><?xml version="1.0" encoding="UTF-8" standalone="yes" ?><Relationships xmlns="http://schemas.openxmlformats.org/package/2006/relationships"><Relationship Id="rId1" Type="http://schemas.openxmlformats.org/officeDocument/2006/relationships/table" Target="../tables/table18.xml"  /></Relationships>
</file>

<file path=xl/worksheets/_rels/sheet16.xml.rels><?xml version="1.0" encoding="UTF-8" standalone="yes" ?><Relationships xmlns="http://schemas.openxmlformats.org/package/2006/relationships"><Relationship Id="rId1" Type="http://schemas.openxmlformats.org/officeDocument/2006/relationships/table" Target="../tables/table19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4"/>
  <x:dimension ref="B1:E3"/>
  <x:sheetViews>
    <x:sheetView topLeftCell="A1" zoomScaleNormal="75" zoomScaleSheetLayoutView="100" workbookViewId="0">
      <x:selection activeCell="U13" activeCellId="0" sqref="U13:U13"/>
    </x:sheetView>
  </x:sheetViews>
  <x:sheetFormatPr defaultColWidth="8.875" defaultRowHeight="16.39999999999999857891"/>
  <x:sheetData>
    <x:row r="1" spans="2:5" s="1" customFormat="1">
      <x:c r="B1" s="27" t="s">
        <x:v>372</x:v>
      </x:c>
      <x:c r="C1" s="28"/>
      <x:c r="D1" s="28"/>
      <x:c r="E1" s="28"/>
    </x:row>
    <x:row r="2" spans="2:5" s="1" customFormat="1">
      <x:c r="B2" s="28"/>
      <x:c r="C2" s="28"/>
      <x:c r="D2" s="28"/>
      <x:c r="E2" s="28"/>
    </x:row>
    <x:row r="3" spans="2:5" s="1" customFormat="1">
      <x:c r="B3" s="28"/>
      <x:c r="C3" s="28"/>
      <x:c r="D3" s="28"/>
      <x:c r="E3" s="28"/>
    </x:row>
  </x:sheetData>
  <x:mergeCells count="1">
    <x:mergeCell ref="B1:E3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150" verticalDpi="150" copies="1"/>
  <x:legacy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>
    <x:tabColor rgb="ffffc000"/>
  </x:sheetPr>
  <x:dimension ref="B1:H8"/>
  <x:sheetViews>
    <x:sheetView topLeftCell="A1" zoomScaleNormal="75" zoomScaleSheetLayoutView="100" workbookViewId="0">
      <x:selection activeCell="F30" activeCellId="0" sqref="F30:F30"/>
    </x:sheetView>
  </x:sheetViews>
  <x:sheetFormatPr defaultColWidth="8.875" defaultRowHeight="16.39999999999999857891"/>
  <x:cols>
    <x:col min="2" max="2" width="9.875" bestFit="1" customWidth="1"/>
    <x:col min="3" max="3" width="6.375" bestFit="1" customWidth="1"/>
    <x:col min="4" max="4" width="12.625" bestFit="1" customWidth="1"/>
    <x:col min="5" max="5" width="10.375" bestFit="1" customWidth="1"/>
    <x:col min="6" max="6" width="7.625" bestFit="1" customWidth="1"/>
    <x:col min="7" max="7" width="9.875" bestFit="1" customWidth="1"/>
    <x:col min="8" max="8" width="11" bestFit="1" customWidth="1"/>
  </x:cols>
  <x:sheetData>
    <x:row r="1" spans="2:5" s="1" customFormat="1">
      <x:c r="B1" s="27" t="s">
        <x:v>242</x:v>
      </x:c>
      <x:c r="C1" s="28"/>
      <x:c r="D1" s="28"/>
      <x:c r="E1" s="28"/>
    </x:row>
    <x:row r="2" spans="2:5" s="1" customFormat="1">
      <x:c r="B2" s="28"/>
      <x:c r="C2" s="28"/>
      <x:c r="D2" s="28"/>
      <x:c r="E2" s="28"/>
    </x:row>
    <x:row r="3" spans="2:5" s="1" customFormat="1">
      <x:c r="B3" s="28"/>
      <x:c r="C3" s="28"/>
      <x:c r="D3" s="28"/>
      <x:c r="E3" s="28"/>
    </x:row>
    <x:row r="5" spans="2:2">
      <x:c r="B5" s="2" t="s">
        <x:v>100</x:v>
      </x:c>
    </x:row>
    <x:row r="6" spans="2:8">
      <x:c r="B6" t="s">
        <x:v>54</x:v>
      </x:c>
      <x:c r="C6" t="s">
        <x:v>57</x:v>
      </x:c>
      <x:c r="D6" t="s">
        <x:v>104</x:v>
      </x:c>
      <x:c r="E6" t="s">
        <x:v>91</x:v>
      </x:c>
      <x:c r="F6" t="s">
        <x:v>92</x:v>
      </x:c>
      <x:c r="G6" t="s">
        <x:v>101</x:v>
      </x:c>
      <x:c r="H6" t="s">
        <x:v>94</x:v>
      </x:c>
    </x:row>
    <x:row r="7" spans="2:8">
      <x:c r="B7" t="s">
        <x:v>57</x:v>
      </x:c>
      <x:c r="C7">
        <x:v>0</x:v>
      </x:c>
      <x:c r="D7">
        <x:f>1/15</x:f>
        <x:v>0.066666666666666666</x:v>
      </x:c>
      <x:c r="E7">
        <x:v>1</x:v>
      </x:c>
      <x:c r="F7">
        <x:v>2</x:v>
      </x:c>
      <x:c r="G7">
        <x:v>2</x:v>
      </x:c>
      <x:c r="H7">
        <x:v>2</x:v>
      </x:c>
    </x:row>
    <x:row r="8" spans="2:8">
      <x:c r="B8" t="s">
        <x:v>104</x:v>
      </x:c>
      <x:c r="C8">
        <x:v>10</x:v>
      </x:c>
      <x:c r="D8">
        <x:v>0</x:v>
      </x:c>
      <x:c r="E8">
        <x:v>30</x:v>
      </x:c>
      <x:c r="F8">
        <x:v>50</x:v>
      </x:c>
      <x:c r="G8">
        <x:v>50</x:v>
      </x:c>
      <x:c r="H8">
        <x:v>50</x:v>
      </x:c>
    </x:row>
  </x:sheetData>
  <x:mergeCells count="1">
    <x:mergeCell ref="B1:E3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>
    <x:tabColor rgb="ffffc000"/>
  </x:sheetPr>
  <x:dimension ref="A1:U32"/>
  <x:sheetViews>
    <x:sheetView topLeftCell="A5" zoomScaleNormal="75" zoomScaleSheetLayoutView="100" workbookViewId="0">
      <x:selection activeCell="H34" activeCellId="0" sqref="H34:H34"/>
    </x:sheetView>
  </x:sheetViews>
  <x:sheetFormatPr defaultColWidth="14.625" defaultRowHeight="16.39999999999999857891"/>
  <x:cols>
    <x:col min="1" max="1" width="2.5" customWidth="1"/>
    <x:col min="2" max="2" width="19.875" customWidth="1"/>
    <x:col min="3" max="3" width="20.5" customWidth="1"/>
    <x:col min="4" max="4" width="41.125" customWidth="1"/>
    <x:col min="5" max="5" width="16.625" customWidth="1"/>
    <x:col min="6" max="6" width="3.5" customWidth="1"/>
    <x:col min="16" max="16" width="16.625" bestFit="1" customWidth="1"/>
    <x:col min="17" max="17" width="2.5" customWidth="1"/>
  </x:cols>
  <x:sheetData>
    <x:row r="1" spans="2:6" s="1" customFormat="1">
      <x:c r="B1" s="27" t="s">
        <x:v>345</x:v>
      </x:c>
      <x:c r="C1" s="28"/>
      <x:c r="D1" s="28"/>
      <x:c r="E1" s="28"/>
      <x:c r="F1" s="28"/>
    </x:row>
    <x:row r="2" spans="2:6" s="1" customFormat="1">
      <x:c r="B2" s="28"/>
      <x:c r="C2" s="28"/>
      <x:c r="D2" s="28"/>
      <x:c r="E2" s="28"/>
      <x:c r="F2" s="28"/>
    </x:row>
    <x:row r="3" spans="2:6" s="1" customFormat="1">
      <x:c r="B3" s="28"/>
      <x:c r="C3" s="28"/>
      <x:c r="D3" s="28"/>
      <x:c r="E3" s="28"/>
      <x:c r="F3" s="28"/>
    </x:row>
    <x:row r="5" spans="2:18">
      <x:c r="B5" s="3" t="s">
        <x:v>116</x:v>
      </x:c>
      <x:c r="G5" s="2" t="s">
        <x:v>256</x:v>
      </x:c>
      <x:c r="R5" s="3" t="s">
        <x:v>127</x:v>
      </x:c>
    </x:row>
    <x:row r="6" spans="2:19">
      <x:c r="B6" t="s">
        <x:v>61</x:v>
      </x:c>
      <x:c r="C6" t="s">
        <x:v>161</x:v>
      </x:c>
      <x:c r="D6" t="s">
        <x:v>68</x:v>
      </x:c>
      <x:c r="E6" s="4" t="s">
        <x:v>392</x:v>
      </x:c>
      <x:c r="G6" t="s">
        <x:v>51</x:v>
      </x:c>
      <x:c r="H6" t="s">
        <x:v>91</x:v>
      </x:c>
      <x:c r="I6" t="s">
        <x:v>92</x:v>
      </x:c>
      <x:c r="J6" t="s">
        <x:v>129</x:v>
      </x:c>
      <x:c r="K6" t="s">
        <x:v>128</x:v>
      </x:c>
      <x:c r="L6" t="s">
        <x:v>123</x:v>
      </x:c>
      <x:c r="M6" t="s">
        <x:v>126</x:v>
      </x:c>
      <x:c r="N6" t="s">
        <x:v>351</x:v>
      </x:c>
      <x:c r="O6" t="s">
        <x:v>390</x:v>
      </x:c>
      <x:c r="P6" t="s">
        <x:v>349</x:v>
      </x:c>
      <x:c r="R6" t="s">
        <x:v>115</x:v>
      </x:c>
      <x:c r="S6" t="s">
        <x:v>352</x:v>
      </x:c>
    </x:row>
    <x:row r="7" spans="1:19">
      <x:c r="A7" s="20"/>
      <x:c r="B7" s="18" t="s">
        <x:v>225</x:v>
      </x:c>
      <x:c r="C7" s="20" t="s">
        <x:v>40</x:v>
      </x:c>
      <x:c r="D7" t="s">
        <x:v>153</x:v>
      </x:c>
      <x:c r="E7" s="4">
        <x:v>0</x:v>
      </x:c>
      <x:c r="G7">
        <x:v>1</x:v>
      </x:c>
      <x:c r="H7">
        <x:f>밸런스시트[[#This Row],[획득 골드]]/INDEX(아이템가격[Normal],MATCH("Gold",아이템가격[재화],0))</x:f>
        <x:v>5</x:v>
      </x:c>
      <x:c r="I7">
        <x:f>밸런스시트[[#This Row],[획득 골드]]/INDEX(아이템가격[Rare],MATCH("Gold",아이템가격[재화],0))+1</x:f>
        <x:v>4</x:v>
      </x:c>
      <x:c r="J7">
        <x:f>IF(밸런스시트[[#This Row],[층]]=1,1,0)</x:f>
        <x:v>1</x:v>
      </x:c>
      <x:c r="K7">
        <x:f t="array" ref="K7:K7">밸런스시트[[#This Row],[레벨당 평균 적]]*밸런스시트[[#This Row],[방 개수]]*표10[적 개체당 드랍골드]</x:f>
        <x:v>150</x:v>
      </x:c>
      <x:c r="L7">
        <x:f t="array" ref="L7:L7">표14[적 기준 체력]+(표14[적 기준 체력]*표14[적 체력 상승량]*(밸런스시트[[#This Row],[층]]-1))</x:f>
        <x:v>100</x:v>
      </x:c>
      <x:c r="M7">
        <x:v>10</x:v>
      </x:c>
      <x:c r="N7">
        <x:v>5</x:v>
      </x:c>
      <x:c r="O7">
        <x:f t="array" ref="O7:O7">CharacterAtkTable['#던진공 차징1 튕겨내기 DPS]</x:f>
        <x:v>84.459459459459453</x:v>
      </x:c>
      <x:c r="P7">
        <x:f>(밸런스시트[[#This Row],[레벨당 평균 적]]*밸런스시트[[#This Row],[방 개수]]*밸런스시트[[#This Row],[적 체력]])/밸런스시트[[#This Row],[PC 최대 DPS]]</x:f>
        <x:v>59.200000000000003</x:v>
      </x:c>
      <x:c r="R7">
        <x:f>1/15</x:f>
        <x:v>0.066666666666666666</x:v>
      </x:c>
      <x:c r="S7">
        <x:v>3</x:v>
      </x:c>
    </x:row>
    <x:row r="8" spans="1:16">
      <x:c r="A8" s="17"/>
      <x:c r="B8" s="17" t="s">
        <x:v>6</x:v>
      </x:c>
      <x:c r="C8" s="17" t="s">
        <x:v>281</x:v>
      </x:c>
      <x:c r="D8" t="s">
        <x:v>164</x:v>
      </x:c>
      <x:c r="E8" s="4">
        <x:f>50/1</x:f>
        <x:v>50</x:v>
      </x:c>
      <x:c r="G8">
        <x:v>2</x:v>
      </x:c>
      <x:c r="H8">
        <x:f>밸런스시트[[#This Row],[획득 골드]]/INDEX(아이템가격[Normal],MATCH("Gold",아이템가격[재화],0))</x:f>
        <x:v>6</x:v>
      </x:c>
      <x:c r="I8">
        <x:f>밸런스시트[[#This Row],[획득 골드]]/INDEX(아이템가격[Rare],MATCH("Gold",아이템가격[재화],0))+1</x:f>
        <x:v>4.5999999999999996</x:v>
      </x:c>
      <x:c r="J8">
        <x:f>IF(밸런스시트[[#This Row],[층]]=1,1,0)</x:f>
        <x:v>0</x:v>
      </x:c>
      <x:c r="K8">
        <x:f t="array" ref="K8:K8">밸런스시트[[#This Row],[레벨당 평균 적]]*밸런스시트[[#This Row],[방 개수]]*표10[적 개체당 드랍골드]</x:f>
        <x:v>180</x:v>
      </x:c>
      <x:c r="L8">
        <x:f t="array" ref="L8:L8">표14[적 기준 체력]+(표14[적 기준 체력]*표14[적 체력 상승량]*(밸런스시트[[#This Row],[층]]-1))</x:f>
        <x:v>120</x:v>
      </x:c>
      <x:c r="M8">
        <x:v>12</x:v>
      </x:c>
      <x:c r="N8">
        <x:v>5</x:v>
      </x:c>
      <x:c r="O8" t="e">
        <x:f t="array" ref="O8:O8">#REF!</x:f>
        <x:v>#REF!</x:v>
      </x:c>
      <x:c r="P8" t="e">
        <x:f>(밸런스시트[[#This Row],[레벨당 평균 적]]*밸런스시트[[#This Row],[방 개수]]*밸런스시트[[#This Row],[적 체력]])/밸런스시트[[#This Row],[PC 최대 DPS]]</x:f>
        <x:v>#REF!</x:v>
      </x:c>
    </x:row>
    <x:row r="9" spans="1:20">
      <x:c r="A9" s="17"/>
      <x:c r="B9" s="17" t="s">
        <x:v>65</x:v>
      </x:c>
      <x:c r="C9" s="17" t="s">
        <x:v>281</x:v>
      </x:c>
      <x:c r="D9" t="s">
        <x:v>166</x:v>
      </x:c>
      <x:c r="E9" s="4">
        <x:f>30/50</x:f>
        <x:v>0.59999999999999998</x:v>
      </x:c>
      <x:c r="G9">
        <x:v>3</x:v>
      </x:c>
      <x:c r="H9">
        <x:f>밸런스시트[[#This Row],[획득 골드]]/INDEX(아이템가격[Normal],MATCH("Gold",아이템가격[재화],0))</x:f>
        <x:v>7</x:v>
      </x:c>
      <x:c r="I9">
        <x:f>밸런스시트[[#This Row],[획득 골드]]/INDEX(아이템가격[Rare],MATCH("Gold",아이템가격[재화],0))+1</x:f>
        <x:v>5.2000000000000002</x:v>
      </x:c>
      <x:c r="J9">
        <x:f>IF(밸런스시트[[#This Row],[층]]=1,1,0)</x:f>
        <x:v>0</x:v>
      </x:c>
      <x:c r="K9">
        <x:f t="array" ref="K9:K9">밸런스시트[[#This Row],[레벨당 평균 적]]*밸런스시트[[#This Row],[방 개수]]*표10[적 개체당 드랍골드]</x:f>
        <x:v>210</x:v>
      </x:c>
      <x:c r="L9">
        <x:f t="array" ref="L9:L9">표14[적 기준 체력]+(표14[적 기준 체력]*표14[적 체력 상승량]*(밸런스시트[[#This Row],[층]]-1))</x:f>
        <x:v>140</x:v>
      </x:c>
      <x:c r="M9">
        <x:v>14</x:v>
      </x:c>
      <x:c r="N9">
        <x:v>5</x:v>
      </x:c>
      <x:c r="O9" t="e">
        <x:f t="array" ref="O9:O9">#REF!</x:f>
        <x:v>#REF!</x:v>
      </x:c>
      <x:c r="P9" t="e">
        <x:f>(밸런스시트[[#This Row],[레벨당 평균 적]]*밸런스시트[[#This Row],[방 개수]]*밸런스시트[[#This Row],[적 체력]])/밸런스시트[[#This Row],[PC 최대 DPS]]</x:f>
        <x:v>#REF!</x:v>
      </x:c>
      <x:c r="R9" s="3" t="s">
        <x:v>312</x:v>
      </x:c>
      <x:c r="S9" s="3"/>
      <x:c r="T9" s="3"/>
    </x:row>
    <x:row r="10" spans="1:21">
      <x:c r="A10" s="17"/>
      <x:c r="B10" s="17" t="s">
        <x:v>235</x:v>
      </x:c>
      <x:c r="C10" s="17" t="s">
        <x:v>281</x:v>
      </x:c>
      <x:c r="D10" t="s">
        <x:v>387</x:v>
      </x:c>
      <x:c r="E10" s="4">
        <x:f>50/3</x:f>
        <x:v>16.666666666666668</x:v>
      </x:c>
      <x:c r="G10">
        <x:v>4</x:v>
      </x:c>
      <x:c r="H10">
        <x:f>밸런스시트[[#This Row],[획득 골드]]/INDEX(아이템가격[Normal],MATCH("Gold",아이템가격[재화],0))</x:f>
        <x:v>8</x:v>
      </x:c>
      <x:c r="I10">
        <x:f>밸런스시트[[#This Row],[획득 골드]]/INDEX(아이템가격[Rare],MATCH("Gold",아이템가격[재화],0))+1</x:f>
        <x:v>5.7999999999999998</x:v>
      </x:c>
      <x:c r="J10">
        <x:f>IF(밸런스시트[[#This Row],[층]]=1,1,0)</x:f>
        <x:v>0</x:v>
      </x:c>
      <x:c r="K10">
        <x:f t="array" ref="K10:K10">밸런스시트[[#This Row],[레벨당 평균 적]]*밸런스시트[[#This Row],[방 개수]]*표10[적 개체당 드랍골드]</x:f>
        <x:v>240</x:v>
      </x:c>
      <x:c r="L10">
        <x:f t="array" ref="L10:L10">표14[적 기준 체력]+(표14[적 기준 체력]*표14[적 체력 상승량]*(밸런스시트[[#This Row],[층]]-1))</x:f>
        <x:v>160</x:v>
      </x:c>
      <x:c r="M10">
        <x:v>16</x:v>
      </x:c>
      <x:c r="N10">
        <x:v>5</x:v>
      </x:c>
      <x:c r="O10" t="e">
        <x:f t="array" ref="O10:O10">#REF!</x:f>
        <x:v>#REF!</x:v>
      </x:c>
      <x:c r="P10" t="e">
        <x:f>(밸런스시트[[#This Row],[레벨당 평균 적]]*밸런스시트[[#This Row],[방 개수]]*밸런스시트[[#This Row],[적 체력]])/밸런스시트[[#This Row],[PC 최대 DPS]]</x:f>
        <x:v>#REF!</x:v>
      </x:c>
      <x:c r="R10" t="s">
        <x:v>91</x:v>
      </x:c>
      <x:c r="S10" t="s">
        <x:v>92</x:v>
      </x:c>
      <x:c r="T10" t="s">
        <x:v>101</x:v>
      </x:c>
      <x:c r="U10" t="s">
        <x:v>94</x:v>
      </x:c>
    </x:row>
    <x:row r="11" spans="1:21">
      <x:c r="A11" s="17"/>
      <x:c r="B11" s="17" t="s">
        <x:v>331</x:v>
      </x:c>
      <x:c r="C11" s="17" t="s">
        <x:v>281</x:v>
      </x:c>
      <x:c r="D11" t="s">
        <x:v>159</x:v>
      </x:c>
      <x:c r="E11" s="4">
        <x:v>100</x:v>
      </x:c>
      <x:c r="G11">
        <x:v>5</x:v>
      </x:c>
      <x:c r="H11">
        <x:f>밸런스시트[[#This Row],[획득 골드]]/INDEX(아이템가격[Normal],MATCH("Gold",아이템가격[재화],0))</x:f>
        <x:v>9</x:v>
      </x:c>
      <x:c r="I11">
        <x:f>밸런스시트[[#This Row],[획득 골드]]/INDEX(아이템가격[Rare],MATCH("Gold",아이템가격[재화],0))+1</x:f>
        <x:v>6.4000000000000004</x:v>
      </x:c>
      <x:c r="J11">
        <x:f>IF(밸런스시트[[#This Row],[층]]=1,1,0)</x:f>
        <x:v>0</x:v>
      </x:c>
      <x:c r="K11">
        <x:f t="array" ref="K11:K11">밸런스시트[[#This Row],[레벨당 평균 적]]*밸런스시트[[#This Row],[방 개수]]*표10[적 개체당 드랍골드]</x:f>
        <x:v>270</x:v>
      </x:c>
      <x:c r="L11">
        <x:f t="array" ref="L11:L11">표14[적 기준 체력]+(표14[적 기준 체력]*표14[적 체력 상승량]*(밸런스시트[[#This Row],[층]]-1))</x:f>
        <x:v>180</x:v>
      </x:c>
      <x:c r="M11">
        <x:v>18</x:v>
      </x:c>
      <x:c r="N11">
        <x:v>5</x:v>
      </x:c>
      <x:c r="O11" t="e">
        <x:f t="array" ref="O11:O11">#REF!</x:f>
        <x:v>#REF!</x:v>
      </x:c>
      <x:c r="P11" t="e">
        <x:f>(밸런스시트[[#This Row],[레벨당 평균 적]]*밸런스시트[[#This Row],[방 개수]]*밸런스시트[[#This Row],[적 체력]])/밸런스시트[[#This Row],[PC 최대 DPS]]</x:f>
        <x:v>#REF!</x:v>
      </x:c>
      <x:c r="R11">
        <x:v>30</x:v>
      </x:c>
      <x:c r="S11">
        <x:v>50</x:v>
      </x:c>
      <x:c r="T11">
        <x:v>50</x:v>
      </x:c>
      <x:c r="U11" s="23">
        <x:v>30</x:v>
      </x:c>
    </x:row>
    <x:row r="12" spans="1:16">
      <x:c r="A12" s="17"/>
      <x:c r="B12" s="17" t="s">
        <x:v>204</x:v>
      </x:c>
      <x:c r="C12" s="17" t="s">
        <x:v>265</x:v>
      </x:c>
      <x:c r="D12" t="s">
        <x:v>165</x:v>
      </x:c>
      <x:c r="E12" s="4">
        <x:f>20/0.2</x:f>
        <x:v>100</x:v>
      </x:c>
      <x:c r="G12">
        <x:v>6</x:v>
      </x:c>
      <x:c r="H12">
        <x:f>밸런스시트[[#This Row],[획득 골드]]/INDEX(아이템가격[Normal],MATCH("Gold",아이템가격[재화],0))</x:f>
        <x:v>10</x:v>
      </x:c>
      <x:c r="I12">
        <x:f>밸런스시트[[#This Row],[획득 골드]]/INDEX(아이템가격[Rare],MATCH("Gold",아이템가격[재화],0))+1</x:f>
        <x:v>7</x:v>
      </x:c>
      <x:c r="J12">
        <x:f>IF(밸런스시트[[#This Row],[층]]=1,1,0)</x:f>
        <x:v>0</x:v>
      </x:c>
      <x:c r="K12">
        <x:f t="array" ref="K12:K12">밸런스시트[[#This Row],[레벨당 평균 적]]*밸런스시트[[#This Row],[방 개수]]*표10[적 개체당 드랍골드]</x:f>
        <x:v>300</x:v>
      </x:c>
      <x:c r="L12">
        <x:f t="array" ref="L12:L12">표14[적 기준 체력]+(표14[적 기준 체력]*표14[적 체력 상승량]*(밸런스시트[[#This Row],[층]]-1))</x:f>
        <x:v>200</x:v>
      </x:c>
      <x:c r="M12">
        <x:v>20</x:v>
      </x:c>
      <x:c r="N12">
        <x:v>5</x:v>
      </x:c>
      <x:c r="O12" t="e">
        <x:f t="array" ref="O12:O12">#REF!</x:f>
        <x:v>#REF!</x:v>
      </x:c>
      <x:c r="P12" t="e">
        <x:f>(밸런스시트[[#This Row],[레벨당 평균 적]]*밸런스시트[[#This Row],[방 개수]]*밸런스시트[[#This Row],[적 체력]])/밸런스시트[[#This Row],[PC 최대 DPS]]</x:f>
        <x:v>#REF!</x:v>
      </x:c>
    </x:row>
    <x:row r="13" spans="1:18">
      <x:c r="A13" s="17"/>
      <x:c r="B13" s="18" t="s">
        <x:v>376</x:v>
      </x:c>
      <x:c r="C13" s="17" t="s">
        <x:v>28</x:v>
      </x:c>
      <x:c r="D13" s="4" t="s">
        <x:v>39</x:v>
      </x:c>
      <x:c r="E13" s="4">
        <x:f>30/0.46</x:f>
        <x:v>65.217391304347828</x:v>
      </x:c>
      <x:c r="R13" s="2" t="s">
        <x:v>122</x:v>
      </x:c>
    </x:row>
    <x:row r="14" spans="1:19">
      <x:c r="A14" s="17"/>
      <x:c r="B14" s="18" t="s">
        <x:v>23</x:v>
      </x:c>
      <x:c r="C14" s="17" t="s">
        <x:v>28</x:v>
      </x:c>
      <x:c r="D14" s="4" t="s">
        <x:v>41</x:v>
      </x:c>
      <x:c r="E14" s="4">
        <x:f>50/360</x:f>
        <x:v>0.1388888888888889</x:v>
      </x:c>
      <x:c r="R14" t="s">
        <x:v>124</x:v>
      </x:c>
      <x:c r="S14" t="s">
        <x:v>343</x:v>
      </x:c>
    </x:row>
    <x:row r="15" spans="1:19">
      <x:c r="A15" s="17"/>
      <x:c r="B15" s="17" t="s">
        <x:v>259</x:v>
      </x:c>
      <x:c r="C15" s="17" t="s">
        <x:v>28</x:v>
      </x:c>
      <x:c r="D15" t="s">
        <x:v>273</x:v>
      </x:c>
      <x:c r="E15" s="4">
        <x:f>30/-0.45</x:f>
        <x:v>-66.666666666666671</x:v>
      </x:c>
      <x:c r="J15">
        <x:f>1.5-(1.5*0.75)</x:f>
        <x:v>0.375</x:v>
      </x:c>
      <x:c r="R15">
        <x:v>100</x:v>
      </x:c>
      <x:c r="S15">
        <x:v>0.20000000000000001</x:v>
      </x:c>
    </x:row>
    <x:row r="16" spans="1:5">
      <x:c r="A16" s="17"/>
      <x:c r="B16" s="18" t="s">
        <x:v>227</x:v>
      </x:c>
      <x:c r="C16" s="17" t="s">
        <x:v>28</x:v>
      </x:c>
      <x:c r="D16" s="4" t="s">
        <x:v>286</x:v>
      </x:c>
      <x:c r="E16" s="16">
        <x:v>40</x:v>
      </x:c>
    </x:row>
    <x:row r="17" spans="1:5">
      <x:c r="A17" s="17"/>
      <x:c r="B17" s="18" t="s">
        <x:v>377</x:v>
      </x:c>
      <x:c r="C17" s="17" t="s">
        <x:v>28</x:v>
      </x:c>
      <x:c r="D17" s="4" t="s">
        <x:v>154</x:v>
      </x:c>
      <x:c r="E17" s="4">
        <x:f>50/0.3</x:f>
        <x:v>166.66666666666669</x:v>
      </x:c>
    </x:row>
    <x:row r="18" spans="1:5">
      <x:c r="A18" s="17"/>
      <x:c r="B18" s="18" t="s">
        <x:v>421</x:v>
      </x:c>
      <x:c r="C18" s="17" t="s">
        <x:v>28</x:v>
      </x:c>
      <x:c r="D18" s="4" t="s">
        <x:v>389</x:v>
      </x:c>
      <x:c r="E18" s="19">
        <x:f>30/-0.2</x:f>
        <x:v>-150</x:v>
      </x:c>
    </x:row>
    <x:row r="19" spans="1:5">
      <x:c r="A19" s="17"/>
      <x:c r="B19" s="18" t="s">
        <x:v>249</x:v>
      </x:c>
      <x:c r="C19" s="17" t="s">
        <x:v>28</x:v>
      </x:c>
      <x:c r="D19" s="4" t="s">
        <x:v>272</x:v>
      </x:c>
      <x:c r="E19" s="4">
        <x:f>50/100</x:f>
        <x:v>0.5</x:v>
      </x:c>
    </x:row>
    <x:row r="20" spans="1:5">
      <x:c r="A20" s="17"/>
      <x:c r="B20" s="18" t="s">
        <x:v>283</x:v>
      </x:c>
      <x:c r="C20" s="17" t="s">
        <x:v>28</x:v>
      </x:c>
      <x:c r="D20" s="4" t="s">
        <x:v>275</x:v>
      </x:c>
      <x:c r="E20" s="4">
        <x:f>50/100</x:f>
        <x:v>0.5</x:v>
      </x:c>
    </x:row>
    <x:row r="21" spans="1:5">
      <x:c r="A21" s="17"/>
      <x:c r="B21" s="18" t="s">
        <x:v>30</x:v>
      </x:c>
      <x:c r="C21" s="17" t="s">
        <x:v>28</x:v>
      </x:c>
      <x:c r="D21" s="4" t="s">
        <x:v>301</x:v>
      </x:c>
      <x:c r="E21" s="4">
        <x:f>30/1/2</x:f>
        <x:v>15</x:v>
      </x:c>
    </x:row>
    <x:row r="22" spans="1:5">
      <x:c r="A22" s="17"/>
      <x:c r="B22" s="18" t="s">
        <x:v>36</x:v>
      </x:c>
      <x:c r="C22" s="17" t="s">
        <x:v>28</x:v>
      </x:c>
      <x:c r="D22" s="4" t="s">
        <x:v>293</x:v>
      </x:c>
      <x:c r="E22" s="4">
        <x:f>30/1/2</x:f>
        <x:v>15</x:v>
      </x:c>
    </x:row>
    <x:row r="23" spans="1:5">
      <x:c r="A23" s="17"/>
      <x:c r="B23" s="18" t="s">
        <x:v>263</x:v>
      </x:c>
      <x:c r="C23" s="17" t="s">
        <x:v>28</x:v>
      </x:c>
      <x:c r="D23" s="4" t="s">
        <x:v>385</x:v>
      </x:c>
      <x:c r="E23" s="4">
        <x:f>50/25</x:f>
        <x:v>2</x:v>
      </x:c>
    </x:row>
    <x:row r="24" spans="1:5">
      <x:c r="A24" s="17"/>
      <x:c r="B24" s="18" t="s">
        <x:v>271</x:v>
      </x:c>
      <x:c r="C24" s="17" t="s">
        <x:v>28</x:v>
      </x:c>
      <x:c r="D24" s="4" t="s">
        <x:v>386</x:v>
      </x:c>
      <x:c r="E24" s="4">
        <x:f>50/25</x:f>
        <x:v>2</x:v>
      </x:c>
    </x:row>
    <x:row r="25" spans="1:5">
      <x:c r="A25" s="17"/>
      <x:c r="B25" s="18" t="s">
        <x:v>292</x:v>
      </x:c>
      <x:c r="C25" s="17" t="s">
        <x:v>28</x:v>
      </x:c>
      <x:c r="D25" s="4" t="s">
        <x:v>426</x:v>
      </x:c>
      <x:c r="E25" s="4">
        <x:v>2</x:v>
      </x:c>
    </x:row>
    <x:row r="26" spans="1:5">
      <x:c r="A26" s="17"/>
      <x:c r="B26" s="18" t="s">
        <x:v>315</x:v>
      </x:c>
      <x:c r="C26" s="17" t="s">
        <x:v>28</x:v>
      </x:c>
      <x:c r="D26" s="4" t="s">
        <x:v>427</x:v>
      </x:c>
      <x:c r="E26" s="4">
        <x:v>2</x:v>
      </x:c>
    </x:row>
    <x:row r="27" spans="1:5">
      <x:c r="A27" s="17"/>
      <x:c r="B27" s="18" t="s">
        <x:v>233</x:v>
      </x:c>
      <x:c r="C27" s="18" t="s">
        <x:v>67</x:v>
      </x:c>
      <x:c r="D27" s="18" t="s">
        <x:v>31</x:v>
      </x:c>
      <x:c r="E27" s="4">
        <x:v>-50</x:v>
      </x:c>
    </x:row>
    <x:row r="28" spans="1:5">
      <x:c r="A28" s="17"/>
      <x:c r="B28" s="18" t="s">
        <x:v>162</x:v>
      </x:c>
      <x:c r="C28" s="18" t="s">
        <x:v>67</x:v>
      </x:c>
      <x:c r="D28" s="18" t="s">
        <x:v>29</x:v>
      </x:c>
      <x:c r="E28" s="4">
        <x:v>-30</x:v>
      </x:c>
    </x:row>
    <x:row r="29" spans="1:5">
      <x:c r="A29" s="17"/>
      <x:c r="B29" s="18" t="s">
        <x:v>332</x:v>
      </x:c>
      <x:c r="C29" s="18" t="s">
        <x:v>67</x:v>
      </x:c>
      <x:c r="D29" s="18" t="s">
        <x:v>27</x:v>
      </x:c>
      <x:c r="E29" s="4">
        <x:v>50</x:v>
      </x:c>
    </x:row>
    <x:row r="30" spans="1:5">
      <x:c r="A30" s="17"/>
      <x:c r="B30" s="18" t="s">
        <x:v>59</x:v>
      </x:c>
      <x:c r="C30" s="18" t="s">
        <x:v>67</x:v>
      </x:c>
      <x:c r="D30" s="18" t="s">
        <x:v>464</x:v>
      </x:c>
      <x:c r="E30" s="4">
        <x:v>50</x:v>
      </x:c>
    </x:row>
    <x:row r="31" spans="1:5">
      <x:c r="A31" s="17"/>
      <x:c r="B31" s="18" t="s">
        <x:v>328</x:v>
      </x:c>
      <x:c r="C31" s="18" t="s">
        <x:v>67</x:v>
      </x:c>
      <x:c r="D31" s="18" t="s">
        <x:v>220</x:v>
      </x:c>
      <x:c r="E31" s="4">
        <x:v>50</x:v>
      </x:c>
    </x:row>
    <x:row r="32" spans="1:5">
      <x:c r="A32" s="17"/>
      <x:c r="B32" s="18" t="s">
        <x:v>232</x:v>
      </x:c>
      <x:c r="C32" s="18" t="s">
        <x:v>67</x:v>
      </x:c>
      <x:c r="D32" s="18" t="s">
        <x:v>266</x:v>
      </x:c>
      <x:c r="E32" s="4">
        <x:v>50</x:v>
      </x:c>
    </x:row>
  </x:sheetData>
  <x:mergeCells count="1">
    <x:mergeCell ref="B1:F3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legacyDrawing r:id="rId1"/>
  <x:tableParts count="5">
    <x:tablePart r:id="rId2"/>
    <x:tablePart r:id="rId3"/>
    <x:tablePart r:id="rId4"/>
    <x:tablePart r:id="rId5"/>
    <x:tablePart r:id="rId6"/>
  </x:tableParts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>
    <x:tabColor rgb="ffffc000"/>
  </x:sheetPr>
  <x:dimension ref="A1:D10"/>
  <x:sheetViews>
    <x:sheetView topLeftCell="A1" zoomScaleNormal="75" zoomScaleSheetLayoutView="100" workbookViewId="0">
      <x:selection activeCell="C13" activeCellId="0" sqref="C13:C13"/>
    </x:sheetView>
  </x:sheetViews>
  <x:sheetFormatPr defaultColWidth="8.875" defaultRowHeight="16.39999999999999857891"/>
  <x:cols>
    <x:col min="1" max="1" width="8.625" bestFit="1" customWidth="1"/>
    <x:col min="2" max="2" width="30.125" bestFit="1" customWidth="1"/>
    <x:col min="4" max="4" width="73.625" customWidth="1"/>
  </x:cols>
  <x:sheetData>
    <x:row r="1" spans="1:4">
      <x:c r="A1" t="s">
        <x:v>110</x:v>
      </x:c>
      <x:c r="B1" t="s">
        <x:v>58</x:v>
      </x:c>
      <x:c r="C1" t="s">
        <x:v>111</x:v>
      </x:c>
      <x:c r="D1" t="s">
        <x:v>58</x:v>
      </x:c>
    </x:row>
    <x:row r="2" spans="1:4">
      <x:c r="A2" t="s">
        <x:v>86</x:v>
      </x:c>
      <x:c r="B2" s="8" t="s">
        <x:v>130</x:v>
      </x:c>
      <x:c r="C2" t="s">
        <x:v>82</x:v>
      </x:c>
      <x:c r="D2" s="8" t="s">
        <x:v>52</x:v>
      </x:c>
    </x:row>
    <x:row r="3" spans="1:4">
      <x:c r="A3">
        <x:v>1</x:v>
      </x:c>
      <x:c r="B3" s="6" t="s">
        <x:v>222</x:v>
      </x:c>
      <x:c r="C3">
        <x:v>5</x:v>
      </x:c>
      <x:c r="D3" s="6" t="s">
        <x:v>246</x:v>
      </x:c>
    </x:row>
    <x:row r="4" spans="1:4">
      <x:c r="A4">
        <x:v>2</x:v>
      </x:c>
      <x:c r="B4" s="6" t="s">
        <x:v>290</x:v>
      </x:c>
      <x:c r="C4">
        <x:v>5</x:v>
      </x:c>
      <x:c r="D4" s="6" t="s">
        <x:v>221</x:v>
      </x:c>
    </x:row>
    <x:row r="5" spans="1:4">
      <x:c r="A5">
        <x:v>3</x:v>
      </x:c>
      <x:c r="B5" s="6" t="s">
        <x:v>316</x:v>
      </x:c>
      <x:c r="C5">
        <x:v>20</x:v>
      </x:c>
      <x:c r="D5" s="6" t="s">
        <x:v>12</x:v>
      </x:c>
    </x:row>
    <x:row r="6" spans="1:4">
      <x:c r="A6">
        <x:v>4</x:v>
      </x:c>
      <x:c r="B6" s="6" t="s">
        <x:v>318</x:v>
      </x:c>
      <x:c r="C6">
        <x:v>0.5</x:v>
      </x:c>
      <x:c r="D6" s="6" t="s">
        <x:v>237</x:v>
      </x:c>
    </x:row>
    <x:row r="7" spans="1:4">
      <x:c r="A7">
        <x:v>5</x:v>
      </x:c>
      <x:c r="B7" s="6" t="s">
        <x:v>380</x:v>
      </x:c>
      <x:c r="C7">
        <x:v>50</x:v>
      </x:c>
      <x:c r="D7" s="6" t="s">
        <x:v>462</x:v>
      </x:c>
    </x:row>
    <x:row r="8" spans="1:4">
      <x:c r="A8">
        <x:v>6</x:v>
      </x:c>
      <x:c r="B8" s="6" t="s">
        <x:v>384</x:v>
      </x:c>
      <x:c r="C8">
        <x:v>1</x:v>
      </x:c>
      <x:c r="D8" s="6" t="s">
        <x:v>205</x:v>
      </x:c>
    </x:row>
    <x:row r="9" spans="1:4">
      <x:c r="A9">
        <x:v>7</x:v>
      </x:c>
      <x:c r="B9" s="6" t="s">
        <x:v>459</x:v>
      </x:c>
      <x:c r="C9">
        <x:v>10</x:v>
      </x:c>
      <x:c r="D9" s="6" t="s">
        <x:v>456</x:v>
      </x:c>
    </x:row>
    <x:row r="10" spans="1:4">
      <x:c r="A10">
        <x:v>8</x:v>
      </x:c>
      <x:c r="B10" s="6" t="s">
        <x:v>33</x:v>
      </x:c>
      <x:c r="C10">
        <x:v>5</x:v>
      </x:c>
      <x:c r="D10" s="6" t="s">
        <x:v>201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>
    <x:tabColor rgb="fffbe5d7"/>
  </x:sheetPr>
  <x:dimension ref="B1:P3"/>
  <x:sheetViews>
    <x:sheetView topLeftCell="D1" zoomScaleNormal="75" zoomScaleSheetLayoutView="100" workbookViewId="0">
      <x:selection activeCell="D3" activeCellId="0" sqref="D3:D3"/>
    </x:sheetView>
  </x:sheetViews>
  <x:sheetFormatPr defaultColWidth="8.875" defaultRowHeight="16.39999999999999857891"/>
  <x:cols>
    <x:col min="2" max="2" width="8.625" bestFit="1" customWidth="1"/>
    <x:col min="3" max="3" width="8.625" customWidth="1"/>
    <x:col min="4" max="4" width="10.125" bestFit="1" customWidth="1"/>
    <x:col min="5" max="5" width="15.875" bestFit="1" customWidth="1"/>
    <x:col min="6" max="6" width="17" bestFit="1" customWidth="1"/>
    <x:col min="7" max="7" width="23.875" bestFit="1" customWidth="1"/>
    <x:col min="8" max="8" width="22.875" bestFit="1" customWidth="1"/>
    <x:col min="9" max="9" width="19" bestFit="1" customWidth="1"/>
    <x:col min="10" max="10" width="23.375" bestFit="1" customWidth="1"/>
    <x:col min="11" max="12" width="23.375" customWidth="1"/>
    <x:col min="13" max="13" width="15.125" bestFit="1" customWidth="1"/>
    <x:col min="14" max="14" width="15.625" bestFit="1" customWidth="1"/>
    <x:col min="15" max="15" width="11.875" bestFit="1" customWidth="1"/>
    <x:col min="16" max="16" width="20.125" bestFit="1" customWidth="1"/>
  </x:cols>
  <x:sheetData>
    <x:row r="1" spans="2:16">
      <x:c r="B1" t="s">
        <x:v>55</x:v>
      </x:c>
      <x:c r="C1" t="s">
        <x:v>58</x:v>
      </x:c>
      <x:c r="D1" t="s">
        <x:v>55</x:v>
      </x:c>
      <x:c r="E1" t="s">
        <x:v>111</x:v>
      </x:c>
      <x:c r="F1" t="s">
        <x:v>111</x:v>
      </x:c>
      <x:c r="G1" t="s">
        <x:v>111</x:v>
      </x:c>
      <x:c r="H1" t="s">
        <x:v>111</x:v>
      </x:c>
      <x:c r="I1" t="s">
        <x:v>111</x:v>
      </x:c>
      <x:c r="J1" t="s">
        <x:v>111</x:v>
      </x:c>
      <x:c r="K1" t="s">
        <x:v>177</x:v>
      </x:c>
      <x:c r="L1" t="s">
        <x:v>177</x:v>
      </x:c>
      <x:c r="M1" t="s">
        <x:v>55</x:v>
      </x:c>
      <x:c r="N1" t="s">
        <x:v>55</x:v>
      </x:c>
      <x:c r="O1" t="s">
        <x:v>55</x:v>
      </x:c>
      <x:c r="P1" t="s">
        <x:v>55</x:v>
      </x:c>
    </x:row>
    <x:row r="2" spans="2:16">
      <x:c r="B2" t="s">
        <x:v>86</x:v>
      </x:c>
      <x:c r="C2" s="8" t="s">
        <x:v>52</x:v>
      </x:c>
      <x:c r="D2" t="s">
        <x:v>174</x:v>
      </x:c>
      <x:c r="E2" t="s">
        <x:v>341</x:v>
      </x:c>
      <x:c r="F2" t="s">
        <x:v>6</x:v>
      </x:c>
      <x:c r="G2" t="s">
        <x:v>35</x:v>
      </x:c>
      <x:c r="H2" t="s">
        <x:v>20</x:v>
      </x:c>
      <x:c r="I2" t="s">
        <x:v>238</x:v>
      </x:c>
      <x:c r="J2" t="s">
        <x:v>18</x:v>
      </x:c>
      <x:c r="K2" t="s">
        <x:v>34</x:v>
      </x:c>
      <x:c r="L2" t="s">
        <x:v>269</x:v>
      </x:c>
      <x:c r="M2" t="s">
        <x:v>337</x:v>
      </x:c>
      <x:c r="N2" t="s">
        <x:v>235</x:v>
      </x:c>
      <x:c r="O2" t="s">
        <x:v>331</x:v>
      </x:c>
      <x:c r="P2" t="s">
        <x:v>24</x:v>
      </x:c>
    </x:row>
    <x:row r="3" spans="2:16">
      <x:c r="B3">
        <x:v>100</x:v>
      </x:c>
      <x:c r="C3" s="6" t="s">
        <x:v>47</x:v>
      </x:c>
      <x:c r="D3">
        <x:v>75</x:v>
      </x:c>
      <x:c r="E3">
        <x:v>5</x:v>
      </x:c>
      <x:c r="F3">
        <x:v>6</x:v>
      </x:c>
      <x:c r="G3">
        <x:v>5</x:v>
      </x:c>
      <x:c r="H3">
        <x:v>1.5</x:v>
      </x:c>
      <x:c r="I3">
        <x:v>1</x:v>
      </x:c>
      <x:c r="J3">
        <x:v>0.29999999999999999</x:v>
      </x:c>
      <x:c r="K3">
        <x:v>0.29999999999999999</x:v>
      </x:c>
      <x:c r="L3">
        <x:v>12</x:v>
      </x:c>
      <x:c r="M3">
        <x:v>10</x:v>
      </x:c>
      <x:c r="N3">
        <x:v>0</x:v>
      </x:c>
      <x:c r="O3">
        <x:v>1</x:v>
      </x:c>
      <x:c r="P3">
        <x:v>200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>
    <x:tabColor rgb="fffbe5d7"/>
  </x:sheetPr>
  <x:dimension ref="B1:AE3"/>
  <x:sheetViews>
    <x:sheetView tabSelected="1" topLeftCell="Q1" zoomScaleNormal="75" zoomScaleSheetLayoutView="100" workbookViewId="0">
      <x:selection activeCell="X11" activeCellId="0" sqref="X11:X11"/>
    </x:sheetView>
  </x:sheetViews>
  <x:sheetFormatPr defaultColWidth="8.875" defaultRowHeight="16.39999999999999857891"/>
  <x:cols>
    <x:col min="2" max="2" width="8.625" bestFit="1" customWidth="1"/>
    <x:col min="3" max="3" width="16" bestFit="1" customWidth="1"/>
    <x:col min="4" max="4" width="18.875" bestFit="1" customWidth="1"/>
    <x:col min="5" max="5" width="19.625" bestFit="1" customWidth="1"/>
    <x:col min="6" max="6" width="12.625" bestFit="1" customWidth="1"/>
    <x:col min="7" max="7" width="22.125" bestFit="1" customWidth="1"/>
    <x:col min="8" max="8" width="18.5" bestFit="1" customWidth="1"/>
    <x:col min="9" max="9" width="19.125" bestFit="1" customWidth="1"/>
    <x:col min="10" max="10" width="12.375" bestFit="1" customWidth="1"/>
    <x:col min="11" max="11" width="21.375" bestFit="1" customWidth="1"/>
    <x:col min="12" max="12" width="16.875" bestFit="1" customWidth="1"/>
    <x:col min="13" max="13" width="19" bestFit="1" customWidth="1"/>
    <x:col min="14" max="15" width="20.125" bestFit="1" customWidth="1"/>
    <x:col min="16" max="17" width="25.125" bestFit="1" customWidth="1"/>
    <x:col min="18" max="18" width="25.125" customWidth="1"/>
    <x:col min="19" max="20" width="20.625" bestFit="1" customWidth="1"/>
    <x:col min="21" max="22" width="24.625" bestFit="1" customWidth="1"/>
    <x:col min="23" max="23" width="14.125" bestFit="1" customWidth="1"/>
    <x:col min="24" max="24" width="28.875" bestFit="1" customWidth="1"/>
    <x:col min="25" max="25" width="17" customWidth="1"/>
    <x:col min="26" max="26" width="26.625" bestFit="1" customWidth="1"/>
    <x:col min="27" max="27" width="25" bestFit="1" customWidth="1"/>
    <x:col min="28" max="29" width="26.125" bestFit="1" customWidth="1"/>
    <x:col min="30" max="30" width="26" bestFit="1" customWidth="1"/>
    <x:col min="31" max="31" width="27.125" bestFit="1" customWidth="1"/>
  </x:cols>
  <x:sheetData>
    <x:row r="1" spans="2:30">
      <x:c r="B1" t="s">
        <x:v>55</x:v>
      </x:c>
      <x:c r="C1" t="s">
        <x:v>58</x:v>
      </x:c>
      <x:c r="D1" t="s">
        <x:v>111</x:v>
      </x:c>
      <x:c r="E1" t="s">
        <x:v>111</x:v>
      </x:c>
      <x:c r="F1" t="s">
        <x:v>111</x:v>
      </x:c>
      <x:c r="G1" t="s">
        <x:v>111</x:v>
      </x:c>
      <x:c r="H1" t="s">
        <x:v>111</x:v>
      </x:c>
      <x:c r="I1" t="s">
        <x:v>111</x:v>
      </x:c>
      <x:c r="J1" t="s">
        <x:v>111</x:v>
      </x:c>
      <x:c r="K1" t="s">
        <x:v>55</x:v>
      </x:c>
      <x:c r="L1" t="s">
        <x:v>111</x:v>
      </x:c>
      <x:c r="M1" t="s">
        <x:v>55</x:v>
      </x:c>
      <x:c r="N1" t="s">
        <x:v>55</x:v>
      </x:c>
      <x:c r="O1" t="s">
        <x:v>55</x:v>
      </x:c>
      <x:c r="P1" t="s">
        <x:v>55</x:v>
      </x:c>
      <x:c r="Q1" t="s">
        <x:v>55</x:v>
      </x:c>
      <x:c r="R1" t="s">
        <x:v>55</x:v>
      </x:c>
      <x:c r="S1" t="s">
        <x:v>55</x:v>
      </x:c>
      <x:c r="T1" t="s">
        <x:v>55</x:v>
      </x:c>
      <x:c r="U1" t="s">
        <x:v>55</x:v>
      </x:c>
      <x:c r="V1" t="s">
        <x:v>55</x:v>
      </x:c>
      <x:c r="W1" t="s">
        <x:v>55</x:v>
      </x:c>
      <x:c r="AD1" s="16" t="s">
        <x:v>202</x:v>
      </x:c>
    </x:row>
    <x:row r="2" spans="2:31">
      <x:c r="B2" t="s">
        <x:v>86</x:v>
      </x:c>
      <x:c r="C2" s="8" t="s">
        <x:v>52</x:v>
      </x:c>
      <x:c r="D2" s="11" t="s">
        <x:v>243</x:v>
      </x:c>
      <x:c r="E2" s="10" t="s">
        <x:v>250</x:v>
      </x:c>
      <x:c r="F2" s="10" t="s">
        <x:v>379</x:v>
      </x:c>
      <x:c r="G2" s="11" t="s">
        <x:v>26</x:v>
      </x:c>
      <x:c r="H2" s="12" t="s">
        <x:v>259</x:v>
      </x:c>
      <x:c r="I2" s="12" t="s">
        <x:v>262</x:v>
      </x:c>
      <x:c r="J2" s="12" t="s">
        <x:v>376</x:v>
      </x:c>
      <x:c r="K2" s="12" t="s">
        <x:v>23</x:v>
      </x:c>
      <x:c r="L2" s="12" t="s">
        <x:v>421</x:v>
      </x:c>
      <x:c r="M2" s="12" t="s">
        <x:v>227</x:v>
      </x:c>
      <x:c r="N2" s="12" t="s">
        <x:v>249</x:v>
      </x:c>
      <x:c r="O2" s="12" t="s">
        <x:v>283</x:v>
      </x:c>
      <x:c r="P2" s="12" t="s">
        <x:v>30</x:v>
      </x:c>
      <x:c r="Q2" s="12" t="s">
        <x:v>36</x:v>
      </x:c>
      <x:c r="R2" s="12" t="s">
        <x:v>37</x:v>
      </x:c>
      <x:c r="S2" s="13" t="s">
        <x:v>263</x:v>
      </x:c>
      <x:c r="T2" s="13" t="s">
        <x:v>271</x:v>
      </x:c>
      <x:c r="U2" s="13" t="s">
        <x:v>292</x:v>
      </x:c>
      <x:c r="V2" s="13" t="s">
        <x:v>315</x:v>
      </x:c>
      <x:c r="W2" s="1" t="s">
        <x:v>377</x:v>
      </x:c>
      <x:c r="X2" s="1" t="s">
        <x:v>467</x:v>
      </x:c>
      <x:c r="Y2" s="8" t="s">
        <x:v>393</x:v>
      </x:c>
      <x:c r="Z2" s="8" t="s">
        <x:v>264</x:v>
      </x:c>
      <x:c r="AA2" s="8" t="s">
        <x:v>289</x:v>
      </x:c>
      <x:c r="AB2" s="8" t="s">
        <x:v>267</x:v>
      </x:c>
      <x:c r="AC2" s="8" t="s">
        <x:v>288</x:v>
      </x:c>
      <x:c r="AD2" s="8" t="s">
        <x:v>279</x:v>
      </x:c>
      <x:c r="AE2" s="8" t="s">
        <x:v>32</x:v>
      </x:c>
    </x:row>
    <x:row r="3" spans="2:31">
      <x:c r="B3">
        <x:v>200</x:v>
      </x:c>
      <x:c r="C3" s="6" t="s">
        <x:v>350</x:v>
      </x:c>
      <x:c r="D3">
        <x:v>1</x:v>
      </x:c>
      <x:c r="E3">
        <x:v>1.2</x:v>
      </x:c>
      <x:c r="F3">
        <x:v>3</x:v>
      </x:c>
      <x:c r="G3">
        <x:v>2</x:v>
      </x:c>
      <x:c r="H3">
        <x:v>1.5</x:v>
      </x:c>
      <x:c r="I3">
        <x:v>0.5</x:v>
      </x:c>
      <x:c r="J3">
        <x:v>2.2999999999999998</x:v>
      </x:c>
      <x:c r="K3">
        <x:v>120</x:v>
      </x:c>
      <x:c r="L3">
        <x:v>1</x:v>
      </x:c>
      <x:c r="M3">
        <x:v>0</x:v>
      </x:c>
      <x:c r="N3">
        <x:v>20</x:v>
      </x:c>
      <x:c r="O3">
        <x:v>25</x:v>
      </x:c>
      <x:c r="P3">
        <x:v>1</x:v>
      </x:c>
      <x:c r="Q3">
        <x:v>3</x:v>
      </x:c>
      <x:c r="R3">
        <x:v>0</x:v>
      </x:c>
      <x:c r="S3">
        <x:v>15</x:v>
      </x:c>
      <x:c r="T3">
        <x:v>30</x:v>
      </x:c>
      <x:c r="U3">
        <x:v>50</x:v>
      </x:c>
      <x:c r="V3">
        <x:v>100</x:v>
      </x:c>
      <x:c r="W3">
        <x:v>1</x:v>
      </x:c>
      <x:c r="X3">
        <x:v>7</x:v>
      </x:c>
      <x:c r="Y3">
        <x:f>INDEX(ProjectileTable[DirectDmg],MATCH(CharacterTable[[#This Row],[DefaultBallDataId]],ProjectileTable[Index],0))/(CharacterAtkTable[[#This Row],[ThrowCooldown]]*(1+(CharacterAtkTable[[#This Row],[ThrowBounceCount]]/2)))</x:f>
        <x:v>12.5</x:v>
      </x:c>
      <x:c r="Z3">
        <x:f>CharacterAtkTable[[#This Row],[ChargeRigidDmg1]]/CharacterAtkTable[[#This Row],[SwingCooldown]]</x:f>
        <x:v>10</x:v>
      </x:c>
      <x:c r="AA3">
        <x:f>CharacterAtkTable[[#This Row],[ChargeRigidDmg2]]/(CharacterAtkTable[[#This Row],[SwingCooldown]]+CharacterAtkTable[[#This Row],[ChargeTime]])</x:f>
        <x:v>12</x:v>
      </x:c>
      <x:c r="AB3" t="e">
        <x:f>#REF!/(CharacterAtkTable[[#This Row],[SwingCooldown]]+#REF!)</x:f>
        <x:v>#REF!</x:v>
      </x:c>
      <x:c r="AC3" t="e">
        <x:f>#REF!/(CharacterAtkTable[[#This Row],[SwingCooldown]]+#REF!)</x:f>
        <x:v>#REF!</x:v>
      </x:c>
      <x:c r="AD3">
        <x: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x:f>
        <x:v>51.799999999999997</x:v>
      </x:c>
      <x:c r="AE3">
        <x: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x:f>
        <x:v>84.459459459459453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8">
    <x:tabColor rgb="fffff2cc"/>
  </x:sheetPr>
  <x:dimension ref="A1:S4"/>
  <x:sheetViews>
    <x:sheetView topLeftCell="A1" zoomScaleNormal="75" zoomScaleSheetLayoutView="100" workbookViewId="0">
      <x:selection activeCell="A12" activeCellId="0" sqref="A12:A12"/>
    </x:sheetView>
  </x:sheetViews>
  <x:sheetFormatPr defaultColWidth="8.875" defaultRowHeight="16.39999999999999857891"/>
  <x:cols>
    <x:col min="2" max="2" width="8.5" bestFit="1" customWidth="1"/>
    <x:col min="3" max="3" width="12.875" bestFit="1" customWidth="1"/>
    <x:col min="4" max="4" width="18.125" bestFit="1" customWidth="1"/>
    <x:col min="5" max="5" width="16.875" bestFit="1" customWidth="1"/>
    <x:col min="6" max="6" width="15.125" bestFit="1" customWidth="1"/>
    <x:col min="7" max="7" width="23.5" bestFit="1" customWidth="1"/>
    <x:col min="8" max="8" width="14.125" bestFit="1" customWidth="1"/>
    <x:col min="9" max="9" width="17.375" bestFit="1" customWidth="1"/>
    <x:col min="10" max="10" width="19" bestFit="1" customWidth="1"/>
    <x:col min="11" max="11" width="14.125" bestFit="1" customWidth="1"/>
    <x:col min="12" max="12" width="16.125" bestFit="1" customWidth="1"/>
    <x:col min="13" max="13" width="17.625" bestFit="1" customWidth="1"/>
    <x:col min="14" max="14" width="15.625" bestFit="1" customWidth="1"/>
    <x:col min="15" max="15" width="17.125" bestFit="1" customWidth="1"/>
    <x:col min="16" max="17" width="17.875" bestFit="1" customWidth="1"/>
    <x:col min="18" max="18" width="15.625" bestFit="1" customWidth="1"/>
    <x:col min="19" max="19" width="17.125" bestFit="1" customWidth="1"/>
  </x:cols>
  <x:sheetData>
    <x:row r="1" spans="2:19">
      <x:c r="B1" t="s">
        <x:v>55</x:v>
      </x:c>
      <x:c r="C1" s="4" t="s">
        <x:v>58</x:v>
      </x:c>
      <x:c r="D1" t="s">
        <x:v>55</x:v>
      </x:c>
      <x:c r="E1" t="s">
        <x:v>111</x:v>
      </x:c>
      <x:c r="F1" t="s">
        <x:v>111</x:v>
      </x:c>
      <x:c r="G1" t="s">
        <x:v>111</x:v>
      </x:c>
      <x:c r="H1" t="s">
        <x:v>55</x:v>
      </x:c>
      <x:c r="I1" t="s">
        <x:v>55</x:v>
      </x:c>
      <x:c r="J1" t="s">
        <x:v>55</x:v>
      </x:c>
      <x:c r="K1" t="s">
        <x:v>55</x:v>
      </x:c>
      <x:c r="L1" t="s">
        <x:v>55</x:v>
      </x:c>
      <x:c r="M1" t="s">
        <x:v>55</x:v>
      </x:c>
      <x:c r="N1" t="s">
        <x:v>58</x:v>
      </x:c>
      <x:c r="O1" t="s">
        <x:v>58</x:v>
      </x:c>
      <x:c r="P1" t="s">
        <x:v>58</x:v>
      </x:c>
      <x:c r="Q1" t="s">
        <x:v>58</x:v>
      </x:c>
      <x:c r="R1" t="s">
        <x:v>58</x:v>
      </x:c>
      <x:c r="S1" t="s">
        <x:v>58</x:v>
      </x:c>
    </x:row>
    <x:row r="2" spans="2:19">
      <x:c r="B2" t="s">
        <x:v>86</x:v>
      </x:c>
      <x:c r="C2" s="8" t="s">
        <x:v>70</x:v>
      </x:c>
      <x:c r="D2" t="s">
        <x:v>255</x:v>
      </x:c>
      <x:c r="E2" t="s">
        <x:v>245</x:v>
      </x:c>
      <x:c r="F2" t="s">
        <x:v>342</x:v>
      </x:c>
      <x:c r="G2" t="s">
        <x:v>21</x:v>
      </x:c>
      <x:c r="H2" t="s">
        <x:v>365</x:v>
      </x:c>
      <x:c r="I2" t="s">
        <x:v>253</x:v>
      </x:c>
      <x:c r="J2" t="s">
        <x:v>251</x:v>
      </x:c>
      <x:c r="K2" t="s">
        <x:v>346</x:v>
      </x:c>
      <x:c r="L2" t="s">
        <x:v>247</x:v>
      </x:c>
      <x:c r="M2" t="s">
        <x:v>254</x:v>
      </x:c>
      <x:c r="N2" s="8" t="s">
        <x:v>147</x:v>
      </x:c>
      <x:c r="O2" s="8" t="s">
        <x:v>155</x:v>
      </x:c>
      <x:c r="P2" s="9" t="s">
        <x:v>156</x:v>
      </x:c>
      <x:c r="Q2" s="9" t="s">
        <x:v>157</x:v>
      </x:c>
      <x:c r="R2" s="9" t="s">
        <x:v>158</x:v>
      </x:c>
      <x:c r="S2" s="9" t="s">
        <x:v>150</x:v>
      </x:c>
    </x:row>
    <x:row r="3" spans="2:19">
      <x:c r="B3">
        <x:v>800</x:v>
      </x:c>
      <x:c r="C3" s="6" t="s">
        <x:v>125</x:v>
      </x:c>
      <x:c r="D3">
        <x:v>10</x:v>
      </x:c>
      <x:c r="E3">
        <x:v>0.90000000000000002</x:v>
      </x:c>
      <x:c r="F3">
        <x:v>0.10000000000000001</x:v>
      </x:c>
      <x:c r="G3">
        <x:v>1</x:v>
      </x:c>
      <x:c r="H3">
        <x:v>9000</x:v>
      </x:c>
      <x:c r="I3">
        <x:v>9001</x:v>
      </x:c>
      <x:c r="J3">
        <x:v>9002</x:v>
      </x:c>
      <x:c r="K3">
        <x:v>9003</x:v>
      </x:c>
      <x:c r="L3">
        <x:v>9004</x:v>
      </x:c>
      <x:c r="M3">
        <x:v>9005</x:v>
      </x:c>
      <x:c r="N3" s="6" t="str">
        <x:f>INDEX(DropTable['#메모],MATCH(ProductialTable[[#This Row],[ItemDropId]],DropTable[Index],0))</x:f>
        <x:v>1층_아이템보상</x:v>
      </x:c>
      <x:c r="O3" s="6" t="str">
        <x:f>INDEX(DropTable['#메모],MATCH(ProductialTable[[#This Row],[HpShopDropId]],DropTable[Index],0))</x:f>
        <x:v>1층_Hp상점_슬롯</x:v>
      </x:c>
      <x:c r="P3" s="6" t="str">
        <x:f>INDEX(DropTable['#메모],MATCH(ProductialTable[[#This Row],[GoldShopDropId]],DropTable[Index],0))</x:f>
        <x:v>1층_골드상점_슬롯</x:v>
      </x:c>
      <x:c r="Q3" s="6" t="str">
        <x:f>INDEX(DropTable['#메모],MATCH(ProductialTable[[#This Row],[BossDropId]],DropTable[Index],0))</x:f>
        <x:v>1층_선택지</x:v>
      </x:c>
      <x:c r="R3" s="6" t="str">
        <x:f>INDEX(DropTable['#메모],MATCH(ProductialTable[[#This Row],[ChoiceDropId]],DropTable[Index],0))</x:f>
        <x:v>1층_보스</x:v>
      </x:c>
      <x:c r="S3" s="6" t="str">
        <x:f>INDEX(DropTable['#메모],MATCH(ProductialTable[[#This Row],[WeaponDropId]],DropTable[Index],0))</x:f>
        <x:v>1층_시작무기선택</x:v>
      </x:c>
    </x:row>
    <x:row r="4" spans="1:19">
      <x:c r="A4" t="s">
        <x:v>58</x:v>
      </x:c>
      <x:c r="B4">
        <x:v>801</x:v>
      </x:c>
      <x:c r="C4" s="6" t="s">
        <x:v>121</x:v>
      </x:c>
      <x:c r="D4">
        <x:v>12</x:v>
      </x:c>
      <x:c r="E4">
        <x:v>0.10000000000000001</x:v>
      </x:c>
      <x:c r="F4">
        <x:v>0.90000000000000002</x:v>
      </x:c>
      <x:c r="G4">
        <x:v>1.2</x:v>
      </x:c>
      <x:c r="H4">
        <x:v>9100</x:v>
      </x:c>
      <x:c r="I4">
        <x:v>9101</x:v>
      </x:c>
      <x:c r="J4">
        <x:v>9102</x:v>
      </x:c>
      <x:c r="K4">
        <x:v>9103</x:v>
      </x:c>
      <x:c r="L4">
        <x:v>9104</x:v>
      </x:c>
      <x:c r="M4">
        <x:v>9105</x:v>
      </x:c>
      <x:c r="N4" s="6" t="str">
        <x:f>INDEX(DropTable['#메모],MATCH(ProductialTable[[#This Row],[ItemDropId]],DropTable[Index],0))</x:f>
        <x:v>2층_아이템보상</x:v>
      </x:c>
      <x:c r="O4" s="6" t="str">
        <x:f>INDEX(DropTable['#메모],MATCH(ProductialTable[[#This Row],[HpShopDropId]],DropTable[Index],0))</x:f>
        <x:v>2층_Hp상점_슬롯</x:v>
      </x:c>
      <x:c r="P4" s="6" t="str">
        <x:f>INDEX(DropTable['#메모],MATCH(ProductialTable[[#This Row],[GoldShopDropId]],DropTable[Index],0))</x:f>
        <x:v>2층_골드상점_슬롯</x:v>
      </x:c>
      <x:c r="Q4" s="6" t="str">
        <x:f>INDEX(DropTable['#메모],MATCH(ProductialTable[[#This Row],[BossDropId]],DropTable[Index],0))</x:f>
        <x:v>2층_선택지</x:v>
      </x:c>
      <x:c r="R4" s="6" t="str">
        <x:f>INDEX(DropTable['#메모],MATCH(ProductialTable[[#This Row],[ChoiceDropId]],DropTable[Index],0))</x:f>
        <x:v>2층_보스</x:v>
      </x:c>
      <x:c r="S4" s="6" t="str">
        <x:f>INDEX(DropTable['#메모],MATCH(ProductialTable[[#This Row],[WeaponDropId]],DropTable[Index],0))</x:f>
        <x:v>2층_시작무기선택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>
    <x:tabColor rgb="fffff2cc"/>
  </x:sheetPr>
  <x:dimension ref="A1:I14"/>
  <x:sheetViews>
    <x:sheetView topLeftCell="A1" zoomScaleNormal="75" zoomScaleSheetLayoutView="100" workbookViewId="0">
      <x:selection activeCell="C7" activeCellId="0" sqref="C7:C7"/>
    </x:sheetView>
  </x:sheetViews>
  <x:sheetFormatPr defaultColWidth="8.875" defaultRowHeight="16.39999999999999857891"/>
  <x:cols>
    <x:col min="3" max="3" width="19.125" customWidth="1"/>
    <x:col min="4" max="4" width="10.375" bestFit="1" customWidth="1"/>
    <x:col min="7" max="7" width="10.875" customWidth="1"/>
  </x:cols>
  <x:sheetData>
    <x:row r="1" spans="2:9">
      <x:c r="B1" t="s">
        <x:v>55</x:v>
      </x:c>
      <x:c r="C1" t="s">
        <x:v>58</x:v>
      </x:c>
      <x:c r="D1" t="s">
        <x:v>111</x:v>
      </x:c>
      <x:c r="E1" t="s">
        <x:v>111</x:v>
      </x:c>
      <x:c r="F1" t="s">
        <x:v>111</x:v>
      </x:c>
      <x:c r="G1" t="s">
        <x:v>111</x:v>
      </x:c>
      <x:c r="H1" t="s">
        <x:v>111</x:v>
      </x:c>
      <x:c r="I1" t="s">
        <x:v>111</x:v>
      </x:c>
    </x:row>
    <x:row r="2" spans="2:9">
      <x:c r="B2" t="s">
        <x:v>86</x:v>
      </x:c>
      <x:c r="C2" s="8" t="s">
        <x:v>50</x:v>
      </x:c>
      <x:c r="D2" t="s">
        <x:v>91</x:v>
      </x:c>
      <x:c r="E2" t="s">
        <x:v>92</x:v>
      </x:c>
      <x:c r="F2" t="s">
        <x:v>101</x:v>
      </x:c>
      <x:c r="G2" t="s">
        <x:v>94</x:v>
      </x:c>
      <x:c r="H2" t="s">
        <x:v>57</x:v>
      </x:c>
      <x:c r="I2" t="s">
        <x:v>104</x:v>
      </x:c>
    </x:row>
    <x:row r="3" spans="2:9">
      <x:c r="B3">
        <x:v>9000</x:v>
      </x:c>
      <x:c r="C3" s="6" t="s">
        <x:v>355</x:v>
      </x:c>
      <x:c r="D3">
        <x:v>4000</x:v>
      </x:c>
      <x:c r="E3">
        <x:v>1000</x:v>
      </x:c>
      <x:c r="F3">
        <x:v>1000</x:v>
      </x:c>
      <x:c r="G3">
        <x:v>0</x:v>
      </x:c>
      <x:c r="H3">
        <x:v>2000</x:v>
      </x:c>
      <x:c r="I3">
        <x:v>2000</x:v>
      </x:c>
    </x:row>
    <x:row r="4" spans="2:9">
      <x:c r="B4">
        <x:v>9001</x:v>
      </x:c>
      <x:c r="C4" s="14" t="s">
        <x:v>347</x:v>
      </x:c>
      <x:c r="D4">
        <x:v>4000</x:v>
      </x:c>
      <x:c r="E4">
        <x:v>2000</x:v>
      </x:c>
      <x:c r="F4">
        <x:v>2000</x:v>
      </x:c>
      <x:c r="G4">
        <x:v>0</x:v>
      </x:c>
      <x:c r="H4">
        <x:v>2000</x:v>
      </x:c>
      <x:c r="I4">
        <x:v>0</x:v>
      </x:c>
    </x:row>
    <x:row r="5" spans="2:9">
      <x:c r="B5">
        <x:v>9002</x:v>
      </x:c>
      <x:c r="C5" s="14" t="s">
        <x:v>348</x:v>
      </x:c>
      <x:c r="D5">
        <x:v>4000</x:v>
      </x:c>
      <x:c r="E5">
        <x:v>2000</x:v>
      </x:c>
      <x:c r="F5">
        <x:v>2000</x:v>
      </x:c>
      <x:c r="G5">
        <x:v>0</x:v>
      </x:c>
      <x:c r="H5">
        <x:v>0</x:v>
      </x:c>
      <x:c r="I5">
        <x:v>2000</x:v>
      </x:c>
    </x:row>
    <x:row r="6" spans="2:9">
      <x:c r="B6">
        <x:v>9003</x:v>
      </x:c>
      <x:c r="C6" s="14" t="s">
        <x:v>118</x:v>
      </x:c>
      <x:c r="D6">
        <x:v>4000</x:v>
      </x:c>
      <x:c r="E6">
        <x:v>2000</x:v>
      </x:c>
      <x:c r="F6">
        <x:v>2000</x:v>
      </x:c>
      <x:c r="G6">
        <x:v>0</x:v>
      </x:c>
      <x:c r="H6">
        <x:v>2000</x:v>
      </x:c>
      <x:c r="I6">
        <x:v>0</x:v>
      </x:c>
    </x:row>
    <x:row r="7" spans="2:9">
      <x:c r="B7">
        <x:v>9004</x:v>
      </x:c>
      <x:c r="C7" s="6" t="s">
        <x:v>117</x:v>
      </x:c>
      <x:c r="D7">
        <x:v>0</x:v>
      </x:c>
      <x:c r="E7">
        <x:v>7000</x:v>
      </x:c>
      <x:c r="F7">
        <x:v>3000</x:v>
      </x:c>
      <x:c r="G7">
        <x:v>0</x:v>
      </x:c>
      <x:c r="H7">
        <x:v>0</x:v>
      </x:c>
      <x:c r="I7">
        <x:v>0</x:v>
      </x:c>
    </x:row>
    <x:row r="8" spans="2:9">
      <x:c r="B8">
        <x:v>9005</x:v>
      </x:c>
      <x:c r="C8" s="14" t="s">
        <x:v>335</x:v>
      </x:c>
      <x:c r="D8">
        <x:v>0</x:v>
      </x:c>
      <x:c r="E8">
        <x:v>0</x:v>
      </x:c>
      <x:c r="F8">
        <x:v>0</x:v>
      </x:c>
      <x:c r="G8">
        <x:v>10000</x:v>
      </x:c>
      <x:c r="H8">
        <x:v>0</x:v>
      </x:c>
      <x:c r="I8">
        <x:v>0</x:v>
      </x:c>
    </x:row>
    <x:row r="9" spans="1:9">
      <x:c r="A9" t="s">
        <x:v>58</x:v>
      </x:c>
      <x:c r="B9">
        <x:v>9100</x:v>
      </x:c>
      <x:c r="C9" s="14" t="s">
        <x:v>356</x:v>
      </x:c>
      <x:c r="D9">
        <x:v>4000</x:v>
      </x:c>
      <x:c r="E9">
        <x:v>1000</x:v>
      </x:c>
      <x:c r="F9">
        <x:v>1000</x:v>
      </x:c>
      <x:c r="G9">
        <x:v>0</x:v>
      </x:c>
      <x:c r="H9">
        <x:v>2000</x:v>
      </x:c>
      <x:c r="I9">
        <x:v>2000</x:v>
      </x:c>
    </x:row>
    <x:row r="10" spans="1:9">
      <x:c r="A10" t="s">
        <x:v>58</x:v>
      </x:c>
      <x:c r="B10">
        <x:v>9101</x:v>
      </x:c>
      <x:c r="C10" s="14" t="s">
        <x:v>381</x:v>
      </x:c>
      <x:c r="D10">
        <x:v>4000</x:v>
      </x:c>
      <x:c r="E10">
        <x:v>2000</x:v>
      </x:c>
      <x:c r="F10">
        <x:v>2000</x:v>
      </x:c>
      <x:c r="G10">
        <x:v>0</x:v>
      </x:c>
      <x:c r="H10">
        <x:v>2000</x:v>
      </x:c>
      <x:c r="I10">
        <x:v>0</x:v>
      </x:c>
    </x:row>
    <x:row r="11" spans="1:9">
      <x:c r="A11" t="s">
        <x:v>58</x:v>
      </x:c>
      <x:c r="B11">
        <x:v>9102</x:v>
      </x:c>
      <x:c r="C11" s="14" t="s">
        <x:v>357</x:v>
      </x:c>
      <x:c r="D11">
        <x:v>4000</x:v>
      </x:c>
      <x:c r="E11">
        <x:v>2000</x:v>
      </x:c>
      <x:c r="F11">
        <x:v>2000</x:v>
      </x:c>
      <x:c r="G11">
        <x:v>0</x:v>
      </x:c>
      <x:c r="H11">
        <x:v>0</x:v>
      </x:c>
      <x:c r="I11">
        <x:v>2000</x:v>
      </x:c>
    </x:row>
    <x:row r="12" spans="1:9">
      <x:c r="A12" t="s">
        <x:v>58</x:v>
      </x:c>
      <x:c r="B12">
        <x:v>9103</x:v>
      </x:c>
      <x:c r="C12" s="14" t="s">
        <x:v>136</x:v>
      </x:c>
      <x:c r="D12">
        <x:v>4000</x:v>
      </x:c>
      <x:c r="E12">
        <x:v>2000</x:v>
      </x:c>
      <x:c r="F12">
        <x:v>2000</x:v>
      </x:c>
      <x:c r="G12">
        <x:v>0</x:v>
      </x:c>
      <x:c r="H12">
        <x:v>2000</x:v>
      </x:c>
      <x:c r="I12">
        <x:v>0</x:v>
      </x:c>
    </x:row>
    <x:row r="13" spans="1:9">
      <x:c r="A13" t="s">
        <x:v>58</x:v>
      </x:c>
      <x:c r="B13">
        <x:v>9104</x:v>
      </x:c>
      <x:c r="C13" s="14" t="s">
        <x:v>135</x:v>
      </x:c>
      <x:c r="D13">
        <x:v>0</x:v>
      </x:c>
      <x:c r="E13">
        <x:v>7000</x:v>
      </x:c>
      <x:c r="F13">
        <x:v>3000</x:v>
      </x:c>
      <x:c r="G13">
        <x:v>0</x:v>
      </x:c>
      <x:c r="H13">
        <x:v>0</x:v>
      </x:c>
      <x:c r="I13">
        <x:v>0</x:v>
      </x:c>
    </x:row>
    <x:row r="14" spans="1:9">
      <x:c r="A14" t="s">
        <x:v>58</x:v>
      </x:c>
      <x:c r="B14">
        <x:v>9105</x:v>
      </x:c>
      <x:c r="C14" s="14" t="s">
        <x:v>366</x:v>
      </x:c>
      <x:c r="D14">
        <x:v>0</x:v>
      </x:c>
      <x:c r="E14">
        <x:v>0</x:v>
      </x:c>
      <x:c r="F14">
        <x:v>0</x:v>
      </x:c>
      <x:c r="G14">
        <x:v>10000</x:v>
      </x:c>
      <x:c r="H14">
        <x:v>0</x:v>
      </x:c>
      <x:c r="I14">
        <x:v>0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9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3">
    <x:tabColor rgb="ffdae3f3"/>
  </x:sheetPr>
  <x:dimension ref="B1:S11"/>
  <x:sheetViews>
    <x:sheetView topLeftCell="H1" zoomScaleNormal="75" zoomScaleSheetLayoutView="100" workbookViewId="0">
      <x:selection activeCell="Q11" activeCellId="0" sqref="Q11:Q11"/>
    </x:sheetView>
  </x:sheetViews>
  <x:sheetFormatPr defaultColWidth="8.875" defaultRowHeight="16.39999999999999857891"/>
  <x:cols>
    <x:col min="2" max="2" width="8.625" bestFit="1" customWidth="1"/>
    <x:col min="3" max="3" width="30.375" customWidth="1"/>
    <x:col min="4" max="4" width="10.125" bestFit="1" customWidth="1"/>
    <x:col min="5" max="5" width="12.875" bestFit="1" customWidth="1"/>
    <x:col min="6" max="6" width="14" bestFit="1" customWidth="1"/>
    <x:col min="7" max="7" width="27.875" bestFit="1" customWidth="1"/>
    <x:col min="8" max="8" width="17" bestFit="1" customWidth="1"/>
    <x:col min="9" max="9" width="17.5" bestFit="1" customWidth="1"/>
    <x:col min="10" max="10" width="15.625" bestFit="1" customWidth="1"/>
    <x:col min="11" max="11" width="17.125" bestFit="1" customWidth="1"/>
    <x:col min="12" max="12" width="12.625" bestFit="1" customWidth="1"/>
    <x:col min="13" max="13" width="17.625" bestFit="1" customWidth="1"/>
    <x:col min="14" max="14" width="16" bestFit="1" customWidth="1"/>
    <x:col min="15" max="15" width="16.375" bestFit="1" customWidth="1"/>
    <x:col min="16" max="16" width="18.375" bestFit="1" customWidth="1"/>
    <x:col min="17" max="17" width="25" bestFit="1" customWidth="1"/>
    <x:col min="18" max="18" width="20.625" bestFit="1" customWidth="1"/>
    <x:col min="19" max="19" width="17.875" bestFit="1" customWidth="1"/>
  </x:cols>
  <x:sheetData>
    <x:row r="1" spans="2:19">
      <x:c r="B1" t="s">
        <x:v>55</x:v>
      </x:c>
      <x:c r="C1" t="s">
        <x:v>58</x:v>
      </x:c>
      <x:c r="D1" t="s">
        <x:v>55</x:v>
      </x:c>
      <x:c r="E1" t="s">
        <x:v>141</x:v>
      </x:c>
      <x:c r="F1" t="s">
        <x:v>55</x:v>
      </x:c>
      <x:c r="G1" t="s">
        <x:v>111</x:v>
      </x:c>
      <x:c r="H1" t="s">
        <x:v>111</x:v>
      </x:c>
      <x:c r="I1" t="s">
        <x:v>111</x:v>
      </x:c>
      <x:c r="J1" t="s">
        <x:v>141</x:v>
      </x:c>
      <x:c r="K1" t="s">
        <x:v>111</x:v>
      </x:c>
      <x:c r="L1" t="s">
        <x:v>55</x:v>
      </x:c>
      <x:c r="M1" t="s">
        <x:v>55</x:v>
      </x:c>
      <x:c r="N1" t="s">
        <x:v>55</x:v>
      </x:c>
      <x:c r="O1" t="s">
        <x:v>55</x:v>
      </x:c>
      <x:c r="P1" t="s">
        <x:v>55</x:v>
      </x:c>
      <x:c r="Q1" t="s">
        <x:v>110</x:v>
      </x:c>
      <x:c r="R1" t="s">
        <x:v>58</x:v>
      </x:c>
      <x:c r="S1" t="s">
        <x:v>58</x:v>
      </x:c>
    </x:row>
    <x:row r="2" spans="2:19">
      <x:c r="B2" t="s">
        <x:v>86</x:v>
      </x:c>
      <x:c r="C2" s="8" t="s">
        <x:v>70</x:v>
      </x:c>
      <x:c r="D2" t="s">
        <x:v>145</x:v>
      </x:c>
      <x:c r="E2" t="s">
        <x:v>359</x:v>
      </x:c>
      <x:c r="F2" t="s">
        <x:v>361</x:v>
      </x:c>
      <x:c r="G2" t="s">
        <x:v>309</x:v>
      </x:c>
      <x:c r="H2" t="s">
        <x:v>6</x:v>
      </x:c>
      <x:c r="I2" t="s">
        <x:v>241</x:v>
      </x:c>
      <x:c r="J2" t="s">
        <x:v>236</x:v>
      </x:c>
      <x:c r="K2" t="s">
        <x:v>239</x:v>
      </x:c>
      <x:c r="L2" t="s">
        <x:v>358</x:v>
      </x:c>
      <x:c r="M2" t="s">
        <x:v>248</x:v>
      </x:c>
      <x:c r="N2" t="s">
        <x:v>364</x:v>
      </x:c>
      <x:c r="O2" t="s">
        <x:v>362</x:v>
      </x:c>
      <x:c r="P2" t="s">
        <x:v>17</x:v>
      </x:c>
      <x:c r="Q2" t="s">
        <x:v>367</x:v>
      </x:c>
      <x:c r="R2" s="8" t="s">
        <x:v>369</x:v>
      </x:c>
      <x:c r="S2" s="8" t="s">
        <x:v>388</x:v>
      </x:c>
    </x:row>
    <x:row r="3" spans="2:19">
      <x:c r="B3">
        <x:v>500</x:v>
      </x:c>
      <x:c r="C3" s="6" t="s">
        <x:v>49</x:v>
      </x:c>
      <x:c r="D3">
        <x:f>표14[적 기준 체력]*EnemyGameData[[#This Row],['#기준 적 체력 비율]]</x:f>
        <x:v>20</x:v>
      </x:c>
      <x:c r="E3" t="s">
        <x:v>137</x:v>
      </x:c>
      <x:c r="F3">
        <x:v>1</x:v>
      </x:c>
      <x:c r="G3">
        <x:v>0.29999999999999999</x:v>
      </x:c>
      <x:c r="H3">
        <x:v>1.8</x:v>
      </x:c>
      <x:c r="I3">
        <x:v>0</x:v>
      </x:c>
      <x:c r="J3" t="s">
        <x:v>84</x:v>
      </x:c>
      <x:c r="K3">
        <x:v>1</x:v>
      </x:c>
      <x:c r="L3">
        <x:v>0</x:v>
      </x:c>
      <x:c r="M3">
        <x:v>0</x:v>
      </x:c>
      <x:c r="N3">
        <x:v>0</x:v>
      </x:c>
      <x:c r="O3">
        <x:v>0</x:v>
      </x:c>
      <x:c r="P3">
        <x:v>501</x:v>
      </x:c>
      <x:c r="Q3" t="s">
        <x:v>460</x:v>
      </x:c>
      <x:c r="R3">
        <x:v>0.20000000000000001</x:v>
      </x:c>
      <x:c r="S3">
        <x:f>AVERAGE(EnemyGameData[[#This Row],[GoldDropMin]],EnemyGameData[[#This Row],[GoldDropMax]])</x:f>
        <x:v>0</x:v>
      </x:c>
    </x:row>
    <x:row r="4" spans="2:19">
      <x:c r="B4">
        <x:v>501</x:v>
      </x:c>
      <x:c r="C4" s="6" t="s">
        <x:v>38</x:v>
      </x:c>
      <x:c r="D4">
        <x:f>표14[적 기준 체력]*EnemyGameData[[#This Row],['#기준 적 체력 비율]]</x:f>
        <x:v>80</x:v>
      </x:c>
      <x:c r="E4" t="s">
        <x:v>368</x:v>
      </x:c>
      <x:c r="F4">
        <x:v>6</x:v>
      </x:c>
      <x:c r="G4">
        <x:v>2</x:v>
      </x:c>
      <x:c r="H4">
        <x:v>2</x:v>
      </x:c>
      <x:c r="I4">
        <x:v>2.5</x:v>
      </x:c>
      <x:c r="J4" t="s">
        <x:v>257</x:v>
      </x:c>
      <x:c r="K4">
        <x:v>4</x:v>
      </x:c>
      <x:c r="L4">
        <x:v>600</x:v>
      </x:c>
      <x:c r="M4">
        <x:v>0</x:v>
      </x:c>
      <x:c r="N4">
        <x:v>2</x:v>
      </x:c>
      <x:c r="O4">
        <x:v>7</x:v>
      </x:c>
      <x:c r="P4">
        <x:v>501</x:v>
      </x:c>
      <x:c r="Q4" t="s">
        <x:v>453</x:v>
      </x:c>
      <x:c r="R4">
        <x:v>0.80000000000000004</x:v>
      </x:c>
      <x:c r="S4">
        <x:f>AVERAGE(EnemyGameData[[#This Row],[GoldDropMin]],EnemyGameData[[#This Row],[GoldDropMax]])</x:f>
        <x:v>4.5</x:v>
      </x:c>
    </x:row>
    <x:row r="5" spans="2:19">
      <x:c r="B5">
        <x:v>502</x:v>
      </x:c>
      <x:c r="C5" s="6" t="s">
        <x:v>413</x:v>
      </x:c>
      <x:c r="D5">
        <x:f>표14[적 기준 체력]*EnemyGameData[[#This Row],['#기준 적 체력 비율]]</x:f>
        <x:v>100</x:v>
      </x:c>
      <x:c r="E5" t="s">
        <x:v>137</x:v>
      </x:c>
      <x:c r="F5">
        <x:v>3</x:v>
      </x:c>
      <x:c r="G5">
        <x:v>1.2</x:v>
      </x:c>
      <x:c r="H5">
        <x:v>2</x:v>
      </x:c>
      <x:c r="I5">
        <x:v>3.5</x:v>
      </x:c>
      <x:c r="J5" t="s">
        <x:v>140</x:v>
      </x:c>
      <x:c r="K5">
        <x:v>5</x:v>
      </x:c>
      <x:c r="L5">
        <x:v>601</x:v>
      </x:c>
      <x:c r="M5">
        <x:v>0</x:v>
      </x:c>
      <x:c r="N5">
        <x:v>2</x:v>
      </x:c>
      <x:c r="O5">
        <x:v>7</x:v>
      </x:c>
      <x:c r="P5">
        <x:v>501</x:v>
      </x:c>
      <x:c r="Q5" t="s">
        <x:v>453</x:v>
      </x:c>
      <x:c r="R5">
        <x:v>1</x:v>
      </x:c>
      <x:c r="S5">
        <x:f>AVERAGE(EnemyGameData[[#This Row],[GoldDropMin]],EnemyGameData[[#This Row],[GoldDropMax]])</x:f>
        <x:v>4.5</x:v>
      </x:c>
    </x:row>
    <x:row r="6" spans="2:19">
      <x:c r="B6">
        <x:v>503</x:v>
      </x:c>
      <x:c r="C6" s="6" t="s">
        <x:v>287</x:v>
      </x:c>
      <x:c r="D6">
        <x:f>표14[적 기준 체력]*EnemyGameData[[#This Row],['#기준 적 체력 비율]]</x:f>
        <x:v>80</x:v>
      </x:c>
      <x:c r="E6" t="s">
        <x:v>368</x:v>
      </x:c>
      <x:c r="F6">
        <x:v>6</x:v>
      </x:c>
      <x:c r="G6">
        <x:v>1.2</x:v>
      </x:c>
      <x:c r="H6">
        <x:v>2</x:v>
      </x:c>
      <x:c r="I6">
        <x:v>2</x:v>
      </x:c>
      <x:c r="J6" t="s">
        <x:v>140</x:v>
      </x:c>
      <x:c r="K6">
        <x:v>7</x:v>
      </x:c>
      <x:c r="L6">
        <x:v>602</x:v>
      </x:c>
      <x:c r="M6">
        <x:v>0</x:v>
      </x:c>
      <x:c r="N6">
        <x:v>2</x:v>
      </x:c>
      <x:c r="O6">
        <x:v>7</x:v>
      </x:c>
      <x:c r="P6">
        <x:v>501</x:v>
      </x:c>
      <x:c r="Q6" t="s">
        <x:v>453</x:v>
      </x:c>
      <x:c r="R6">
        <x:v>0.80000000000000004</x:v>
      </x:c>
      <x:c r="S6">
        <x:f>AVERAGE(EnemyGameData[[#This Row],[GoldDropMin]],EnemyGameData[[#This Row],[GoldDropMax]])</x:f>
        <x:v>4.5</x:v>
      </x:c>
    </x:row>
    <x:row r="7" spans="2:19">
      <x:c r="B7">
        <x:v>504</x:v>
      </x:c>
      <x:c r="C7" s="6" t="s">
        <x:v>277</x:v>
      </x:c>
      <x:c r="D7">
        <x:f>표14[적 기준 체력]*EnemyGameData[[#This Row],['#기준 적 체력 비율]]</x:f>
        <x:v>80</x:v>
      </x:c>
      <x:c r="E7" t="s">
        <x:v>368</x:v>
      </x:c>
      <x:c r="F7">
        <x:v>4</x:v>
      </x:c>
      <x:c r="G7">
        <x:v>1.5</x:v>
      </x:c>
      <x:c r="H7">
        <x:v>2</x:v>
      </x:c>
      <x:c r="I7">
        <x:v>2.5</x:v>
      </x:c>
      <x:c r="J7" t="s">
        <x:v>140</x:v>
      </x:c>
      <x:c r="K7">
        <x:v>5</x:v>
      </x:c>
      <x:c r="L7">
        <x:v>603</x:v>
      </x:c>
      <x:c r="M7">
        <x:v>0</x:v>
      </x:c>
      <x:c r="N7">
        <x:v>2</x:v>
      </x:c>
      <x:c r="O7">
        <x:v>7</x:v>
      </x:c>
      <x:c r="P7">
        <x:v>501</x:v>
      </x:c>
      <x:c r="Q7" t="s">
        <x:v>453</x:v>
      </x:c>
      <x:c r="R7">
        <x:v>0.80000000000000004</x:v>
      </x:c>
      <x:c r="S7">
        <x:f>AVERAGE(EnemyGameData[[#This Row],[GoldDropMin]],EnemyGameData[[#This Row],[GoldDropMax]])</x:f>
        <x:v>4.5</x:v>
      </x:c>
    </x:row>
    <x:row r="8" spans="2:19">
      <x:c r="B8">
        <x:v>505</x:v>
      </x:c>
      <x:c r="C8" s="6" t="s">
        <x:v>278</x:v>
      </x:c>
      <x:c r="D8">
        <x:f>표14[적 기준 체력]*EnemyGameData[[#This Row],['#기준 적 체력 비율]]</x:f>
        <x:v>100</x:v>
      </x:c>
      <x:c r="E8" t="s">
        <x:v>368</x:v>
      </x:c>
      <x:c r="F8">
        <x:v>4</x:v>
      </x:c>
      <x:c r="G8">
        <x:v>1.8</x:v>
      </x:c>
      <x:c r="H8">
        <x:v>2</x:v>
      </x:c>
      <x:c r="I8">
        <x:v>3.5</x:v>
      </x:c>
      <x:c r="J8" t="s">
        <x:v>140</x:v>
      </x:c>
      <x:c r="K8">
        <x:v>5</x:v>
      </x:c>
      <x:c r="L8">
        <x:v>604</x:v>
      </x:c>
      <x:c r="M8">
        <x:v>0</x:v>
      </x:c>
      <x:c r="N8">
        <x:v>2</x:v>
      </x:c>
      <x:c r="O8">
        <x:v>7</x:v>
      </x:c>
      <x:c r="P8">
        <x:v>501</x:v>
      </x:c>
      <x:c r="Q8" t="s">
        <x:v>453</x:v>
      </x:c>
      <x:c r="R8">
        <x:v>1</x:v>
      </x:c>
      <x:c r="S8">
        <x:f>AVERAGE(EnemyGameData[[#This Row],[GoldDropMin]],EnemyGameData[[#This Row],[GoldDropMax]])</x:f>
        <x:v>4.5</x:v>
      </x:c>
    </x:row>
    <x:row r="9" spans="2:19">
      <x:c r="B9">
        <x:v>506</x:v>
      </x:c>
      <x:c r="C9" s="6" t="s">
        <x:v>282</x:v>
      </x:c>
      <x:c r="D9">
        <x:f>표14[적 기준 체력]*EnemyGameData[[#This Row],['#기준 적 체력 비율]]</x:f>
        <x:v>100</x:v>
      </x:c>
      <x:c r="E9" t="s">
        <x:v>368</x:v>
      </x:c>
      <x:c r="F9">
        <x:v>4</x:v>
      </x:c>
      <x:c r="G9">
        <x:v>1.3999999999999999</x:v>
      </x:c>
      <x:c r="H9">
        <x:v>2</x:v>
      </x:c>
      <x:c r="I9">
        <x:v>2</x:v>
      </x:c>
      <x:c r="J9" t="s">
        <x:v>140</x:v>
      </x:c>
      <x:c r="K9">
        <x:v>5</x:v>
      </x:c>
      <x:c r="L9">
        <x:v>605</x:v>
      </x:c>
      <x:c r="M9">
        <x:v>0</x:v>
      </x:c>
      <x:c r="N9">
        <x:v>2</x:v>
      </x:c>
      <x:c r="O9">
        <x:v>7</x:v>
      </x:c>
      <x:c r="P9">
        <x:v>501</x:v>
      </x:c>
      <x:c r="Q9" t="s">
        <x:v>453</x:v>
      </x:c>
      <x:c r="R9">
        <x:v>1</x:v>
      </x:c>
      <x:c r="S9">
        <x:f>AVERAGE(EnemyGameData[[#This Row],[GoldDropMin]],EnemyGameData[[#This Row],[GoldDropMax]])</x:f>
        <x:v>4.5</x:v>
      </x:c>
    </x:row>
    <x:row r="10" spans="2:19">
      <x:c r="B10">
        <x:v>507</x:v>
      </x:c>
      <x:c r="C10" s="6" t="s">
        <x:v>282</x:v>
      </x:c>
      <x:c r="D10">
        <x:f>표14[적 기준 체력]*EnemyGameData[[#This Row],['#기준 적 체력 비율]]</x:f>
        <x:v>100</x:v>
      </x:c>
      <x:c r="E10" t="s">
        <x:v>368</x:v>
      </x:c>
      <x:c r="F10">
        <x:v>4</x:v>
      </x:c>
      <x:c r="G10">
        <x:v>1.7</x:v>
      </x:c>
      <x:c r="H10">
        <x:v>2</x:v>
      </x:c>
      <x:c r="I10">
        <x:v>3</x:v>
      </x:c>
      <x:c r="J10" t="s">
        <x:v>140</x:v>
      </x:c>
      <x:c r="K10">
        <x:v>5</x:v>
      </x:c>
      <x:c r="L10">
        <x:v>605</x:v>
      </x:c>
      <x:c r="M10">
        <x:v>0</x:v>
      </x:c>
      <x:c r="N10">
        <x:v>2</x:v>
      </x:c>
      <x:c r="O10">
        <x:v>7</x:v>
      </x:c>
      <x:c r="P10">
        <x:v>501</x:v>
      </x:c>
      <x:c r="Q10" t="s">
        <x:v>453</x:v>
      </x:c>
      <x:c r="R10">
        <x:v>1</x:v>
      </x:c>
      <x:c r="S10">
        <x:f>AVERAGE(EnemyGameData[[#This Row],[GoldDropMin]],EnemyGameData[[#This Row],[GoldDropMax]])</x:f>
        <x:v>4.5</x:v>
      </x:c>
    </x:row>
    <x:row r="11" spans="2:19">
      <x:c r="B11">
        <x:v>508</x:v>
      </x:c>
      <x:c r="C11" s="6" t="s">
        <x:v>447</x:v>
      </x:c>
      <x:c r="D11">
        <x:f>표14[적 기준 체력]*EnemyGameData[[#This Row],['#기준 적 체력 비율]]</x:f>
        <x:v>1000</x:v>
      </x:c>
      <x:c r="E11" t="s">
        <x:v>137</x:v>
      </x:c>
      <x:c r="F11">
        <x:v>1</x:v>
      </x:c>
      <x:c r="G11">
        <x:v>2</x:v>
      </x:c>
      <x:c r="H11">
        <x:v>1.5</x:v>
      </x:c>
      <x:c r="I11">
        <x:v>4</x:v>
      </x:c>
      <x:c r="J11" t="s">
        <x:v>140</x:v>
      </x:c>
      <x:c r="K11">
        <x:v>6</x:v>
      </x:c>
      <x:c r="L11">
        <x:v>0</x:v>
      </x:c>
      <x:c r="M11">
        <x:v>0</x:v>
      </x:c>
      <x:c r="N11">
        <x:v>25</x:v>
      </x:c>
      <x:c r="O11">
        <x:v>25</x:v>
      </x:c>
      <x:c r="P11">
        <x:v>0</x:v>
      </x:c>
      <x:c r="R11">
        <x:v>10</x:v>
      </x:c>
      <x:c r="S11">
        <x:f>AVERAGE(EnemyGameData[[#This Row],[GoldDropMin]],EnemyGameData[[#This Row],[GoldDropMax]])</x:f>
        <x:v>25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0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5">
    <x:tabColor rgb="ffdae3f3"/>
  </x:sheetPr>
  <x:dimension ref="B1:G30"/>
  <x:sheetViews>
    <x:sheetView topLeftCell="A1" zoomScaleNormal="75" zoomScaleSheetLayoutView="100" workbookViewId="0">
      <x:selection activeCell="I28" activeCellId="0" sqref="I28:I28"/>
    </x:sheetView>
  </x:sheetViews>
  <x:sheetFormatPr defaultColWidth="8.875" defaultRowHeight="16.39999999999999857891"/>
  <x:cols>
    <x:col min="2" max="2" width="8.625" bestFit="1" customWidth="1"/>
    <x:col min="3" max="3" width="20" bestFit="1" customWidth="1"/>
    <x:col min="4" max="4" width="15" bestFit="1" customWidth="1"/>
    <x:col min="5" max="5" width="11.625" bestFit="1" customWidth="1"/>
    <x:col min="6" max="6" width="13.375" bestFit="1" customWidth="1"/>
    <x:col min="7" max="7" width="14.625" bestFit="1" customWidth="1"/>
  </x:cols>
  <x:sheetData>
    <x:row r="1" spans="2:7">
      <x:c r="B1" t="s">
        <x:v>55</x:v>
      </x:c>
      <x:c r="C1" t="s">
        <x:v>58</x:v>
      </x:c>
      <x:c r="D1" t="s">
        <x:v>55</x:v>
      </x:c>
      <x:c r="E1" t="s">
        <x:v>141</x:v>
      </x:c>
      <x:c r="F1" t="s">
        <x:v>111</x:v>
      </x:c>
      <x:c r="G1" t="s">
        <x:v>111</x:v>
      </x:c>
    </x:row>
    <x:row r="2" spans="2:7">
      <x:c r="B2" t="s">
        <x:v>86</x:v>
      </x:c>
      <x:c r="C2" s="8" t="s">
        <x:v>52</x:v>
      </x:c>
      <x:c r="D2" t="s">
        <x:v>374</x:v>
      </x:c>
      <x:c r="E2" t="s">
        <x:v>143</x:v>
      </x:c>
      <x:c r="F2" t="s">
        <x:v>373</x:v>
      </x:c>
      <x:c r="G2" t="s">
        <x:v>370</x:v>
      </x:c>
    </x:row>
    <x:row r="3" spans="2:7">
      <x:c r="B3">
        <x:v>600</x:v>
      </x:c>
      <x:c r="C3" s="6" t="s">
        <x:v>398</x:v>
      </x:c>
      <x:c r="D3">
        <x:v>700</x:v>
      </x:c>
      <x:c r="E3" t="s">
        <x:v>176</x:v>
      </x:c>
      <x:c r="F3">
        <x:v>0.5</x:v>
      </x:c>
      <x:c r="G3">
        <x:v>0.29999999999999999</x:v>
      </x:c>
    </x:row>
    <x:row r="4" spans="2:7">
      <x:c r="B4">
        <x:v>600</x:v>
      </x:c>
      <x:c r="C4" s="6" t="s">
        <x:v>403</x:v>
      </x:c>
      <x:c r="D4">
        <x:v>701</x:v>
      </x:c>
      <x:c r="E4" t="s">
        <x:v>176</x:v>
      </x:c>
      <x:c r="F4">
        <x:v>0</x:v>
      </x:c>
      <x:c r="G4">
        <x:v>1</x:v>
      </x:c>
    </x:row>
    <x:row r="5" spans="2:7">
      <x:c r="B5">
        <x:v>601</x:v>
      </x:c>
      <x:c r="C5" s="6" t="s">
        <x:v>400</x:v>
      </x:c>
      <x:c r="D5">
        <x:v>702</x:v>
      </x:c>
      <x:c r="E5" t="s">
        <x:v>168</x:v>
      </x:c>
      <x:c r="F5">
        <x:v>0.5</x:v>
      </x:c>
      <x:c r="G5">
        <x:v>0.10000000000000001</x:v>
      </x:c>
    </x:row>
    <x:row r="6" spans="2:7">
      <x:c r="B6">
        <x:v>601</x:v>
      </x:c>
      <x:c r="C6" s="6" t="s">
        <x:v>400</x:v>
      </x:c>
      <x:c r="D6">
        <x:v>706</x:v>
      </x:c>
      <x:c r="E6" t="s">
        <x:v>168</x:v>
      </x:c>
      <x:c r="F6">
        <x:v>0</x:v>
      </x:c>
      <x:c r="G6">
        <x:v>0.10000000000000001</x:v>
      </x:c>
    </x:row>
    <x:row r="7" spans="2:7">
      <x:c r="B7">
        <x:v>601</x:v>
      </x:c>
      <x:c r="C7" s="6" t="s">
        <x:v>400</x:v>
      </x:c>
      <x:c r="D7">
        <x:v>712</x:v>
      </x:c>
      <x:c r="E7" t="s">
        <x:v>168</x:v>
      </x:c>
      <x:c r="F7">
        <x:v>0</x:v>
      </x:c>
      <x:c r="G7">
        <x:v>0.10000000000000001</x:v>
      </x:c>
    </x:row>
    <x:row r="8" spans="2:7">
      <x:c r="B8">
        <x:v>601</x:v>
      </x:c>
      <x:c r="C8" s="6" t="s">
        <x:v>400</x:v>
      </x:c>
      <x:c r="D8">
        <x:v>709</x:v>
      </x:c>
      <x:c r="E8" t="s">
        <x:v>168</x:v>
      </x:c>
      <x:c r="F8">
        <x:v>0</x:v>
      </x:c>
      <x:c r="G8">
        <x:v>0.10000000000000001</x:v>
      </x:c>
    </x:row>
    <x:row r="9" spans="2:7">
      <x:c r="B9">
        <x:v>601</x:v>
      </x:c>
      <x:c r="C9" s="6" t="s">
        <x:v>400</x:v>
      </x:c>
      <x:c r="D9">
        <x:v>711</x:v>
      </x:c>
      <x:c r="E9" t="s">
        <x:v>168</x:v>
      </x:c>
      <x:c r="F9">
        <x:v>0</x:v>
      </x:c>
      <x:c r="G9">
        <x:v>0.10000000000000001</x:v>
      </x:c>
    </x:row>
    <x:row r="10" spans="2:7">
      <x:c r="B10">
        <x:v>601</x:v>
      </x:c>
      <x:c r="C10" s="6" t="s">
        <x:v>400</x:v>
      </x:c>
      <x:c r="D10">
        <x:v>708</x:v>
      </x:c>
      <x:c r="E10" t="s">
        <x:v>168</x:v>
      </x:c>
      <x:c r="F10">
        <x:v>0</x:v>
      </x:c>
      <x:c r="G10">
        <x:v>0.10000000000000001</x:v>
      </x:c>
    </x:row>
    <x:row r="11" spans="2:7">
      <x:c r="B11">
        <x:v>601</x:v>
      </x:c>
      <x:c r="C11" s="6" t="s">
        <x:v>400</x:v>
      </x:c>
      <x:c r="D11">
        <x:v>718</x:v>
      </x:c>
      <x:c r="E11" t="s">
        <x:v>168</x:v>
      </x:c>
      <x:c r="F11">
        <x:v>0</x:v>
      </x:c>
      <x:c r="G11">
        <x:v>0.10000000000000001</x:v>
      </x:c>
    </x:row>
    <x:row r="12" spans="2:7">
      <x:c r="B12">
        <x:v>601</x:v>
      </x:c>
      <x:c r="C12" s="6" t="s">
        <x:v>400</x:v>
      </x:c>
      <x:c r="D12">
        <x:v>710</x:v>
      </x:c>
      <x:c r="E12" t="s">
        <x:v>168</x:v>
      </x:c>
      <x:c r="F12">
        <x:v>0</x:v>
      </x:c>
      <x:c r="G12">
        <x:v>0.10000000000000001</x:v>
      </x:c>
    </x:row>
    <x:row r="13" spans="2:7">
      <x:c r="B13">
        <x:v>601</x:v>
      </x:c>
      <x:c r="C13" s="6" t="s">
        <x:v>400</x:v>
      </x:c>
      <x:c r="D13">
        <x:v>703</x:v>
      </x:c>
      <x:c r="E13" t="s">
        <x:v>168</x:v>
      </x:c>
      <x:c r="F13">
        <x:v>0</x:v>
      </x:c>
      <x:c r="G13">
        <x:v>0.10000000000000001</x:v>
      </x:c>
    </x:row>
    <x:row r="14" spans="2:7">
      <x:c r="B14">
        <x:v>601</x:v>
      </x:c>
      <x:c r="C14" s="6" t="s">
        <x:v>400</x:v>
      </x:c>
      <x:c r="D14">
        <x:v>715</x:v>
      </x:c>
      <x:c r="E14" t="s">
        <x:v>168</x:v>
      </x:c>
      <x:c r="F14">
        <x:v>0</x:v>
      </x:c>
      <x:c r="G14">
        <x:v>0.10000000000000001</x:v>
      </x:c>
    </x:row>
    <x:row r="15" spans="2:7">
      <x:c r="B15">
        <x:v>601</x:v>
      </x:c>
      <x:c r="C15" s="6" t="s">
        <x:v>400</x:v>
      </x:c>
      <x:c r="D15">
        <x:v>707</x:v>
      </x:c>
      <x:c r="E15" t="s">
        <x:v>168</x:v>
      </x:c>
      <x:c r="F15">
        <x:v>0</x:v>
      </x:c>
      <x:c r="G15">
        <x:v>0.10000000000000001</x:v>
      </x:c>
    </x:row>
    <x:row r="16" spans="2:7">
      <x:c r="B16">
        <x:v>601</x:v>
      </x:c>
      <x:c r="C16" s="6" t="s">
        <x:v>400</x:v>
      </x:c>
      <x:c r="D16">
        <x:v>705</x:v>
      </x:c>
      <x:c r="E16" t="s">
        <x:v>168</x:v>
      </x:c>
      <x:c r="F16">
        <x:v>0</x:v>
      </x:c>
      <x:c r="G16">
        <x:v>0.10000000000000001</x:v>
      </x:c>
    </x:row>
    <x:row r="17" spans="2:7">
      <x:c r="B17">
        <x:v>601</x:v>
      </x:c>
      <x:c r="C17" s="6" t="s">
        <x:v>400</x:v>
      </x:c>
      <x:c r="D17">
        <x:v>716</x:v>
      </x:c>
      <x:c r="E17" t="s">
        <x:v>168</x:v>
      </x:c>
      <x:c r="F17">
        <x:v>0</x:v>
      </x:c>
      <x:c r="G17">
        <x:v>0.10000000000000001</x:v>
      </x:c>
    </x:row>
    <x:row r="18" spans="2:7">
      <x:c r="B18">
        <x:v>601</x:v>
      </x:c>
      <x:c r="C18" s="6" t="s">
        <x:v>400</x:v>
      </x:c>
      <x:c r="D18">
        <x:v>717</x:v>
      </x:c>
      <x:c r="E18" t="s">
        <x:v>168</x:v>
      </x:c>
      <x:c r="F18">
        <x:v>0</x:v>
      </x:c>
      <x:c r="G18">
        <x:v>0.10000000000000001</x:v>
      </x:c>
    </x:row>
    <x:row r="19" spans="2:7">
      <x:c r="B19">
        <x:v>601</x:v>
      </x:c>
      <x:c r="C19" s="6" t="s">
        <x:v>400</x:v>
      </x:c>
      <x:c r="D19">
        <x:v>704</x:v>
      </x:c>
      <x:c r="E19" t="s">
        <x:v>168</x:v>
      </x:c>
      <x:c r="F19">
        <x:v>0</x:v>
      </x:c>
      <x:c r="G19">
        <x:v>0.10000000000000001</x:v>
      </x:c>
    </x:row>
    <x:row r="20" spans="2:7">
      <x:c r="B20">
        <x:v>601</x:v>
      </x:c>
      <x:c r="C20" s="6" t="s">
        <x:v>400</x:v>
      </x:c>
      <x:c r="D20">
        <x:v>714</x:v>
      </x:c>
      <x:c r="E20" t="s">
        <x:v>168</x:v>
      </x:c>
      <x:c r="F20">
        <x:v>0</x:v>
      </x:c>
      <x:c r="G20">
        <x:v>0.10000000000000001</x:v>
      </x:c>
    </x:row>
    <x:row r="21" spans="2:7">
      <x:c r="B21">
        <x:v>601</x:v>
      </x:c>
      <x:c r="C21" s="6" t="s">
        <x:v>400</x:v>
      </x:c>
      <x:c r="D21">
        <x:v>713</x:v>
      </x:c>
      <x:c r="E21" t="s">
        <x:v>168</x:v>
      </x:c>
      <x:c r="F21">
        <x:v>0</x:v>
      </x:c>
      <x:c r="G21">
        <x:v>0.5</x:v>
      </x:c>
    </x:row>
    <x:row r="22" spans="2:7">
      <x:c r="B22">
        <x:v>602</x:v>
      </x:c>
      <x:c r="C22" s="6" t="s">
        <x:v>412</x:v>
      </x:c>
      <x:c r="D22">
        <x:v>719</x:v>
      </x:c>
      <x:c r="E22" t="s">
        <x:v>168</x:v>
      </x:c>
      <x:c r="F22">
        <x:v>0</x:v>
      </x:c>
      <x:c r="G22">
        <x:v>1</x:v>
      </x:c>
    </x:row>
    <x:row r="23" spans="2:7">
      <x:c r="B23">
        <x:v>603</x:v>
      </x:c>
      <x:c r="C23" s="6" t="s">
        <x:v>178</x:v>
      </x:c>
      <x:c r="D23">
        <x:v>720</x:v>
      </x:c>
      <x:c r="E23" t="s">
        <x:v>168</x:v>
      </x:c>
      <x:c r="F23">
        <x:v>0.5</x:v>
      </x:c>
      <x:c r="G23">
        <x:v>1</x:v>
      </x:c>
    </x:row>
    <x:row r="24" spans="2:7">
      <x:c r="B24">
        <x:v>604</x:v>
      </x:c>
      <x:c r="C24" s="6" t="s">
        <x:v>182</x:v>
      </x:c>
      <x:c r="D24">
        <x:v>721</x:v>
      </x:c>
      <x:c r="E24" t="s">
        <x:v>168</x:v>
      </x:c>
      <x:c r="F24">
        <x:v>0.5</x:v>
      </x:c>
      <x:c r="G24">
        <x:v>0.5</x:v>
      </x:c>
    </x:row>
    <x:row r="25" spans="2:7">
      <x:c r="B25">
        <x:v>604</x:v>
      </x:c>
      <x:c r="C25" s="6" t="s">
        <x:v>182</x:v>
      </x:c>
      <x:c r="D25">
        <x:v>722</x:v>
      </x:c>
      <x:c r="E25" t="s">
        <x:v>168</x:v>
      </x:c>
      <x:c r="F25">
        <x:v>0</x:v>
      </x:c>
      <x:c r="G25">
        <x:v>0.5</x:v>
      </x:c>
    </x:row>
    <x:row r="26" spans="2:7">
      <x:c r="B26">
        <x:v>604</x:v>
      </x:c>
      <x:c r="C26" s="6" t="s">
        <x:v>182</x:v>
      </x:c>
      <x:c r="D26">
        <x:v>723</x:v>
      </x:c>
      <x:c r="E26" t="s">
        <x:v>168</x:v>
      </x:c>
      <x:c r="F26">
        <x:v>0</x:v>
      </x:c>
      <x:c r="G26">
        <x:v>1</x:v>
      </x:c>
    </x:row>
    <x:row r="27" spans="2:7">
      <x:c r="B27">
        <x:v>605</x:v>
      </x:c>
      <x:c r="C27" s="6" t="s">
        <x:v>181</x:v>
      </x:c>
      <x:c r="D27">
        <x:v>724</x:v>
      </x:c>
      <x:c r="E27" t="s">
        <x:v>168</x:v>
      </x:c>
      <x:c r="F27">
        <x:v>0.5</x:v>
      </x:c>
      <x:c r="G27">
        <x:v>1</x:v>
      </x:c>
    </x:row>
    <x:row r="28" spans="2:7">
      <x:c r="B28">
        <x:v>606</x:v>
      </x:c>
      <x:c r="C28" s="6" t="s">
        <x:v>423</x:v>
      </x:c>
      <x:c r="D28">
        <x:v>724</x:v>
      </x:c>
      <x:c r="E28" t="s">
        <x:v>168</x:v>
      </x:c>
      <x:c r="F28">
        <x:v>0.5</x:v>
      </x:c>
      <x:c r="G28">
        <x:v>0</x:v>
      </x:c>
    </x:row>
    <x:row r="29" spans="2:7">
      <x:c r="B29">
        <x:v>606</x:v>
      </x:c>
      <x:c r="C29" s="6" t="s">
        <x:v>423</x:v>
      </x:c>
      <x:c r="D29">
        <x:v>724</x:v>
      </x:c>
      <x:c r="E29" t="s">
        <x:v>168</x:v>
      </x:c>
      <x:c r="F29">
        <x:v>0.20000000000000001</x:v>
      </x:c>
      <x:c r="G29">
        <x:v>0</x:v>
      </x:c>
    </x:row>
    <x:row r="30" spans="2:7">
      <x:c r="B30">
        <x:v>606</x:v>
      </x:c>
      <x:c r="C30" s="6" t="s">
        <x:v>423</x:v>
      </x:c>
      <x:c r="D30">
        <x:v>724</x:v>
      </x:c>
      <x:c r="E30" t="s">
        <x:v>168</x:v>
      </x:c>
      <x:c r="F30">
        <x:v>0.20000000000000001</x:v>
      </x:c>
      <x:c r="G30">
        <x:v>1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6">
    <x:tabColor rgb="ffdae3f3"/>
  </x:sheetPr>
  <x:dimension ref="B1:G63"/>
  <x:sheetViews>
    <x:sheetView topLeftCell="A1" zoomScaleNormal="75" zoomScaleSheetLayoutView="100" workbookViewId="0">
      <x:selection activeCell="G46" activeCellId="0" sqref="G46:G63"/>
    </x:sheetView>
  </x:sheetViews>
  <x:sheetFormatPr defaultColWidth="8.875" defaultRowHeight="16.39999999999999857891"/>
  <x:cols>
    <x:col min="2" max="2" width="8.625" bestFit="1" customWidth="1"/>
    <x:col min="3" max="3" width="22.5" customWidth="1"/>
    <x:col min="4" max="4" width="14.125" bestFit="1" customWidth="1"/>
    <x:col min="5" max="5" width="18.375" bestFit="1" customWidth="1"/>
    <x:col min="6" max="6" width="20.125" bestFit="1" customWidth="1"/>
    <x:col min="7" max="7" width="11.5" bestFit="1" customWidth="1"/>
  </x:cols>
  <x:sheetData>
    <x:row r="1" spans="2:7">
      <x:c r="B1" t="s">
        <x:v>55</x:v>
      </x:c>
      <x:c r="C1" t="s">
        <x:v>58</x:v>
      </x:c>
      <x:c r="D1" t="s">
        <x:v>141</x:v>
      </x:c>
      <x:c r="E1" t="s">
        <x:v>55</x:v>
      </x:c>
      <x:c r="F1" t="s">
        <x:v>55</x:v>
      </x:c>
      <x:c r="G1" t="s">
        <x:v>55</x:v>
      </x:c>
    </x:row>
    <x:row r="2" spans="2:7">
      <x:c r="B2" t="s">
        <x:v>86</x:v>
      </x:c>
      <x:c r="C2" s="8" t="s">
        <x:v>52</x:v>
      </x:c>
      <x:c r="D2" t="s">
        <x:v>375</x:v>
      </x:c>
      <x:c r="E2" t="s">
        <x:v>17</x:v>
      </x:c>
      <x:c r="F2" t="s">
        <x:v>258</x:v>
      </x:c>
      <x:c r="G2" t="s">
        <x:v>378</x:v>
      </x:c>
    </x:row>
    <x:row r="3" spans="2:7">
      <x:c r="B3">
        <x:v>700</x:v>
      </x:c>
      <x:c r="C3" s="6" t="s">
        <x:v>407</x:v>
      </x:c>
      <x:c r="D3">
        <x:v>0</x:v>
      </x:c>
      <x:c r="E3">
        <x:v>401</x:v>
      </x:c>
      <x:c r="F3">
        <x:v>1</x:v>
      </x:c>
      <x:c r="G3">
        <x:v>5</x:v>
      </x:c>
    </x:row>
    <x:row r="4" spans="2:7">
      <x:c r="B4">
        <x:v>700</x:v>
      </x:c>
      <x:c r="C4" s="6" t="s">
        <x:v>407</x:v>
      </x:c>
      <x:c r="D4">
        <x:v>90</x:v>
      </x:c>
      <x:c r="E4">
        <x:v>401</x:v>
      </x:c>
      <x:c r="F4">
        <x:v>1</x:v>
      </x:c>
      <x:c r="G4">
        <x:v>5</x:v>
      </x:c>
    </x:row>
    <x:row r="5" spans="2:7">
      <x:c r="B5">
        <x:v>700</x:v>
      </x:c>
      <x:c r="C5" s="6" t="s">
        <x:v>407</x:v>
      </x:c>
      <x:c r="D5">
        <x:v>180</x:v>
      </x:c>
      <x:c r="E5">
        <x:v>401</x:v>
      </x:c>
      <x:c r="F5">
        <x:v>1</x:v>
      </x:c>
      <x:c r="G5">
        <x:v>5</x:v>
      </x:c>
    </x:row>
    <x:row r="6" spans="2:7">
      <x:c r="B6">
        <x:v>700</x:v>
      </x:c>
      <x:c r="C6" s="6" t="s">
        <x:v>407</x:v>
      </x:c>
      <x:c r="D6">
        <x:v>-90</x:v>
      </x:c>
      <x:c r="E6">
        <x:v>401</x:v>
      </x:c>
      <x:c r="F6">
        <x:v>1</x:v>
      </x:c>
      <x:c r="G6">
        <x:v>5</x:v>
      </x:c>
    </x:row>
    <x:row r="7" spans="2:7">
      <x:c r="B7">
        <x:v>701</x:v>
      </x:c>
      <x:c r="C7" s="6" t="s">
        <x:v>268</x:v>
      </x:c>
      <x:c r="D7">
        <x:v>45</x:v>
      </x:c>
      <x:c r="E7">
        <x:v>401</x:v>
      </x:c>
      <x:c r="F7">
        <x:v>1</x:v>
      </x:c>
      <x:c r="G7">
        <x:v>5</x:v>
      </x:c>
    </x:row>
    <x:row r="8" spans="2:7">
      <x:c r="B8">
        <x:v>701</x:v>
      </x:c>
      <x:c r="C8" s="6" t="s">
        <x:v>268</x:v>
      </x:c>
      <x:c r="D8">
        <x:v>-45</x:v>
      </x:c>
      <x:c r="E8">
        <x:v>401</x:v>
      </x:c>
      <x:c r="F8">
        <x:v>1</x:v>
      </x:c>
      <x:c r="G8">
        <x:v>5</x:v>
      </x:c>
    </x:row>
    <x:row r="9" spans="2:7">
      <x:c r="B9">
        <x:v>701</x:v>
      </x:c>
      <x:c r="C9" s="6" t="s">
        <x:v>268</x:v>
      </x:c>
      <x:c r="D9">
        <x:v>135</x:v>
      </x:c>
      <x:c r="E9">
        <x:v>401</x:v>
      </x:c>
      <x:c r="F9">
        <x:v>1</x:v>
      </x:c>
      <x:c r="G9">
        <x:v>5</x:v>
      </x:c>
    </x:row>
    <x:row r="10" spans="2:7">
      <x:c r="B10">
        <x:v>701</x:v>
      </x:c>
      <x:c r="C10" s="6" t="s">
        <x:v>268</x:v>
      </x:c>
      <x:c r="D10">
        <x:v>-135</x:v>
      </x:c>
      <x:c r="E10">
        <x:v>401</x:v>
      </x:c>
      <x:c r="F10">
        <x:v>1</x:v>
      </x:c>
      <x:c r="G10">
        <x:v>5</x:v>
      </x:c>
    </x:row>
    <x:row r="11" spans="2:7">
      <x:c r="B11">
        <x:v>702</x:v>
      </x:c>
      <x:c r="C11" s="6" t="s">
        <x:v>169</x:v>
      </x:c>
      <x:c r="D11">
        <x:v>0</x:v>
      </x:c>
      <x:c r="E11">
        <x:v>400</x:v>
      </x:c>
      <x:c r="F11">
        <x:v>0</x:v>
      </x:c>
      <x:c r="G11">
        <x:v>5</x:v>
      </x:c>
    </x:row>
    <x:row r="12" spans="2:7">
      <x:c r="B12">
        <x:v>703</x:v>
      </x:c>
      <x:c r="C12" s="6" t="s">
        <x:v>397</x:v>
      </x:c>
      <x:c r="D12">
        <x:v>2</x:v>
      </x:c>
      <x:c r="E12">
        <x:v>400</x:v>
      </x:c>
      <x:c r="F12">
        <x:v>0</x:v>
      </x:c>
      <x:c r="G12">
        <x:v>4</x:v>
      </x:c>
    </x:row>
    <x:row r="13" spans="2:7">
      <x:c r="B13">
        <x:v>704</x:v>
      </x:c>
      <x:c r="C13" s="6" t="s">
        <x:v>394</x:v>
      </x:c>
      <x:c r="D13">
        <x:v>4</x:v>
      </x:c>
      <x:c r="E13">
        <x:v>400</x:v>
      </x:c>
      <x:c r="F13">
        <x:v>0</x:v>
      </x:c>
      <x:c r="G13">
        <x:v>4</x:v>
      </x:c>
    </x:row>
    <x:row r="14" spans="2:7">
      <x:c r="B14">
        <x:v>705</x:v>
      </x:c>
      <x:c r="C14" s="6" t="s">
        <x:v>399</x:v>
      </x:c>
      <x:c r="D14">
        <x:v>6</x:v>
      </x:c>
      <x:c r="E14">
        <x:v>400</x:v>
      </x:c>
      <x:c r="F14">
        <x:v>0</x:v>
      </x:c>
      <x:c r="G14">
        <x:v>4</x:v>
      </x:c>
    </x:row>
    <x:row r="15" spans="2:7">
      <x:c r="B15">
        <x:v>706</x:v>
      </x:c>
      <x:c r="C15" s="6" t="s">
        <x:v>408</x:v>
      </x:c>
      <x:c r="D15">
        <x:v>8</x:v>
      </x:c>
      <x:c r="E15">
        <x:v>400</x:v>
      </x:c>
      <x:c r="F15">
        <x:v>0</x:v>
      </x:c>
      <x:c r="G15">
        <x:v>4</x:v>
      </x:c>
    </x:row>
    <x:row r="16" spans="2:7">
      <x:c r="B16">
        <x:v>707</x:v>
      </x:c>
      <x:c r="C16" s="6" t="s">
        <x:v>401</x:v>
      </x:c>
      <x:c r="D16">
        <x:v>10</x:v>
      </x:c>
      <x:c r="E16">
        <x:v>400</x:v>
      </x:c>
      <x:c r="F16">
        <x:v>0</x:v>
      </x:c>
      <x:c r="G16">
        <x:v>4</x:v>
      </x:c>
    </x:row>
    <x:row r="17" spans="2:7">
      <x:c r="B17">
        <x:v>708</x:v>
      </x:c>
      <x:c r="C17" s="6" t="s">
        <x:v>404</x:v>
      </x:c>
      <x:c r="D17">
        <x:v>12</x:v>
      </x:c>
      <x:c r="E17">
        <x:v>400</x:v>
      </x:c>
      <x:c r="F17">
        <x:v>0</x:v>
      </x:c>
      <x:c r="G17">
        <x:v>4</x:v>
      </x:c>
    </x:row>
    <x:row r="18" spans="2:7">
      <x:c r="B18">
        <x:v>709</x:v>
      </x:c>
      <x:c r="C18" s="6" t="s">
        <x:v>405</x:v>
      </x:c>
      <x:c r="D18">
        <x:v>14</x:v>
      </x:c>
      <x:c r="E18">
        <x:v>400</x:v>
      </x:c>
      <x:c r="F18">
        <x:v>0</x:v>
      </x:c>
      <x:c r="G18">
        <x:v>4</x:v>
      </x:c>
    </x:row>
    <x:row r="19" spans="2:7">
      <x:c r="B19">
        <x:v>710</x:v>
      </x:c>
      <x:c r="C19" s="6" t="s">
        <x:v>406</x:v>
      </x:c>
      <x:c r="D19">
        <x:v>16</x:v>
      </x:c>
      <x:c r="E19">
        <x:v>400</x:v>
      </x:c>
      <x:c r="F19">
        <x:v>0</x:v>
      </x:c>
      <x:c r="G19">
        <x:v>4</x:v>
      </x:c>
    </x:row>
    <x:row r="20" spans="2:7">
      <x:c r="B20">
        <x:v>711</x:v>
      </x:c>
      <x:c r="C20" s="6" t="s">
        <x:v>402</x:v>
      </x:c>
      <x:c r="D20">
        <x:v>-2</x:v>
      </x:c>
      <x:c r="E20">
        <x:v>400</x:v>
      </x:c>
      <x:c r="F20">
        <x:v>0</x:v>
      </x:c>
      <x:c r="G20">
        <x:v>4</x:v>
      </x:c>
    </x:row>
    <x:row r="21" spans="2:7">
      <x:c r="B21">
        <x:v>712</x:v>
      </x:c>
      <x:c r="C21" s="6" t="s">
        <x:v>395</x:v>
      </x:c>
      <x:c r="D21">
        <x:v>-4</x:v>
      </x:c>
      <x:c r="E21">
        <x:v>400</x:v>
      </x:c>
      <x:c r="F21">
        <x:v>0</x:v>
      </x:c>
      <x:c r="G21">
        <x:v>4</x:v>
      </x:c>
    </x:row>
    <x:row r="22" spans="2:7">
      <x:c r="B22">
        <x:v>713</x:v>
      </x:c>
      <x:c r="C22" s="6" t="s">
        <x:v>396</x:v>
      </x:c>
      <x:c r="D22">
        <x:v>-6</x:v>
      </x:c>
      <x:c r="E22">
        <x:v>400</x:v>
      </x:c>
      <x:c r="F22">
        <x:v>0</x:v>
      </x:c>
      <x:c r="G22">
        <x:v>4</x:v>
      </x:c>
    </x:row>
    <x:row r="23" spans="2:7">
      <x:c r="B23">
        <x:v>714</x:v>
      </x:c>
      <x:c r="C23" s="6" t="s">
        <x:v>416</x:v>
      </x:c>
      <x:c r="D23">
        <x:v>-8</x:v>
      </x:c>
      <x:c r="E23">
        <x:v>400</x:v>
      </x:c>
      <x:c r="F23">
        <x:v>0</x:v>
      </x:c>
      <x:c r="G23">
        <x:v>4</x:v>
      </x:c>
    </x:row>
    <x:row r="24" spans="2:7">
      <x:c r="B24">
        <x:v>715</x:v>
      </x:c>
      <x:c r="C24" s="6" t="s">
        <x:v>415</x:v>
      </x:c>
      <x:c r="D24">
        <x:v>-10</x:v>
      </x:c>
      <x:c r="E24">
        <x:v>400</x:v>
      </x:c>
      <x:c r="F24">
        <x:v>0</x:v>
      </x:c>
      <x:c r="G24">
        <x:v>4</x:v>
      </x:c>
    </x:row>
    <x:row r="25" spans="2:7">
      <x:c r="B25">
        <x:v>716</x:v>
      </x:c>
      <x:c r="C25" s="6" t="s">
        <x:v>409</x:v>
      </x:c>
      <x:c r="D25">
        <x:v>-12</x:v>
      </x:c>
      <x:c r="E25">
        <x:v>400</x:v>
      </x:c>
      <x:c r="F25">
        <x:v>0</x:v>
      </x:c>
      <x:c r="G25">
        <x:v>4</x:v>
      </x:c>
    </x:row>
    <x:row r="26" spans="2:7">
      <x:c r="B26">
        <x:v>717</x:v>
      </x:c>
      <x:c r="C26" s="6" t="s">
        <x:v>410</x:v>
      </x:c>
      <x:c r="D26">
        <x:v>-14</x:v>
      </x:c>
      <x:c r="E26">
        <x:v>400</x:v>
      </x:c>
      <x:c r="F26">
        <x:v>0</x:v>
      </x:c>
      <x:c r="G26">
        <x:v>4</x:v>
      </x:c>
    </x:row>
    <x:row r="27" spans="2:7">
      <x:c r="B27">
        <x:v>718</x:v>
      </x:c>
      <x:c r="C27" s="6" t="s">
        <x:v>417</x:v>
      </x:c>
      <x:c r="D27">
        <x:v>-16</x:v>
      </x:c>
      <x:c r="E27">
        <x:v>400</x:v>
      </x:c>
      <x:c r="F27">
        <x:v>0</x:v>
      </x:c>
      <x:c r="G27">
        <x:v>4</x:v>
      </x:c>
    </x:row>
    <x:row r="28" spans="2:7">
      <x:c r="B28">
        <x:v>719</x:v>
      </x:c>
      <x:c r="C28" s="6" t="s">
        <x:v>411</x:v>
      </x:c>
      <x:c r="D28">
        <x:v>0</x:v>
      </x:c>
      <x:c r="E28">
        <x:v>403</x:v>
      </x:c>
      <x:c r="F28">
        <x:v>1</x:v>
      </x:c>
      <x:c r="G28">
        <x:v>5</x:v>
      </x:c>
    </x:row>
    <x:row r="29" spans="2:7">
      <x:c r="B29">
        <x:v>720</x:v>
      </x:c>
      <x:c r="C29" s="6" t="s">
        <x:v>424</x:v>
      </x:c>
      <x:c r="D29">
        <x:v>-35</x:v>
      </x:c>
      <x:c r="E29">
        <x:v>400</x:v>
      </x:c>
      <x:c r="F29">
        <x:v>0</x:v>
      </x:c>
      <x:c r="G29">
        <x:v>4</x:v>
      </x:c>
    </x:row>
    <x:row r="30" spans="2:7">
      <x:c r="B30">
        <x:v>720</x:v>
      </x:c>
      <x:c r="C30" s="6" t="s">
        <x:v>424</x:v>
      </x:c>
      <x:c r="D30">
        <x:v>-25</x:v>
      </x:c>
      <x:c r="E30">
        <x:v>400</x:v>
      </x:c>
      <x:c r="F30">
        <x:v>0</x:v>
      </x:c>
      <x:c r="G30">
        <x:v>4</x:v>
      </x:c>
    </x:row>
    <x:row r="31" spans="2:7">
      <x:c r="B31">
        <x:v>720</x:v>
      </x:c>
      <x:c r="C31" s="6" t="s">
        <x:v>424</x:v>
      </x:c>
      <x:c r="D31">
        <x:v>-15</x:v>
      </x:c>
      <x:c r="E31">
        <x:v>400</x:v>
      </x:c>
      <x:c r="F31">
        <x:v>0</x:v>
      </x:c>
      <x:c r="G31">
        <x:v>4</x:v>
      </x:c>
    </x:row>
    <x:row r="32" spans="2:7">
      <x:c r="B32">
        <x:v>720</x:v>
      </x:c>
      <x:c r="C32" s="6" t="s">
        <x:v>424</x:v>
      </x:c>
      <x:c r="D32">
        <x:v>-5</x:v>
      </x:c>
      <x:c r="E32">
        <x:v>400</x:v>
      </x:c>
      <x:c r="F32">
        <x:v>0</x:v>
      </x:c>
      <x:c r="G32">
        <x:v>4</x:v>
      </x:c>
    </x:row>
    <x:row r="33" spans="2:7">
      <x:c r="B33">
        <x:v>720</x:v>
      </x:c>
      <x:c r="C33" s="6" t="s">
        <x:v>424</x:v>
      </x:c>
      <x:c r="D33">
        <x:v>5</x:v>
      </x:c>
      <x:c r="E33">
        <x:v>400</x:v>
      </x:c>
      <x:c r="F33">
        <x:v>0</x:v>
      </x:c>
      <x:c r="G33">
        <x:v>4</x:v>
      </x:c>
    </x:row>
    <x:row r="34" spans="2:7">
      <x:c r="B34">
        <x:v>720</x:v>
      </x:c>
      <x:c r="C34" s="6" t="s">
        <x:v>424</x:v>
      </x:c>
      <x:c r="D34">
        <x:v>15</x:v>
      </x:c>
      <x:c r="E34">
        <x:v>400</x:v>
      </x:c>
      <x:c r="F34">
        <x:v>0</x:v>
      </x:c>
      <x:c r="G34">
        <x:v>4</x:v>
      </x:c>
    </x:row>
    <x:row r="35" spans="2:7">
      <x:c r="B35">
        <x:v>720</x:v>
      </x:c>
      <x:c r="C35" s="6" t="s">
        <x:v>424</x:v>
      </x:c>
      <x:c r="D35">
        <x:v>25</x:v>
      </x:c>
      <x:c r="E35">
        <x:v>400</x:v>
      </x:c>
      <x:c r="F35">
        <x:v>0</x:v>
      </x:c>
      <x:c r="G35">
        <x:v>4</x:v>
      </x:c>
    </x:row>
    <x:row r="36" spans="2:7">
      <x:c r="B36">
        <x:v>720</x:v>
      </x:c>
      <x:c r="C36" s="6" t="s">
        <x:v>424</x:v>
      </x:c>
      <x:c r="D36">
        <x:v>35</x:v>
      </x:c>
      <x:c r="E36">
        <x:v>400</x:v>
      </x:c>
      <x:c r="F36">
        <x:v>0</x:v>
      </x:c>
      <x:c r="G36">
        <x:v>4</x:v>
      </x:c>
    </x:row>
    <x:row r="37" spans="2:7">
      <x:c r="B37">
        <x:v>721</x:v>
      </x:c>
      <x:c r="C37" s="6" t="s">
        <x:v>270</x:v>
      </x:c>
      <x:c r="D37">
        <x:v>-26</x:v>
      </x:c>
      <x:c r="E37">
        <x:v>402</x:v>
      </x:c>
      <x:c r="F37">
        <x:v>0</x:v>
      </x:c>
      <x:c r="G37">
        <x:v>4</x:v>
      </x:c>
    </x:row>
    <x:row r="38" spans="2:7">
      <x:c r="B38">
        <x:v>721</x:v>
      </x:c>
      <x:c r="C38" s="6" t="s">
        <x:v>270</x:v>
      </x:c>
      <x:c r="D38">
        <x:v>-12</x:v>
      </x:c>
      <x:c r="E38">
        <x:v>402</x:v>
      </x:c>
      <x:c r="F38">
        <x:v>0</x:v>
      </x:c>
      <x:c r="G38">
        <x:v>4</x:v>
      </x:c>
    </x:row>
    <x:row r="39" spans="2:7">
      <x:c r="B39">
        <x:v>721</x:v>
      </x:c>
      <x:c r="C39" s="6" t="s">
        <x:v>270</x:v>
      </x:c>
      <x:c r="D39">
        <x:v>-7</x:v>
      </x:c>
      <x:c r="E39">
        <x:v>402</x:v>
      </x:c>
      <x:c r="F39">
        <x:v>0</x:v>
      </x:c>
      <x:c r="G39">
        <x:v>4</x:v>
      </x:c>
    </x:row>
    <x:row r="40" spans="2:7">
      <x:c r="B40">
        <x:v>721</x:v>
      </x:c>
      <x:c r="C40" s="6" t="s">
        <x:v>270</x:v>
      </x:c>
      <x:c r="D40">
        <x:v>1</x:v>
      </x:c>
      <x:c r="E40">
        <x:v>402</x:v>
      </x:c>
      <x:c r="F40">
        <x:v>0</x:v>
      </x:c>
      <x:c r="G40">
        <x:v>4</x:v>
      </x:c>
    </x:row>
    <x:row r="41" spans="2:7">
      <x:c r="B41">
        <x:v>721</x:v>
      </x:c>
      <x:c r="C41" s="6" t="s">
        <x:v>270</x:v>
      </x:c>
      <x:c r="D41">
        <x:v>5</x:v>
      </x:c>
      <x:c r="E41">
        <x:v>402</x:v>
      </x:c>
      <x:c r="F41">
        <x:v>0</x:v>
      </x:c>
      <x:c r="G41">
        <x:v>4</x:v>
      </x:c>
    </x:row>
    <x:row r="42" spans="2:7">
      <x:c r="B42">
        <x:v>721</x:v>
      </x:c>
      <x:c r="C42" s="6" t="s">
        <x:v>270</x:v>
      </x:c>
      <x:c r="D42">
        <x:v>10</x:v>
      </x:c>
      <x:c r="E42">
        <x:v>402</x:v>
      </x:c>
      <x:c r="F42">
        <x:v>0</x:v>
      </x:c>
      <x:c r="G42">
        <x:v>4</x:v>
      </x:c>
    </x:row>
    <x:row r="43" spans="2:7">
      <x:c r="B43">
        <x:v>721</x:v>
      </x:c>
      <x:c r="C43" s="6" t="s">
        <x:v>270</x:v>
      </x:c>
      <x:c r="D43">
        <x:v>14</x:v>
      </x:c>
      <x:c r="E43">
        <x:v>402</x:v>
      </x:c>
      <x:c r="F43">
        <x:v>0</x:v>
      </x:c>
      <x:c r="G43">
        <x:v>4</x:v>
      </x:c>
    </x:row>
    <x:row r="44" spans="2:7">
      <x:c r="B44">
        <x:v>721</x:v>
      </x:c>
      <x:c r="C44" s="6" t="s">
        <x:v>270</x:v>
      </x:c>
      <x:c r="D44">
        <x:v>22</x:v>
      </x:c>
      <x:c r="E44">
        <x:v>402</x:v>
      </x:c>
      <x:c r="F44">
        <x:v>0</x:v>
      </x:c>
      <x:c r="G44">
        <x:v>4</x:v>
      </x:c>
    </x:row>
    <x:row r="45" spans="2:7">
      <x:c r="B45">
        <x:v>722</x:v>
      </x:c>
      <x:c r="C45" s="6" t="s">
        <x:v>284</x:v>
      </x:c>
      <x:c r="D45">
        <x:v>28</x:v>
      </x:c>
      <x:c r="E45">
        <x:v>402</x:v>
      </x:c>
      <x:c r="F45">
        <x:v>0</x:v>
      </x:c>
      <x:c r="G45">
        <x:v>4</x:v>
      </x:c>
    </x:row>
    <x:row r="46" spans="2:7">
      <x:c r="B46">
        <x:v>722</x:v>
      </x:c>
      <x:c r="C46" s="6" t="s">
        <x:v>284</x:v>
      </x:c>
      <x:c r="D46">
        <x:v>12</x:v>
      </x:c>
      <x:c r="E46">
        <x:v>402</x:v>
      </x:c>
      <x:c r="F46">
        <x:v>0</x:v>
      </x:c>
      <x:c r="G46">
        <x:v>4</x:v>
      </x:c>
    </x:row>
    <x:row r="47" spans="2:7">
      <x:c r="B47">
        <x:v>722</x:v>
      </x:c>
      <x:c r="C47" s="6" t="s">
        <x:v>284</x:v>
      </x:c>
      <x:c r="D47">
        <x:v>0</x:v>
      </x:c>
      <x:c r="E47">
        <x:v>402</x:v>
      </x:c>
      <x:c r="F47">
        <x:v>0</x:v>
      </x:c>
      <x:c r="G47">
        <x:v>4</x:v>
      </x:c>
    </x:row>
    <x:row r="48" spans="2:7">
      <x:c r="B48">
        <x:v>722</x:v>
      </x:c>
      <x:c r="C48" s="6" t="s">
        <x:v>284</x:v>
      </x:c>
      <x:c r="D48">
        <x:v>-21</x:v>
      </x:c>
      <x:c r="E48">
        <x:v>402</x:v>
      </x:c>
      <x:c r="F48">
        <x:v>0</x:v>
      </x:c>
      <x:c r="G48">
        <x:v>4</x:v>
      </x:c>
    </x:row>
    <x:row r="49" spans="2:7">
      <x:c r="B49">
        <x:v>722</x:v>
      </x:c>
      <x:c r="C49" s="6" t="s">
        <x:v>284</x:v>
      </x:c>
      <x:c r="D49">
        <x:v>24</x:v>
      </x:c>
      <x:c r="E49">
        <x:v>402</x:v>
      </x:c>
      <x:c r="F49">
        <x:v>0</x:v>
      </x:c>
      <x:c r="G49">
        <x:v>4</x:v>
      </x:c>
    </x:row>
    <x:row r="50" spans="2:7">
      <x:c r="B50">
        <x:v>722</x:v>
      </x:c>
      <x:c r="C50" s="6" t="s">
        <x:v>284</x:v>
      </x:c>
      <x:c r="D50">
        <x:v>26</x:v>
      </x:c>
      <x:c r="E50">
        <x:v>402</x:v>
      </x:c>
      <x:c r="F50">
        <x:v>0</x:v>
      </x:c>
      <x:c r="G50">
        <x:v>4</x:v>
      </x:c>
    </x:row>
    <x:row r="51" spans="2:7">
      <x:c r="B51">
        <x:v>722</x:v>
      </x:c>
      <x:c r="C51" s="6" t="s">
        <x:v>284</x:v>
      </x:c>
      <x:c r="D51">
        <x:v>-23</x:v>
      </x:c>
      <x:c r="E51">
        <x:v>402</x:v>
      </x:c>
      <x:c r="F51">
        <x:v>0</x:v>
      </x:c>
      <x:c r="G51">
        <x:v>4</x:v>
      </x:c>
    </x:row>
    <x:row r="52" spans="2:7">
      <x:c r="B52">
        <x:v>722</x:v>
      </x:c>
      <x:c r="C52" s="6" t="s">
        <x:v>284</x:v>
      </x:c>
      <x:c r="D52">
        <x:v>-17</x:v>
      </x:c>
      <x:c r="E52">
        <x:v>402</x:v>
      </x:c>
      <x:c r="F52">
        <x:v>0</x:v>
      </x:c>
      <x:c r="G52">
        <x:v>4</x:v>
      </x:c>
    </x:row>
    <x:row r="53" spans="2:7">
      <x:c r="B53">
        <x:v>723</x:v>
      </x:c>
      <x:c r="C53" s="6" t="s">
        <x:v>274</x:v>
      </x:c>
      <x:c r="D53">
        <x:v>-5</x:v>
      </x:c>
      <x:c r="E53">
        <x:v>402</x:v>
      </x:c>
      <x:c r="F53">
        <x:v>0</x:v>
      </x:c>
      <x:c r="G53">
        <x:v>4</x:v>
      </x:c>
    </x:row>
    <x:row r="54" spans="2:7">
      <x:c r="B54">
        <x:v>723</x:v>
      </x:c>
      <x:c r="C54" s="6" t="s">
        <x:v>274</x:v>
      </x:c>
      <x:c r="D54">
        <x:v>-17</x:v>
      </x:c>
      <x:c r="E54">
        <x:v>402</x:v>
      </x:c>
      <x:c r="F54">
        <x:v>0</x:v>
      </x:c>
      <x:c r="G54">
        <x:v>4</x:v>
      </x:c>
    </x:row>
    <x:row r="55" spans="2:7">
      <x:c r="B55">
        <x:v>723</x:v>
      </x:c>
      <x:c r="C55" s="6" t="s">
        <x:v>274</x:v>
      </x:c>
      <x:c r="D55">
        <x:v>-10</x:v>
      </x:c>
      <x:c r="E55">
        <x:v>402</x:v>
      </x:c>
      <x:c r="F55">
        <x:v>0</x:v>
      </x:c>
      <x:c r="G55">
        <x:v>4</x:v>
      </x:c>
    </x:row>
    <x:row r="56" spans="2:7">
      <x:c r="B56">
        <x:v>723</x:v>
      </x:c>
      <x:c r="C56" s="6" t="s">
        <x:v>274</x:v>
      </x:c>
      <x:c r="D56">
        <x:v>3</x:v>
      </x:c>
      <x:c r="E56">
        <x:v>402</x:v>
      </x:c>
      <x:c r="F56">
        <x:v>0</x:v>
      </x:c>
      <x:c r="G56">
        <x:v>4</x:v>
      </x:c>
    </x:row>
    <x:row r="57" spans="2:7">
      <x:c r="B57">
        <x:v>723</x:v>
      </x:c>
      <x:c r="C57" s="6" t="s">
        <x:v>274</x:v>
      </x:c>
      <x:c r="D57">
        <x:v>15</x:v>
      </x:c>
      <x:c r="E57">
        <x:v>402</x:v>
      </x:c>
      <x:c r="F57">
        <x:v>0</x:v>
      </x:c>
      <x:c r="G57">
        <x:v>4</x:v>
      </x:c>
    </x:row>
    <x:row r="58" spans="2:7">
      <x:c r="B58">
        <x:v>723</x:v>
      </x:c>
      <x:c r="C58" s="6" t="s">
        <x:v>274</x:v>
      </x:c>
      <x:c r="D58">
        <x:v>23</x:v>
      </x:c>
      <x:c r="E58">
        <x:v>402</x:v>
      </x:c>
      <x:c r="F58">
        <x:v>0</x:v>
      </x:c>
      <x:c r="G58">
        <x:v>4</x:v>
      </x:c>
    </x:row>
    <x:row r="59" spans="2:7">
      <x:c r="B59">
        <x:v>723</x:v>
      </x:c>
      <x:c r="C59" s="6" t="s">
        <x:v>274</x:v>
      </x:c>
      <x:c r="D59">
        <x:v>-4</x:v>
      </x:c>
      <x:c r="E59">
        <x:v>402</x:v>
      </x:c>
      <x:c r="F59">
        <x:v>0</x:v>
      </x:c>
      <x:c r="G59">
        <x:v>4</x:v>
      </x:c>
    </x:row>
    <x:row r="60" spans="2:7">
      <x:c r="B60">
        <x:v>723</x:v>
      </x:c>
      <x:c r="C60" s="6" t="s">
        <x:v>274</x:v>
      </x:c>
      <x:c r="D60">
        <x:v>-8</x:v>
      </x:c>
      <x:c r="E60">
        <x:v>402</x:v>
      </x:c>
      <x:c r="F60">
        <x:v>0</x:v>
      </x:c>
      <x:c r="G60">
        <x:v>4</x:v>
      </x:c>
    </x:row>
    <x:row r="61" spans="2:7">
      <x:c r="B61">
        <x:v>724</x:v>
      </x:c>
      <x:c r="C61" s="6" t="s">
        <x:v>181</x:v>
      </x:c>
      <x:c r="D61">
        <x:v>-30</x:v>
      </x:c>
      <x:c r="E61">
        <x:v>402</x:v>
      </x:c>
      <x:c r="F61">
        <x:v>0</x:v>
      </x:c>
      <x:c r="G61">
        <x:v>4</x:v>
      </x:c>
    </x:row>
    <x:row r="62" spans="2:7">
      <x:c r="B62">
        <x:v>724</x:v>
      </x:c>
      <x:c r="C62" s="6" t="s">
        <x:v>181</x:v>
      </x:c>
      <x:c r="D62">
        <x:v>0</x:v>
      </x:c>
      <x:c r="E62">
        <x:v>402</x:v>
      </x:c>
      <x:c r="F62">
        <x:v>0</x:v>
      </x:c>
      <x:c r="G62">
        <x:v>4</x:v>
      </x:c>
    </x:row>
    <x:row r="63" spans="2:7">
      <x:c r="B63">
        <x:v>724</x:v>
      </x:c>
      <x:c r="C63" s="6" t="s">
        <x:v>181</x:v>
      </x:c>
      <x:c r="D63">
        <x:v>30</x:v>
      </x:c>
      <x:c r="E63">
        <x:v>402</x:v>
      </x:c>
      <x:c r="F63">
        <x:v>0</x:v>
      </x:c>
      <x:c r="G63">
        <x:v>4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2">
    <x:tabColor rgb="ffdae3f3"/>
  </x:sheetPr>
  <x:dimension ref="B1:G9"/>
  <x:sheetViews>
    <x:sheetView topLeftCell="A1" zoomScaleNormal="75" zoomScaleSheetLayoutView="100" workbookViewId="0">
      <x:selection activeCell="I10" activeCellId="0" sqref="I10:I10"/>
    </x:sheetView>
  </x:sheetViews>
  <x:sheetFormatPr defaultColWidth="8.875" defaultRowHeight="16.39999999999999857891"/>
  <x:cols>
    <x:col min="2" max="2" width="8.625" bestFit="1" customWidth="1"/>
    <x:col min="3" max="3" width="11.375" bestFit="1" customWidth="1"/>
    <x:col min="4" max="4" width="11.625" bestFit="1" customWidth="1"/>
    <x:col min="5" max="5" width="14" bestFit="1" customWidth="1"/>
    <x:col min="6" max="6" width="13.375" bestFit="1" customWidth="1"/>
    <x:col min="7" max="7" width="29.625" customWidth="1"/>
  </x:cols>
  <x:sheetData>
    <x:row r="1" spans="2:7">
      <x:c r="B1" t="s">
        <x:v>55</x:v>
      </x:c>
      <x:c r="C1" t="s">
        <x:v>58</x:v>
      </x:c>
      <x:c r="D1" t="s">
        <x:v>148</x:v>
      </x:c>
      <x:c r="E1" t="s">
        <x:v>111</x:v>
      </x:c>
      <x:c r="F1" t="s">
        <x:v>55</x:v>
      </x:c>
      <x:c r="G1" t="s">
        <x:v>110</x:v>
      </x:c>
    </x:row>
    <x:row r="2" spans="2:7">
      <x:c r="B2" t="s">
        <x:v>86</x:v>
      </x:c>
      <x:c r="C2" s="8" t="s">
        <x:v>52</x:v>
      </x:c>
      <x:c r="D2" t="s">
        <x:v>391</x:v>
      </x:c>
      <x:c r="E2" t="s">
        <x:v>204</x:v>
      </x:c>
      <x:c r="F2" t="s">
        <x:v>360</x:v>
      </x:c>
      <x:c r="G2" t="s">
        <x:v>367</x:v>
      </x:c>
    </x:row>
    <x:row r="3" spans="2:7">
      <x:c r="B3">
        <x:v>200</x:v>
      </x:c>
      <x:c r="C3" s="6" t="s">
        <x:v>48</x:v>
      </x:c>
      <x:c r="D3" t="b">
        <x:v>1</x:v>
      </x:c>
      <x:c r="E3">
        <x:v>0.80000000000000004</x:v>
      </x:c>
      <x:c r="F3">
        <x:v>25</x:v>
      </x:c>
      <x:c r="G3" t="s">
        <x:v>454</x:v>
      </x:c>
    </x:row>
    <x:row r="4" spans="2:7">
      <x:c r="B4">
        <x:v>500</x:v>
      </x:c>
      <x:c r="C4" s="6" t="s">
        <x:v>49</x:v>
      </x:c>
      <x:c r="D4" s="5" t="b">
        <x:v>0</x:v>
      </x:c>
      <x:c r="E4">
        <x:v>1</x:v>
      </x:c>
      <x:c r="F4">
        <x:v>25</x:v>
      </x:c>
      <x:c r="G4" t="s">
        <x:v>452</x:v>
      </x:c>
    </x:row>
    <x:row r="5" spans="2:7">
      <x:c r="B5">
        <x:v>501</x:v>
      </x:c>
      <x:c r="C5" s="6" t="s">
        <x:v>175</x:v>
      </x:c>
      <x:c r="D5" s="5" t="b">
        <x:v>0</x:v>
      </x:c>
      <x:c r="E5">
        <x:v>1</x:v>
      </x:c>
      <x:c r="F5">
        <x:v>25</x:v>
      </x:c>
      <x:c r="G5" t="s">
        <x:v>452</x:v>
      </x:c>
    </x:row>
    <x:row r="6" spans="2:7">
      <x:c r="B6">
        <x:v>400</x:v>
      </x:c>
      <x:c r="C6" s="6" t="s">
        <x:v>149</x:v>
      </x:c>
      <x:c r="D6" s="5" t="b">
        <x:v>0</x:v>
      </x:c>
      <x:c r="E6">
        <x:v>0.25</x:v>
      </x:c>
      <x:c r="F6">
        <x:v>25</x:v>
      </x:c>
      <x:c r="G6" t="s">
        <x:v>452</x:v>
      </x:c>
    </x:row>
    <x:row r="7" spans="2:7">
      <x:c r="B7">
        <x:v>401</x:v>
      </x:c>
      <x:c r="C7" s="6" t="s">
        <x:v>425</x:v>
      </x:c>
      <x:c r="D7" s="5" t="b">
        <x:v>1</x:v>
      </x:c>
      <x:c r="E7">
        <x:v>0.25</x:v>
      </x:c>
      <x:c r="F7">
        <x:v>25</x:v>
      </x:c>
      <x:c r="G7" t="s">
        <x:v>452</x:v>
      </x:c>
    </x:row>
    <x:row r="8" spans="2:7">
      <x:c r="B8">
        <x:v>402</x:v>
      </x:c>
      <x:c r="C8" s="6" t="s">
        <x:v>146</x:v>
      </x:c>
      <x:c r="D8" s="5" t="b">
        <x:v>0</x:v>
      </x:c>
      <x:c r="E8">
        <x:v>0.40000000000000002</x:v>
      </x:c>
      <x:c r="F8">
        <x:v>25</x:v>
      </x:c>
      <x:c r="G8" t="s">
        <x:v>452</x:v>
      </x:c>
    </x:row>
    <x:row r="9" spans="2:7">
      <x:c r="B9">
        <x:v>403</x:v>
      </x:c>
      <x:c r="C9" s="6" t="s">
        <x:v>418</x:v>
      </x:c>
      <x:c r="D9" s="5" t="b">
        <x:v>1</x:v>
      </x:c>
      <x:c r="E9">
        <x:v>0.40000000000000002</x:v>
      </x:c>
      <x:c r="F9">
        <x:v>25</x:v>
      </x:c>
      <x:c r="G9" t="s">
        <x:v>452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>
    <x:tabColor rgb="fffbe5d7"/>
  </x:sheetPr>
  <x:dimension ref="B1:T24"/>
  <x:sheetViews>
    <x:sheetView topLeftCell="A1" zoomScaleNormal="75" zoomScaleSheetLayoutView="100" workbookViewId="0">
      <x:selection activeCell="D39" activeCellId="0" sqref="D39:D39"/>
    </x:sheetView>
  </x:sheetViews>
  <x:sheetFormatPr defaultColWidth="8.875" defaultRowHeight="16.39999999999999857891"/>
  <x:cols>
    <x:col min="2" max="2" width="8.625" bestFit="1" customWidth="1"/>
    <x:col min="3" max="3" width="15.125" customWidth="1"/>
    <x:col min="4" max="4" width="94.75" customWidth="1"/>
    <x:col min="5" max="5" width="13.375" bestFit="1" customWidth="1"/>
    <x:col min="6" max="6" width="18.5" bestFit="1" customWidth="1"/>
    <x:col min="7" max="9" width="18.5" customWidth="1"/>
    <x:col min="10" max="10" width="35.625" bestFit="1" customWidth="1"/>
    <x:col min="11" max="11" width="17.875" bestFit="1" customWidth="1"/>
    <x:col min="13" max="13" width="17.875" customWidth="1"/>
  </x:cols>
  <x:sheetData>
    <x:row r="1" spans="2:11">
      <x:c r="B1" t="s">
        <x:v>60</x:v>
      </x:c>
      <x:c r="C1" t="s">
        <x:v>87</x:v>
      </x:c>
      <x:c r="D1" t="s">
        <x:v>87</x:v>
      </x:c>
      <x:c r="E1" t="s">
        <x:v>87</x:v>
      </x:c>
      <x:c r="F1" t="s">
        <x:v>55</x:v>
      </x:c>
      <x:c r="G1" t="s">
        <x:v>55</x:v>
      </x:c>
      <x:c r="H1" t="s">
        <x:v>55</x:v>
      </x:c>
      <x:c r="I1" t="s">
        <x:v>55</x:v>
      </x:c>
      <x:c r="J1" t="s">
        <x:v>110</x:v>
      </x:c>
      <x:c r="K1" t="s">
        <x:v>58</x:v>
      </x:c>
    </x:row>
    <x:row r="2" spans="2:20">
      <x:c r="B2" t="s">
        <x:v>86</x:v>
      </x:c>
      <x:c r="C2" t="s">
        <x:v>90</x:v>
      </x:c>
      <x:c r="D2" t="s">
        <x:v>192</x:v>
      </x:c>
      <x:c r="E2" t="s">
        <x:v>333</x:v>
      </x:c>
      <x:c r="F2" t="s">
        <x:v>99</x:v>
      </x:c>
      <x:c r="G2" t="s">
        <x:v>103</x:v>
      </x:c>
      <x:c r="H2" t="s">
        <x:v>334</x:v>
      </x:c>
      <x:c r="I2" t="s">
        <x:v>22</x:v>
      </x:c>
      <x:c r="J2" t="s">
        <x:v>234</x:v>
      </x:c>
      <x:c r="K2" s="9" t="s">
        <x:v>441</x:v>
      </x:c>
      <x:c r="L2" s="1" t="s">
        <x:v>58</x:v>
      </x:c>
      <x:c r="M2" t="s">
        <x:v>58</x:v>
      </x:c>
      <x:c r="N2" t="s">
        <x:v>58</x:v>
      </x:c>
      <x:c r="O2" t="s">
        <x:v>58</x:v>
      </x:c>
      <x:c r="P2" t="s">
        <x:v>58</x:v>
      </x:c>
      <x:c r="Q2" t="s">
        <x:v>58</x:v>
      </x:c>
      <x:c r="R2" t="s">
        <x:v>58</x:v>
      </x:c>
      <x:c r="S2" t="s">
        <x:v>58</x:v>
      </x:c>
      <x:c r="T2" t="s">
        <x:v>58</x:v>
      </x:c>
    </x:row>
    <x:row r="3" spans="2:11">
      <x:c r="B3">
        <x:f t="array" ref="B3: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x:f>
        <x:v>10</x:v>
      </x:c>
      <x:c r="E3" t="s">
        <x:v>57</x:v>
      </x:c>
      <x:c r="F3">
        <x:v>25</x:v>
      </x:c>
      <x:c r="G3">
        <x:f>INDEX(아이템가격[],MATCH(MID(ItemTable[[#Headers],[CostHp]],5,10),아이템가격[재화],0),MATCH(ItemTable[[#This Row],[GradeType]],아이템가격[#Headers],0))*ItemTable[[#This Row],[Value]]</x:f>
        <x:v>0</x:v>
      </x:c>
      <x:c r="H3">
        <x:v>10</x:v>
      </x:c>
      <x:c r="I3">
        <x:f t="array" ref="I3:I3">_xlfn.IFS(OR(ItemTable[[#This Row],[GradeType]]="Hp",ItemTable[[#This Row],[GradeType]]="Gold"),0,TRUE,5000+ItemTable[[#This Row],[Index]])</x:f>
        <x:v>0</x:v>
      </x:c>
      <x:c r="K3" s="6" t="e">
        <x:f>MID(ItemTable[[#This Row],[ItemIconPath]],FIND("icon",ItemTable[[#This Row],[ItemIconPath]]),999)</x:f>
        <x:v>#VALUE!</x:v>
      </x:c>
    </x:row>
    <x:row r="4" spans="2:11">
      <x:c r="B4">
        <x:f t="array" ref="B4: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x:f>
        <x:v>11</x:v>
      </x:c>
      <x:c r="E4" t="s">
        <x:v>57</x:v>
      </x:c>
      <x:c r="F4">
        <x:v>50</x:v>
      </x:c>
      <x:c r="G4">
        <x:f>INDEX(아이템가격[],MATCH(MID(ItemTable[[#Headers],[CostHp]],5,10),아이템가격[재화],0),MATCH(ItemTable[[#This Row],[GradeType]],아이템가격[#Headers],0))*ItemTable[[#This Row],[Value]]</x:f>
        <x:v>0</x:v>
      </x:c>
      <x:c r="H4">
        <x:v>20</x:v>
      </x:c>
      <x:c r="I4">
        <x:f t="array" ref="I4:I4">_xlfn.IFS(OR(ItemTable[[#This Row],[GradeType]]="Hp",ItemTable[[#This Row],[GradeType]]="Gold"),0,TRUE,5000+ItemTable[[#This Row],[Index]])</x:f>
        <x:v>0</x:v>
      </x:c>
      <x:c r="K4" s="6" t="e">
        <x:f>MID(ItemTable[[#This Row],[ItemIconPath]],FIND("icon",ItemTable[[#This Row],[ItemIconPath]]),999)</x:f>
        <x:v>#VALUE!</x:v>
      </x:c>
    </x:row>
    <x:row r="5" spans="2:11">
      <x:c r="B5">
        <x:f t="array" ref="B5: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x:f>
        <x:v>20</x:v>
      </x:c>
      <x:c r="E5" t="s">
        <x:v>104</x:v>
      </x:c>
      <x:c r="F5">
        <x:v>15</x:v>
      </x:c>
      <x:c r="G5">
        <x:v>25</x:v>
      </x:c>
      <x:c r="H5">
        <x:f>INDEX(아이템가격[],MATCH(MID(ItemTable[[#Headers],[CostGold]],5,10),아이템가격[재화],0),MATCH(ItemTable[[#This Row],[GradeType]],아이템가격[#Headers],0))*ItemTable[[#This Row],[Value]]</x:f>
        <x:v>0</x:v>
      </x:c>
      <x:c r="I5">
        <x:f t="array" ref="I5:I5">_xlfn.IFS(OR(ItemTable[[#This Row],[GradeType]]="Hp",ItemTable[[#This Row],[GradeType]]="Gold"),0,TRUE,5000+ItemTable[[#This Row],[Index]])</x:f>
        <x:v>0</x:v>
      </x:c>
      <x:c r="J5" t="s">
        <x:v>42</x:v>
      </x:c>
      <x:c r="K5" s="6" t="str">
        <x:f>MID(ItemTable[[#This Row],[ItemIconPath]],FIND("icon",ItemTable[[#This Row],[ItemIconPath]]),999)</x:f>
        <x:v>icon/item/coin.png</x:v>
      </x:c>
    </x:row>
    <x:row r="6" spans="2:11">
      <x:c r="B6">
        <x:f t="array" ref="B6: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x:f>
        <x:v>21</x:v>
      </x:c>
      <x:c r="E6" t="s">
        <x:v>104</x:v>
      </x:c>
      <x:c r="F6">
        <x:v>30</x:v>
      </x:c>
      <x:c r="G6">
        <x:v>50</x:v>
      </x:c>
      <x:c r="H6">
        <x:f>INDEX(아이템가격[],MATCH(MID(ItemTable[[#Headers],[CostGold]],5,10),아이템가격[재화],0),MATCH(ItemTable[[#This Row],[GradeType]],아이템가격[#Headers],0))*ItemTable[[#This Row],[Value]]</x:f>
        <x:v>0</x:v>
      </x:c>
      <x:c r="I6">
        <x:f t="array" ref="I6:I6">_xlfn.IFS(OR(ItemTable[[#This Row],[GradeType]]="Hp",ItemTable[[#This Row],[GradeType]]="Gold"),0,TRUE,5000+ItemTable[[#This Row],[Index]])</x:f>
        <x:v>0</x:v>
      </x:c>
      <x:c r="J6" t="s">
        <x:v>42</x:v>
      </x:c>
      <x:c r="K6" s="6" t="str">
        <x:f>MID(ItemTable[[#This Row],[ItemIconPath]],FIND("icon",ItemTable[[#This Row],[ItemIconPath]]),999)</x:f>
        <x:v>icon/item/coin.png</x:v>
      </x:c>
    </x:row>
    <x:row r="7" spans="2:11">
      <x:c r="B7">
        <x:f t="array" ref="B7: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x:f>
        <x:v>22</x:v>
      </x:c>
      <x:c r="E7" t="s">
        <x:v>104</x:v>
      </x:c>
      <x:c r="F7">
        <x:v>45</x:v>
      </x:c>
      <x:c r="G7">
        <x:v>75</x:v>
      </x:c>
      <x:c r="H7">
        <x:f>INDEX(아이템가격[],MATCH(MID(ItemTable[[#Headers],[CostGold]],5,10),아이템가격[재화],0),MATCH(ItemTable[[#This Row],[GradeType]],아이템가격[#Headers],0))*ItemTable[[#This Row],[Value]]</x:f>
        <x:v>0</x:v>
      </x:c>
      <x:c r="I7">
        <x:f t="array" ref="I7:I7">_xlfn.IFS(OR(ItemTable[[#This Row],[GradeType]]="Hp",ItemTable[[#This Row],[GradeType]]="Gold"),0,TRUE,5000+ItemTable[[#This Row],[Index]])</x:f>
        <x:v>0</x:v>
      </x:c>
      <x:c r="J7" t="s">
        <x:v>42</x:v>
      </x:c>
      <x:c r="K7" s="6" t="str">
        <x:f>MID(ItemTable[[#This Row],[ItemIconPath]],FIND("icon",ItemTable[[#This Row],[ItemIconPath]]),999)</x:f>
        <x:v>icon/item/coin.png</x:v>
      </x:c>
    </x:row>
    <x:row r="8" spans="2:18">
      <x:c r="B8">
        <x:f t="array" ref="B8: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x:f>
        <x:v>2000</x:v>
      </x:c>
      <x:c r="C8" t="s">
        <x:v>422</x:v>
      </x:c>
      <x:c r="D8" t="s">
        <x:v>194</x:v>
      </x:c>
      <x:c r="E8" t="s">
        <x:v>91</x:v>
      </x:c>
      <x:c r="F8">
        <x:v>1</x:v>
      </x:c>
      <x:c r="G8">
        <x:f t="array" ref="G8:G8">_xlfn.IFS(ItemTable[[#This Row],[GradeType]]="Normal",25,ItemTable[[#This Row],[GradeType]]="Cursed",50,ItemTable[[#This Row],[GradeType]]="Rare",50)</x:f>
        <x:v>25</x:v>
      </x:c>
      <x:c r="H8">
        <x:v>10</x:v>
      </x:c>
      <x:c r="I8">
        <x:f t="array" ref="I8:I8">_xlfn.IFS(OR(ItemTable[[#This Row],[GradeType]]="Hp",ItemTable[[#This Row],[GradeType]]="Gold"),0,TRUE,5000+ItemTable[[#This Row],[Index]])</x:f>
        <x:v>7000</x:v>
      </x:c>
      <x:c r="J8" t="s">
        <x:v>299</x:v>
      </x:c>
      <x:c r="K8" s="6" t="str">
        <x:f>MID(ItemTable[[#This Row],[ItemIconPath]],FIND("icon",ItemTable[[#This Row],[ItemIconPath]]),999)</x:f>
        <x:v>icon/item/item_02.png</x:v>
      </x:c>
      <x:c r="M8" t="s">
        <x:v>443</x:v>
      </x:c>
      <x:c r="R8" t="e">
        <x:f>_xlfn.CONCAT(_xlfn.CONCAT(ItemTable[[#This Row],[Desc]],"\n\n","&lt;size=24&gt;&lt;color=#97C456&gt;",M8,"&lt;/color&gt;&lt;/size&gt;"),IF(ISBLANK(N8),"",_xlfn.CONCAT("\n","&lt;size=24&gt;&lt;color=#FF6A6A&gt;",N8,"&lt;/color&gt;&lt;/size&gt;")))</x:f>
        <x:v>#VALUE!</x:v>
      </x:c>
    </x:row>
    <x:row r="9" spans="2:18">
      <x:c r="B9">
        <x:f t="array" ref="B9: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x:f>
        <x:v>2001</x:v>
      </x:c>
      <x:c r="C9" t="s">
        <x:v>183</x:v>
      </x:c>
      <x:c r="D9" t="s">
        <x:v>198</x:v>
      </x:c>
      <x:c r="E9" t="s">
        <x:v>91</x:v>
      </x:c>
      <x:c r="F9">
        <x:v>1</x:v>
      </x:c>
      <x:c r="G9">
        <x:f t="array" ref="G9:G9">_xlfn.IFS(ItemTable[[#This Row],[GradeType]]="Normal",25,ItemTable[[#This Row],[GradeType]]="Cursed",50,ItemTable[[#This Row],[GradeType]]="Rare",50)</x:f>
        <x:v>25</x:v>
      </x:c>
      <x:c r="H9">
        <x:v>10</x:v>
      </x:c>
      <x:c r="I9">
        <x:f t="array" ref="I9:I9">_xlfn.IFS(OR(ItemTable[[#This Row],[GradeType]]="Hp",ItemTable[[#This Row],[GradeType]]="Gold"),0,TRUE,5000+ItemTable[[#This Row],[Index]])</x:f>
        <x:v>7001</x:v>
      </x:c>
      <x:c r="J9" t="s">
        <x:v>302</x:v>
      </x:c>
      <x:c r="K9" s="6" t="str">
        <x:f>MID(ItemTable[[#This Row],[ItemIconPath]],FIND("icon",ItemTable[[#This Row],[ItemIconPath]]),999)</x:f>
        <x:v>icon/item/item_04.png</x:v>
      </x:c>
      <x:c r="M9" t="s">
        <x:v>450</x:v>
      </x:c>
      <x:c r="R9" t="e">
        <x:f>_xlfn.CONCAT(_xlfn.CONCAT(ItemTable[[#This Row],[Desc]],"\n\n","&lt;size=24&gt;&lt;color=#97C456&gt;",M9,"&lt;/color&gt;&lt;/size&gt;"),IF(ISBLANK(N9),"",_xlfn.CONCAT("\n","&lt;size=24&gt;&lt;color=#FF6A6A&gt;",N9,"&lt;/color&gt;&lt;/size&gt;")))</x:f>
        <x:v>#VALUE!</x:v>
      </x:c>
    </x:row>
    <x:row r="10" spans="2:18">
      <x:c r="B10">
        <x:f t="array" ref="B10: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x:f>
        <x:v>2002</x:v>
      </x:c>
      <x:c r="C10" t="s">
        <x:v>186</x:v>
      </x:c>
      <x:c r="D10" t="s">
        <x:v>195</x:v>
      </x:c>
      <x:c r="E10" t="s">
        <x:v>91</x:v>
      </x:c>
      <x:c r="F10">
        <x:v>1</x:v>
      </x:c>
      <x:c r="G10">
        <x:f t="array" ref="G10:G10">_xlfn.IFS(ItemTable[[#This Row],[GradeType]]="Normal",25,ItemTable[[#This Row],[GradeType]]="Cursed",50,ItemTable[[#This Row],[GradeType]]="Rare",50)</x:f>
        <x:v>25</x:v>
      </x:c>
      <x:c r="H10">
        <x:v>10</x:v>
      </x:c>
      <x:c r="I10">
        <x:f t="array" ref="I10:I10">_xlfn.IFS(OR(ItemTable[[#This Row],[GradeType]]="Hp",ItemTable[[#This Row],[GradeType]]="Gold"),0,TRUE,5000+ItemTable[[#This Row],[Index]])</x:f>
        <x:v>7002</x:v>
      </x:c>
      <x:c r="J10" t="s">
        <x:v>296</x:v>
      </x:c>
      <x:c r="K10" s="6" t="str">
        <x:f>MID(ItemTable[[#This Row],[ItemIconPath]],FIND("icon",ItemTable[[#This Row],[ItemIconPath]]),999)</x:f>
        <x:v>icon/item/item_05.png</x:v>
      </x:c>
      <x:c r="M10" t="s">
        <x:v>438</x:v>
      </x:c>
      <x:c r="R10" t="e">
        <x:f>_xlfn.CONCAT(_xlfn.CONCAT(ItemTable[[#This Row],[Desc]],"\n\n","&lt;size=24&gt;&lt;color=#97C456&gt;",M10,"&lt;/color&gt;&lt;/size&gt;"),IF(ISBLANK(N10),"",_xlfn.CONCAT("\n","&lt;size=24&gt;&lt;color=#FF6A6A&gt;",N10,"&lt;/color&gt;&lt;/size&gt;")))</x:f>
        <x:v>#VALUE!</x:v>
      </x:c>
    </x:row>
    <x:row r="11" spans="2:18">
      <x:c r="B11">
        <x:f t="array" ref="B11: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x:f>
        <x:v>2003</x:v>
      </x:c>
      <x:c r="C11" t="s">
        <x:v>185</x:v>
      </x:c>
      <x:c r="D11" t="s">
        <x:v>219</x:v>
      </x:c>
      <x:c r="E11" t="s">
        <x:v>91</x:v>
      </x:c>
      <x:c r="F11">
        <x:v>1</x:v>
      </x:c>
      <x:c r="G11">
        <x:f t="array" ref="G11:G11">_xlfn.IFS(ItemTable[[#This Row],[GradeType]]="Normal",25,ItemTable[[#This Row],[GradeType]]="Cursed",50,ItemTable[[#This Row],[GradeType]]="Rare",50)</x:f>
        <x:v>25</x:v>
      </x:c>
      <x:c r="H11">
        <x:v>10</x:v>
      </x:c>
      <x:c r="I11">
        <x:f t="array" ref="I11:I11">_xlfn.IFS(OR(ItemTable[[#This Row],[GradeType]]="Hp",ItemTable[[#This Row],[GradeType]]="Gold"),0,TRUE,5000+ItemTable[[#This Row],[Index]])</x:f>
        <x:v>7003</x:v>
      </x:c>
      <x:c r="J11" t="s">
        <x:v>294</x:v>
      </x:c>
      <x:c r="K11" s="6" t="str">
        <x:f>MID(ItemTable[[#This Row],[ItemIconPath]],FIND("icon",ItemTable[[#This Row],[ItemIconPath]]),999)</x:f>
        <x:v>icon/item/item_07.png</x:v>
      </x:c>
      <x:c r="M11" t="s">
        <x:v>437</x:v>
      </x:c>
      <x:c r="R11" t="e">
        <x:f>_xlfn.CONCAT(_xlfn.CONCAT(ItemTable[[#This Row],[Desc]],"\n\n","&lt;size=24&gt;&lt;color=#97C456&gt;",M11,"&lt;/color&gt;&lt;/size&gt;"),IF(ISBLANK(N11),"",_xlfn.CONCAT("\n","&lt;size=24&gt;&lt;color=#FF6A6A&gt;",N11,"&lt;/color&gt;&lt;/size&gt;")))</x:f>
        <x:v>#VALUE!</x:v>
      </x:c>
    </x:row>
    <x:row r="12" spans="2:18">
      <x:c r="B12">
        <x:f t="array" ref="B12: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x:f>
        <x:v>2004</x:v>
      </x:c>
      <x:c r="C12" t="s">
        <x:v>180</x:v>
      </x:c>
      <x:c r="D12" s="26" t="s">
        <x:v>196</x:v>
      </x:c>
      <x:c r="E12" t="s">
        <x:v>91</x:v>
      </x:c>
      <x:c r="F12">
        <x:v>1</x:v>
      </x:c>
      <x:c r="G12">
        <x:f t="array" ref="G12:G12">_xlfn.IFS(ItemTable[[#This Row],[GradeType]]="Normal",25,ItemTable[[#This Row],[GradeType]]="Cursed",50,ItemTable[[#This Row],[GradeType]]="Rare",50)</x:f>
        <x:v>25</x:v>
      </x:c>
      <x:c r="H12">
        <x:v>10</x:v>
      </x:c>
      <x:c r="I12">
        <x:f t="array" ref="I12:I12">_xlfn.IFS(OR(ItemTable[[#This Row],[GradeType]]="Hp",ItemTable[[#This Row],[GradeType]]="Gold"),0,TRUE,5000+ItemTable[[#This Row],[Index]])</x:f>
        <x:v>7004</x:v>
      </x:c>
      <x:c r="J12" t="s">
        <x:v>297</x:v>
      </x:c>
      <x:c r="K12" s="6" t="str">
        <x:f>MID(ItemTable[[#This Row],[ItemIconPath]],FIND("icon",ItemTable[[#This Row],[ItemIconPath]]),999)</x:f>
        <x:v>icon/item/item_11.png</x:v>
      </x:c>
      <x:c r="M12" t="s">
        <x:v>436</x:v>
      </x:c>
      <x:c r="R12" t="e">
        <x:f>_xlfn.CONCAT(_xlfn.CONCAT(ItemTable[[#This Row],[Desc]],"\n\n","&lt;size=24&gt;&lt;color=#97C456&gt;",M12,"&lt;/color&gt;&lt;/size&gt;"),IF(ISBLANK(N12),"",_xlfn.CONCAT("\n","&lt;size=24&gt;&lt;color=#FF6A6A&gt;",N12,"&lt;/color&gt;&lt;/size&gt;")))</x:f>
        <x:v>#VALUE!</x:v>
      </x:c>
    </x:row>
    <x:row r="13" spans="2:18">
      <x:c r="B13">
        <x:f t="array" ref="B13: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x:f>
        <x:v>2005</x:v>
      </x:c>
      <x:c r="C13" t="s">
        <x:v>190</x:v>
      </x:c>
      <x:c r="D13" t="s">
        <x:v>197</x:v>
      </x:c>
      <x:c r="E13" t="s">
        <x:v>91</x:v>
      </x:c>
      <x:c r="F13">
        <x:v>1</x:v>
      </x:c>
      <x:c r="G13">
        <x:f t="array" ref="G13:G13">_xlfn.IFS(ItemTable[[#This Row],[GradeType]]="Normal",25,ItemTable[[#This Row],[GradeType]]="Cursed",50,ItemTable[[#This Row],[GradeType]]="Rare",50)</x:f>
        <x:v>25</x:v>
      </x:c>
      <x:c r="H13">
        <x:v>10</x:v>
      </x:c>
      <x:c r="I13">
        <x:f t="array" ref="I13:I13">_xlfn.IFS(OR(ItemTable[[#This Row],[GradeType]]="Hp",ItemTable[[#This Row],[GradeType]]="Gold"),0,TRUE,5000+ItemTable[[#This Row],[Index]])</x:f>
        <x:v>7005</x:v>
      </x:c>
      <x:c r="J13" t="s">
        <x:v>298</x:v>
      </x:c>
      <x:c r="K13" s="6" t="str">
        <x:f>MID(ItemTable[[#This Row],[ItemIconPath]],FIND("icon",ItemTable[[#This Row],[ItemIconPath]]),999)</x:f>
        <x:v>icon/item/item_15.png</x:v>
      </x:c>
      <x:c r="M13" t="s">
        <x:v>434</x:v>
      </x:c>
      <x:c r="R13" t="e">
        <x:f>_xlfn.CONCAT(_xlfn.CONCAT(ItemTable[[#This Row],[Desc]],"\n\n","&lt;size=24&gt;&lt;color=#97C456&gt;",M13,"&lt;/color&gt;&lt;/size&gt;"),IF(ISBLANK(N13),"",_xlfn.CONCAT("\n","&lt;size=24&gt;&lt;color=#FF6A6A&gt;",N13,"&lt;/color&gt;&lt;/size&gt;")))</x:f>
        <x:v>#VALUE!</x:v>
      </x:c>
    </x:row>
    <x:row r="14" spans="2:18">
      <x:c r="B14">
        <x:f t="array" ref="B14: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x:f>
        <x:v>3000</x:v>
      </x:c>
      <x:c r="C14" t="s">
        <x:v>69</x:v>
      </x:c>
      <x:c r="D14" s="26" t="s">
        <x:v>5</x:v>
      </x:c>
      <x:c r="E14" t="s">
        <x:v>92</x:v>
      </x:c>
      <x:c r="F14">
        <x:v>1</x:v>
      </x:c>
      <x:c r="G14">
        <x:f t="array" ref="G14:G14">_xlfn.IFS(ItemTable[[#This Row],[GradeType]]="Normal",25,ItemTable[[#This Row],[GradeType]]="Cursed",50,ItemTable[[#This Row],[GradeType]]="Rare",50)</x:f>
        <x:v>50</x:v>
      </x:c>
      <x:c r="H14">
        <x:v>20</x:v>
      </x:c>
      <x:c r="I14">
        <x:f t="array" ref="I14:I14">_xlfn.IFS(OR(ItemTable[[#This Row],[GradeType]]="Hp",ItemTable[[#This Row],[GradeType]]="Gold"),0,TRUE,5000+ItemTable[[#This Row],[Index]])</x:f>
        <x:v>8000</x:v>
      </x:c>
      <x:c r="J14" t="s">
        <x:v>300</x:v>
      </x:c>
      <x:c r="K14" s="6" t="str">
        <x:f>MID(ItemTable[[#This Row],[ItemIconPath]],FIND("icon",ItemTable[[#This Row],[ItemIconPath]]),999)</x:f>
        <x:v>icon/item/item_17.png</x:v>
      </x:c>
      <x:c r="M14" t="s">
        <x:v>322</x:v>
      </x:c>
      <x:c r="R14" t="e">
        <x:f>_xlfn.CONCAT(_xlfn.CONCAT(ItemTable[[#This Row],[Desc]],"\n\n","&lt;size=24&gt;&lt;color=#97C456&gt;",M14,"&lt;/color&gt;&lt;/size&gt;"),IF(ISBLANK(N14),"",_xlfn.CONCAT("\n","&lt;size=24&gt;&lt;color=#FF6A6A&gt;",N14,"&lt;/color&gt;&lt;/size&gt;")))</x:f>
        <x:v>#VALUE!</x:v>
      </x:c>
    </x:row>
    <x:row r="15" spans="2:18">
      <x:c r="B15">
        <x:f t="array" ref="B15: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x:f>
        <x:v>3001</x:v>
      </x:c>
      <x:c r="C15" t="s">
        <x:v>189</x:v>
      </x:c>
      <x:c r="D15" t="s">
        <x:v>199</x:v>
      </x:c>
      <x:c r="E15" t="s">
        <x:v>92</x:v>
      </x:c>
      <x:c r="F15">
        <x:v>1</x:v>
      </x:c>
      <x:c r="G15">
        <x:f t="array" ref="G15:G15">_xlfn.IFS(ItemTable[[#This Row],[GradeType]]="Normal",25,ItemTable[[#This Row],[GradeType]]="Cursed",50,ItemTable[[#This Row],[GradeType]]="Rare",50)</x:f>
        <x:v>50</x:v>
      </x:c>
      <x:c r="H15">
        <x:v>20</x:v>
      </x:c>
      <x:c r="I15">
        <x:f t="array" ref="I15:I15">_xlfn.IFS(OR(ItemTable[[#This Row],[GradeType]]="Hp",ItemTable[[#This Row],[GradeType]]="Gold"),0,TRUE,5000+ItemTable[[#This Row],[Index]])</x:f>
        <x:v>8001</x:v>
      </x:c>
      <x:c r="J15" t="s">
        <x:v>303</x:v>
      </x:c>
      <x:c r="K15" s="6" t="str">
        <x:f>MID(ItemTable[[#This Row],[ItemIconPath]],FIND("icon",ItemTable[[#This Row],[ItemIconPath]]),999)</x:f>
        <x:v>icon/item/item_12.png</x:v>
      </x:c>
      <x:c r="M15" t="s">
        <x:v>44</x:v>
      </x:c>
      <x:c r="R15" t="e">
        <x:f>_xlfn.CONCAT(_xlfn.CONCAT(ItemTable[[#This Row],[Desc]],"\n\n","&lt;size=24&gt;&lt;color=#97C456&gt;",M15,"&lt;/color&gt;&lt;/size&gt;"),IF(ISBLANK(N15),"",_xlfn.CONCAT("\n","&lt;size=24&gt;&lt;color=#FF6A6A&gt;",N15,"&lt;/color&gt;&lt;/size&gt;")))</x:f>
        <x:v>#VALUE!</x:v>
      </x:c>
    </x:row>
    <x:row r="16" spans="2:18">
      <x:c r="B16">
        <x:f t="array" ref="B16: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x:f>
        <x:v>3002</x:v>
      </x:c>
      <x:c r="C16" t="s">
        <x:v>71</x:v>
      </x:c>
      <x:c r="D16" t="s">
        <x:v>0</x:v>
      </x:c>
      <x:c r="E16" t="s">
        <x:v>92</x:v>
      </x:c>
      <x:c r="F16">
        <x:v>1</x:v>
      </x:c>
      <x:c r="G16">
        <x:f t="array" ref="G16:G16">_xlfn.IFS(ItemTable[[#This Row],[GradeType]]="Normal",25,ItemTable[[#This Row],[GradeType]]="Cursed",50,ItemTable[[#This Row],[GradeType]]="Rare",50)</x:f>
        <x:v>50</x:v>
      </x:c>
      <x:c r="H16">
        <x:v>20</x:v>
      </x:c>
      <x:c r="I16">
        <x:f t="array" ref="I16:I16">_xlfn.IFS(OR(ItemTable[[#This Row],[GradeType]]="Hp",ItemTable[[#This Row],[GradeType]]="Gold"),0,TRUE,5000+ItemTable[[#This Row],[Index]])</x:f>
        <x:v>8002</x:v>
      </x:c>
      <x:c r="J16" t="s">
        <x:v>305</x:v>
      </x:c>
      <x:c r="K16" s="6" t="str">
        <x:f>MID(ItemTable[[#This Row],[ItemIconPath]],FIND("icon",ItemTable[[#This Row],[ItemIconPath]]),999)</x:f>
        <x:v>icon/item/item_09.png</x:v>
      </x:c>
      <x:c r="M16" t="s">
        <x:v>455</x:v>
      </x:c>
      <x:c r="R16" t="e">
        <x:f>_xlfn.CONCAT(_xlfn.CONCAT(ItemTable[[#This Row],[Desc]],"\n\n","&lt;size=24&gt;&lt;color=#97C456&gt;",M16,"&lt;/color&gt;&lt;/size&gt;"),IF(ISBLANK(N16),"",_xlfn.CONCAT("\n","&lt;size=24&gt;&lt;color=#FF6A6A&gt;",N16,"&lt;/color&gt;&lt;/size&gt;")))</x:f>
        <x:v>#VALUE!</x:v>
      </x:c>
    </x:row>
    <x:row r="17" spans="2:18">
      <x:c r="B17">
        <x:f t="array" ref="B17: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x:f>
        <x:v>3003</x:v>
      </x:c>
      <x:c r="C17" t="s">
        <x:v>419</x:v>
      </x:c>
      <x:c r="D17" t="s">
        <x:v>1</x:v>
      </x:c>
      <x:c r="E17" t="s">
        <x:v>92</x:v>
      </x:c>
      <x:c r="F17">
        <x:v>1</x:v>
      </x:c>
      <x:c r="G17">
        <x:f t="array" ref="G17:G17">_xlfn.IFS(ItemTable[[#This Row],[GradeType]]="Normal",25,ItemTable[[#This Row],[GradeType]]="Cursed",50,ItemTable[[#This Row],[GradeType]]="Rare",50)</x:f>
        <x:v>50</x:v>
      </x:c>
      <x:c r="H17">
        <x:v>20</x:v>
      </x:c>
      <x:c r="I17">
        <x:f t="array" ref="I17:I17">_xlfn.IFS(OR(ItemTable[[#This Row],[GradeType]]="Hp",ItemTable[[#This Row],[GradeType]]="Gold"),0,TRUE,5000+ItemTable[[#This Row],[Index]])</x:f>
        <x:v>8003</x:v>
      </x:c>
      <x:c r="J17" t="s">
        <x:v>306</x:v>
      </x:c>
      <x:c r="K17" s="6" t="str">
        <x:f>MID(ItemTable[[#This Row],[ItemIconPath]],FIND("icon",ItemTable[[#This Row],[ItemIconPath]]),999)</x:f>
        <x:v>icon/item/item_10.png</x:v>
      </x:c>
      <x:c r="M17" t="s">
        <x:v>433</x:v>
      </x:c>
      <x:c r="R17" t="e">
        <x:f>_xlfn.CONCAT(_xlfn.CONCAT(ItemTable[[#This Row],[Desc]],"\n\n","&lt;size=24&gt;&lt;color=#97C456&gt;",M17,"&lt;/color&gt;&lt;/size&gt;"),IF(ISBLANK(N17),"",_xlfn.CONCAT("\n","&lt;size=24&gt;&lt;color=#FF6A6A&gt;",N17,"&lt;/color&gt;&lt;/size&gt;")))</x:f>
        <x:v>#VALUE!</x:v>
      </x:c>
    </x:row>
    <x:row r="18" spans="2:18">
      <x:c r="B18">
        <x:f t="array" ref="B18: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x:f>
        <x:v>3004</x:v>
      </x:c>
      <x:c r="C18" t="s">
        <x:v>440</x:v>
      </x:c>
      <x:c r="D18" t="s">
        <x:v>217</x:v>
      </x:c>
      <x:c r="E18" t="s">
        <x:v>92</x:v>
      </x:c>
      <x:c r="F18">
        <x:v>1</x:v>
      </x:c>
      <x:c r="G18">
        <x:f t="array" ref="G18:G18">_xlfn.IFS(ItemTable[[#This Row],[GradeType]]="Normal",25,ItemTable[[#This Row],[GradeType]]="Cursed",50,ItemTable[[#This Row],[GradeType]]="Rare",50)</x:f>
        <x:v>50</x:v>
      </x:c>
      <x:c r="H18">
        <x:v>20</x:v>
      </x:c>
      <x:c r="I18">
        <x:f t="array" ref="I18:I18">_xlfn.IFS(OR(ItemTable[[#This Row],[GradeType]]="Hp",ItemTable[[#This Row],[GradeType]]="Gold"),0,TRUE,5000+ItemTable[[#This Row],[Index]])</x:f>
        <x:v>8004</x:v>
      </x:c>
      <x:c r="J18" t="s">
        <x:v>307</x:v>
      </x:c>
      <x:c r="K18" s="6" t="str">
        <x:f>MID(ItemTable[[#This Row],[ItemIconPath]],FIND("icon",ItemTable[[#This Row],[ItemIconPath]]),999)</x:f>
        <x:v>icon/item/item_16.png</x:v>
      </x:c>
      <x:c r="M18" t="s">
        <x:v>435</x:v>
      </x:c>
      <x:c r="R18" t="e">
        <x:f>_xlfn.CONCAT(_xlfn.CONCAT(ItemTable[[#This Row],[Desc]],"\n\n","&lt;size=24&gt;&lt;color=#97C456&gt;",M18,"&lt;/color&gt;&lt;/size&gt;"),IF(ISBLANK(N18),"",_xlfn.CONCAT("\n","&lt;size=24&gt;&lt;color=#FF6A6A&gt;",N18,"&lt;/color&gt;&lt;/size&gt;")))</x:f>
        <x:v>#VALUE!</x:v>
      </x:c>
    </x:row>
    <x:row r="19" spans="2:18">
      <x:c r="B19">
        <x:f t="array" ref="B19: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x:f>
        <x:v>3005</x:v>
      </x:c>
      <x:c r="C19" t="s">
        <x:v>193</x:v>
      </x:c>
      <x:c r="D19" t="s">
        <x:v>216</x:v>
      </x:c>
      <x:c r="E19" t="s">
        <x:v>92</x:v>
      </x:c>
      <x:c r="F19">
        <x:v>1</x:v>
      </x:c>
      <x:c r="G19">
        <x:f t="array" ref="G19:G19">_xlfn.IFS(ItemTable[[#This Row],[GradeType]]="Normal",25,ItemTable[[#This Row],[GradeType]]="Cursed",50,ItemTable[[#This Row],[GradeType]]="Rare",50)</x:f>
        <x:v>50</x:v>
      </x:c>
      <x:c r="H19">
        <x:v>20</x:v>
      </x:c>
      <x:c r="I19">
        <x:f t="array" ref="I19:I19">_xlfn.IFS(OR(ItemTable[[#This Row],[GradeType]]="Hp",ItemTable[[#This Row],[GradeType]]="Gold"),0,TRUE,5000+ItemTable[[#This Row],[Index]])</x:f>
        <x:v>8005</x:v>
      </x:c>
      <x:c r="J19" t="s">
        <x:v>310</x:v>
      </x:c>
      <x:c r="K19" s="6" t="str">
        <x:f>MID(ItemTable[[#This Row],[ItemIconPath]],FIND("icon",ItemTable[[#This Row],[ItemIconPath]]),999)</x:f>
        <x:v>icon/item/item_03.png</x:v>
      </x:c>
      <x:c r="M19" t="s">
        <x:v>45</x:v>
      </x:c>
      <x:c r="R19" t="e">
        <x:f>_xlfn.CONCAT(_xlfn.CONCAT(ItemTable[[#This Row],[Desc]],"\n\n","&lt;size=24&gt;&lt;color=#97C456&gt;",M19,"&lt;/color&gt;&lt;/size&gt;"),IF(ISBLANK(N19),"",_xlfn.CONCAT("\n","&lt;size=24&gt;&lt;color=#FF6A6A&gt;",N19,"&lt;/color&gt;&lt;/size&gt;")))</x:f>
        <x:v>#VALUE!</x:v>
      </x:c>
    </x:row>
    <x:row r="20" spans="2:18">
      <x:c r="B20">
        <x:f t="array" ref="B20: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x:f>
        <x:v>4000</x:v>
      </x:c>
      <x:c r="C20" t="s">
        <x:v>184</x:v>
      </x:c>
      <x:c r="D20" t="s">
        <x:v>215</x:v>
      </x:c>
      <x:c r="E20" t="s">
        <x:v>101</x:v>
      </x:c>
      <x:c r="F20">
        <x:v>1</x:v>
      </x:c>
      <x:c r="G20">
        <x:f t="array" ref="G20:G20">_xlfn.IFS(ItemTable[[#This Row],[GradeType]]="Normal",25,ItemTable[[#This Row],[GradeType]]="Cursed",50,ItemTable[[#This Row],[GradeType]]="Rare",50)</x:f>
        <x:v>50</x:v>
      </x:c>
      <x:c r="H20">
        <x:v>20</x:v>
      </x:c>
      <x:c r="I20">
        <x:f t="array" ref="I20:I20">_xlfn.IFS(OR(ItemTable[[#This Row],[GradeType]]="Hp",ItemTable[[#This Row],[GradeType]]="Gold"),0,TRUE,5000+ItemTable[[#This Row],[Index]])</x:f>
        <x:v>9000</x:v>
      </x:c>
      <x:c r="J20" t="s">
        <x:v>324</x:v>
      </x:c>
      <x:c r="K20" s="6" t="str">
        <x:f>MID(ItemTable[[#This Row],[ItemIconPath]],FIND("icon",ItemTable[[#This Row],[ItemIconPath]]),999)</x:f>
        <x:v>icon/item/item_06.png</x:v>
      </x:c>
      <x:c r="M20" t="s">
        <x:v>449</x:v>
      </x:c>
      <x:c r="N20" t="s">
        <x:v>445</x:v>
      </x:c>
      <x:c r="R20" t="e">
        <x:f>_xlfn.CONCAT(_xlfn.CONCAT(ItemTable[[#This Row],[Desc]],"\n\n","&lt;size=24&gt;&lt;color=#97C456&gt;",M20,"&lt;/color&gt;&lt;/size&gt;"),IF(ISBLANK(N20),"",_xlfn.CONCAT("\n","&lt;size=24&gt;&lt;color=#FF6A6A&gt;",N20,"&lt;/color&gt;&lt;/size&gt;")))</x:f>
        <x:v>#VALUE!</x:v>
      </x:c>
    </x:row>
    <x:row r="21" spans="2:18">
      <x:c r="B21">
        <x:f t="array" ref="B21: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x:f>
        <x:v>4001</x:v>
      </x:c>
      <x:c r="C21" t="s">
        <x:v>179</x:v>
      </x:c>
      <x:c r="D21" t="s">
        <x:v>218</x:v>
      </x:c>
      <x:c r="E21" t="s">
        <x:v>101</x:v>
      </x:c>
      <x:c r="F21">
        <x:v>1</x:v>
      </x:c>
      <x:c r="G21">
        <x:f t="array" ref="G21:G21">_xlfn.IFS(ItemTable[[#This Row],[GradeType]]="Normal",25,ItemTable[[#This Row],[GradeType]]="Cursed",50,ItemTable[[#This Row],[GradeType]]="Rare",50)</x:f>
        <x:v>50</x:v>
      </x:c>
      <x:c r="H21">
        <x:v>20</x:v>
      </x:c>
      <x:c r="I21">
        <x:f t="array" ref="I21:I21">_xlfn.IFS(OR(ItemTable[[#This Row],[GradeType]]="Hp",ItemTable[[#This Row],[GradeType]]="Gold"),0,TRUE,5000+ItemTable[[#This Row],[Index]])</x:f>
        <x:v>9001</x:v>
      </x:c>
      <x:c r="J21" t="s">
        <x:v>327</x:v>
      </x:c>
      <x:c r="K21" s="6" t="str">
        <x:f>MID(ItemTable[[#This Row],[ItemIconPath]],FIND("icon",ItemTable[[#This Row],[ItemIconPath]]),999)</x:f>
        <x:v>icon/item/item_08.png</x:v>
      </x:c>
      <x:c r="M21" t="s">
        <x:v>444</x:v>
      </x:c>
      <x:c r="N21" t="s">
        <x:v>446</x:v>
      </x:c>
      <x:c r="R21" t="e">
        <x:f>_xlfn.CONCAT(_xlfn.CONCAT(ItemTable[[#This Row],[Desc]],"\n\n","&lt;size=24&gt;&lt;color=#97C456&gt;",M21,"&lt;/color&gt;&lt;/size&gt;"),IF(ISBLANK(N21),"",_xlfn.CONCAT("\n","&lt;size=24&gt;&lt;color=#FF6A6A&gt;",N21,"&lt;/color&gt;&lt;/size&gt;")))</x:f>
        <x:v>#VALUE!</x:v>
      </x:c>
    </x:row>
    <x:row r="22" spans="2:18">
      <x:c r="B22">
        <x:f t="array" ref="B22: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x:f>
        <x:v>4002</x:v>
      </x:c>
      <x:c r="C22" t="s">
        <x:v>429</x:v>
      </x:c>
      <x:c r="D22" t="s">
        <x:v>200</x:v>
      </x:c>
      <x:c r="E22" t="s">
        <x:v>101</x:v>
      </x:c>
      <x:c r="F22">
        <x:v>1</x:v>
      </x:c>
      <x:c r="G22">
        <x:f t="array" ref="G22:G22">_xlfn.IFS(ItemTable[[#This Row],[GradeType]]="Normal",25,ItemTable[[#This Row],[GradeType]]="Cursed",50,ItemTable[[#This Row],[GradeType]]="Rare",50)</x:f>
        <x:v>50</x:v>
      </x:c>
      <x:c r="H22">
        <x:v>20</x:v>
      </x:c>
      <x:c r="I22">
        <x:f t="array" ref="I22:I22">_xlfn.IFS(OR(ItemTable[[#This Row],[GradeType]]="Hp",ItemTable[[#This Row],[GradeType]]="Gold"),0,TRUE,5000+ItemTable[[#This Row],[Index]])</x:f>
        <x:v>9002</x:v>
      </x:c>
      <x:c r="J22" t="s">
        <x:v>325</x:v>
      </x:c>
      <x:c r="K22" s="6" t="str">
        <x:f>MID(ItemTable[[#This Row],[ItemIconPath]],FIND("icon",ItemTable[[#This Row],[ItemIconPath]]),999)</x:f>
        <x:v>icon/item/item_14.png</x:v>
      </x:c>
      <x:c r="M22" t="s">
        <x:v>442</x:v>
      </x:c>
      <x:c r="N22" t="s">
        <x:v>285</x:v>
      </x:c>
      <x:c r="R22" t="e">
        <x:f>_xlfn.CONCAT(_xlfn.CONCAT(ItemTable[[#This Row],[Desc]],"\n\n","&lt;size=24&gt;&lt;color=#97C456&gt;",M22,"&lt;/color&gt;&lt;/size&gt;"),IF(ISBLANK(N22),"",_xlfn.CONCAT("\n","&lt;size=24&gt;&lt;color=#FF6A6A&gt;",N22,"&lt;/color&gt;&lt;/size&gt;")))</x:f>
        <x:v>#VALUE!</x:v>
      </x:c>
    </x:row>
    <x:row r="23" spans="2:18">
      <x:c r="B23">
        <x:f t="array" ref="B23: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x:f>
        <x:v>4003</x:v>
      </x:c>
      <x:c r="C23" t="s">
        <x:v>420</x:v>
      </x:c>
      <x:c r="D23" t="s">
        <x:v>72</x:v>
      </x:c>
      <x:c r="E23" t="s">
        <x:v>101</x:v>
      </x:c>
      <x:c r="F23">
        <x:v>1</x:v>
      </x:c>
      <x:c r="G23">
        <x:v>50</x:v>
      </x:c>
      <x:c r="H23">
        <x:v>20</x:v>
      </x:c>
      <x:c r="I23">
        <x:f t="array" ref="I23:I23">_xlfn.IFS(OR(ItemTable[[#This Row],[GradeType]]="Hp",ItemTable[[#This Row],[GradeType]]="Gold"),0,TRUE,5000+ItemTable[[#This Row],[Index]])</x:f>
        <x:v>9003</x:v>
      </x:c>
      <x:c r="J23" t="s">
        <x:v>326</x:v>
      </x:c>
      <x:c r="K23" s="6" t="str">
        <x:f>MID(ItemTable[[#This Row],[ItemIconPath]],FIND("icon",ItemTable[[#This Row],[ItemIconPath]]),999)</x:f>
        <x:v>icon/item/item_01.png</x:v>
      </x:c>
      <x:c r="M23" t="s">
        <x:v>439</x:v>
      </x:c>
      <x:c r="N23" t="s">
        <x:v>448</x:v>
      </x:c>
      <x:c r="R23" t="e">
        <x:f>_xlfn.CONCAT(_xlfn.CONCAT(ItemTable[[#This Row],[Desc]],"\n\n","&lt;size=24&gt;&lt;color=#97C456&gt;",M23,"&lt;/color&gt;&lt;/size&gt;"),IF(ISBLANK(N23),"",_xlfn.CONCAT("\n","&lt;size=24&gt;&lt;color=#FF6A6A&gt;",N23,"&lt;/color&gt;&lt;/size&gt;")))</x:f>
        <x:v>#VALUE!</x:v>
      </x:c>
    </x:row>
    <x:row r="24" spans="2:18">
      <x:c r="B24">
        <x:f t="array" ref="B24: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x:f>
        <x:v>4004</x:v>
      </x:c>
      <x:c r="C24" t="s">
        <x:v>64</x:v>
      </x:c>
      <x:c r="D24" t="s">
        <x:v>4</x:v>
      </x:c>
      <x:c r="E24" t="s">
        <x:v>101</x:v>
      </x:c>
      <x:c r="F24">
        <x:v>1</x:v>
      </x:c>
      <x:c r="G24">
        <x:f t="array" ref="G24:G24">_xlfn.IFS(ItemTable[[#This Row],[GradeType]]="Normal",25,ItemTable[[#This Row],[GradeType]]="Cursed",50,ItemTable[[#This Row],[GradeType]]="Rare",50)</x:f>
        <x:v>50</x:v>
      </x:c>
      <x:c r="H24">
        <x:v>20</x:v>
      </x:c>
      <x:c r="I24">
        <x:f t="array" ref="I24:I24">_xlfn.IFS(OR(ItemTable[[#This Row],[GradeType]]="Hp",ItemTable[[#This Row],[GradeType]]="Gold"),0,TRUE,5000+ItemTable[[#This Row],[Index]])</x:f>
        <x:v>9004</x:v>
      </x:c>
      <x:c r="J24" t="s">
        <x:v>304</x:v>
      </x:c>
      <x:c r="K24" s="6" t="str">
        <x:f>MID(ItemTable[[#This Row],[ItemIconPath]],FIND("icon",ItemTable[[#This Row],[ItemIconPath]]),999)</x:f>
        <x:v>icon/item/item_13.png</x:v>
      </x:c>
      <x:c r="M24" t="s">
        <x:v>280</x:v>
      </x:c>
      <x:c r="N24" t="s">
        <x:v>451</x:v>
      </x:c>
      <x:c r="R24" t="e">
        <x:f>_xlfn.CONCAT(_xlfn.CONCAT(ItemTable[[#This Row],[Desc]],"\n\n","&lt;size=24&gt;&lt;color=#97C456&gt;",M24,"&lt;/color&gt;&lt;/size&gt;"),IF(ISBLANK(N24),"",_xlfn.CONCAT("\n","&lt;size=24&gt;&lt;color=#FF6A6A&gt;",N24,"&lt;/color&gt;&lt;/size&gt;")))</x:f>
        <x:v>#VALUE!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>
    <x:tabColor rgb="fffbe5d7"/>
  </x:sheetPr>
  <x:dimension ref="B1:S29"/>
  <x:sheetViews>
    <x:sheetView topLeftCell="A3" zoomScaleNormal="75" zoomScaleSheetLayoutView="100" workbookViewId="0">
      <x:selection activeCell="I3" activeCellId="0" sqref="I3:I29"/>
    </x:sheetView>
  </x:sheetViews>
  <x:sheetFormatPr defaultColWidth="8.875" defaultRowHeight="16.39999999999999857891"/>
  <x:cols>
    <x:col min="2" max="2" width="12.375" bestFit="1" customWidth="1"/>
    <x:col min="3" max="3" width="20" bestFit="1" customWidth="1"/>
    <x:col min="4" max="4" width="10.125" bestFit="1" customWidth="1"/>
    <x:col min="5" max="5" width="8.625" bestFit="1" customWidth="1"/>
    <x:col min="6" max="6" width="21.125" bestFit="1" customWidth="1"/>
    <x:col min="7" max="7" width="21.125" customWidth="1"/>
    <x:col min="8" max="8" width="39.5" customWidth="1"/>
    <x:col min="9" max="9" width="32.375" customWidth="1"/>
    <x:col min="10" max="10" width="22.5" bestFit="1" customWidth="1"/>
    <x:col min="11" max="11" width="21.625" bestFit="1" customWidth="1"/>
    <x:col min="12" max="12" width="22.875" bestFit="1" customWidth="1"/>
    <x:col min="13" max="13" width="17.125" customWidth="1"/>
    <x:col min="14" max="14" width="19.625" customWidth="1"/>
    <x:col min="15" max="15" width="19.625" style="16" customWidth="1"/>
    <x:col min="16" max="17" width="20.375" customWidth="1"/>
    <x:col min="18" max="19" width="17.125" customWidth="1"/>
  </x:cols>
  <x:sheetData>
    <x:row r="1" spans="5:17">
      <x:c r="E1" t="s">
        <x:v>55</x:v>
      </x:c>
      <x:c r="F1" t="s">
        <x:v>141</x:v>
      </x:c>
      <x:c r="G1" t="s">
        <x:v>110</x:v>
      </x:c>
      <x:c r="J1" t="s">
        <x:v>110</x:v>
      </x:c>
      <x:c r="K1" t="s">
        <x:v>141</x:v>
      </x:c>
      <x:c r="L1" t="s">
        <x:v>141</x:v>
      </x:c>
      <x:c r="M1" s="16" t="s">
        <x:v>167</x:v>
      </x:c>
      <x:c r="N1" s="16"/>
      <x:c r="P1" s="16"/>
      <x:c r="Q1" s="16"/>
    </x:row>
    <x:row r="2" spans="2:19">
      <x:c r="B2" s="8" t="s">
        <x:v>139</x:v>
      </x:c>
      <x:c r="C2" s="9" t="s">
        <x:v>142</x:v>
      </x:c>
      <x:c r="D2" s="9" t="s">
        <x:v>144</x:v>
      </x:c>
      <x:c r="E2" t="s">
        <x:v>86</x:v>
      </x:c>
      <x:c r="F2" t="s">
        <x:v>336</x:v>
      </x:c>
      <x:c r="G2" t="s">
        <x:v>414</x:v>
      </x:c>
      <x:c r="H2" s="8" t="s">
        <x:v>138</x:v>
      </x:c>
      <x:c r="I2" s="8" t="s">
        <x:v>187</x:v>
      </x:c>
      <x:c r="J2" s="4" t="s">
        <x:v>329</x:v>
      </x:c>
      <x:c r="K2" t="s">
        <x:v>19</x:v>
      </x:c>
      <x:c r="L2" t="s">
        <x:v>330</x:v>
      </x:c>
      <x:c r="M2" s="8" t="s">
        <x:v>163</x:v>
      </x:c>
      <x:c r="N2" s="8" t="s">
        <x:v>172</x:v>
      </x:c>
      <x:c r="O2" s="8" t="s">
        <x:v>276</x:v>
      </x:c>
      <x:c r="P2" s="22" t="s">
        <x:v>171</x:v>
      </x:c>
      <x:c r="Q2" s="8" t="s">
        <x:v>160</x:v>
      </x:c>
      <x:c r="R2" s="21" t="s">
        <x:v>170</x:v>
      </x:c>
      <x:c r="S2" s="21" t="s">
        <x:v>173</x:v>
      </x:c>
    </x:row>
    <x:row r="3" spans="2:19">
      <x:c r="B3" s="6"/>
      <x:c r="C3" s="6" t="str">
        <x:f>INDEX(ItemTable[Name],MATCH(ItemEffectTable[[#This Row],[Index]],ItemTable[ItemEffectDataId],0))</x:f>
        <x:v>메탈유니콘 키링</x:v>
      </x:c>
      <x:c r="D3" s="6" t="str">
        <x:f>INDEX(ItemTable[GradeType],MATCH(ItemEffectTable[[#This Row],[Index]],ItemTable[ItemEffectDataId],0))</x:f>
        <x:v>Normal</x:v>
      </x:c>
      <x:c r="E3">
        <x:v>7000</x:v>
      </x:c>
      <x:c r="F3" t="s">
        <x:v>430</x:v>
      </x:c>
      <x:c r="G3" s="17" t="s">
        <x:v>259</x:v>
      </x:c>
      <x:c r="H3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휘두르기 재사용 시간 변경</x:v>
      </x:c>
      <x:c r="I3" s="7" t="s">
        <x:v>443</x:v>
      </x:c>
      <x:c r="J3">
        <x:v>0.69999999999999996</x:v>
      </x:c>
      <x:c r="K3" t="s">
        <x:v>431</x:v>
      </x:c>
      <x:c r="L3" t="s">
        <x:v>191</x:v>
      </x:c>
      <x:c r="M3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3" s="7">
        <x:f t="array" ref="N3: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1.5</x:v>
      </x:c>
      <x:c r="O3" s="24" t="s">
        <x:v>67</x:v>
      </x:c>
      <x:c r="P3" s="7">
        <x:f t="array" ref="P3: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1.0499999999999998</x:v>
      </x:c>
      <x:c r="Q3" s="7">
        <x:f t="array" ref="Q3: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30.000000000000014</x:v>
      </x:c>
      <x:c r="R3" s="7">
        <x:f t="array" ref="R3:R3">SUM(IF($E$3:$E$56=E3,$Q$3:$Q$56))</x:f>
        <x:v>30.000000000000014</x:v>
      </x:c>
      <x:c r="S3" s="7">
        <x:f>INDEX(표9[],MATCH(ItemEffectTable[[#This Row],['#Grade]],표9[#Headers],0))-ItemEffectTable[[#This Row],['#총 효력가치]]</x:f>
        <x:v>-1.4210854715202004E-14</x:v>
      </x:c>
    </x:row>
    <x:row r="4" spans="2:19">
      <x:c r="B4" s="6"/>
      <x:c r="C4" s="6" t="str">
        <x:f>INDEX(ItemTable[Name],MATCH(ItemEffectTable[[#This Row],[Index]],ItemTable[ItemEffectDataId],0))</x:f>
        <x:v>챔피언 모자</x:v>
      </x:c>
      <x:c r="D4" s="6" t="str">
        <x:f>INDEX(ItemTable[GradeType],MATCH(ItemEffectTable[[#This Row],[Index]],ItemTable[ItemEffectDataId],0))</x:f>
        <x:v>Normal</x:v>
      </x:c>
      <x:c r="E4">
        <x:v>7001</x:v>
      </x:c>
      <x:c r="F4" t="s">
        <x:v>430</x:v>
      </x:c>
      <x:c r="G4" s="18" t="s">
        <x:v>376</x:v>
      </x:c>
      <x:c r="H4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휘두르기 공격 범위 반지름 변경</x:v>
      </x:c>
      <x:c r="I4" s="7" t="s">
        <x:v>450</x:v>
      </x:c>
      <x:c r="J4">
        <x:v>1.2</x:v>
      </x:c>
      <x:c r="K4" s="18" t="s">
        <x:v>431</x:v>
      </x:c>
      <x:c r="L4" t="s">
        <x:v>191</x:v>
      </x:c>
      <x:c r="M4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4" s="7">
        <x:f t="array" ref="N4: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2.2999999999999998</x:v>
      </x:c>
      <x:c r="O4" s="24"/>
      <x:c r="P4" s="7">
        <x:f t="array" ref="P4: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2.7599999999999998</x:v>
      </x:c>
      <x:c r="Q4" s="7">
        <x:f t="array" ref="Q4: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</x:v>
      </x:c>
      <x:c r="R4" s="7">
        <x:f t="array" ref="R4:R4">SUM(IF($E$3:$E$56=E4,$Q$3:$Q$56))</x:f>
        <x:v>30</x:v>
      </x:c>
      <x:c r="S4" s="7">
        <x:f>INDEX(표9[],MATCH(ItemEffectTable[[#This Row],['#Grade]],표9[#Headers],0))-ItemEffectTable[[#This Row],['#총 효력가치]]</x:f>
        <x:v>0</x:v>
      </x:c>
    </x:row>
    <x:row r="5" spans="2:19">
      <x:c r="B5" s="6"/>
      <x:c r="C5" s="6" t="str">
        <x:f>INDEX(ItemTable[Name],MATCH(ItemEffectTable[[#This Row],[Index]],ItemTable[ItemEffectDataId],0))</x:f>
        <x:v>쿨 - 도그</x:v>
      </x:c>
      <x:c r="D5" s="6" t="str">
        <x:f>INDEX(ItemTable[GradeType],MATCH(ItemEffectTable[[#This Row],[Index]],ItemTable[ItemEffectDataId],0))</x:f>
        <x:v>Normal</x:v>
      </x:c>
      <x:c r="E5">
        <x:v>7002</x:v>
      </x:c>
      <x:c r="F5" t="s">
        <x:v>430</x:v>
      </x:c>
      <x:c r="G5" s="18" t="s">
        <x:v>421</x:v>
      </x:c>
      <x:c r="H5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차징속도변경-1단계</x:v>
      </x:c>
      <x:c r="I5" s="7" t="s">
        <x:v>438</x:v>
      </x:c>
      <x:c r="J5">
        <x:v>0.80000000000000004</x:v>
      </x:c>
      <x:c r="K5" t="s">
        <x:v>431</x:v>
      </x:c>
      <x:c r="L5" t="s">
        <x:v>191</x:v>
      </x:c>
      <x:c r="M5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5" s="7">
        <x:f t="array" ref="N5: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5" s="24"/>
      <x:c r="P5" s="7">
        <x:f t="array" ref="P5: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0.80000000000000004</x:v>
      </x:c>
      <x:c r="Q5" s="7">
        <x:f t="array" ref="Q5: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29.999999999999993</x:v>
      </x:c>
      <x:c r="R5" s="7">
        <x:f t="array" ref="R5:R5">SUM(IF($E$3:$E$56=E5,$Q$3:$Q$56))</x:f>
        <x:v>29.999999999999993</x:v>
      </x:c>
      <x:c r="S5" s="7">
        <x:f>INDEX(표9[],MATCH(ItemEffectTable[[#This Row],['#Grade]],표9[#Headers],0))-ItemEffectTable[[#This Row],['#총 효력가치]]</x:f>
        <x:v>7.1054273576010019E-15</x:v>
      </x:c>
    </x:row>
    <x:row r="6" spans="2:19">
      <x:c r="B6" s="6"/>
      <x:c r="C6" s="6" t="str">
        <x:f>INDEX(ItemTable[Name],MATCH(ItemEffectTable[[#This Row],[Index]],ItemTable[ItemEffectDataId],0))</x:f>
        <x:v>QT 파우더</x:v>
      </x:c>
      <x:c r="D6" s="6" t="str">
        <x:f>INDEX(ItemTable[GradeType],MATCH(ItemEffectTable[[#This Row],[Index]],ItemTable[ItemEffectDataId],0))</x:f>
        <x:v>Normal</x:v>
      </x:c>
      <x:c r="E6">
        <x:v>7003</x:v>
      </x:c>
      <x:c r="F6" t="s">
        <x:v>430</x:v>
      </x:c>
      <x:c r="G6" s="18" t="s">
        <x:v>30</x:v>
      </x:c>
      <x:c r="H6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미차징</x:v>
      </x:c>
      <x:c r="I6" s="7" t="s">
        <x:v>437</x:v>
      </x:c>
      <x:c r="J6">
        <x:v>1</x:v>
      </x:c>
      <x:c r="K6" t="s">
        <x:v>428</x:v>
      </x:c>
      <x:c r="L6" t="s">
        <x:v>191</x:v>
      </x:c>
      <x:c r="M6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6" s="7">
        <x:f t="array" ref="N6: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6" s="24"/>
      <x:c r="P6" s="7">
        <x:f t="array" ref="P6: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2</x:v>
      </x:c>
      <x:c r="Q6" s="7">
        <x:f t="array" ref="Q6: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15</x:v>
      </x:c>
      <x:c r="R6" s="7">
        <x:f t="array" ref="R6:R6">SUM(IF($E$3:$E$56=E6,$Q$3:$Q$56))</x:f>
        <x:v>30</x:v>
      </x:c>
      <x:c r="S6" s="7">
        <x:f>INDEX(표9[],MATCH(ItemEffectTable[[#This Row],['#Grade]],표9[#Headers],0))-ItemEffectTable[[#This Row],['#총 효력가치]]</x:f>
        <x:v>0</x:v>
      </x:c>
    </x:row>
    <x:row r="7" spans="2:19">
      <x:c r="B7" s="6"/>
      <x:c r="C7" s="6" t="str">
        <x:f>INDEX(ItemTable[Name],MATCH(ItemEffectTable[[#This Row],[Index]],ItemTable[ItemEffectDataId],0))</x:f>
        <x:v>QT 파우더</x:v>
      </x:c>
      <x:c r="D7" s="6" t="str">
        <x:f>INDEX(ItemTable[GradeType],MATCH(ItemEffectTable[[#This Row],[Index]],ItemTable[ItemEffectDataId],0))</x:f>
        <x:v>Normal</x:v>
      </x:c>
      <x:c r="E7">
        <x:v>7003</x:v>
      </x:c>
      <x:c r="F7" t="s">
        <x:v>430</x:v>
      </x:c>
      <x:c r="G7" s="18" t="s">
        <x:v>36</x:v>
      </x:c>
      <x:c r="H7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- 1단계</x:v>
      </x:c>
      <x:c r="I7" s="7" t="s">
        <x:v>437</x:v>
      </x:c>
      <x:c r="J7">
        <x:v>1</x:v>
      </x:c>
      <x:c r="K7" t="s">
        <x:v>428</x:v>
      </x:c>
      <x:c r="L7" t="s">
        <x:v>191</x:v>
      </x:c>
      <x:c r="M7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7" s="7">
        <x:f t="array" ref="N7: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3</x:v>
      </x:c>
      <x:c r="O7" s="24"/>
      <x:c r="P7" s="7">
        <x:f t="array" ref="P7: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4</x:v>
      </x:c>
      <x:c r="Q7" s="7">
        <x:f t="array" ref="Q7: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15</x:v>
      </x:c>
      <x:c r="R7" s="7">
        <x:f t="array" ref="R7:R7">SUM(IF($E$3:$E$56=E7,$Q$3:$Q$56))</x:f>
        <x:v>30</x:v>
      </x:c>
      <x:c r="S7" s="7">
        <x:f>INDEX(표9[],MATCH(ItemEffectTable[[#This Row],['#Grade]],표9[#Headers],0))-ItemEffectTable[[#This Row],['#총 효력가치]]</x:f>
        <x:v>0</x:v>
      </x:c>
    </x:row>
    <x:row r="8" spans="2:19">
      <x:c r="B8" s="6"/>
      <x:c r="C8" s="6" t="str">
        <x:f>INDEX(ItemTable[Name],MATCH(ItemEffectTable[[#This Row],[Index]],ItemTable[ItemEffectDataId],0))</x:f>
        <x:v>적토목마</x:v>
      </x:c>
      <x:c r="D8" s="6" t="str">
        <x:f>INDEX(ItemTable[GradeType],MATCH(ItemEffectTable[[#This Row],[Index]],ItemTable[ItemEffectDataId],0))</x:f>
        <x:v>Normal</x:v>
      </x:c>
      <x:c r="E8">
        <x:v>7004</x:v>
      </x:c>
      <x:c r="F8" t="s">
        <x:v>430</x:v>
      </x:c>
      <x:c r="G8" s="17" t="s">
        <x:v>6</x:v>
      </x:c>
      <x:c r="H8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이동속도변경</x:v>
      </x:c>
      <x:c r="I8" s="7" t="s">
        <x:v>436</x:v>
      </x:c>
      <x:c r="J8">
        <x:v>1.1000000000000001</x:v>
      </x:c>
      <x:c r="K8" s="18" t="s">
        <x:v>431</x:v>
      </x:c>
      <x:c r="L8" t="s">
        <x:v>191</x:v>
      </x:c>
      <x:c r="M8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8" s="7">
        <x:f t="array" ref="N8: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6</x:v>
      </x:c>
      <x:c r="O8" s="24"/>
      <x:c r="P8" s="7">
        <x:f t="array" ref="P8: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6.6000000000000005</x:v>
      </x:c>
      <x:c r="Q8" s="7">
        <x:f t="array" ref="Q8: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30.000000000000028</x:v>
      </x:c>
      <x:c r="R8" s="7">
        <x:f t="array" ref="R8:R8">SUM(IF($E$3:$E$56=E8,$Q$3:$Q$56))</x:f>
        <x:v>30.000000000000028</x:v>
      </x:c>
      <x:c r="S8" s="25">
        <x:f>INDEX(표9[],MATCH(ItemEffectTable[[#This Row],['#Grade]],표9[#Headers],0))-ItemEffectTable[[#This Row],['#총 효력가치]]</x:f>
        <x:v>-2.8421709430404007E-14</x:v>
      </x:c>
    </x:row>
    <x:row r="9" spans="2:19">
      <x:c r="B9" s="6"/>
      <x:c r="C9" s="6" t="str">
        <x:f>INDEX(ItemTable[Name],MATCH(ItemEffectTable[[#This Row],[Index]],ItemTable[ItemEffectDataId],0))</x:f>
        <x:v>삼각김곰</x:v>
      </x:c>
      <x:c r="D9" s="6" t="str">
        <x:f>INDEX(ItemTable[GradeType],MATCH(ItemEffectTable[[#This Row],[Index]],ItemTable[ItemEffectDataId],0))</x:f>
        <x:v>Normal</x:v>
      </x:c>
      <x:c r="E9" s="4">
        <x:v>7005</x:v>
      </x:c>
      <x:c r="F9" t="s">
        <x:v>430</x:v>
      </x:c>
      <x:c r="G9" s="17" t="s">
        <x:v>65</x:v>
      </x:c>
      <x:c r="H9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최대체력변경</x:v>
      </x:c>
      <x:c r="I9" s="7" t="s">
        <x:v>434</x:v>
      </x:c>
      <x:c r="J9">
        <x:v>50</x:v>
      </x:c>
      <x:c r="K9" t="s">
        <x:v>428</x:v>
      </x:c>
      <x:c r="L9" t="s">
        <x:v>191</x:v>
      </x:c>
      <x:c r="M9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9" s="7">
        <x:f t="array" ref="N9: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75</x:v>
      </x:c>
      <x:c r="O9" s="24"/>
      <x:c r="P9" s="7">
        <x:f t="array" ref="P9: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125</x:v>
      </x:c>
      <x:c r="Q9" s="7">
        <x:f t="array" ref="Q9: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</x:v>
      </x:c>
      <x:c r="R9" s="7">
        <x:f t="array" ref="R9:R9">SUM(IF($E$3:$E$56=E9,$Q$3:$Q$56))</x:f>
        <x:v>30</x:v>
      </x:c>
      <x:c r="S9" s="7">
        <x:f>INDEX(표9[],MATCH(ItemEffectTable[[#This Row],['#Grade]],표9[#Headers],0))-ItemEffectTable[[#This Row],['#총 효력가치]]</x:f>
        <x:v>0</x:v>
      </x:c>
    </x:row>
    <x:row r="10" spans="2:19">
      <x:c r="B10" s="6"/>
      <x:c r="C10" s="6" t="str">
        <x:f>INDEX(ItemTable[Name],MATCH(ItemEffectTable[[#This Row],[Index]],ItemTable[ItemEffectDataId],0))</x:f>
        <x:v>데빌불</x:v>
      </x:c>
      <x:c r="D10" s="6" t="str">
        <x:f>INDEX(ItemTable[GradeType],MATCH(ItemEffectTable[[#This Row],[Index]],ItemTable[ItemEffectDataId],0))</x:f>
        <x:v>Rare</x:v>
      </x:c>
      <x:c r="E10">
        <x:v>8000</x:v>
      </x:c>
      <x:c r="F10" t="s">
        <x:v>430</x:v>
      </x:c>
      <x:c r="G10" s="18" t="s">
        <x:v>377</x:v>
      </x:c>
      <x:c r="H10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10" s="7" t="s">
        <x:v>322</x:v>
      </x:c>
      <x:c r="J10" t="s">
        <x:v>465</x:v>
      </x:c>
      <x:c r="K10" t="s">
        <x:v>428</x:v>
      </x:c>
      <x:c r="L10" t="s">
        <x:v>319</x:v>
      </x:c>
      <x:c r="M10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0" s="7">
        <x:f t="array" ref="N10: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0" s="24">
        <x:f>2*0.1</x:f>
        <x:v>0.20000000000000001</x:v>
      </x:c>
      <x:c r="P10" s="7">
        <x:f t="array" ref="P10: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1.2</x:v>
      </x:c>
      <x:c r="Q10" s="7">
        <x:f t="array" ref="Q10: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33.333333333333329</x:v>
      </x:c>
      <x:c r="R10" s="7">
        <x:f t="array" ref="R10:R10">SUM(IF($E$3:$E$56=E10,$Q$3:$Q$56))</x:f>
        <x:v>33.333333333333329</x:v>
      </x:c>
      <x:c r="S10" s="7">
        <x:f>INDEX(표9[],MATCH(ItemEffectTable[[#This Row],['#Grade]],표9[#Headers],0))-ItemEffectTable[[#This Row],['#총 효력가치]]</x:f>
        <x:v>16.666666666666671</x:v>
      </x:c>
    </x:row>
    <x:row r="11" spans="2:19">
      <x:c r="B11" s="6"/>
      <x:c r="C11" s="6" t="str">
        <x:f>INDEX(ItemTable[Name],MATCH(ItemEffectTable[[#This Row],[Index]],ItemTable[ItemEffectDataId],0))</x:f>
        <x:v>공룡블록</x:v>
      </x:c>
      <x:c r="D11" s="6" t="str">
        <x:f>INDEX(ItemTable[GradeType],MATCH(ItemEffectTable[[#This Row],[Index]],ItemTable[ItemEffectDataId],0))</x:f>
        <x:v>Rare</x:v>
      </x:c>
      <x:c r="E11">
        <x:v>8001</x:v>
      </x:c>
      <x:c r="F11" t="s">
        <x:v>430</x:v>
      </x:c>
      <x:c r="G11" s="18" t="s">
        <x:v>377</x:v>
      </x:c>
      <x:c r="H11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11" s="7" t="s">
        <x:v>44</x:v>
      </x:c>
      <x:c r="J11" t="s">
        <x:v>323</x:v>
      </x:c>
      <x:c r="K11" t="s">
        <x:v>428</x:v>
      </x:c>
      <x:c r="L11" t="s">
        <x:v>432</x:v>
      </x:c>
      <x:c r="M11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1" s="7">
        <x:f t="array" ref="N11: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1" s="24">
        <x:f>((6*25)-(2*25))*0.002</x:f>
        <x:v>0.20000000000000001</x:v>
      </x:c>
      <x:c r="P11" s="7">
        <x:f t="array" ref="P11: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1.2</x:v>
      </x:c>
      <x:c r="Q11" s="7">
        <x:f t="array" ref="Q11: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33.333333333333329</x:v>
      </x:c>
      <x:c r="R11" s="7">
        <x:f t="array" ref="R11:R11">SUM(IF($E$3:$E$56=E11,$Q$3:$Q$56))</x:f>
        <x:v>33.333333333333329</x:v>
      </x:c>
      <x:c r="S11" s="7">
        <x:f>INDEX(표9[],MATCH(ItemEffectTable[[#This Row],['#Grade]],표9[#Headers],0))-ItemEffectTable[[#This Row],['#총 효력가치]]</x:f>
        <x:v>16.666666666666671</x:v>
      </x:c>
    </x:row>
    <x:row r="12" spans="2:19">
      <x:c r="B12" s="6"/>
      <x:c r="C12" s="6" t="str">
        <x:f>INDEX(ItemTable[Name],MATCH(ItemEffectTable[[#This Row],[Index]],ItemTable[ItemEffectDataId],0))</x:f>
        <x:v>돌가면</x:v>
      </x:c>
      <x:c r="D12" s="6" t="str">
        <x:f>INDEX(ItemTable[GradeType],MATCH(ItemEffectTable[[#This Row],[Index]],ItemTable[ItemEffectDataId],0))</x:f>
        <x:v>Rare</x:v>
      </x:c>
      <x:c r="E12">
        <x:v>8002</x:v>
      </x:c>
      <x:c r="F12" t="s">
        <x:v>430</x:v>
      </x:c>
      <x:c r="G12" t="s">
        <x:v>377</x:v>
      </x:c>
      <x:c r="H12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12" s="7" t="s">
        <x:v>455</x:v>
      </x:c>
      <x:c r="J12">
        <x:v>0.10000000000000001</x:v>
      </x:c>
      <x:c r="K12" t="s">
        <x:v>428</x:v>
      </x:c>
      <x:c r="L12" t="s">
        <x:v>191</x:v>
      </x:c>
      <x:c r="M12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2" s="7">
        <x:f t="array" ref="N12: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2" s="24"/>
      <x:c r="P12" s="7">
        <x:f t="array" ref="P12: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1.1000000000000001</x:v>
      </x:c>
      <x:c r="Q12" s="7">
        <x:f t="array" ref="Q12: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16.666666666666682</x:v>
      </x:c>
      <x:c r="R12" s="7">
        <x:f t="array" ref="R12:R12">SUM(IF($E$3:$E$56=E12,$Q$3:$Q$56))</x:f>
        <x:v>48.333333333333357</x:v>
      </x:c>
      <x:c r="S12" s="7">
        <x:f>INDEX(표9[],MATCH(ItemEffectTable[[#This Row],['#Grade]],표9[#Headers],0))-ItemEffectTable[[#This Row],['#총 효력가치]]</x:f>
        <x:v>1.666666666666643</x:v>
      </x:c>
    </x:row>
    <x:row r="13" spans="2:19">
      <x:c r="B13" s="6"/>
      <x:c r="C13" s="6" t="str">
        <x:f>INDEX(ItemTable[Name],MATCH(ItemEffectTable[[#This Row],[Index]],ItemTable[ItemEffectDataId],0))</x:f>
        <x:v>돌가면</x:v>
      </x:c>
      <x:c r="D13" s="6" t="str">
        <x:f>INDEX(ItemTable[GradeType],MATCH(ItemEffectTable[[#This Row],[Index]],ItemTable[ItemEffectDataId],0))</x:f>
        <x:v>Rare</x:v>
      </x:c>
      <x:c r="E13">
        <x:v>8002</x:v>
      </x:c>
      <x:c r="F13" t="s">
        <x:v>430</x:v>
      </x:c>
      <x:c r="G13" t="s">
        <x:v>6</x:v>
      </x:c>
      <x:c r="H13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이동속도변경</x:v>
      </x:c>
      <x:c r="I13" s="7" t="s">
        <x:v>455</x:v>
      </x:c>
      <x:c r="J13">
        <x:v>0.5</x:v>
      </x:c>
      <x:c r="K13" t="s">
        <x:v>428</x:v>
      </x:c>
      <x:c r="L13" t="s">
        <x:v>191</x:v>
      </x:c>
      <x:c r="M13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13" s="7">
        <x:f t="array" ref="N13: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6</x:v>
      </x:c>
      <x:c r="O13" s="24"/>
      <x:c r="P13" s="7">
        <x:f t="array" ref="P13: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6.5</x:v>
      </x:c>
      <x:c r="Q13" s="7">
        <x:f t="array" ref="Q13: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25</x:v>
      </x:c>
      <x:c r="R13" s="7">
        <x:f t="array" ref="R13:R13">SUM(IF($E$3:$E$56=E13,$Q$3:$Q$56))</x:f>
        <x:v>48.333333333333357</x:v>
      </x:c>
      <x:c r="S13" s="7">
        <x:f>INDEX(표9[],MATCH(ItemEffectTable[[#This Row],['#Grade]],표9[#Headers],0))-ItemEffectTable[[#This Row],['#총 효력가치]]</x:f>
        <x:v>1.666666666666643</x:v>
      </x:c>
    </x:row>
    <x:row r="14" spans="2:19">
      <x:c r="B14" s="6"/>
      <x:c r="C14" s="6" t="str">
        <x:f>INDEX(ItemTable[Name],MATCH(ItemEffectTable[[#This Row],[Index]],ItemTable[ItemEffectDataId],0))</x:f>
        <x:v>돌가면</x:v>
      </x:c>
      <x:c r="D14" s="6" t="str">
        <x:f>INDEX(ItemTable[GradeType],MATCH(ItemEffectTable[[#This Row],[Index]],ItemTable[ItemEffectDataId],0))</x:f>
        <x:v>Rare</x:v>
      </x:c>
      <x:c r="E14">
        <x:v>8002</x:v>
      </x:c>
      <x:c r="F14" t="s">
        <x:v>430</x:v>
      </x:c>
      <x:c r="G14" t="s">
        <x:v>259</x:v>
      </x:c>
      <x:c r="H14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휘두르기 재사용 시간 변경</x:v>
      </x:c>
      <x:c r="I14" s="7" t="s">
        <x:v>455</x:v>
      </x:c>
      <x:c r="J14">
        <x:v>-0.10000000000000001</x:v>
      </x:c>
      <x:c r="K14" t="s">
        <x:v>428</x:v>
      </x:c>
      <x:c r="L14" t="s">
        <x:v>191</x:v>
      </x:c>
      <x:c r="M14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4" s="7">
        <x:f t="array" ref="N14: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1.5</x:v>
      </x:c>
      <x:c r="O14" s="24"/>
      <x:c r="P14" s="7">
        <x:f t="array" ref="P14: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1.3999999999999999</x:v>
      </x:c>
      <x:c r="Q14" s="7">
        <x:f t="array" ref="Q14: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6.6666666666666732</x:v>
      </x:c>
      <x:c r="R14" s="7">
        <x:f t="array" ref="R14:R14">SUM(IF($E$3:$E$56=E14,$Q$3:$Q$56))</x:f>
        <x:v>48.333333333333357</x:v>
      </x:c>
      <x:c r="S14" s="7">
        <x:f>INDEX(표9[],MATCH(ItemEffectTable[[#This Row],['#Grade]],표9[#Headers],0))-ItemEffectTable[[#This Row],['#총 효력가치]]</x:f>
        <x:v>1.666666666666643</x:v>
      </x:c>
    </x:row>
    <x:row r="15" spans="2:19">
      <x:c r="B15" s="6"/>
      <x:c r="C15" s="6" t="str">
        <x:f>INDEX(ItemTable[Name],MATCH(ItemEffectTable[[#This Row],[Index]],ItemTable[ItemEffectDataId],0))</x:f>
        <x:v>사나운 돼지저금통</x:v>
      </x:c>
      <x:c r="D15" s="6" t="str">
        <x:f>INDEX(ItemTable[GradeType],MATCH(ItemEffectTable[[#This Row],[Index]],ItemTable[ItemEffectDataId],0))</x:f>
        <x:v>Rare</x:v>
      </x:c>
      <x:c r="E15">
        <x:v>8003</x:v>
      </x:c>
      <x:c r="F15" t="s">
        <x:v>430</x:v>
      </x:c>
      <x:c r="G15" t="s">
        <x:v>331</x:v>
      </x:c>
      <x:c r="H15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골드획득량변경</x:v>
      </x:c>
      <x:c r="I15" s="7" t="s">
        <x:v>433</x:v>
      </x:c>
      <x:c r="J15">
        <x:v>0.5</x:v>
      </x:c>
      <x:c r="K15" t="s">
        <x:v>428</x:v>
      </x:c>
      <x:c r="L15" t="s">
        <x:v>191</x:v>
      </x:c>
      <x:c r="M15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15" s="7">
        <x:f t="array" ref="N15: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5" s="24"/>
      <x:c r="P15" s="7">
        <x:f t="array" ref="P15: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1.5</x:v>
      </x:c>
      <x:c r="Q15" s="7">
        <x:f t="array" ref="Q15: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50</x:v>
      </x:c>
      <x:c r="R15" s="7">
        <x:f t="array" ref="R15:R15">SUM(IF($E$3:$E$56=E15,$Q$3:$Q$56))</x:f>
        <x:v>50</x:v>
      </x:c>
      <x:c r="S15" s="7">
        <x:f>INDEX(표9[],MATCH(ItemEffectTable[[#This Row],['#Grade]],표9[#Headers],0))-ItemEffectTable[[#This Row],['#총 효력가치]]</x:f>
        <x:v>0</x:v>
      </x:c>
    </x:row>
    <x:row r="16" spans="2:19">
      <x:c r="B16" s="6"/>
      <x:c r="C16" s="6" t="str">
        <x:f>INDEX(ItemTable[Name],MATCH(ItemEffectTable[[#This Row],[Index]],ItemTable[ItemEffectDataId],0))</x:f>
        <x:v>성배 속 무언가</x:v>
      </x:c>
      <x:c r="D16" s="6" t="str">
        <x:f>INDEX(ItemTable[GradeType],MATCH(ItemEffectTable[[#This Row],[Index]],ItemTable[ItemEffectDataId],0))</x:f>
        <x:v>Rare</x:v>
      </x:c>
      <x:c r="E16">
        <x:v>8004</x:v>
      </x:c>
      <x:c r="F16" t="s">
        <x:v>430</x:v>
      </x:c>
      <x:c r="G16" s="18" t="s">
        <x:v>30</x:v>
      </x:c>
      <x:c r="H16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미차징</x:v>
      </x:c>
      <x:c r="I16" s="7" t="s">
        <x:v>435</x:v>
      </x:c>
      <x:c r="J16">
        <x:v>2</x:v>
      </x:c>
      <x:c r="K16" t="s">
        <x:v>428</x:v>
      </x:c>
      <x:c r="L16" t="s">
        <x:v>191</x:v>
      </x:c>
      <x:c r="M16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6" s="7">
        <x:f t="array" ref="N16: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6" s="24"/>
      <x:c r="P16" s="7">
        <x:f t="array" ref="P16: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3</x:v>
      </x:c>
      <x:c r="Q16" s="7">
        <x:f t="array" ref="Q16: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</x:v>
      </x:c>
      <x:c r="R16" s="7">
        <x:f t="array" ref="R16:R16">SUM(IF($E$3:$E$56=E16,$Q$3:$Q$56))</x:f>
        <x:v>60</x:v>
      </x:c>
      <x:c r="S16" s="7">
        <x:f>INDEX(표9[],MATCH(ItemEffectTable[[#This Row],['#Grade]],표9[#Headers],0))-ItemEffectTable[[#This Row],['#총 효력가치]]</x:f>
        <x:v>-10</x:v>
      </x:c>
    </x:row>
    <x:row r="17" spans="2:19">
      <x:c r="B17" s="6"/>
      <x:c r="C17" s="6" t="str">
        <x:f>INDEX(ItemTable[Name],MATCH(ItemEffectTable[[#This Row],[Index]],ItemTable[ItemEffectDataId],0))</x:f>
        <x:v>성배 속 무언가</x:v>
      </x:c>
      <x:c r="D17" s="6" t="str">
        <x:f>INDEX(ItemTable[GradeType],MATCH(ItemEffectTable[[#This Row],[Index]],ItemTable[ItemEffectDataId],0))</x:f>
        <x:v>Rare</x:v>
      </x:c>
      <x:c r="E17">
        <x:v>8004</x:v>
      </x:c>
      <x:c r="F17" t="s">
        <x:v>430</x:v>
      </x:c>
      <x:c r="G17" s="18" t="s">
        <x:v>36</x:v>
      </x:c>
      <x:c r="H17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- 1단계</x:v>
      </x:c>
      <x:c r="I17" s="7" t="s">
        <x:v>435</x:v>
      </x:c>
      <x:c r="J17">
        <x:v>2</x:v>
      </x:c>
      <x:c r="K17" t="s">
        <x:v>428</x:v>
      </x:c>
      <x:c r="L17" t="s">
        <x:v>191</x:v>
      </x:c>
      <x:c r="M17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7" s="7">
        <x:f t="array" ref="N17: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3</x:v>
      </x:c>
      <x:c r="O17" s="24"/>
      <x:c r="P17" s="7">
        <x:f t="array" ref="P17: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5</x:v>
      </x:c>
      <x:c r="Q17" s="7">
        <x:f t="array" ref="Q17: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30</x:v>
      </x:c>
      <x:c r="R17" s="7">
        <x:f t="array" ref="R17:R17">SUM(IF($E$3:$E$56=E17,$Q$3:$Q$56))</x:f>
        <x:v>60</x:v>
      </x:c>
      <x:c r="S17" s="7">
        <x:f>INDEX(표9[],MATCH(ItemEffectTable[[#This Row],['#Grade]],표9[#Headers],0))-ItemEffectTable[[#This Row],['#총 효력가치]]</x:f>
        <x:v>-10</x:v>
      </x:c>
    </x:row>
    <x:row r="18" spans="2:19">
      <x:c r="B18" s="6"/>
      <x:c r="C18" s="6" t="str">
        <x:f>INDEX(ItemTable[Name],MATCH(ItemEffectTable[[#This Row],[Index]],ItemTable[ItemEffectDataId],0))</x:f>
        <x:v>이상한 사탕</x:v>
      </x:c>
      <x:c r="D18" s="6" t="str">
        <x:f>INDEX(ItemTable[GradeType],MATCH(ItemEffectTable[[#This Row],[Index]],ItemTable[ItemEffectDataId],0))</x:f>
        <x:v>Rare</x:v>
      </x:c>
      <x:c r="E18">
        <x:v>8005</x:v>
      </x:c>
      <x:c r="F18" t="s">
        <x:v>430</x:v>
      </x:c>
      <x:c r="G18" s="18" t="s">
        <x:v>377</x:v>
      </x:c>
      <x:c r="H18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18" s="7" t="s">
        <x:v>45</x:v>
      </x:c>
      <x:c r="J18" t="s">
        <x:v>463</x:v>
      </x:c>
      <x:c r="K18" t="s">
        <x:v>428</x:v>
      </x:c>
      <x:c r="L18" t="s">
        <x:v>470</x:v>
      </x:c>
      <x:c r="M18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8" s="7">
        <x:f t="array" ref="N18: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18" s="24">
        <x:f>3*0.1</x:f>
        <x:v>0.30000000000000004</x:v>
      </x:c>
      <x:c r="P18" s="7">
        <x:f t="array" ref="P18: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1.3</x:v>
      </x:c>
      <x:c r="Q18" s="7">
        <x:f t="array" ref="Q18: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50.000000000000014</x:v>
      </x:c>
      <x:c r="R18" s="7">
        <x:f t="array" ref="R18:R18">SUM(IF($E$3:$E$56=E18,$Q$3:$Q$56))</x:f>
        <x:v>50.000000000000014</x:v>
      </x:c>
      <x:c r="S18" s="7">
        <x:f>INDEX(표9[],MATCH(ItemEffectTable[[#This Row],['#Grade]],표9[#Headers],0))-ItemEffectTable[[#This Row],['#총 효력가치]]</x:f>
        <x:v>-1.4210854715202004E-14</x:v>
      </x:c>
    </x:row>
    <x:row r="19" spans="2:19">
      <x:c r="B19" s="6"/>
      <x:c r="C19" s="6" t="str">
        <x:f>INDEX(ItemTable[Name],MATCH(ItemEffectTable[[#This Row],[Index]],ItemTable[ItemEffectDataId],0))</x:f>
        <x:v>코코아 한통</x:v>
      </x:c>
      <x:c r="D19" s="6" t="str">
        <x:f>INDEX(ItemTable[GradeType],MATCH(ItemEffectTable[[#This Row],[Index]],ItemTable[ItemEffectDataId],0))</x:f>
        <x:v>Cursed</x:v>
      </x:c>
      <x:c r="E19">
        <x:v>9000</x:v>
      </x:c>
      <x:c r="F19" t="s">
        <x:v>430</x:v>
      </x:c>
      <x:c r="G19" s="17" t="s">
        <x:v>259</x:v>
      </x:c>
      <x:c r="H19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휘두르기 재사용 시간 변경</x:v>
      </x:c>
      <x:c r="I19" s="7" t="s">
        <x:v>321</x:v>
      </x:c>
      <x:c r="J19">
        <x:v>1.2</x:v>
      </x:c>
      <x:c r="K19" t="s">
        <x:v>431</x:v>
      </x:c>
      <x:c r="L19" t="s">
        <x:v>191</x:v>
      </x:c>
      <x:c r="M19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19" s="7">
        <x:f t="array" ref="N19: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1.5</x:v>
      </x:c>
      <x:c r="O19" s="24"/>
      <x:c r="P19" s="7">
        <x:f t="array" ref="P19: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1.7999999999999998</x:v>
      </x:c>
      <x:c r="Q19" s="7">
        <x:f t="array" ref="Q19: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-19.999999999999989</x:v>
      </x:c>
      <x:c r="R19" s="7">
        <x:f t="array" ref="R19:R19">SUM(IF($E$3:$E$56=E19,$Q$3:$Q$56))</x:f>
        <x:v>47.500000000000014</x:v>
      </x:c>
      <x:c r="S19" s="7">
        <x:f>INDEX(표9[],MATCH(ItemEffectTable[[#This Row],['#Grade]],표9[#Headers],0))-ItemEffectTable[[#This Row],['#총 효력가치]]</x:f>
        <x:v>2.4999999999999858</x:v>
      </x:c>
    </x:row>
    <x:row r="20" spans="2:19">
      <x:c r="B20" s="6"/>
      <x:c r="C20" s="6" t="str">
        <x:f>INDEX(ItemTable[Name],MATCH(ItemEffectTable[[#This Row],[Index]],ItemTable[ItemEffectDataId],0))</x:f>
        <x:v>코코아 한통</x:v>
      </x:c>
      <x:c r="D20" s="6" t="str">
        <x:f>INDEX(ItemTable[GradeType],MATCH(ItemEffectTable[[#This Row],[Index]],ItemTable[ItemEffectDataId],0))</x:f>
        <x:v>Cursed</x:v>
      </x:c>
      <x:c r="E20">
        <x:v>9000</x:v>
      </x:c>
      <x:c r="F20" t="s">
        <x:v>430</x:v>
      </x:c>
      <x:c r="G20" s="18" t="s">
        <x:v>421</x:v>
      </x:c>
      <x:c r="H20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차징속도변경-1단계</x:v>
      </x:c>
      <x:c r="I20" s="7" t="s">
        <x:v>321</x:v>
      </x:c>
      <x:c r="J20">
        <x:v>0.55000000000000004</x:v>
      </x:c>
      <x:c r="K20" t="s">
        <x:v>431</x:v>
      </x:c>
      <x:c r="L20" t="s">
        <x:v>191</x:v>
      </x:c>
      <x:c r="M20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0" s="7">
        <x:f t="array" ref="N20: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20" s="24"/>
      <x:c r="P20" s="7">
        <x:f t="array" ref="P20: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0.55000000000000004</x:v>
      </x:c>
      <x:c r="Q20" s="7">
        <x:f t="array" ref="Q20: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67.5</x:v>
      </x:c>
      <x:c r="R20" s="7">
        <x:f t="array" ref="R20:R20">SUM(IF($E$3:$E$56=E20,$Q$3:$Q$56))</x:f>
        <x:v>47.500000000000014</x:v>
      </x:c>
      <x:c r="S20" s="7">
        <x:f>INDEX(표9[],MATCH(ItemEffectTable[[#This Row],['#Grade]],표9[#Headers],0))-ItemEffectTable[[#This Row],['#총 효력가치]]</x:f>
        <x:v>2.4999999999999858</x:v>
      </x:c>
    </x:row>
    <x:row r="21" spans="2:19">
      <x:c r="B21" s="6"/>
      <x:c r="C21" s="6" t="str">
        <x:f>INDEX(ItemTable[Name],MATCH(ItemEffectTable[[#This Row],[Index]],ItemTable[ItemEffectDataId],0))</x:f>
        <x:v>슬픈 캔리오</x:v>
      </x:c>
      <x:c r="D21" s="6" t="str">
        <x:f>INDEX(ItemTable[GradeType],MATCH(ItemEffectTable[[#This Row],[Index]],ItemTable[ItemEffectDataId],0))</x:f>
        <x:v>Cursed</x:v>
      </x:c>
      <x:c r="E21">
        <x:v>9001</x:v>
      </x:c>
      <x:c r="F21" t="s">
        <x:v>430</x:v>
      </x:c>
      <x:c r="G21" t="s">
        <x:v>6</x:v>
      </x:c>
      <x:c r="H21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이동속도변경</x:v>
      </x:c>
      <x:c r="I21" s="7" t="s">
        <x:v>320</x:v>
      </x:c>
      <x:c r="J21">
        <x:v>0.75</x:v>
      </x:c>
      <x:c r="K21" t="s">
        <x:v>431</x:v>
      </x:c>
      <x:c r="L21" t="s">
        <x:v>191</x:v>
      </x:c>
      <x:c r="M21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21" s="7">
        <x:f t="array" ref="N21: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6</x:v>
      </x:c>
      <x:c r="O21" s="24"/>
      <x:c r="P21" s="7">
        <x:f t="array" ref="P21: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4.5</x:v>
      </x:c>
      <x:c r="Q21" s="7">
        <x:f t="array" ref="Q21: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-75</x:v>
      </x:c>
      <x:c r="R21" s="7">
        <x:f t="array" ref="R21:R21">SUM(IF($E$3:$E$56=E21,$Q$3:$Q$56))</x:f>
        <x:v>45</x:v>
      </x:c>
      <x:c r="S21" s="7">
        <x:f>INDEX(표9[],MATCH(ItemEffectTable[[#This Row],['#Grade]],표9[#Headers],0))-ItemEffectTable[[#This Row],['#총 효력가치]]</x:f>
        <x:v>5</x:v>
      </x:c>
    </x:row>
    <x:row r="22" spans="2:19">
      <x:c r="B22" s="6"/>
      <x:c r="C22" s="6" t="str">
        <x:f>INDEX(ItemTable[Name],MATCH(ItemEffectTable[[#This Row],[Index]],ItemTable[ItemEffectDataId],0))</x:f>
        <x:v>슬픈 캔리오</x:v>
      </x:c>
      <x:c r="D22" s="6" t="str">
        <x:f>INDEX(ItemTable[GradeType],MATCH(ItemEffectTable[[#This Row],[Index]],ItemTable[ItemEffectDataId],0))</x:f>
        <x:v>Cursed</x:v>
      </x:c>
      <x:c r="E22">
        <x:v>9001</x:v>
      </x:c>
      <x:c r="F22" t="s">
        <x:v>430</x:v>
      </x:c>
      <x:c r="G22" s="17" t="s">
        <x:v>65</x:v>
      </x:c>
      <x:c r="H22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최대체력변경</x:v>
      </x:c>
      <x:c r="I22" s="7" t="s">
        <x:v>320</x:v>
      </x:c>
      <x:c r="J22">
        <x:v>200</x:v>
      </x:c>
      <x:c r="K22" t="s">
        <x:v>428</x:v>
      </x:c>
      <x:c r="L22" t="s">
        <x:v>191</x:v>
      </x:c>
      <x:c r="M22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22" s="7">
        <x:f t="array" ref="N22: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75</x:v>
      </x:c>
      <x:c r="O22" s="24"/>
      <x:c r="P22" s="7">
        <x:f t="array" ref="P22: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275</x:v>
      </x:c>
      <x:c r="Q22" s="7">
        <x:f t="array" ref="Q22: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120</x:v>
      </x:c>
      <x:c r="R22" s="7">
        <x:f t="array" ref="R22:R22">SUM(IF($E$3:$E$56=E22,$Q$3:$Q$56))</x:f>
        <x:v>45</x:v>
      </x:c>
      <x:c r="S22" s="7">
        <x:f>INDEX(표9[],MATCH(ItemEffectTable[[#This Row],['#Grade]],표9[#Headers],0))-ItemEffectTable[[#This Row],['#총 효력가치]]</x:f>
        <x:v>5</x:v>
      </x:c>
    </x:row>
    <x:row r="23" spans="2:19">
      <x:c r="B23" s="6"/>
      <x:c r="C23" s="6" t="str">
        <x:f>INDEX(ItemTable[Name],MATCH(ItemEffectTable[[#This Row],[Index]],ItemTable[ItemEffectDataId],0))</x:f>
        <x:v>청개굴 버섯구이</x:v>
      </x:c>
      <x:c r="D23" s="6" t="str">
        <x:f>INDEX(ItemTable[GradeType],MATCH(ItemEffectTable[[#This Row],[Index]],ItemTable[ItemEffectDataId],0))</x:f>
        <x:v>Cursed</x:v>
      </x:c>
      <x:c r="E23">
        <x:v>9002</x:v>
      </x:c>
      <x:c r="F23" t="s">
        <x:v>430</x:v>
      </x:c>
      <x:c r="G23" t="s">
        <x:v>377</x:v>
      </x:c>
      <x:c r="H23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23" s="7" t="s">
        <x:v>457</x:v>
      </x:c>
      <x:c r="J23">
        <x:v>0.5</x:v>
      </x:c>
      <x:c r="K23" t="s">
        <x:v>428</x:v>
      </x:c>
      <x:c r="L23" t="s">
        <x:v>191</x:v>
      </x:c>
      <x:c r="M23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3" s="7">
        <x:f t="array" ref="N23: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23" s="24"/>
      <x:c r="P23" s="7">
        <x:f t="array" ref="P23: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1.5</x:v>
      </x:c>
      <x:c r="Q23" s="7">
        <x:f t="array" ref="Q23: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83.333333333333343</x:v>
      </x:c>
      <x:c r="R23" s="7" t="e">
        <x:f t="array" ref="R23:R23">SUM(IF($E$3:$E$56=E23,$Q$3:$Q$56))</x:f>
        <x:v>#VALUE!</x:v>
      </x:c>
      <x:c r="S23" s="7" t="e">
        <x:f>INDEX(표9[],MATCH(ItemEffectTable[[#This Row],['#Grade]],표9[#Headers],0))-ItemEffectTable[[#This Row],['#총 효력가치]]</x:f>
        <x:v>#VALUE!</x:v>
      </x:c>
    </x:row>
    <x:row r="24" spans="2:19">
      <x:c r="B24" s="6"/>
      <x:c r="C24" s="6" t="str">
        <x:f>INDEX(ItemTable[Name],MATCH(ItemEffectTable[[#This Row],[Index]],ItemTable[ItemEffectDataId],0))</x:f>
        <x:v>청개굴 버섯구이</x:v>
      </x:c>
      <x:c r="D24" s="6" t="str">
        <x:f>INDEX(ItemTable[GradeType],MATCH(ItemEffectTable[[#This Row],[Index]],ItemTable[ItemEffectDataId],0))</x:f>
        <x:v>Cursed</x:v>
      </x:c>
      <x:c r="E24">
        <x:v>9002</x:v>
      </x:c>
      <x:c r="F24" t="s">
        <x:v>162</x:v>
      </x:c>
      <x:c r="G24" t="s">
        <x:v>84</x:v>
      </x:c>
      <x:c r="H24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 방향이 반대 방향이 됨.</x:v>
      </x:c>
      <x:c r="I24" s="7" t="s">
        <x:v>457</x:v>
      </x:c>
      <x:c r="J24">
        <x:v>0</x:v>
      </x:c>
      <x:c r="K24" t="s">
        <x:v>188</x:v>
      </x:c>
      <x:c r="L24" t="s">
        <x:v>191</x:v>
      </x:c>
      <x:c r="M24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-</x:v>
      </x:c>
      <x:c r="N24" s="7" t="str">
        <x:f t="array" ref="N24: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예외처리</x:v>
      </x:c>
      <x:c r="O24" s="24"/>
      <x:c r="P24" s="7">
        <x:f t="array" ref="P24: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0</x:v>
      </x:c>
      <x:c r="Q24" s="7" t="e">
        <x:f t="array" ref="Q24: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#VALUE!</x:v>
      </x:c>
      <x:c r="R24" s="7" t="e">
        <x:f t="array" ref="R24:R24">SUM(IF($E$3:$E$56=E24,$Q$3:$Q$56))</x:f>
        <x:v>#VALUE!</x:v>
      </x:c>
      <x:c r="S24" s="7" t="e">
        <x:f>INDEX(표9[],MATCH(ItemEffectTable[[#This Row],['#Grade]],표9[#Headers],0))-ItemEffectTable[[#This Row],['#총 효력가치]]</x:f>
        <x:v>#VALUE!</x:v>
      </x:c>
    </x:row>
    <x:row r="25" spans="2:19">
      <x:c r="B25" s="6"/>
      <x:c r="C25" s="6" t="str">
        <x:f>INDEX(ItemTable[Name],MATCH(ItemEffectTable[[#This Row],[Index]],ItemTable[ItemEffectDataId],0))</x:f>
        <x:v>누군가의 일기장</x:v>
      </x:c>
      <x:c r="D25" s="6" t="str">
        <x:f>INDEX(ItemTable[GradeType],MATCH(ItemEffectTable[[#This Row],[Index]],ItemTable[ItemEffectDataId],0))</x:f>
        <x:v>Cursed</x:v>
      </x:c>
      <x:c r="E25">
        <x:v>9003</x:v>
      </x:c>
      <x:c r="F25" t="s">
        <x:v>430</x:v>
      </x:c>
      <x:c r="G25" s="18" t="s">
        <x:v>65</x:v>
      </x:c>
      <x:c r="H25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최대체력변경</x:v>
      </x:c>
      <x:c r="I25" s="7" t="s">
        <x:v>43</x:v>
      </x:c>
      <x:c r="J25">
        <x:v>-100</x:v>
      </x:c>
      <x:c r="K25" t="s">
        <x:v>428</x:v>
      </x:c>
      <x:c r="L25" t="s">
        <x:v>191</x:v>
      </x:c>
      <x:c r="M25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CharacterTable</x:v>
      </x:c>
      <x:c r="N25" s="7">
        <x:f t="array" ref="N25: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75</x:v>
      </x:c>
      <x:c r="O25" s="24"/>
      <x:c r="P25" s="7">
        <x:f t="array" ref="P25: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-25</x:v>
      </x:c>
      <x:c r="Q25" s="7">
        <x:f t="array" ref="Q25: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-60</x:v>
      </x:c>
      <x:c r="R25" s="7">
        <x:f t="array" ref="R25:R25">SUM(IF($E$3:$E$56=E25,$Q$3:$Q$56))</x:f>
        <x:v>40.000000000000028</x:v>
      </x:c>
      <x:c r="S25" s="7">
        <x:f>INDEX(표9[],MATCH(ItemEffectTable[[#This Row],['#Grade]],표9[#Headers],0))-ItemEffectTable[[#This Row],['#총 효력가치]]</x:f>
        <x:v>9.9999999999999716</x:v>
      </x:c>
    </x:row>
    <x:row r="26" spans="2:19">
      <x:c r="B26" s="6"/>
      <x:c r="C26" s="6" t="str">
        <x:f>INDEX(ItemTable[Name],MATCH(ItemEffectTable[[#This Row],[Index]],ItemTable[ItemEffectDataId],0))</x:f>
        <x:v>누군가의 일기장</x:v>
      </x:c>
      <x:c r="D26" s="6" t="str">
        <x:f>INDEX(ItemTable[GradeType],MATCH(ItemEffectTable[[#This Row],[Index]],ItemTable[ItemEffectDataId],0))</x:f>
        <x:v>Cursed</x:v>
      </x:c>
      <x:c r="E26">
        <x:v>9003</x:v>
      </x:c>
      <x:c r="F26" t="s">
        <x:v>430</x:v>
      </x:c>
      <x:c r="G26" t="s">
        <x:v>377</x:v>
      </x:c>
      <x:c r="H26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공격력변경</x:v>
      </x:c>
      <x:c r="I26" s="7" t="s">
        <x:v>43</x:v>
      </x:c>
      <x:c r="J26">
        <x:v>0.59999999999999998</x:v>
      </x:c>
      <x:c r="K26" t="s">
        <x:v>428</x:v>
      </x:c>
      <x:c r="L26" t="s">
        <x:v>191</x:v>
      </x:c>
      <x:c r="M26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6" s="7">
        <x:f t="array" ref="N26: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26" s="24"/>
      <x:c r="P26" s="7">
        <x:f t="array" ref="P26: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1.6000000000000001</x:v>
      </x:c>
      <x:c r="Q26" s="7">
        <x:f t="array" ref="Q26: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100.00000000000003</x:v>
      </x:c>
      <x:c r="R26" s="7">
        <x:f t="array" ref="R26:R26">SUM(IF($E$3:$E$56=E26,$Q$3:$Q$56))</x:f>
        <x:v>40.000000000000028</x:v>
      </x:c>
      <x:c r="S26" s="7">
        <x:f>INDEX(표9[],MATCH(ItemEffectTable[[#This Row],['#Grade]],표9[#Headers],0))-ItemEffectTable[[#This Row],['#총 효력가치]]</x:f>
        <x:v>9.9999999999999716</x:v>
      </x:c>
    </x:row>
    <x:row r="27" spans="2:19">
      <x:c r="B27" s="6"/>
      <x:c r="C27" s="6" t="str">
        <x:f>INDEX(ItemTable[Name],MATCH(ItemEffectTable[[#This Row],[Index]],ItemTable[ItemEffectDataId],0))</x:f>
        <x:v>태양</x:v>
      </x:c>
      <x:c r="D27" s="6" t="str">
        <x:f>INDEX(ItemTable[GradeType],MATCH(ItemEffectTable[[#This Row],[Index]],ItemTable[ItemEffectDataId],0))</x:f>
        <x:v>Cursed</x:v>
      </x:c>
      <x:c r="E27">
        <x:v>9004</x:v>
      </x:c>
      <x:c r="F27" t="s">
        <x:v>430</x:v>
      </x:c>
      <x:c r="G27" s="18" t="s">
        <x:v>30</x:v>
      </x:c>
      <x:c r="H27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미차징</x:v>
      </x:c>
      <x:c r="I27" s="7" t="s">
        <x:v>461</x:v>
      </x:c>
      <x:c r="J27">
        <x:v>-1</x:v>
      </x:c>
      <x:c r="K27" t="s">
        <x:v>428</x:v>
      </x:c>
      <x:c r="L27" t="s">
        <x:v>191</x:v>
      </x:c>
      <x:c r="M27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7" s="7">
        <x:f t="array" ref="N27: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1</x:v>
      </x:c>
      <x:c r="O27" s="24"/>
      <x:c r="P27" s="7">
        <x:f t="array" ref="P27: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0</x:v>
      </x:c>
      <x:c r="Q27" s="7">
        <x:f t="array" ref="Q27: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-15</x:v>
      </x:c>
      <x:c r="R27" s="7">
        <x:f t="array" ref="R27:R27">SUM(IF($E$3:$E$56=E27,$Q$3:$Q$56))</x:f>
        <x:v>50</x:v>
      </x:c>
      <x:c r="S27" s="7">
        <x:f>INDEX(표9[],MATCH(ItemEffectTable[[#This Row],['#Grade]],표9[#Headers],0))-ItemEffectTable[[#This Row],['#총 효력가치]]</x:f>
        <x:v>0</x:v>
      </x:c>
    </x:row>
    <x:row r="28" spans="2:19">
      <x:c r="B28" s="6"/>
      <x:c r="C28" s="6" t="str">
        <x:f>INDEX(ItemTable[Name],MATCH(ItemEffectTable[[#This Row],[Index]],ItemTable[ItemEffectDataId],0))</x:f>
        <x:v>태양</x:v>
      </x:c>
      <x:c r="D28" s="6" t="str">
        <x:f>INDEX(ItemTable[GradeType],MATCH(ItemEffectTable[[#This Row],[Index]],ItemTable[ItemEffectDataId],0))</x:f>
        <x:v>Cursed</x:v>
      </x:c>
      <x:c r="E28">
        <x:v>9004</x:v>
      </x:c>
      <x:c r="F28" t="s">
        <x:v>430</x:v>
      </x:c>
      <x:c r="G28" s="18" t="s">
        <x:v>36</x:v>
      </x:c>
      <x:c r="H28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충돌 횟수 변경 - 1단계</x:v>
      </x:c>
      <x:c r="I28" s="7" t="s">
        <x:v>461</x:v>
      </x:c>
      <x:c r="J28">
        <x:v>-1</x:v>
      </x:c>
      <x:c r="K28" t="s">
        <x:v>428</x:v>
      </x:c>
      <x:c r="L28" t="s">
        <x:v>191</x:v>
      </x:c>
      <x:c r="M28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8" s="7">
        <x:f t="array" ref="N28: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3</x:v>
      </x:c>
      <x:c r="O28" s="24"/>
      <x:c r="P28" s="7">
        <x:f t="array" ref="P28: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2</x:v>
      </x:c>
      <x:c r="Q28" s="7">
        <x:f t="array" ref="Q28: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-15</x:v>
      </x:c>
      <x:c r="R28" s="7">
        <x:f t="array" ref="R28:R28">SUM(IF($E$3:$E$56=E28,$Q$3:$Q$56))</x:f>
        <x:v>50</x:v>
      </x:c>
      <x:c r="S28" s="7">
        <x:f>INDEX(표9[],MATCH(ItemEffectTable[[#This Row],['#Grade]],표9[#Headers],0))-ItemEffectTable[[#This Row],['#총 효력가치]]</x:f>
        <x:v>0</x:v>
      </x:c>
    </x:row>
    <x:row r="29" spans="2:19">
      <x:c r="B29" s="6"/>
      <x:c r="C29" s="6" t="str">
        <x:f>INDEX(ItemTable[Name],MATCH(ItemEffectTable[[#This Row],[Index]],ItemTable[ItemEffectDataId],0))</x:f>
        <x:v>태양</x:v>
      </x:c>
      <x:c r="D29" s="6" t="str">
        <x:f>INDEX(ItemTable[GradeType],MATCH(ItemEffectTable[[#This Row],[Index]],ItemTable[ItemEffectDataId],0))</x:f>
        <x:v>Cursed</x:v>
      </x:c>
      <x:c r="E29">
        <x:v>9004</x:v>
      </x:c>
      <x:c r="F29" t="s">
        <x:v>430</x:v>
      </x:c>
      <x:c r="G29" t="s">
        <x:v>227</x:v>
      </x:c>
      <x:c r="H29" s="7" t="str">
        <x:f>IF(ItemEffectTable[[#This Row],[ApplyType]]="PlayerStat",INDEX(스텟별가치[설명],MATCH(ItemEffectTable[[#This Row],[ApplyStat]],스텟별가치[스텟],0)),INDEX(스텟별가치[설명],MATCH(ItemEffectTable[[#This Row],[ApplyType]],스텟별가치[스텟],0)))</x:f>
        <x:v>차징에 따른 관통샷 변경</x:v>
      </x:c>
      <x:c r="I29" s="7" t="s">
        <x:v>461</x:v>
      </x:c>
      <x:c r="J29">
        <x:v>2</x:v>
      </x:c>
      <x:c r="K29" t="s">
        <x:v>188</x:v>
      </x:c>
      <x:c r="L29" t="s">
        <x:v>191</x:v>
      </x:c>
      <x:c r="M29" s="7" t="str">
        <x: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x:f>
        <x:v>CharacterAtkTable</x:v>
      </x:c>
      <x:c r="N29" s="7">
        <x:f t="array" ref="N29: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x:f>
        <x:v>0</x:v>
      </x:c>
      <x:c r="O29" s="24"/>
      <x:c r="P29" s="7">
        <x:f t="array" ref="P29: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x:f>
        <x:v>2</x:v>
      </x:c>
      <x:c r="Q29" s="7">
        <x:f t="array" ref="Q29: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x:f>
        <x:v>80</x:v>
      </x:c>
      <x:c r="R29" s="7">
        <x:f t="array" ref="R29:R29">SUM(IF($E$3:$E$56=E29,$Q$3:$Q$56))</x:f>
        <x:v>50</x:v>
      </x:c>
      <x:c r="S29" s="7">
        <x:f>INDEX(표9[],MATCH(ItemEffectTable[[#This Row],['#Grade]],표9[#Headers],0))-ItemEffectTable[[#This Row],['#총 효력가치]]</x:f>
        <x:v>0</x:v>
      </x:c>
    </x:row>
  </x:sheetData>
  <x:conditionalFormatting sqref="S3:S29">
    <x:cfRule type="dataBar" priority="1">
      <x:dataBar minLength="0" maxLength="100">
        <x:cfvo type="min"/>
        <x:cfvo type="max"/>
        <x:color rgb="ff638ec6"/>
      </x:dataBar>
      <x:extLst>
        <x:ext xmlns:x14="http://schemas.microsoft.com/office/spreadsheetml/2009/9/main" uri="{B025F937-C7B1-47D3-B67F-A62EFF666E3E}">
          <x14:id>{A3F509AD-3D70-4F54-82E6-8CD23F1F41A7}</x14:id>
        </x:ext>
      </x:extLst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150" verticalDpi="150" copies="1"/>
  <x:legacyDrawing r:id="rId1"/>
  <x:tableParts count="1">
    <x:tablePart r:id="rId2"/>
  </x:tableParts>
  <x:extLst>
    <x: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x:ext>
  </x:extLst>
</x:worksheet>
</file>

<file path=xl/worksheets/sheet1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1">
    <x:tabColor rgb="fffbe5d7"/>
  </x:sheetPr>
  <x:dimension ref="B1:F9"/>
  <x:sheetViews>
    <x:sheetView topLeftCell="A1" zoomScaleNormal="75" zoomScaleSheetLayoutView="100" workbookViewId="0">
      <x:selection activeCell="F6" activeCellId="0" sqref="F6:F6"/>
    </x:sheetView>
  </x:sheetViews>
  <x:sheetFormatPr defaultColWidth="8.875" defaultRowHeight="16.39999999999999857891"/>
  <x:cols>
    <x:col min="3" max="3" width="15.125" bestFit="1" customWidth="1"/>
    <x:col min="4" max="4" width="28.375" customWidth="1"/>
    <x:col min="5" max="5" width="16.375" bestFit="1" customWidth="1"/>
    <x:col min="6" max="6" width="33.125" customWidth="1"/>
  </x:cols>
  <x:sheetData>
    <x:row r="1" spans="2:6">
      <x:c r="B1" t="s">
        <x:v>60</x:v>
      </x:c>
      <x:c r="C1" t="s">
        <x:v>58</x:v>
      </x:c>
      <x:c r="D1" t="s">
        <x:v>58</x:v>
      </x:c>
      <x:c r="E1" t="s">
        <x:v>88</x:v>
      </x:c>
      <x:c r="F1" t="s">
        <x:v>87</x:v>
      </x:c>
    </x:row>
    <x:row r="2" spans="2:6">
      <x:c r="B2" t="s">
        <x:v>86</x:v>
      </x:c>
      <x:c r="C2" s="8" t="s">
        <x:v>132</x:v>
      </x:c>
      <x:c r="D2" s="9" t="s">
        <x:v>133</x:v>
      </x:c>
      <x:c r="E2" t="s">
        <x:v>260</x:v>
      </x:c>
      <x:c r="F2" t="s">
        <x:v>261</x:v>
      </x:c>
    </x:row>
    <x:row r="3" spans="2:6">
      <x:c r="B3">
        <x:v>900</x:v>
      </x:c>
      <x:c r="C3" s="15" t="e">
        <x:f>INDEX(#REF!,MATCH(ItemResourceTable[[#This Row],[Index]],ItemEffectTable[ApplyValue],0))</x:f>
        <x:v>#REF!</x:v>
      </x:c>
      <x:c r="D3" s="6" t="s">
        <x:v>382</x:v>
      </x:c>
      <x:c r="E3" t="s">
        <x:v>66</x:v>
      </x:c>
      <x:c r="F3" t="s">
        <x:v>291</x:v>
      </x:c>
    </x:row>
    <x:row r="4" spans="2:6">
      <x:c r="B4">
        <x:v>900</x:v>
      </x:c>
      <x:c r="C4" s="15" t="e">
        <x:f>INDEX(#REF!,MATCH(ItemResourceTable[[#This Row],[Index]],ItemEffectTable[ApplyValue],0))</x:f>
        <x:v>#REF!</x:v>
      </x:c>
      <x:c r="D4" s="6" t="s">
        <x:v>134</x:v>
      </x:c>
      <x:c r="E4" t="s">
        <x:v>354</x:v>
      </x:c>
      <x:c r="F4" t="s">
        <x:v>468</x:v>
      </x:c>
    </x:row>
    <x:row r="5" spans="2:6">
      <x:c r="B5">
        <x:v>901</x:v>
      </x:c>
      <x:c r="C5" s="15" t="e">
        <x:f>INDEX(#REF!,MATCH(ItemResourceTable[[#This Row],[Index]],ItemEffectTable[ApplyValue],0))</x:f>
        <x:v>#REF!</x:v>
      </x:c>
      <x:c r="D5" s="6" t="s">
        <x:v>382</x:v>
      </x:c>
      <x:c r="E5" t="s">
        <x:v>66</x:v>
      </x:c>
      <x:c r="F5" t="s">
        <x:v>466</x:v>
      </x:c>
    </x:row>
    <x:row r="6" spans="2:6">
      <x:c r="B6">
        <x:v>901</x:v>
      </x:c>
      <x:c r="C6" s="15" t="e">
        <x:f>INDEX(#REF!,MATCH(ItemResourceTable[[#This Row],[Index]],ItemEffectTable[ApplyValue],0))</x:f>
        <x:v>#REF!</x:v>
      </x:c>
      <x:c r="D6" s="6" t="s">
        <x:v>353</x:v>
      </x:c>
      <x:c r="E6" t="s">
        <x:v>240</x:v>
      </x:c>
      <x:c r="F6" t="s">
        <x:v>223</x:v>
      </x:c>
    </x:row>
    <x:row r="7" spans="2:6">
      <x:c r="B7">
        <x:v>901</x:v>
      </x:c>
      <x:c r="C7" s="15" t="e">
        <x:f>INDEX(#REF!,MATCH(ItemResourceTable[[#This Row],[Index]],ItemEffectTable[ApplyValue],0))</x:f>
        <x:v>#REF!</x:v>
      </x:c>
      <x:c r="D7" s="6" t="s">
        <x:v>383</x:v>
      </x:c>
      <x:c r="E7" t="s">
        <x:v>363</x:v>
      </x:c>
      <x:c r="F7" t="s">
        <x:v>471</x:v>
      </x:c>
    </x:row>
    <x:row r="8" spans="2:6">
      <x:c r="B8">
        <x:v>902</x:v>
      </x:c>
      <x:c r="C8" s="15" t="e">
        <x:f>INDEX(#REF!,MATCH(ItemResourceTable[[#This Row],[Index]],ItemEffectTable[ApplyValue],0))</x:f>
        <x:v>#REF!</x:v>
      </x:c>
      <x:c r="D8" s="6" t="s">
        <x:v>382</x:v>
      </x:c>
      <x:c r="E8" t="s">
        <x:v>66</x:v>
      </x:c>
      <x:c r="F8" t="s">
        <x:v>469</x:v>
      </x:c>
    </x:row>
    <x:row r="9" spans="2:6">
      <x:c r="B9">
        <x:v>902</x:v>
      </x:c>
      <x:c r="C9" s="15" t="e">
        <x:f>INDEX(#REF!,MATCH(ItemResourceTable[[#This Row],[Index]],ItemEffectTable[ApplyValue],0))</x:f>
        <x:v>#REF!</x:v>
      </x:c>
      <x:c r="D9" s="6" t="s">
        <x:v>383</x:v>
      </x:c>
      <x:c r="E9" t="s">
        <x:v>363</x:v>
      </x:c>
      <x:c r="F9" t="s">
        <x:v>314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xl/worksheets/sheet1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0">
    <x:tabColor rgb="ffe2f0d9"/>
  </x:sheetPr>
  <x:dimension ref="A1:D76"/>
  <x:sheetViews>
    <x:sheetView topLeftCell="A37" zoomScaleNormal="75" zoomScaleSheetLayoutView="100" workbookViewId="0">
      <x:selection activeCell="B24" activeCellId="0" sqref="B24:B24"/>
    </x:sheetView>
  </x:sheetViews>
  <x:sheetFormatPr defaultColWidth="8.875" defaultRowHeight="16.39999999999999857891"/>
  <x:cols>
    <x:col min="1" max="1" width="12.625" customWidth="1"/>
    <x:col min="2" max="2" width="63.625" customWidth="1"/>
    <x:col min="3" max="3" width="35.625" customWidth="1"/>
    <x:col min="4" max="4" width="20" bestFit="1" customWidth="1"/>
  </x:cols>
  <x:sheetData>
    <x:row r="1" spans="1:4">
      <x:c r="A1" t="s">
        <x:v>60</x:v>
      </x:c>
      <x:c r="B1" t="s">
        <x:v>87</x:v>
      </x:c>
      <x:c r="C1" t="s">
        <x:v>87</x:v>
      </x:c>
      <x:c r="D1" t="s">
        <x:v>58</x:v>
      </x:c>
    </x:row>
    <x:row r="2" spans="1:4">
      <x:c r="A2" t="s">
        <x:v>86</x:v>
      </x:c>
      <x:c r="B2" t="s">
        <x:v>340</x:v>
      </x:c>
      <x:c r="C2" t="s">
        <x:v>338</x:v>
      </x:c>
      <x:c r="D2" s="8" t="s">
        <x:v>131</x:v>
      </x:c>
    </x:row>
    <x:row r="3" spans="1:4">
      <x:c r="A3">
        <x:f>ItemTable[[#This Row],[Index]]+10000</x:f>
        <x:v>10010</x:v>
      </x:c>
      <x:c r="B3" t="s">
        <x:v>105</x:v>
      </x:c>
      <x:c r="C3" t="s">
        <x:v>112</x:v>
      </x:c>
      <x:c r="D3" s="6" t="str">
        <x:f t="array" ref="D3:D3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4" spans="1:4">
      <x:c r="A4">
        <x:f>ItemTable[[#This Row],[Index]]+10000</x:f>
        <x:v>10011</x:v>
      </x:c>
      <x:c r="B4" t="s">
        <x:v>106</x:v>
      </x:c>
      <x:c r="C4" t="s">
        <x:v>113</x:v>
      </x:c>
      <x:c r="D4" s="6" t="str">
        <x:f t="array" ref="D4:D4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5" spans="1:4">
      <x:c r="A5">
        <x:f>ItemTable[[#This Row],[Index]]+10000</x:f>
        <x:v>10020</x:v>
      </x:c>
      <x:c r="B5" t="s">
        <x:v>102</x:v>
      </x:c>
      <x:c r="C5" t="s">
        <x:v>114</x:v>
      </x:c>
      <x:c r="D5" s="6" t="str">
        <x:f t="array" ref="D5:D5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6" spans="1:4">
      <x:c r="A6">
        <x:f>ItemTable[[#This Row],[Index]]+10000</x:f>
        <x:v>10021</x:v>
      </x:c>
      <x:c r="B6" t="s">
        <x:v>107</x:v>
      </x:c>
      <x:c r="D6" s="6" t="str">
        <x:f t="array" ref="D6:D6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7" spans="1:4">
      <x:c r="A7">
        <x:f>ItemTable[[#This Row],[Index]]+10000</x:f>
        <x:v>10022</x:v>
      </x:c>
      <x:c r="B7" t="s">
        <x:v>108</x:v>
      </x:c>
      <x:c r="D7" s="6" t="str">
        <x:f t="array" ref="D7:D7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8" spans="1:4">
      <x:c r="A8">
        <x:f>ItemTable[[#This Row],[Index]]+10000</x:f>
        <x:v>12000</x:v>
      </x:c>
      <x:c r="B8" t="s">
        <x:v>109</x:v>
      </x:c>
      <x:c r="D8" s="6" t="str">
        <x:f t="array" ref="D8:D8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9" spans="1:4">
      <x:c r="A9">
        <x:f>ItemTable[[#This Row],[Index]]+10000</x:f>
        <x:v>12001</x:v>
      </x:c>
      <x:c r="B9" t="s">
        <x:v>151</x:v>
      </x:c>
      <x:c r="C9" t="s">
        <x:v>152</x:v>
      </x:c>
      <x:c r="D9" s="6" t="str">
        <x:f t="array" ref="D9:D9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0" spans="1:4">
      <x:c r="A10">
        <x:f>ItemTable[[#This Row],[Index]]+10000</x:f>
        <x:v>12002</x:v>
      </x:c>
      <x:c r="B10" t="s">
        <x:v>371</x:v>
      </x:c>
      <x:c r="D10" s="6" t="str">
        <x:f t="array" ref="D10:D10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1" spans="1:4">
      <x:c r="A11">
        <x:v>11002</x:v>
      </x:c>
      <x:c r="B11" t="s">
        <x:v>46</x:v>
      </x:c>
      <x:c r="D11" s="6" t="str">
        <x:f t="array" ref="D11:D11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2" spans="1:4">
      <x:c r="A12">
        <x:v>12000</x:v>
      </x:c>
      <x:c r="B12" t="s">
        <x:v>74</x:v>
      </x:c>
      <x:c r="C12" t="s">
        <x:v>339</x:v>
      </x:c>
      <x:c r="D12" s="6" t="str">
        <x:f t="array" ref="D12:D12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3" spans="1:4">
      <x:c r="A13">
        <x:v>12001</x:v>
      </x:c>
      <x:c r="B13" t="s">
        <x:v>62</x:v>
      </x:c>
      <x:c r="D13" s="6" t="str">
        <x:f t="array" ref="D13:D13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4" spans="1:4">
      <x:c r="A14">
        <x:v>12002</x:v>
      </x:c>
      <x:c r="B14" t="s">
        <x:v>95</x:v>
      </x:c>
      <x:c r="D14" s="6" t="str">
        <x:f t="array" ref="D14:D14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5" spans="1:4">
      <x:c r="A15">
        <x:v>12003</x:v>
      </x:c>
      <x:c r="B15" t="s">
        <x:v>344</x:v>
      </x:c>
      <x:c r="D15" s="6" t="str">
        <x:f t="array" ref="D15:D15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6" spans="1:4">
      <x:c r="A16">
        <x:v>12004</x:v>
      </x:c>
      <x:c r="B16" t="s">
        <x:v>98</x:v>
      </x:c>
      <x:c r="D16" s="6" t="str">
        <x:f t="array" ref="D16:D16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7" spans="1:4">
      <x:c r="A17">
        <x:v>12005</x:v>
      </x:c>
      <x:c r="B17" t="s">
        <x:v>76</x:v>
      </x:c>
      <x:c r="D17" s="6" t="str">
        <x:f t="array" ref="D17:D17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8" spans="1:4">
      <x:c r="A18">
        <x:v>12006</x:v>
      </x:c>
      <x:c r="B18" t="s">
        <x:v>63</x:v>
      </x:c>
      <x:c r="D18" s="6" t="str">
        <x:f t="array" ref="D18:D18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19" spans="1:4">
      <x:c r="A19">
        <x:v>13000</x:v>
      </x:c>
      <x:c r="B19" t="s">
        <x:v>231</x:v>
      </x:c>
      <x:c r="D19" s="6" t="str">
        <x:f t="array" ref="D19:D19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0" spans="1:4">
      <x:c r="A20">
        <x:v>13001</x:v>
      </x:c>
      <x:c r="B20" t="s">
        <x:v>73</x:v>
      </x:c>
      <x:c r="D20" s="6" t="str">
        <x:f t="array" ref="D20:D20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1" spans="1:4">
      <x:c r="A21">
        <x:v>13002</x:v>
      </x:c>
      <x:c r="B21" t="s">
        <x:v>119</x:v>
      </x:c>
      <x:c r="D21" s="6" t="str">
        <x:f t="array" ref="D21:D21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2" spans="1:4">
      <x:c r="A22">
        <x:v>13003</x:v>
      </x:c>
      <x:c r="B22" t="s">
        <x:v>53</x:v>
      </x:c>
      <x:c r="D22" s="6" t="str">
        <x:f t="array" ref="D22:D22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3" spans="1:4">
      <x:c r="A23">
        <x:v>13004</x:v>
      </x:c>
      <x:c r="B23" t="s">
        <x:v>75</x:v>
      </x:c>
      <x:c r="D23" s="6" t="str">
        <x:f t="array" ref="D23:D23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4" spans="1:4">
      <x:c r="A24">
        <x:v>13005</x:v>
      </x:c>
      <x:c r="B24" t="s">
        <x:v>77</x:v>
      </x:c>
      <x:c r="D24" s="6" t="str">
        <x:f t="array" ref="D24:D24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5" spans="1:4">
      <x:c r="A25">
        <x:v>13006</x:v>
      </x:c>
      <x:c r="B25" t="s">
        <x:v>56</x:v>
      </x:c>
      <x:c r="D25" s="6" t="str">
        <x:f t="array" ref="D25:D25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6" spans="1:4">
      <x:c r="A26">
        <x:v>13007</x:v>
      </x:c>
      <x:c r="B26" t="s">
        <x:v>96</x:v>
      </x:c>
      <x:c r="D26" s="6" t="str">
        <x:f t="array" ref="D26:D26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7" spans="1:4">
      <x:c r="A27">
        <x:v>13008</x:v>
      </x:c>
      <x:c r="B27" t="s">
        <x:v>93</x:v>
      </x:c>
      <x:c r="D27" s="6" t="str">
        <x:f t="array" ref="D27:D27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8" spans="1:4">
      <x:c r="A28">
        <x:v>13009</x:v>
      </x:c>
      <x:c r="B28" t="s">
        <x:v>3</x:v>
      </x:c>
      <x:c r="D28" s="6" t="str">
        <x:f t="array" ref="D28:D28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29" spans="1:4">
      <x:c r="A29">
        <x:v>13010</x:v>
      </x:c>
      <x:c r="B29" t="s">
        <x:v>85</x:v>
      </x:c>
      <x:c r="D29" s="6" t="str">
        <x:f t="array" ref="D29:D29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0" spans="1:4">
      <x:c r="A30">
        <x:v>13011</x:v>
      </x:c>
      <x:c r="B30" t="s">
        <x:v>78</x:v>
      </x:c>
      <x:c r="D30" s="6" t="str">
        <x:f t="array" ref="D30:D30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1" spans="1:4">
      <x:c r="A31">
        <x:v>13012</x:v>
      </x:c>
      <x:c r="B31" t="s">
        <x:v>120</x:v>
      </x:c>
      <x:c r="D31" s="6" t="str">
        <x:f t="array" ref="D31:D31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2" spans="1:4">
      <x:c r="A32">
        <x:v>14000</x:v>
      </x:c>
      <x:c r="B32" t="s">
        <x:v>79</x:v>
      </x:c>
      <x:c r="D32" s="6" t="str">
        <x:f t="array" ref="D32:D32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3" spans="1:4">
      <x:c r="A33">
        <x:v>14001</x:v>
      </x:c>
      <x:c r="B33" t="s">
        <x:v>80</x:v>
      </x:c>
      <x:c r="D33" s="6" t="str">
        <x:f t="array" ref="D33:D33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4" spans="1:4">
      <x:c r="A34">
        <x:v>14002</x:v>
      </x:c>
      <x:c r="B34" t="s">
        <x:v>2</x:v>
      </x:c>
      <x:c r="D34" s="6" t="str">
        <x:f t="array" ref="D34:D34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5" spans="1:4">
      <x:c r="A35">
        <x:v>14003</x:v>
      </x:c>
      <x:c r="B35" t="s">
        <x:v>81</x:v>
      </x:c>
      <x:c r="D35" s="6" t="str">
        <x:f t="array" ref="D35:D35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6" spans="1:4">
      <x:c r="A36">
        <x:v>14004</x:v>
      </x:c>
      <x:c r="B36" t="s">
        <x:v>97</x:v>
      </x:c>
      <x:c r="D36" s="6" t="str">
        <x:f t="array" ref="D36:D36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7" spans="1:4">
      <x:c r="A37">
        <x:v>14005</x:v>
      </x:c>
      <x:c r="B37" t="s">
        <x:v>89</x:v>
      </x:c>
      <x:c r="D37" s="6" t="str">
        <x:f t="array" ref="D37:D37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8" spans="1:4">
      <x:c r="A38">
        <x:v>14006</x:v>
      </x:c>
      <x:c r="B38" t="s">
        <x:v>83</x:v>
      </x:c>
      <x:c r="D38" s="6" t="str">
        <x:f t="array" ref="D38:D38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39" spans="1:4">
      <x:c r="A39">
        <x:v>14007</x:v>
      </x:c>
      <x:c r="B39" t="s">
        <x:v>7</x:v>
      </x:c>
      <x:c r="D39" s="6" t="str">
        <x:f t="array" ref="D39:D39">IF(ISERROR((INDEX(LocaleTable[LocaleKR],MATCH(LocaleTable[[#This Row],[Index]]-10000,LocaleTable[Index]),0))),"아이템 자체",(INDEX(LocaleTable[LocaleKR],MATCH(LocaleTable[[#This Row],[Index]]-10000,LocaleTable[Index]),0)))</x:f>
        <x:v>아이템 자체</x:v>
      </x:c>
    </x:row>
    <x:row r="40" spans="1:4">
      <x:c r="A40">
        <x:v>20010</x:v>
      </x:c>
      <x:c r="D40" s="6" t="str">
        <x:f t="array" ref="D40:D40">IF(ISERROR((INDEX(LocaleTable[LocaleKR],MATCH(LocaleTable[[#This Row],[Index]]-10000,LocaleTable[Index]),0))),"아이템 자체",(INDEX(LocaleTable[LocaleKR],MATCH(LocaleTable[[#This Row],[Index]]-10000,LocaleTable[Index]),0)))</x:f>
        <x:v>하트 1개</x:v>
      </x:c>
    </x:row>
    <x:row r="41" spans="1:4">
      <x:c r="A41">
        <x:v>20011</x:v>
      </x:c>
      <x:c r="D41" s="6" t="str">
        <x:f t="array" ref="D41:D41">IF(ISERROR((INDEX(LocaleTable[LocaleKR],MATCH(LocaleTable[[#This Row],[Index]]-10000,LocaleTable[Index]),0))),"아이템 자체",(INDEX(LocaleTable[LocaleKR],MATCH(LocaleTable[[#This Row],[Index]]-10000,LocaleTable[Index]),0)))</x:f>
        <x:v>하트 2개</x:v>
      </x:c>
    </x:row>
    <x:row r="42" spans="1:4">
      <x:c r="A42">
        <x:v>20020</x:v>
      </x:c>
      <x:c r="D42" s="6" t="str">
        <x:f t="array" ref="D42:D42">IF(ISERROR((INDEX(LocaleTable[LocaleKR],MATCH(LocaleTable[[#This Row],[Index]]-10000,LocaleTable[Index]),0))),"아이템 자체",(INDEX(LocaleTable[LocaleKR],MATCH(LocaleTable[[#This Row],[Index]]-10000,LocaleTable[Index]),0)))</x:f>
        <x:v>15 골드</x:v>
      </x:c>
    </x:row>
    <x:row r="43" spans="1:4">
      <x:c r="A43">
        <x:v>20021</x:v>
      </x:c>
      <x:c r="D43" s="6" t="str">
        <x:f t="array" ref="D43:D43">IF(ISERROR((INDEX(LocaleTable[LocaleKR],MATCH(LocaleTable[[#This Row],[Index]]-10000,LocaleTable[Index]),0))),"아이템 자체",(INDEX(LocaleTable[LocaleKR],MATCH(LocaleTable[[#This Row],[Index]]-10000,LocaleTable[Index]),0)))</x:f>
        <x:v>30 골드</x:v>
      </x:c>
    </x:row>
    <x:row r="44" spans="1:4">
      <x:c r="A44">
        <x:v>20022</x:v>
      </x:c>
      <x:c r="D44" s="6" t="str">
        <x:f t="array" ref="D44:D44">IF(ISERROR((INDEX(LocaleTable[LocaleKR],MATCH(LocaleTable[[#This Row],[Index]]-10000,LocaleTable[Index]),0))),"아이템 자체",(INDEX(LocaleTable[LocaleKR],MATCH(LocaleTable[[#This Row],[Index]]-10000,LocaleTable[Index]),0)))</x:f>
        <x:v>45 골드</x:v>
      </x:c>
    </x:row>
    <x:row r="45" spans="1:4">
      <x:c r="A45">
        <x:v>20023</x:v>
      </x:c>
      <x:c r="D45" s="6" t="str">
        <x:f t="array" ref="D45:D45">IF(ISERROR((INDEX(LocaleTable[LocaleKR],MATCH(LocaleTable[[#This Row],[Index]]-10000,LocaleTable[Index]),0))),"아이템 자체",(INDEX(LocaleTable[LocaleKR],MATCH(LocaleTable[[#This Row],[Index]]-10000,LocaleTable[Index]),0)))</x:f>
        <x:v>45 골드</x:v>
      </x:c>
    </x:row>
    <x:row r="46" spans="1:4">
      <x:c r="A46">
        <x:v>21000</x:v>
      </x:c>
      <x:c r="B46" t="s">
        <x:v>207</x:v>
      </x:c>
      <x:c r="D46" s="6" t="str">
        <x:f t="array" ref="D46:D46">IF(ISERROR((INDEX(LocaleTable[LocaleKR],MATCH(LocaleTable[[#This Row],[Index]]-10000,LocaleTable[Index]),0))),"아이템 자체",(INDEX(LocaleTable[LocaleKR],MATCH(LocaleTable[[#This Row],[Index]]-10000,LocaleTable[Index]),0)))</x:f>
        <x:v>45 골드</x:v>
      </x:c>
    </x:row>
    <x:row r="47" spans="1:4">
      <x:c r="A47">
        <x:v>21001</x:v>
      </x:c>
      <x:c r="B47" t="s">
        <x:v>295</x:v>
      </x:c>
      <x:c r="D47" s="6" t="str">
        <x:f t="array" ref="D47:D47">IF(ISERROR((INDEX(LocaleTable[LocaleKR],MATCH(LocaleTable[[#This Row],[Index]]-10000,LocaleTable[Index]),0))),"아이템 자체",(INDEX(LocaleTable[LocaleKR],MATCH(LocaleTable[[#This Row],[Index]]-10000,LocaleTable[Index]),0)))</x:f>
        <x:v>45 골드</x:v>
      </x:c>
    </x:row>
    <x:row r="48" spans="1:4">
      <x:c r="A48">
        <x:v>21002</x:v>
      </x:c>
      <x:c r="B48" t="s">
        <x:v>458</x:v>
      </x:c>
      <x:c r="D48" s="6" t="str">
        <x:f t="array" ref="D48:D48">IF(ISERROR((INDEX(LocaleTable[LocaleKR],MATCH(LocaleTable[[#This Row],[Index]]-10000,LocaleTable[Index]),0))),"아이템 자체",(INDEX(LocaleTable[LocaleKR],MATCH(LocaleTable[[#This Row],[Index]]-10000,LocaleTable[Index]),0)))</x:f>
        <x:v>트럼펫</x:v>
      </x:c>
    </x:row>
    <x:row r="49" spans="1:4">
      <x:c r="A49">
        <x:v>22000</x:v>
      </x:c>
      <x:c r="B49" t="s">
        <x:v>230</x:v>
      </x:c>
      <x:c r="D49" s="6" t="str">
        <x:f t="array" ref="D49:D49">IF(ISERROR((INDEX(LocaleTable[LocaleKR],MATCH(LocaleTable[[#This Row],[Index]]-10000,LocaleTable[Index]),0))),"아이템 자체",(INDEX(LocaleTable[LocaleKR],MATCH(LocaleTable[[#This Row],[Index]]-10000,LocaleTable[Index]),0)))</x:f>
        <x:v>신성한 종</x:v>
      </x:c>
    </x:row>
    <x:row r="50" spans="1:4">
      <x:c r="A50">
        <x:v>22001</x:v>
      </x:c>
      <x:c r="B50" t="s">
        <x:v>472</x:v>
      </x:c>
      <x:c r="D50" s="6" t="str">
        <x:f t="array" ref="D50:D50">IF(ISERROR((INDEX(LocaleTable[LocaleKR],MATCH(LocaleTable[[#This Row],[Index]]-10000,LocaleTable[Index]),0))),"아이템 자체",(INDEX(LocaleTable[LocaleKR],MATCH(LocaleTable[[#This Row],[Index]]-10000,LocaleTable[Index]),0)))</x:f>
        <x:v>미정1</x:v>
      </x:c>
    </x:row>
    <x:row r="51" spans="1:4">
      <x:c r="A51">
        <x:v>22002</x:v>
      </x:c>
      <x:c r="B51" t="s">
        <x:v>229</x:v>
      </x:c>
      <x:c r="D51" s="6" t="str">
        <x:f t="array" ref="D51:D51">IF(ISERROR((INDEX(LocaleTable[LocaleKR],MATCH(LocaleTable[[#This Row],[Index]]-10000,LocaleTable[Index]),0))),"아이템 자체",(INDEX(LocaleTable[LocaleKR],MATCH(LocaleTable[[#This Row],[Index]]-10000,LocaleTable[Index]),0)))</x:f>
        <x:v>무언가 담긴병</x:v>
      </x:c>
    </x:row>
    <x:row r="52" spans="1:4">
      <x:c r="A52">
        <x:v>22003</x:v>
      </x:c>
      <x:c r="B52" t="s">
        <x:v>226</x:v>
      </x:c>
      <x:c r="D52" s="6" t="str">
        <x:f t="array" ref="D52:D52">IF(ISERROR((INDEX(LocaleTable[LocaleKR],MATCH(LocaleTable[[#This Row],[Index]]-10000,LocaleTable[Index]),0))),"아이템 자체",(INDEX(LocaleTable[LocaleKR],MATCH(LocaleTable[[#This Row],[Index]]-10000,LocaleTable[Index]),0)))</x:f>
        <x:v>아저씨의 금구슬</x:v>
      </x:c>
    </x:row>
    <x:row r="53" spans="1:4">
      <x:c r="A53">
        <x:v>22004</x:v>
      </x:c>
      <x:c r="B53" t="s">
        <x:v>224</x:v>
      </x:c>
      <x:c r="D53" s="6" t="str">
        <x:f t="array" ref="D53:D53">IF(ISERROR((INDEX(LocaleTable[LocaleKR],MATCH(LocaleTable[[#This Row],[Index]]-10000,LocaleTable[Index]),0))),"아이템 자체",(INDEX(LocaleTable[LocaleKR],MATCH(LocaleTable[[#This Row],[Index]]-10000,LocaleTable[Index]),0)))</x:f>
        <x:v>작은 십자가</x:v>
      </x:c>
    </x:row>
    <x:row r="54" spans="1:4">
      <x:c r="A54">
        <x:v>22005</x:v>
      </x:c>
      <x:c r="B54" t="s">
        <x:v>244</x:v>
      </x:c>
      <x:c r="D54" s="6" t="str">
        <x:f t="array" ref="D54:D54">IF(ISERROR((INDEX(LocaleTable[LocaleKR],MATCH(LocaleTable[[#This Row],[Index]]-10000,LocaleTable[Index]),0))),"아이템 자체",(INDEX(LocaleTable[LocaleKR],MATCH(LocaleTable[[#This Row],[Index]]-10000,LocaleTable[Index]),0)))</x:f>
        <x:v>목없는 갑옷</x:v>
      </x:c>
    </x:row>
    <x:row r="55" spans="1:4">
      <x:c r="A55">
        <x:v>22006</x:v>
      </x:c>
      <x:c r="B55" t="s">
        <x:v>311</x:v>
      </x:c>
      <x:c r="D55" s="6" t="str">
        <x:f t="array" ref="D55:D55">IF(ISERROR((INDEX(LocaleTable[LocaleKR],MATCH(LocaleTable[[#This Row],[Index]]-10000,LocaleTable[Index]),0))),"아이템 자체",(INDEX(LocaleTable[LocaleKR],MATCH(LocaleTable[[#This Row],[Index]]-10000,LocaleTable[Index]),0)))</x:f>
        <x:v>미정2</x:v>
      </x:c>
    </x:row>
    <x:row r="56" spans="1:4">
      <x:c r="A56">
        <x:v>23000</x:v>
      </x:c>
      <x:c r="B56" t="s">
        <x:v>228</x:v>
      </x:c>
      <x:c r="D56" s="6" t="str">
        <x:f t="array" ref="D56:D56">IF(ISERROR((INDEX(LocaleTable[LocaleKR],MATCH(LocaleTable[[#This Row],[Index]]-10000,LocaleTable[Index]),0))),"아이템 자체",(INDEX(LocaleTable[LocaleKR],MATCH(LocaleTable[[#This Row],[Index]]-10000,LocaleTable[Index]),0)))</x:f>
        <x:v>Dys : 0N Mk2</x:v>
      </x:c>
    </x:row>
    <x:row r="57" spans="1:4">
      <x:c r="A57">
        <x:v>23001</x:v>
      </x:c>
      <x:c r="B57" t="s">
        <x:v>8</x:v>
      </x:c>
      <x:c r="D57" s="6" t="str">
        <x:f t="array" ref="D57:D57">IF(ISERROR((INDEX(LocaleTable[LocaleKR],MATCH(LocaleTable[[#This Row],[Index]]-10000,LocaleTable[Index]),0))),"아이템 자체",(INDEX(LocaleTable[LocaleKR],MATCH(LocaleTable[[#This Row],[Index]]-10000,LocaleTable[Index]),0)))</x:f>
        <x:v>무해한 불꽃</x:v>
      </x:c>
    </x:row>
    <x:row r="58" spans="1:4">
      <x:c r="A58">
        <x:v>23002</x:v>
      </x:c>
      <x:c r="B58" t="s">
        <x:v>308</x:v>
      </x:c>
      <x:c r="D58" s="6" t="str">
        <x:f t="array" ref="D58:D58">IF(ISERROR((INDEX(LocaleTable[LocaleKR],MATCH(LocaleTable[[#This Row],[Index]]-10000,LocaleTable[Index]),0))),"아이템 자체",(INDEX(LocaleTable[LocaleKR],MATCH(LocaleTable[[#This Row],[Index]]-10000,LocaleTable[Index]),0)))</x:f>
        <x:v>롱기누스</x:v>
      </x:c>
    </x:row>
    <x:row r="59" spans="1:4">
      <x:c r="A59">
        <x:v>23003</x:v>
      </x:c>
      <x:c r="B59" t="s">
        <x:v>10</x:v>
      </x:c>
      <x:c r="D59" s="6" t="str">
        <x:f t="array" ref="D59:D59">IF(ISERROR((INDEX(LocaleTable[LocaleKR],MATCH(LocaleTable[[#This Row],[Index]]-10000,LocaleTable[Index]),0))),"아이템 자체",(INDEX(LocaleTable[LocaleKR],MATCH(LocaleTable[[#This Row],[Index]]-10000,LocaleTable[Index]),0)))</x:f>
        <x:v>석가면</x:v>
      </x:c>
    </x:row>
    <x:row r="60" spans="1:4">
      <x:c r="A60">
        <x:v>23004</x:v>
      </x:c>
      <x:c r="B60" t="s">
        <x:v>209</x:v>
      </x:c>
      <x:c r="D60" s="6" t="str">
        <x:f t="array" ref="D60:D60">IF(ISERROR((INDEX(LocaleTable[LocaleKR],MATCH(LocaleTable[[#This Row],[Index]]-10000,LocaleTable[Index]),0))),"아이템 자체",(INDEX(LocaleTable[LocaleKR],MATCH(LocaleTable[[#This Row],[Index]]-10000,LocaleTable[Index]),0)))</x:f>
        <x:v>거인의 주먹</x:v>
      </x:c>
    </x:row>
    <x:row r="61" spans="1:4">
      <x:c r="A61">
        <x:v>23005</x:v>
      </x:c>
      <x:c r="B61" t="s">
        <x:v>16</x:v>
      </x:c>
      <x:c r="D61" s="6" t="str">
        <x:f t="array" ref="D61:D61">IF(ISERROR((INDEX(LocaleTable[LocaleKR],MATCH(LocaleTable[[#This Row],[Index]]-10000,LocaleTable[Index]),0))),"아이템 자체",(INDEX(LocaleTable[LocaleKR],MATCH(LocaleTable[[#This Row],[Index]]-10000,LocaleTable[Index]),0)))</x:f>
        <x:v>황금왕의 갑옷</x:v>
      </x:c>
    </x:row>
    <x:row r="62" spans="1:4">
      <x:c r="A62">
        <x:v>23006</x:v>
      </x:c>
      <x:c r="B62" t="s">
        <x:v>212</x:v>
      </x:c>
      <x:c r="D62" s="6" t="str">
        <x:f t="array" ref="D62:D62">IF(ISERROR((INDEX(LocaleTable[LocaleKR],MATCH(LocaleTable[[#This Row],[Index]]-10000,LocaleTable[Index]),0))),"아이템 자체",(INDEX(LocaleTable[LocaleKR],MATCH(LocaleTable[[#This Row],[Index]]-10000,LocaleTable[Index]),0)))</x:f>
        <x:v>복사기</x:v>
      </x:c>
    </x:row>
    <x:row r="63" spans="1:4">
      <x:c r="A63">
        <x:v>23007</x:v>
      </x:c>
      <x:c r="B63" t="s">
        <x:v>317</x:v>
      </x:c>
      <x:c r="D63" s="6" t="str">
        <x:f t="array" ref="D63:D63">IF(ISERROR((INDEX(LocaleTable[LocaleKR],MATCH(LocaleTable[[#This Row],[Index]]-10000,LocaleTable[Index]),0))),"아이템 자체",(INDEX(LocaleTable[LocaleKR],MATCH(LocaleTable[[#This Row],[Index]]-10000,LocaleTable[Index]),0)))</x:f>
        <x:v>어른의 카드</x:v>
      </x:c>
    </x:row>
    <x:row r="64" spans="1:4">
      <x:c r="A64">
        <x:v>23008</x:v>
      </x:c>
      <x:c r="B64" t="s">
        <x:v>15</x:v>
      </x:c>
      <x:c r="D64" s="6" t="str">
        <x:f t="array" ref="D64:D64">IF(ISERROR((INDEX(LocaleTable[LocaleKR],MATCH(LocaleTable[[#This Row],[Index]]-10000,LocaleTable[Index]),0))),"아이템 자체",(INDEX(LocaleTable[LocaleKR],MATCH(LocaleTable[[#This Row],[Index]]-10000,LocaleTable[Index]),0)))</x:f>
        <x:v>회광반조</x:v>
      </x:c>
    </x:row>
    <x:row r="65" spans="1:4">
      <x:c r="A65">
        <x:v>23009</x:v>
      </x:c>
      <x:c r="B65" t="s">
        <x:v>313</x:v>
      </x:c>
      <x:c r="D65" s="6" t="str">
        <x:f t="array" ref="D65:D65">IF(ISERROR((INDEX(LocaleTable[LocaleKR],MATCH(LocaleTable[[#This Row],[Index]]-10000,LocaleTable[Index]),0))),"아이템 자체",(INDEX(LocaleTable[LocaleKR],MATCH(LocaleTable[[#This Row],[Index]]-10000,LocaleTable[Index]),0)))</x:f>
        <x:v>이카루스의 날개</x:v>
      </x:c>
    </x:row>
    <x:row r="66" spans="1:4">
      <x:c r="A66">
        <x:v>23010</x:v>
      </x:c>
      <x:c r="B66" t="s">
        <x:v>252</x:v>
      </x:c>
      <x:c r="D66" s="6" t="str">
        <x:f t="array" ref="D66:D66">IF(ISERROR((INDEX(LocaleTable[LocaleKR],MATCH(LocaleTable[[#This Row],[Index]]-10000,LocaleTable[Index]),0))),"아이템 자체",(INDEX(LocaleTable[LocaleKR],MATCH(LocaleTable[[#This Row],[Index]]-10000,LocaleTable[Index]),0)))</x:f>
        <x:v>신성한 수류탄</x:v>
      </x:c>
    </x:row>
    <x:row r="67" spans="1:4">
      <x:c r="A67">
        <x:v>23011</x:v>
      </x:c>
      <x:c r="B67" t="s">
        <x:v>25</x:v>
      </x:c>
      <x:c r="D67" s="6" t="str">
        <x:f t="array" ref="D67:D67">IF(ISERROR((INDEX(LocaleTable[LocaleKR],MATCH(LocaleTable[[#This Row],[Index]]-10000,LocaleTable[Index]),0))),"아이템 자체",(INDEX(LocaleTable[LocaleKR],MATCH(LocaleTable[[#This Row],[Index]]-10000,LocaleTable[Index]),0)))</x:f>
        <x:v>슈퍼콜드</x:v>
      </x:c>
    </x:row>
    <x:row r="68" spans="1:4">
      <x:c r="A68">
        <x:v>23012</x:v>
      </x:c>
      <x:c r="B68" t="s">
        <x:v>210</x:v>
      </x:c>
      <x:c r="D68" s="6" t="str">
        <x:f t="array" ref="D68:D68">IF(ISERROR((INDEX(LocaleTable[LocaleKR],MATCH(LocaleTable[[#This Row],[Index]]-10000,LocaleTable[Index]),0))),"아이템 자체",(INDEX(LocaleTable[LocaleKR],MATCH(LocaleTable[[#This Row],[Index]]-10000,LocaleTable[Index]),0)))</x:f>
        <x:v>게이볼그</x:v>
      </x:c>
    </x:row>
    <x:row r="69" spans="1:4">
      <x:c r="A69">
        <x:v>24000</x:v>
      </x:c>
      <x:c r="B69" t="s">
        <x:v>214</x:v>
      </x:c>
      <x:c r="D69" s="6" t="str">
        <x:f t="array" ref="D69:D69">IF(ISERROR((INDEX(LocaleTable[LocaleKR],MATCH(LocaleTable[[#This Row],[Index]]-10000,LocaleTable[Index]),0))),"아이템 자체",(INDEX(LocaleTable[LocaleKR],MATCH(LocaleTable[[#This Row],[Index]]-10000,LocaleTable[Index]),0)))</x:f>
        <x:v>불길한 깃발</x:v>
      </x:c>
    </x:row>
    <x:row r="70" spans="1:4">
      <x:c r="A70">
        <x:v>24001</x:v>
      </x:c>
      <x:c r="B70" t="s">
        <x:v>213</x:v>
      </x:c>
      <x:c r="D70" s="6" t="str">
        <x:f t="array" ref="D70:D70">IF(ISERROR((INDEX(LocaleTable[LocaleKR],MATCH(LocaleTable[[#This Row],[Index]]-10000,LocaleTable[Index]),0))),"아이템 자체",(INDEX(LocaleTable[LocaleKR],MATCH(LocaleTable[[#This Row],[Index]]-10000,LocaleTable[Index]),0)))</x:f>
        <x:v>빗바랜 천가죽</x:v>
      </x:c>
    </x:row>
    <x:row r="71" spans="1:4">
      <x:c r="A71">
        <x:v>24002</x:v>
      </x:c>
      <x:c r="B71" t="s">
        <x:v>203</x:v>
      </x:c>
      <x:c r="D71" s="6" t="str">
        <x:f t="array" ref="D71:D71">IF(ISERROR((INDEX(LocaleTable[LocaleKR],MATCH(LocaleTable[[#This Row],[Index]]-10000,LocaleTable[Index]),0))),"아이템 자체",(INDEX(LocaleTable[LocaleKR],MATCH(LocaleTable[[#This Row],[Index]]-10000,LocaleTable[Index]),0)))</x:f>
        <x:v>나자렛의 몽키스패너</x:v>
      </x:c>
    </x:row>
    <x:row r="72" spans="1:4">
      <x:c r="A72">
        <x:v>24003</x:v>
      </x:c>
      <x:c r="B72" t="s">
        <x:v>208</x:v>
      </x:c>
      <x:c r="D72" s="6" t="str">
        <x:f t="array" ref="D72:D72">IF(ISERROR((INDEX(LocaleTable[LocaleKR],MATCH(LocaleTable[[#This Row],[Index]]-10000,LocaleTable[Index]),0))),"아이템 자체",(INDEX(LocaleTable[LocaleKR],MATCH(LocaleTable[[#This Row],[Index]]-10000,LocaleTable[Index]),0)))</x:f>
        <x:v>저주받은 갑옷</x:v>
      </x:c>
    </x:row>
    <x:row r="73" spans="1:4">
      <x:c r="A73">
        <x:v>24004</x:v>
      </x:c>
      <x:c r="B73" t="s">
        <x:v>206</x:v>
      </x:c>
      <x:c r="D73" s="6" t="str">
        <x:f t="array" ref="D73:D73">IF(ISERROR((INDEX(LocaleTable[LocaleKR],MATCH(LocaleTable[[#This Row],[Index]]-10000,LocaleTable[Index]),0))),"아이템 자체",(INDEX(LocaleTable[LocaleKR],MATCH(LocaleTable[[#This Row],[Index]]-10000,LocaleTable[Index]),0)))</x:f>
        <x:v>유리 대포</x:v>
      </x:c>
    </x:row>
    <x:row r="74" spans="1:4">
      <x:c r="A74">
        <x:v>24005</x:v>
      </x:c>
      <x:c r="B74" t="s">
        <x:v>211</x:v>
      </x:c>
      <x:c r="D74" s="6" t="str">
        <x:f t="array" ref="D74:D74">IF(ISERROR((INDEX(LocaleTable[LocaleKR],MATCH(LocaleTable[[#This Row],[Index]]-10000,LocaleTable[Index]),0))),"아이템 자체",(INDEX(LocaleTable[LocaleKR],MATCH(LocaleTable[[#This Row],[Index]]-10000,LocaleTable[Index]),0)))</x:f>
        <x:v>청개구리 총</x:v>
      </x:c>
    </x:row>
    <x:row r="75" spans="1:4">
      <x:c r="A75">
        <x:v>24006</x:v>
      </x:c>
      <x:c r="B75" t="s">
        <x:v>9</x:v>
      </x:c>
      <x:c r="D75" s="6" t="str">
        <x:f t="array" ref="D75:D75">IF(ISERROR((INDEX(LocaleTable[LocaleKR],MATCH(LocaleTable[[#This Row],[Index]]-10000,LocaleTable[Index]),0))),"아이템 자체",(INDEX(LocaleTable[LocaleKR],MATCH(LocaleTable[[#This Row],[Index]]-10000,LocaleTable[Index]),0)))</x:f>
        <x:v>불운의 황금상</x:v>
      </x:c>
    </x:row>
    <x:row r="76" spans="1:4">
      <x:c r="A76">
        <x:v>24007</x:v>
      </x:c>
      <x:c r="B76" t="s">
        <x:v>11</x:v>
      </x:c>
      <x:c r="D76" s="6" t="str">
        <x:f t="array" ref="D76:D76">IF(ISERROR((INDEX(LocaleTable[LocaleKR],MATCH(LocaleTable[[#This Row],[Index]]-10000,LocaleTable[Index]),0))),"아이템 자체",(INDEX(LocaleTable[LocaleKR],MATCH(LocaleTable[[#This Row],[Index]]-10000,LocaleTable[Index]),0)))</x:f>
        <x:v>저주받은 테니스채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tableParts count="1">
    <x:tablePart r:id="rId1"/>
  </x:tableParts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ep:TitlesOfParts>
  <ep:TotalTime>0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matiy</cp:lastModifiedBy>
  <cp:revision>2</cp:revision>
  <dcterms:created xsi:type="dcterms:W3CDTF">2023-03-25T04:43:38.000</dcterms:created>
  <dcterms:modified xsi:type="dcterms:W3CDTF">2023-06-06T07:59:20.935</dcterms:modified>
  <cp:version>1200.0100.01</cp:version>
</cp:coreProperties>
</file>