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ocuments\QT_Proto\_GameData\"/>
    </mc:Choice>
  </mc:AlternateContent>
  <bookViews>
    <workbookView xWindow="3975" yWindow="3300" windowWidth="28800" windowHeight="15345" firstSheet="13" activeTab="18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21" l="1"/>
  <c r="F38" i="21"/>
  <c r="E24" i="3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0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9" i="21"/>
  <c r="F40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>
  <authors>
    <author>김동주</author>
  </authors>
  <commentList>
    <comment ref="D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김동주</author>
    <author>Kim_Dongju</author>
  </authors>
  <commentList>
    <comment ref="F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<sst xmlns="http://schemas.openxmlformats.org/spreadsheetml/2006/main" count="2659" uniqueCount="1105">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</sst>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64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아이템가격" displayName="아이템가격" ref="B6:H8" totalsRowShown="0" headerRowDxfId="167">
  <autoFilter ref="B6:H8"/>
  <tableColumns count="7">
    <tableColumn id="1" name="재화"/>
    <tableColumn id="2" name="Hp"/>
    <tableColumn id="3" name="Gold"/>
    <tableColumn id="4" name="Normal"/>
    <tableColumn id="5" name="Rare"/>
    <tableColumn id="6" name="Cursed"/>
    <tableColumn id="7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1" name="StageEnemyInfo" displayName="StageEnemyInfo" ref="B12:G42" headerRowDxfId="166">
  <autoFilter ref="B12:G42"/>
  <tableColumns count="6">
    <tableColumn id="11" name="층" dataDxfId="165"/>
    <tableColumn id="1" name="스테이지" totalsRowLabel="요약"/>
    <tableColumn id="3" name="박쥐"/>
    <tableColumn id="4" name="일반"/>
    <tableColumn id="5" name="정예" dataDxfId="164"/>
    <tableColumn id="6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0" name="표20" displayName="표20" ref="J6:M9" totalsRowCount="1" headerRowDxfId="162">
  <autoFilter ref="J6:M8"/>
  <tableColumns count="4">
    <tableColumn id="4" name=" " totalsRowLabel="요약"/>
    <tableColumn id="1" name="박쥐" totalsRowFunction="average"/>
    <tableColumn id="2" name="일반" totalsRowFunction="average"/>
    <tableColumn id="3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24" name="FloorInfo" displayName="FloorInfo" ref="J12:M16" totalsRowCount="1">
  <autoFilter ref="J12:M15"/>
  <tableColumns count="4">
    <tableColumn id="1" name="층" totalsRowLabel="요약" dataDxfId="161" totalsRowDxfId="160"/>
    <tableColumn id="2" name="개수" dataDxfId="159">
      <calculatedColumnFormula>INDEX(ProductialTable[MaxRoomValue],MATCH(FloorInfo[[#This Row],[층]],ProductialTable['#이름],0))-3</calculatedColumnFormula>
    </tableColumn>
    <tableColumn id="4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32" name="FloorEnemyHPInfo" displayName="FloorEnemyHPInfo" ref="J19:Q22" totalsRowShown="0">
  <autoFilter ref="J19:Q22"/>
  <tableColumns count="8">
    <tableColumn id="1" name="층"/>
    <tableColumn id="2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33" name="EnemyHPInfo" displayName="EnemyHPInfo" ref="O6:R9" totalsRowShown="0">
  <autoFilter ref="O6:R9"/>
  <tableColumns count="4">
    <tableColumn id="1" name="층"/>
    <tableColumn id="2" name="박쥐"/>
    <tableColumn id="3" name="일반"/>
    <tableColumn id="4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8" name="스텟별가치" displayName="스텟별가치" ref="B11:F42" totalsRowShown="0" headerRowDxfId="149" dataDxfId="148">
  <autoFilter ref="B11:F42"/>
  <tableColumns count="5">
    <tableColumn id="1" name="스텟" dataDxfId="147"/>
    <tableColumn id="2" name="참조 테이블" dataDxfId="146"/>
    <tableColumn id="3" name="설명" dataDxfId="145"/>
    <tableColumn id="4" name="Value 1당 가치" dataDxfId="144"/>
    <tableColumn id="5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10" name="표10" displayName="표10" ref="N6:O7" totalsRowShown="0" headerRowDxfId="142">
  <autoFilter ref="N6:O7"/>
  <tableColumns count="2">
    <tableColumn id="1" name="골드 가치"/>
    <tableColumn id="2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id="14" name="표14" displayName="표14" ref="N14:O15" totalsRowShown="0" headerRowDxfId="141">
  <autoFilter ref="N14:O15"/>
  <tableColumns count="2">
    <tableColumn id="1" name="적 기준 체력"/>
    <tableColumn id="2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id="15" name="밸런스시트" displayName="밸런스시트" ref="H6:J9" totalsRowShown="0" headerRowDxfId="140">
  <autoFilter ref="H6:J9"/>
  <tableColumns count="3">
    <tableColumn id="1" name="층"/>
    <tableColumn id="9" name="PC 최대 DPS" dataDxfId="139">
      <calculatedColumnFormula array="1">표27[최종 DPS]</calculatedColumnFormula>
    </tableColumn>
    <tableColumn id="10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id="9" name="표9" displayName="표9" ref="N10:Q11" totalsRowShown="0" headerRowDxfId="137">
  <autoFilter ref="N10:Q11"/>
  <tableColumns count="4">
    <tableColumn id="1" name="Normal"/>
    <tableColumn id="2" name="Rare"/>
    <tableColumn id="3" name="Cursed"/>
    <tableColumn id="4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id="25" name="표25" displayName="표25" ref="H12:L13" totalsRowShown="0" dataDxfId="135">
  <autoFilter ref="H12:L13"/>
  <tableColumns count="5">
    <tableColumn id="1" name="직접 공격 DPS" dataDxfId="134">
      <calculatedColumnFormula array="1">CharacterAtkTable[ChargeRigidDmg1]/CharacterAtkTable[SwingCooldown]</calculatedColumnFormula>
    </tableColumn>
    <tableColumn id="2" name="직접 차징 DPS" dataDxfId="133">
      <calculatedColumnFormula array="1">CharacterAtkTable[ChargeRigidDmg2]/(CharacterAtkTable[SwingCooldown]+CharacterAtkTable[ChargeTime])</calculatedColumnFormula>
    </tableColumn>
    <tableColumn id="3" name="차징 튕김 데미지 추가" dataDxfId="132">
      <calculatedColumnFormula array="1">CharacterAtkTable[ChargeShootSpd]*표26[튕김 기댓값]*표26[튕김 속도 데미지 감쇄]</calculatedColumnFormula>
    </tableColumn>
    <tableColumn id="4" name="차징 공격 적 맞춤 데미지 추가" dataDxfId="131">
      <calculatedColumnFormula array="1">CharacterAtkTable[EnemyProjectileDmg]*표26[적에게 튕김 기댓값]</calculatedColumnFormula>
    </tableColumn>
    <tableColumn id="5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id="26" name="표26" displayName="표26" ref="H15:J16" totalsRowShown="0">
  <autoFilter ref="H15:J16"/>
  <tableColumns count="3">
    <tableColumn id="1" name="튕김 기댓값"/>
    <tableColumn id="2" name="적에게 튕김 기댓값"/>
    <tableColumn id="3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id="27" name="표27" displayName="표27" ref="H18:J19" totalsRowShown="0">
  <autoFilter ref="H18:J19"/>
  <tableColumns count="3">
    <tableColumn id="1" name="차징 공격 사용 비율" dataDxfId="129"/>
    <tableColumn id="2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id="30" name="밸런스시트31" displayName="밸런스시트31" ref="B6:D7" totalsRowShown="0" headerRowDxfId="126">
  <autoFilter ref="B6:D7"/>
  <tableColumns count="3">
    <tableColumn id="1" name="DPS 상승량">
      <calculatedColumnFormula>30/0.12</calculatedColumnFormula>
    </tableColumn>
    <tableColumn id="2" name="체력 상승량">
      <calculatedColumnFormula>30/25</calculatedColumnFormula>
    </tableColumn>
    <tableColumn id="3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id="28" name="스텟별가치29" displayName="스텟별가치29" ref="B45:F54" totalsRowShown="0" headerRowDxfId="125" dataDxfId="124">
  <autoFilter ref="B45:F54"/>
  <tableColumns count="5">
    <tableColumn id="1" name="트리거" dataDxfId="123"/>
    <tableColumn id="2" name="발동 여부" dataDxfId="122"/>
    <tableColumn id="3" name="발동에 걸리는 시간" dataDxfId="121"/>
    <tableColumn id="4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id="29" name="표29" displayName="표29" ref="B57:F66" totalsRowShown="0" dataDxfId="118">
  <autoFilter ref="B57:F66"/>
  <tableColumns count="5">
    <tableColumn id="1" name="특수 이펙트 명칭" dataDxfId="117"/>
    <tableColumn id="2" name="열1" dataDxfId="116"/>
    <tableColumn id="3" name="설명" dataDxfId="115"/>
    <tableColumn id="4" name="1당 가치" dataDxfId="114">
      <calculatedColumnFormula>E14</calculatedColumnFormula>
    </tableColumn>
    <tableColumn id="5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id="2" name="표2" displayName="표2" ref="A2:D10" totalsRowShown="0" headerRowDxfId="112">
  <autoFilter ref="A2:D10"/>
  <tableColumns count="4">
    <tableColumn id="1" name="Index"/>
    <tableColumn id="2" name="#변수명" dataDxfId="111"/>
    <tableColumn id="3" name="value"/>
    <tableColumn id="4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id="6" name="CharacterTable" displayName="CharacterTable" ref="B2:M3" totalsRowShown="0" headerRowDxfId="109">
  <autoFilter ref="B2:M3"/>
  <tableColumns count="12">
    <tableColumn id="1" name="Index"/>
    <tableColumn id="2" name="#설명" dataDxfId="108"/>
    <tableColumn id="3" name="MaxHP"/>
    <tableColumn id="4" name="PCHitboxRad"/>
    <tableColumn id="5" name="MovementSpd"/>
    <tableColumn id="6" name="ChargeMovementSpd"/>
    <tableColumn id="7" name="MercyInvincibleTime"/>
    <tableColumn id="8" name="DodgeCooldown"/>
    <tableColumn id="9" name="DodgeInvincibleTime"/>
    <tableColumn id="10" name="DodgeDurationTime"/>
    <tableColumn id="11" name="DodgeAddForce"/>
    <tableColumn id="14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id="7" name="CharacterAtkTable" displayName="CharacterAtkTable" ref="B2:R3" totalsRowShown="0" headerRowDxfId="107">
  <autoFilter ref="B2:R3"/>
  <tableColumns count="17">
    <tableColumn id="1" name="Index"/>
    <tableColumn id="2" name="#설명" dataDxfId="106"/>
    <tableColumn id="7" name="SwingCooldown" dataDxfId="105"/>
    <tableColumn id="9" name="SwingRad"/>
    <tableColumn id="10" name="SwingCentralAngle"/>
    <tableColumn id="11" name="ChargeTime"/>
    <tableColumn id="5" name="ProjectileExplosion"/>
    <tableColumn id="4" name="ProjectileGuide" dataDxfId="104"/>
    <tableColumn id="12" name="ProjectilePierce"/>
    <tableColumn id="14" name="ChargeShootSpd"/>
    <tableColumn id="15" name="ChargeBounceCount"/>
    <tableColumn id="17" name="ReflectCorrection"/>
    <tableColumn id="18" name="ChargeRigidDmg1"/>
    <tableColumn id="19" name="ChargeRigidDmg2"/>
    <tableColumn id="21" name="ChargeProjectileDmg"/>
    <tableColumn id="32" name="EnemyProjectileDmg"/>
    <tableColumn id="22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id="13" name="ProductialTable" displayName="ProductialTable" ref="B2:S5" totalsRowShown="0" headerRowDxfId="103">
  <autoFilter ref="B2:S5"/>
  <tableColumns count="18">
    <tableColumn id="1" name="Index"/>
    <tableColumn id="2" name="#이름" dataDxfId="102"/>
    <tableColumn id="3" name="MaxRoomValue"/>
    <tableColumn id="4" name="GoldShopProb"/>
    <tableColumn id="5" name="HpShopProb"/>
    <tableColumn id="6" name="EnemyHpIncreasePer"/>
    <tableColumn id="7" name="ItemDropId"/>
    <tableColumn id="8" name="HpShopDropId"/>
    <tableColumn id="9" name="GoldShopDropId"/>
    <tableColumn id="10" name="BossDropId"/>
    <tableColumn id="11" name="ChoiceDropId"/>
    <tableColumn id="12" name="WeaponDropId"/>
    <tableColumn id="13" name="#드랍테이블1" dataDxfId="101"/>
    <tableColumn id="14" name="#드랍테이블2" dataDxfId="100"/>
    <tableColumn id="15" name="#드랍테이블3" dataDxfId="99"/>
    <tableColumn id="16" name="#드랍테이블4" dataDxfId="98"/>
    <tableColumn id="17" name="#드랍테이블5" dataDxfId="97"/>
    <tableColumn id="18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id="12" name="DropTable" displayName="DropTable" ref="B2:I11" totalsRowShown="0" headerRowDxfId="95">
  <autoFilter ref="B2:I11"/>
  <tableColumns count="8">
    <tableColumn id="1" name="Index"/>
    <tableColumn id="2" name="#메모" dataDxfId="94"/>
    <tableColumn id="3" name="Normal"/>
    <tableColumn id="4" name="Rare"/>
    <tableColumn id="5" name="Cursed"/>
    <tableColumn id="6" name="Active"/>
    <tableColumn id="7" name="Hp"/>
    <tableColumn id="8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id="18" name="EnemyGameData" displayName="EnemyGameData" ref="B2:V23" totalsRowShown="0">
  <autoFilter ref="B2:V23"/>
  <tableColumns count="21">
    <tableColumn id="1" name="Index"/>
    <tableColumn id="2" name="#Name" dataDxfId="93"/>
    <tableColumn id="19" name="#desc" dataDxfId="92"/>
    <tableColumn id="3" name="MaxHp"/>
    <tableColumn id="21" name="AgroRange"/>
    <tableColumn id="4" name="MoveType"/>
    <tableColumn id="5" name="SpacingRad"/>
    <tableColumn id="6" name="MoveTargetUpdatePeroid"/>
    <tableColumn id="7" name="MovementSpd"/>
    <tableColumn id="22" name="BodyContactDmg"/>
    <tableColumn id="8" name="AtkCheckDelay"/>
    <tableColumn id="9" name="AtkStartType"/>
    <tableColumn id="10" name="AtkStartParam" dataDxfId="91">
      <calculatedColumnFormula>IF(EnemyGameData[[#This Row],[SpacingRad]]&lt;3,5,EnemyGameData[[#This Row],[SpacingRad]]+1)</calculatedColumnFormula>
    </tableColumn>
    <tableColumn id="11" name="AtkDataId"/>
    <tableColumn id="12" name="DeadAtkDataId"/>
    <tableColumn id="13" name="GoldDropMin"/>
    <tableColumn id="14" name="GoldDropMax"/>
    <tableColumn id="15" name="ProjectileDataId"/>
    <tableColumn id="16" name="PrefabPath" dataDxfId="90"/>
    <tableColumn id="17" name="#기준 적 체력 비율"/>
    <tableColumn id="18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id="21" name="EnemyAtkTable" displayName="EnemyAtkTable" ref="B2:I138" totalsRowShown="0">
  <autoFilter ref="B2:I138"/>
  <sortState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name="Index"/>
    <tableColumn id="2" name="#설명" dataDxfId="88"/>
    <tableColumn id="3" name="ShootDataId" dataDxfId="87"/>
    <tableColumn id="4" name="AimType"/>
    <tableColumn id="5" name="BeforeDelay"/>
    <tableColumn id="6" name="AfterDelay"/>
    <tableColumn id="7" name="#" dataDxfId="86">
      <calculatedColumnFormula>INDEX(ShootTable['#설명],MATCH(EnemyAtkTable[[#This Row],[ShootDataId]],ShootTable[Index],0))</calculatedColumnFormula>
    </tableColumn>
    <tableColumn id="9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id="19" name="ShootTable" displayName="ShootTable" ref="B2:H239" totalsRowShown="0">
  <autoFilter ref="B2:H239"/>
  <sortState ref="B3:H238">
    <sortCondition ref="B232:B238"/>
  </sortState>
  <tableColumns count="7">
    <tableColumn id="1" name="Index"/>
    <tableColumn id="2" name="#설명" dataDxfId="84"/>
    <tableColumn id="3" name="ShootAngle"/>
    <tableColumn id="4" name="ProjectileDataId"/>
    <tableColumn id="5" name="MaxBounceCount"/>
    <tableColumn id="6" name="InitalSpd"/>
    <tableColumn id="7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id="17" name="ProjectileTable" displayName="ProjectileTable" ref="B2:G21" totalsRowShown="0" headerRowDxfId="83">
  <autoFilter ref="B2:G21"/>
  <tableColumns count="6">
    <tableColumn id="1" name="Index"/>
    <tableColumn id="2" name="#설명" dataDxfId="82"/>
    <tableColumn id="3" name="IsBounce"/>
    <tableColumn id="4" name="ColliderRad"/>
    <tableColumn id="5" name="DirectDmg"/>
    <tableColumn id="6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id="4" name="ItemTable" displayName="ItemTable" ref="B2:R33" totalsRowShown="0" headerRowDxfId="74" dataDxfId="73">
  <autoFilter ref="B2:R33"/>
  <tableColumns count="17">
    <tableColumn id="1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name="#이름" dataDxfId="71">
      <calculatedColumnFormula>INDEX(LocaleTable[LocaleKR],MATCH(ItemTable[[#This Row],[Name]],LocaleTable[StringKey],0))</calculatedColumnFormula>
    </tableColumn>
    <tableColumn id="13" name="#설명" dataDxfId="70">
      <calculatedColumnFormula>INDEX(LocaleTable[LocaleKR],MATCH(ItemTable[[#This Row],[Desc]],LocaleTable[StringKey],0))</calculatedColumnFormula>
    </tableColumn>
    <tableColumn id="12" name="#이로운효과" dataDxfId="69">
      <calculatedColumnFormula>INDEX(LocaleTable[LocaleKR],MATCH(ItemTable[[#This Row],[PlusDesc]],LocaleTable[StringKey],0))</calculatedColumnFormula>
    </tableColumn>
    <tableColumn id="16" name="#해로운효과" dataDxfId="68">
      <calculatedColumnFormula>IFERROR(INDEX(LocaleTable[LocaleKR],MATCH(ItemTable[[#This Row],[MinusDesc]],LocaleTable[StringKey],0)),"-")</calculatedColumnFormula>
    </tableColumn>
    <tableColumn id="14" name="Index" dataDxfId="67">
      <calculatedColumnFormula>ItemTable[[#This Row],['#Index 참조용]]</calculatedColumnFormula>
    </tableColumn>
    <tableColumn id="2" name="Name" dataDxfId="66"/>
    <tableColumn id="3" name="Desc" dataDxfId="65"/>
    <tableColumn id="18" name="PlusDesc" dataDxfId="64"/>
    <tableColumn id="19" name="MinusDesc" dataDxfId="63"/>
    <tableColumn id="4" name="GradeType" dataDxfId="62"/>
    <tableColumn id="10" name="MaxStack" dataDxfId="61"/>
    <tableColumn id="5" name="Value" dataDxfId="60"/>
    <tableColumn id="6" name="CostHp" dataDxfId="59"/>
    <tableColumn id="7" name="CostGold" dataDxfId="58"/>
    <tableColumn id="8" name="ItemEffectDataId" dataDxfId="57"/>
    <tableColumn id="9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id="1" name="ItemEffectTable" displayName="ItemEffectTable" ref="B2:S41" totalsRowShown="0" headerRowDxfId="55">
  <autoFilter ref="B2:S41"/>
  <tableColumns count="18">
    <tableColumn id="2" name="#이름" dataDxfId="54">
      <calculatedColumnFormula>INDEX(ItemTable['#이름],MATCH(ItemEffectTable[[#This Row],[Index]],ItemTable[ItemEffectDataId],0))</calculatedColumnFormula>
    </tableColumn>
    <tableColumn id="3" name="#Grade" dataDxfId="53">
      <calculatedColumnFormula>INDEX(ItemTable[GradeType],MATCH(ItemEffectTable[[#This Row],[Index]],ItemTable[ItemEffectDataId],0))</calculatedColumnFormula>
    </tableColumn>
    <tableColumn id="4" name="Index" dataDxfId="52"/>
    <tableColumn id="5" name="ApplyBuffId"/>
    <tableColumn id="6" name="ApplySpecialEffectId"/>
    <tableColumn id="15" name="CoolTime"/>
    <tableColumn id="10" name="TriggerType"/>
    <tableColumn id="9" name="ConditionTarget"/>
    <tableColumn id="11" name="Condition" dataDxfId="51"/>
    <tableColumn id="12" name="ConditionValue"/>
    <tableColumn id="1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id="22" name="ItemEffectTable23" displayName="ItemEffectTable23" ref="B2:U35" totalsRowShown="0" headerRowDxfId="42">
  <autoFilter ref="B2:U35"/>
  <tableColumns count="20">
    <tableColumn id="3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name="Index" dataDxfId="39"/>
    <tableColumn id="5" name="ApplyStat"/>
    <tableColumn id="6" name="ApplyValue"/>
    <tableColumn id="13" name="ValueOperatorType"/>
    <tableColumn id="14" name="Duration"/>
    <tableColumn id="9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name="#변화 후 값 예외처리" dataDxfId="36"/>
    <tableColumn id="8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name="#쿨타임" dataDxfId="33">
      <calculatedColumnFormula>INDEX(ItemEffectTable[CoolTime],MATCH(ItemEffectTable23[[#This Row],[Index]],ItemEffectTable[ApplyBuffId],0))</calculatedColumnFormula>
    </tableColumn>
    <tableColumn id="2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id="23" name="ItemEffectTable2324" displayName="ItemEffectTable2324" ref="B2:N25" totalsRowShown="0" headerRowDxfId="25">
  <autoFilter ref="B2:N25"/>
  <tableColumns count="13">
    <tableColumn id="4" name="Index" dataDxfId="24"/>
    <tableColumn id="7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name="EffectType"/>
    <tableColumn id="6" name="Param1"/>
    <tableColumn id="1" name="#Param1설명" dataDxfId="22"/>
    <tableColumn id="13" name="Param2"/>
    <tableColumn id="2" name="#Param2설명" dataDxfId="21"/>
    <tableColumn id="14" name="Param3"/>
    <tableColumn id="3" name="#Param3설명" dataDxfId="20"/>
    <tableColumn id="8" name="Param4" dataDxfId="19"/>
    <tableColumn id="9" name="#Param3설명3" dataDxfId="18"/>
    <tableColumn id="10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id="16" name="ItemResourceTable" displayName="ItemResourceTable" ref="B2:F9" totalsRowShown="0" headerRowDxfId="15">
  <autoFilter ref="B2:F9"/>
  <tableColumns count="5">
    <tableColumn id="1" name="Index"/>
    <tableColumn id="2" name="#대상 아이템" dataDxfId="14"/>
    <tableColumn id="3" name="#리소스 유형" dataDxfId="13"/>
    <tableColumn id="4" name="ResourceType"/>
    <tableColumn id="5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id="31" name="표31" displayName="표31" ref="B2:F40" totalsRowShown="0">
  <autoFilter ref="B2:F40"/>
  <tableColumns count="5">
    <tableColumn id="1" name="Index"/>
    <tableColumn id="2" name="LocaleId" dataDxfId="12"/>
    <tableColumn id="3" name="Duration"/>
    <tableColumn id="4" name="#한국어" dataDxfId="11">
      <calculatedColumnFormula>INDEX(LocaleTable[LocaleKR],MATCH(표31[[#This Row],[LocaleId]],LocaleTable[StringKey],0))</calculatedColumnFormula>
    </tableColumn>
    <tableColumn id="5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" name="LocaleTable" displayName="LocaleTable" ref="B2:I214" totalsRowShown="0" headerRowDxfId="9" dataDxfId="8">
  <autoFilter ref="B2:I214"/>
  <tableColumns count="8">
    <tableColumn id="1" name="StringKey" dataDxfId="7"/>
    <tableColumn id="2" name="LocaleKR" dataDxfId="6"/>
    <tableColumn id="3" name="LocaleUS" dataDxfId="5"/>
    <tableColumn id="6" name="#컴포넌트1" dataDxfId="4"/>
    <tableColumn id="7" name="#컴포넌트2" dataDxfId="3"/>
    <tableColumn id="8" name="#컴포넌트3" dataDxfId="2"/>
    <tableColumn id="9" name="#컴포넌트4" dataDxfId="1"/>
    <tableColumn id="5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33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AE3F3"/>
  </sheetPr>
  <dimension ref="B1:V27"/>
  <sheetViews>
    <sheetView zoomScaleNormal="75" zoomScaleSheetLayoutView="100" workbookViewId="0">
      <selection activeCell="F27" sqref="F27"/>
    </sheetView>
  </sheetViews>
  <sheetFormatPr defaultColWidth="8.625" defaultRowHeight="16.5"/>
  <cols>
    <col min="2" max="2" width="8.625" bestFit="1" customWidth="1"/>
    <col min="3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1017</v>
      </c>
      <c r="D2" s="12" t="s">
        <v>1018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1015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1016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1014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2000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2500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869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869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869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886</v>
      </c>
      <c r="D94">
        <v>0</v>
      </c>
      <c r="E94">
        <v>206</v>
      </c>
      <c r="F94">
        <v>0</v>
      </c>
      <c r="G94">
        <v>16</v>
      </c>
      <c r="H94" s="11" t="s">
        <v>968</v>
      </c>
    </row>
    <row r="95" spans="2:8">
      <c r="B95">
        <v>806</v>
      </c>
      <c r="C95" s="11" t="s">
        <v>886</v>
      </c>
      <c r="D95">
        <v>15</v>
      </c>
      <c r="E95">
        <v>206</v>
      </c>
      <c r="F95">
        <v>0</v>
      </c>
      <c r="G95">
        <v>16</v>
      </c>
      <c r="H95" s="11" t="s">
        <v>968</v>
      </c>
    </row>
    <row r="96" spans="2:8">
      <c r="B96">
        <v>806</v>
      </c>
      <c r="C96" s="11" t="s">
        <v>886</v>
      </c>
      <c r="D96">
        <v>-15</v>
      </c>
      <c r="E96">
        <v>206</v>
      </c>
      <c r="F96">
        <v>0</v>
      </c>
      <c r="G96">
        <v>16</v>
      </c>
      <c r="H96" s="11" t="s">
        <v>968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876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886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874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875</v>
      </c>
    </row>
    <row r="20" spans="2:7">
      <c r="B20">
        <v>3003</v>
      </c>
      <c r="C20" s="14" t="s">
        <v>871</v>
      </c>
      <c r="D20" t="b">
        <v>1</v>
      </c>
      <c r="E20">
        <v>1</v>
      </c>
      <c r="F20">
        <v>25</v>
      </c>
      <c r="G20" s="16" t="s">
        <v>872</v>
      </c>
    </row>
    <row r="21" spans="2:7">
      <c r="B21">
        <v>3004</v>
      </c>
      <c r="C21" s="14" t="s">
        <v>870</v>
      </c>
      <c r="D21" t="b">
        <v>1</v>
      </c>
      <c r="E21">
        <v>1</v>
      </c>
      <c r="F21">
        <v>25</v>
      </c>
      <c r="G21" s="16" t="s">
        <v>873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BE5D7"/>
  </sheetPr>
  <dimension ref="A1:R33"/>
  <sheetViews>
    <sheetView topLeftCell="A3" zoomScaleNormal="100" zoomScaleSheetLayoutView="100" workbookViewId="0">
      <pane xSplit="3" topLeftCell="I1" activePane="topRight" state="frozen"/>
      <selection pane="topRight" activeCell="J9" sqref="J9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2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867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868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877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1028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1092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999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1029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1093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1030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1091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1094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1095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969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BE5D7"/>
  </sheetPr>
  <dimension ref="A1:S43"/>
  <sheetViews>
    <sheetView zoomScale="85" zoomScaleNormal="85" zoomScaleSheetLayoutView="100" workbookViewId="0">
      <selection activeCell="G24" sqref="G24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985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978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974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975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881</v>
      </c>
      <c r="I18" s="11" t="s">
        <v>823</v>
      </c>
      <c r="J18" s="11" t="s">
        <v>863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881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990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998</v>
      </c>
      <c r="I21" s="11" t="s">
        <v>823</v>
      </c>
      <c r="J21" s="16" t="s">
        <v>974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998</v>
      </c>
      <c r="I22" s="16" t="s">
        <v>823</v>
      </c>
      <c r="J22" s="11" t="s">
        <v>975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1009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970</v>
      </c>
      <c r="J33" s="11" t="s">
        <v>863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978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970</v>
      </c>
      <c r="J35" s="11" t="s">
        <v>863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997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880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1007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1008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1006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BE5D7"/>
  </sheetPr>
  <dimension ref="A1:N25"/>
  <sheetViews>
    <sheetView zoomScaleNormal="100" zoomScaleSheetLayoutView="100" workbookViewId="0">
      <selection activeCell="K26" sqref="K26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973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866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0.5</v>
      </c>
      <c r="J11" s="14" t="s">
        <v>1090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973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1090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1:F40"/>
  <sheetViews>
    <sheetView workbookViewId="0">
      <selection activeCell="E42" sqref="E42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610</v>
      </c>
      <c r="C1" s="16" t="s">
        <v>1039</v>
      </c>
      <c r="D1" s="16" t="s">
        <v>312</v>
      </c>
      <c r="E1" s="16"/>
      <c r="F1" s="16"/>
    </row>
    <row r="2" spans="2:6">
      <c r="B2" s="16" t="s">
        <v>1037</v>
      </c>
      <c r="C2" s="16" t="s">
        <v>1038</v>
      </c>
      <c r="D2" s="16" t="s">
        <v>320</v>
      </c>
      <c r="E2" s="87" t="s">
        <v>1040</v>
      </c>
      <c r="F2" s="87" t="s">
        <v>1041</v>
      </c>
    </row>
    <row r="3" spans="2:6">
      <c r="B3">
        <v>1000</v>
      </c>
      <c r="C3" s="16" t="s">
        <v>1042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1043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1044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1045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1046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1047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1048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1049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1050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1051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1052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1053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1054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1055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1056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1057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1058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1059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1060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1061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1062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1063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1064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1065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1066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1067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1068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1069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1070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1071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1072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1073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1074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1075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1076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1078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1077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1078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E2F0D9"/>
  </sheetPr>
  <dimension ref="B1:J214"/>
  <sheetViews>
    <sheetView tabSelected="1" topLeftCell="A71" zoomScale="85" zoomScaleNormal="85" zoomScaleSheetLayoutView="100" workbookViewId="0">
      <selection activeCell="D83" sqref="D83"/>
    </sheetView>
  </sheetViews>
  <sheetFormatPr defaultColWidth="8.625" defaultRowHeight="16.5"/>
  <cols>
    <col min="2" max="2" width="22.62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912</v>
      </c>
      <c r="D78" s="51" t="s">
        <v>913</v>
      </c>
      <c r="E78" s="81" t="s">
        <v>897</v>
      </c>
      <c r="F78" s="81" t="s">
        <v>898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3">
      <c r="B79" t="str">
        <f>LocaleTable[[#This Row],['#인덱스제너레이터]]</f>
        <v>Caster_Lobby_Tutorial_2</v>
      </c>
      <c r="C79" s="9" t="s">
        <v>914</v>
      </c>
      <c r="D79" s="51" t="s">
        <v>915</v>
      </c>
      <c r="E79" s="83" t="s">
        <v>897</v>
      </c>
      <c r="F79" s="83" t="s">
        <v>898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916</v>
      </c>
      <c r="D80" s="51" t="s">
        <v>917</v>
      </c>
      <c r="E80" s="83" t="s">
        <v>897</v>
      </c>
      <c r="F80" s="83" t="s">
        <v>898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918</v>
      </c>
      <c r="D81" s="51" t="s">
        <v>1096</v>
      </c>
      <c r="E81" s="83" t="s">
        <v>897</v>
      </c>
      <c r="F81" s="83" t="s">
        <v>898</v>
      </c>
      <c r="G81" s="83" t="s">
        <v>899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919</v>
      </c>
      <c r="D82" s="51" t="s">
        <v>920</v>
      </c>
      <c r="E82" s="83" t="s">
        <v>897</v>
      </c>
      <c r="F82" s="83" t="s">
        <v>898</v>
      </c>
      <c r="G82" s="83" t="s">
        <v>899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921</v>
      </c>
      <c r="D83" s="51" t="s">
        <v>922</v>
      </c>
      <c r="E83" s="83" t="s">
        <v>897</v>
      </c>
      <c r="F83" s="83" t="s">
        <v>898</v>
      </c>
      <c r="G83" s="83" t="s">
        <v>900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923</v>
      </c>
      <c r="D84" t="s">
        <v>1097</v>
      </c>
      <c r="E84" s="83" t="s">
        <v>897</v>
      </c>
      <c r="F84" s="83" t="s">
        <v>898</v>
      </c>
      <c r="G84" s="83" t="s">
        <v>900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924</v>
      </c>
      <c r="D85" t="s">
        <v>1098</v>
      </c>
      <c r="E85" s="83" t="s">
        <v>897</v>
      </c>
      <c r="F85" s="83" t="s">
        <v>898</v>
      </c>
      <c r="G85" s="83" t="s">
        <v>900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925</v>
      </c>
      <c r="D86" t="s">
        <v>1099</v>
      </c>
      <c r="E86" s="83" t="s">
        <v>897</v>
      </c>
      <c r="F86" s="83" t="s">
        <v>898</v>
      </c>
      <c r="G86" s="83" t="s">
        <v>901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926</v>
      </c>
      <c r="D87" t="s">
        <v>1100</v>
      </c>
      <c r="E87" s="83" t="s">
        <v>897</v>
      </c>
      <c r="F87" s="83" t="s">
        <v>898</v>
      </c>
      <c r="G87" s="83" t="s">
        <v>902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927</v>
      </c>
      <c r="D88" t="s">
        <v>1101</v>
      </c>
      <c r="E88" s="83" t="s">
        <v>897</v>
      </c>
      <c r="F88" s="83" t="s">
        <v>898</v>
      </c>
      <c r="G88" s="83" t="s">
        <v>903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3">
      <c r="B89" t="str">
        <f>LocaleTable[[#This Row],['#인덱스제너레이터]]</f>
        <v>Caster_Lobby_GameClear_1</v>
      </c>
      <c r="C89" s="9" t="s">
        <v>928</v>
      </c>
      <c r="D89" s="51" t="s">
        <v>929</v>
      </c>
      <c r="E89" s="83" t="s">
        <v>897</v>
      </c>
      <c r="F89" s="83" t="s">
        <v>898</v>
      </c>
      <c r="G89" s="83" t="s">
        <v>904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930</v>
      </c>
      <c r="D90" s="51" t="s">
        <v>931</v>
      </c>
      <c r="E90" s="83" t="s">
        <v>897</v>
      </c>
      <c r="F90" s="83" t="s">
        <v>898</v>
      </c>
      <c r="G90" s="83" t="s">
        <v>904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932</v>
      </c>
      <c r="D91" s="51" t="s">
        <v>933</v>
      </c>
      <c r="E91" s="83" t="s">
        <v>897</v>
      </c>
      <c r="F91" s="83" t="s">
        <v>898</v>
      </c>
      <c r="G91" s="83" t="s">
        <v>904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3">
      <c r="B92" t="str">
        <f>LocaleTable[[#This Row],['#인덱스제너레이터]]</f>
        <v>Caster_Tutorial_Start_1</v>
      </c>
      <c r="C92" s="9" t="s">
        <v>934</v>
      </c>
      <c r="D92" s="51" t="s">
        <v>935</v>
      </c>
      <c r="E92" s="83" t="s">
        <v>897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936</v>
      </c>
      <c r="D93" s="51" t="s">
        <v>937</v>
      </c>
      <c r="E93" s="83" t="s">
        <v>897</v>
      </c>
      <c r="F93" s="83" t="s">
        <v>497</v>
      </c>
      <c r="G93" s="83" t="s">
        <v>905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3">
      <c r="B94" t="str">
        <f>LocaleTable[[#This Row],['#인덱스제너레이터]]</f>
        <v>Caster_Tutorial_Attack_2</v>
      </c>
      <c r="C94" s="9" t="s">
        <v>938</v>
      </c>
      <c r="D94" s="51" t="s">
        <v>1024</v>
      </c>
      <c r="E94" s="83" t="s">
        <v>897</v>
      </c>
      <c r="F94" s="83" t="s">
        <v>497</v>
      </c>
      <c r="G94" s="83" t="s">
        <v>905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3">
      <c r="B95" t="str">
        <f>LocaleTable[[#This Row],['#인덱스제너레이터]]</f>
        <v>Caster_Tutorial_Attack_3</v>
      </c>
      <c r="C95" s="9" t="s">
        <v>939</v>
      </c>
      <c r="D95" s="51" t="s">
        <v>940</v>
      </c>
      <c r="E95" s="83" t="s">
        <v>897</v>
      </c>
      <c r="F95" s="83" t="s">
        <v>497</v>
      </c>
      <c r="G95" s="83" t="s">
        <v>905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3">
      <c r="B96" t="str">
        <f>LocaleTable[[#This Row],['#인덱스제너레이터]]</f>
        <v>Caster_Tutorial_Attack_4</v>
      </c>
      <c r="C96" s="9" t="s">
        <v>941</v>
      </c>
      <c r="D96" s="51" t="s">
        <v>1025</v>
      </c>
      <c r="E96" s="83" t="s">
        <v>897</v>
      </c>
      <c r="F96" s="83" t="s">
        <v>497</v>
      </c>
      <c r="G96" s="83" t="s">
        <v>905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3">
      <c r="B97" t="str">
        <f>LocaleTable[[#This Row],['#인덱스제너레이터]]</f>
        <v>Caster_Tutorial_Attack_5</v>
      </c>
      <c r="C97" s="9" t="s">
        <v>942</v>
      </c>
      <c r="D97" s="51" t="s">
        <v>943</v>
      </c>
      <c r="E97" s="83" t="s">
        <v>897</v>
      </c>
      <c r="F97" s="83" t="s">
        <v>497</v>
      </c>
      <c r="G97" s="83" t="s">
        <v>905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3">
      <c r="B98" t="str">
        <f>LocaleTable[[#This Row],['#인덱스제너레이터]]</f>
        <v>Caster_Tutorial_Attack_6</v>
      </c>
      <c r="C98" s="9" t="s">
        <v>944</v>
      </c>
      <c r="D98" s="51" t="s">
        <v>945</v>
      </c>
      <c r="E98" s="83" t="s">
        <v>897</v>
      </c>
      <c r="F98" s="83" t="s">
        <v>497</v>
      </c>
      <c r="G98" s="83" t="s">
        <v>905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3">
      <c r="B99" t="str">
        <f>LocaleTable[[#This Row],['#인덱스제너레이터]]</f>
        <v>Caster_Tutorial_Attack_7</v>
      </c>
      <c r="C99" s="58" t="s">
        <v>1026</v>
      </c>
      <c r="D99" s="51" t="s">
        <v>1027</v>
      </c>
      <c r="E99" s="83" t="s">
        <v>897</v>
      </c>
      <c r="F99" s="83" t="s">
        <v>497</v>
      </c>
      <c r="G99" s="83" t="s">
        <v>905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946</v>
      </c>
      <c r="D100" s="51" t="s">
        <v>947</v>
      </c>
      <c r="E100" s="83" t="s">
        <v>897</v>
      </c>
      <c r="F100" s="83" t="s">
        <v>497</v>
      </c>
      <c r="G100" s="83" t="s">
        <v>905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948</v>
      </c>
      <c r="D101" s="51" t="s">
        <v>949</v>
      </c>
      <c r="E101" s="83" t="s">
        <v>897</v>
      </c>
      <c r="F101" s="83" t="s">
        <v>497</v>
      </c>
      <c r="G101" s="83" t="s">
        <v>905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71" t="s">
        <v>1087</v>
      </c>
      <c r="D102" s="51" t="s">
        <v>950</v>
      </c>
      <c r="E102" s="83" t="s">
        <v>897</v>
      </c>
      <c r="F102" s="83" t="s">
        <v>497</v>
      </c>
      <c r="G102" s="83" t="s">
        <v>905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951</v>
      </c>
      <c r="D103" s="51" t="s">
        <v>952</v>
      </c>
      <c r="E103" s="83" t="s">
        <v>897</v>
      </c>
      <c r="F103" s="83" t="s">
        <v>497</v>
      </c>
      <c r="G103" s="83" t="s">
        <v>906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953</v>
      </c>
      <c r="D104" s="51" t="s">
        <v>954</v>
      </c>
      <c r="E104" s="83" t="s">
        <v>897</v>
      </c>
      <c r="F104" s="83" t="s">
        <v>497</v>
      </c>
      <c r="G104" s="83" t="s">
        <v>906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3">
      <c r="B105" t="str">
        <f>LocaleTable[[#This Row],['#인덱스제너레이터]]</f>
        <v>Caster_Tutorial_Active_1</v>
      </c>
      <c r="C105" s="9" t="s">
        <v>955</v>
      </c>
      <c r="D105" t="s">
        <v>1102</v>
      </c>
      <c r="E105" s="83" t="s">
        <v>897</v>
      </c>
      <c r="F105" s="83" t="s">
        <v>497</v>
      </c>
      <c r="G105" s="83" t="s">
        <v>907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3">
      <c r="B106" t="str">
        <f>LocaleTable[[#This Row],['#인덱스제너레이터]]</f>
        <v>Caster_Tutorial_Active_2</v>
      </c>
      <c r="C106" s="9" t="s">
        <v>956</v>
      </c>
      <c r="D106" s="51" t="s">
        <v>957</v>
      </c>
      <c r="E106" s="83" t="s">
        <v>897</v>
      </c>
      <c r="F106" s="83" t="s">
        <v>497</v>
      </c>
      <c r="G106" s="83" t="s">
        <v>907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3">
      <c r="B107" t="str">
        <f>LocaleTable[[#This Row],['#인덱스제너레이터]]</f>
        <v>Caster_Tutorial_Active_3</v>
      </c>
      <c r="C107" s="9" t="s">
        <v>958</v>
      </c>
      <c r="D107" s="51" t="s">
        <v>959</v>
      </c>
      <c r="E107" s="83" t="s">
        <v>897</v>
      </c>
      <c r="F107" s="83" t="s">
        <v>497</v>
      </c>
      <c r="G107" s="83" t="s">
        <v>907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3">
      <c r="B108" t="str">
        <f>LocaleTable[[#This Row],['#인덱스제너레이터]]</f>
        <v>Caster_Tutorial_Active_4</v>
      </c>
      <c r="C108" s="9" t="s">
        <v>960</v>
      </c>
      <c r="D108" s="51" t="s">
        <v>961</v>
      </c>
      <c r="E108" s="83" t="s">
        <v>897</v>
      </c>
      <c r="F108" s="83" t="s">
        <v>497</v>
      </c>
      <c r="G108" s="83" t="s">
        <v>907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3">
      <c r="B109" t="str">
        <f>LocaleTable[[#This Row],['#인덱스제너레이터]]</f>
        <v>Caster_Tutorial_Battle_1</v>
      </c>
      <c r="C109" s="9" t="s">
        <v>962</v>
      </c>
      <c r="D109" s="51" t="s">
        <v>963</v>
      </c>
      <c r="E109" s="83" t="s">
        <v>897</v>
      </c>
      <c r="F109" s="83" t="s">
        <v>497</v>
      </c>
      <c r="G109" s="83" t="s">
        <v>908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3">
      <c r="B110" t="str">
        <f>LocaleTable[[#This Row],['#인덱스제너레이터]]</f>
        <v>Caster_Tutorial_Battle_2</v>
      </c>
      <c r="C110" s="9" t="s">
        <v>964</v>
      </c>
      <c r="D110" s="51" t="s">
        <v>965</v>
      </c>
      <c r="E110" s="83" t="s">
        <v>897</v>
      </c>
      <c r="F110" s="83" t="s">
        <v>497</v>
      </c>
      <c r="G110" s="83" t="s">
        <v>908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966</v>
      </c>
      <c r="D111" s="51" t="s">
        <v>967</v>
      </c>
      <c r="E111" s="83" t="s">
        <v>897</v>
      </c>
      <c r="F111" s="83" t="s">
        <v>497</v>
      </c>
      <c r="G111" s="83" t="s">
        <v>908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71" t="s">
        <v>1085</v>
      </c>
      <c r="D112" s="11" t="s">
        <v>1104</v>
      </c>
      <c r="E112" s="83" t="s">
        <v>897</v>
      </c>
      <c r="F112" s="83" t="s">
        <v>909</v>
      </c>
      <c r="G112" s="83" t="s">
        <v>910</v>
      </c>
      <c r="H112" s="83" t="s">
        <v>901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3">
      <c r="B113" t="str">
        <f>LocaleTable[[#This Row],['#인덱스제너레이터]]</f>
        <v>Caster_Boss_Clear_Saddy</v>
      </c>
      <c r="C113" s="71" t="s">
        <v>1086</v>
      </c>
      <c r="D113" s="11" t="s">
        <v>1103</v>
      </c>
      <c r="E113" s="83" t="s">
        <v>897</v>
      </c>
      <c r="F113" s="83" t="s">
        <v>909</v>
      </c>
      <c r="G113" s="83" t="s">
        <v>910</v>
      </c>
      <c r="H113" s="83" t="s">
        <v>902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3">
      <c r="B114" t="str">
        <f>LocaleTable[[#This Row],['#인덱스제너레이터]]</f>
        <v>Caster_Boss_Clear_Teleport</v>
      </c>
      <c r="C114" s="71" t="s">
        <v>1088</v>
      </c>
      <c r="D114" s="51" t="s">
        <v>1089</v>
      </c>
      <c r="E114" s="83" t="s">
        <v>897</v>
      </c>
      <c r="F114" s="83" t="s">
        <v>909</v>
      </c>
      <c r="G114" s="83" t="s">
        <v>910</v>
      </c>
      <c r="H114" s="83" t="s">
        <v>911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991</v>
      </c>
      <c r="D121" s="51" t="s">
        <v>992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849</v>
      </c>
      <c r="D123" s="51" t="s">
        <v>850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864</v>
      </c>
      <c r="D129" s="51" t="s">
        <v>865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1000</v>
      </c>
      <c r="D131" s="51" t="s">
        <v>1001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1012</v>
      </c>
      <c r="D132" s="51" t="s">
        <v>1013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854</v>
      </c>
      <c r="D134" s="51" t="s">
        <v>851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1031</v>
      </c>
      <c r="D135" s="51" t="s">
        <v>1032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860</v>
      </c>
      <c r="D139" s="51" t="s">
        <v>859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3">
      <c r="B147" t="str">
        <f>LocaleTable[[#This Row],['#인덱스제너레이터]]</f>
        <v>Item_Desc_2001</v>
      </c>
      <c r="C147" s="52" t="s">
        <v>855</v>
      </c>
      <c r="D147" s="51" t="s">
        <v>856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3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3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3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993</v>
      </c>
      <c r="D152" s="51" t="s">
        <v>994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857</v>
      </c>
      <c r="D154" s="77" t="s">
        <v>858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3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3">
      <c r="B160" t="str">
        <f>LocaleTable[[#This Row],['#인덱스제너레이터]]</f>
        <v>Item_Desc_3007</v>
      </c>
      <c r="C160" s="52" t="s">
        <v>878</v>
      </c>
      <c r="D160" s="51" t="s">
        <v>879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3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1002</v>
      </c>
      <c r="D162" s="51" t="s">
        <v>1003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1010</v>
      </c>
      <c r="D163" s="51" t="s">
        <v>1011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3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3">
      <c r="B165" t="str">
        <f>LocaleTable[[#This Row],['#인덱스제너레이터]]</f>
        <v>Item_Desc_4002</v>
      </c>
      <c r="C165" s="52" t="s">
        <v>852</v>
      </c>
      <c r="D165" s="51" t="s">
        <v>853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1034</v>
      </c>
      <c r="D166" s="51" t="s">
        <v>1033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3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3">
      <c r="B170" t="str">
        <f>LocaleTable[[#This Row],['#인덱스제너레이터]]</f>
        <v>Item_Desc_4007</v>
      </c>
      <c r="C170" s="78" t="s">
        <v>882</v>
      </c>
      <c r="D170" s="77" t="s">
        <v>883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3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3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3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1079</v>
      </c>
      <c r="D180" s="51" t="s">
        <v>1081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1080</v>
      </c>
      <c r="D181" s="51" t="s">
        <v>1082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861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995</v>
      </c>
      <c r="D183" s="51" t="s">
        <v>996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986</v>
      </c>
      <c r="D184" s="51" t="s">
        <v>987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1021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3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884</v>
      </c>
      <c r="D187" s="51" t="s">
        <v>885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1083</v>
      </c>
      <c r="D189" s="51" t="s">
        <v>1084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971</v>
      </c>
      <c r="D190" s="51" t="s">
        <v>972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1019</v>
      </c>
      <c r="D191" s="51" t="s">
        <v>1020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988</v>
      </c>
      <c r="D192" s="51" t="s">
        <v>989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1004</v>
      </c>
      <c r="D193" s="51" t="s">
        <v>1005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1022</v>
      </c>
      <c r="D194" s="51" t="s">
        <v>1023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3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981</v>
      </c>
      <c r="D198" s="51" t="s">
        <v>982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979</v>
      </c>
      <c r="D200" s="51" t="s">
        <v>980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983</v>
      </c>
      <c r="D201" s="51" t="s">
        <v>984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895</v>
      </c>
      <c r="D202" s="51" t="s">
        <v>894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891</v>
      </c>
      <c r="D203" s="51" t="s">
        <v>887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892</v>
      </c>
      <c r="D204" s="51" t="s">
        <v>888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889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896</v>
      </c>
      <c r="D206" s="51" t="s">
        <v>893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890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862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1035</v>
      </c>
      <c r="D212" s="51" t="s">
        <v>1036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976</v>
      </c>
      <c r="D213" s="51" t="s">
        <v>977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admin</cp:lastModifiedBy>
  <cp:revision>2</cp:revision>
  <dcterms:created xsi:type="dcterms:W3CDTF">2023-03-25T04:43:38Z</dcterms:created>
  <dcterms:modified xsi:type="dcterms:W3CDTF">2023-11-18T08:35:37Z</dcterms:modified>
  <cp:version>1200.0100.01</cp:version>
</cp:coreProperties>
</file>