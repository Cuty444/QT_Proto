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omments2.xml" ContentType="application/vnd.openxmlformats-officedocument.spreadsheetml.comment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 Proto\_GameData\"/>
    </mc:Choice>
  </mc:AlternateContent>
  <xr:revisionPtr revIDLastSave="0" documentId="13_ncr:1_{93187715-FE5A-4D9F-9E75-F893D3D3468F}" xr6:coauthVersionLast="47" xr6:coauthVersionMax="47" xr10:uidLastSave="{00000000-0000-0000-0000-000000000000}"/>
  <bookViews>
    <workbookView xWindow="-120" yWindow="-120" windowWidth="29040" windowHeight="15840" firstSheet="4" activeTab="8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ItemResourceGameData" sheetId="15" r:id="rId15"/>
    <sheet name="LocaleGameData" sheetId="16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8" l="1"/>
  <c r="K5" i="8"/>
  <c r="K6" i="8"/>
  <c r="K4" i="8"/>
  <c r="I57" i="10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O10" i="14"/>
  <c r="N5" i="7"/>
  <c r="O5" i="7"/>
  <c r="P5" i="7"/>
  <c r="Q5" i="7"/>
  <c r="R5" i="7"/>
  <c r="S5" i="7"/>
  <c r="O11" i="14"/>
  <c r="E9" i="3"/>
  <c r="Q3" i="13"/>
  <c r="Q4" i="13"/>
  <c r="Q5" i="13"/>
  <c r="Q6" i="13"/>
  <c r="Q7" i="13"/>
  <c r="L14" i="2"/>
  <c r="K14" i="2"/>
  <c r="J14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U11" i="9"/>
  <c r="E11" i="9"/>
  <c r="H22" i="10"/>
  <c r="U16" i="9"/>
  <c r="E16" i="9"/>
  <c r="U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O9" i="13"/>
  <c r="Q9" i="13" s="1"/>
  <c r="O10" i="13"/>
  <c r="Q10" i="13" s="1"/>
  <c r="O11" i="13"/>
  <c r="Q11" i="13" s="1"/>
  <c r="O12" i="13"/>
  <c r="Q12" i="13" s="1"/>
  <c r="O13" i="13"/>
  <c r="Q13" i="13" s="1"/>
  <c r="O14" i="13"/>
  <c r="Q14" i="13" s="1"/>
  <c r="O15" i="13"/>
  <c r="Q15" i="13" s="1"/>
  <c r="O16" i="13"/>
  <c r="Q16" i="13" s="1"/>
  <c r="O17" i="13"/>
  <c r="Q17" i="13" s="1"/>
  <c r="O18" i="13"/>
  <c r="Q18" i="13" s="1"/>
  <c r="O19" i="13"/>
  <c r="Q19" i="13" s="1"/>
  <c r="O20" i="13"/>
  <c r="Q20" i="13" s="1"/>
  <c r="O21" i="13"/>
  <c r="Q21" i="13" s="1"/>
  <c r="O22" i="13"/>
  <c r="Q22" i="13" s="1"/>
  <c r="O23" i="13"/>
  <c r="Q23" i="13" s="1"/>
  <c r="O24" i="13"/>
  <c r="Q24" i="13" s="1"/>
  <c r="O8" i="13"/>
  <c r="Q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9" i="14"/>
  <c r="N29" i="14" s="1" a="1"/>
  <c r="N29" i="14" s="1"/>
  <c r="P29" i="14" s="1" a="1"/>
  <c r="P29" i="14" s="1"/>
  <c r="Q29" i="14" s="1" a="1"/>
  <c r="Q29" i="14" s="1"/>
  <c r="H29" i="14"/>
  <c r="M28" i="14"/>
  <c r="N28" i="14" s="1" a="1"/>
  <c r="N28" i="14" s="1"/>
  <c r="P28" i="14" s="1" a="1"/>
  <c r="P28" i="14" s="1"/>
  <c r="H28" i="14"/>
  <c r="M27" i="14"/>
  <c r="N27" i="14" s="1" a="1"/>
  <c r="N27" i="14" s="1"/>
  <c r="P27" i="14" s="1" a="1"/>
  <c r="P27" i="14" s="1"/>
  <c r="H27" i="14"/>
  <c r="M26" i="14"/>
  <c r="N26" i="14" s="1" a="1"/>
  <c r="N26" i="14" s="1"/>
  <c r="P26" i="14" s="1" a="1"/>
  <c r="P26" i="14" s="1"/>
  <c r="H26" i="14"/>
  <c r="M25" i="14"/>
  <c r="N25" i="14" s="1" a="1"/>
  <c r="N25" i="14" s="1"/>
  <c r="P25" i="14" s="1" a="1"/>
  <c r="P25" i="14" s="1"/>
  <c r="Q25" i="14" s="1" a="1"/>
  <c r="Q25" i="14" s="1"/>
  <c r="H25" i="14"/>
  <c r="M24" i="14"/>
  <c r="N24" i="14" s="1" a="1"/>
  <c r="N24" i="14" s="1"/>
  <c r="P24" i="14" s="1" a="1"/>
  <c r="P24" i="14" s="1"/>
  <c r="Q24" i="14" s="1" a="1"/>
  <c r="Q24" i="14" s="1"/>
  <c r="H24" i="14"/>
  <c r="M23" i="14"/>
  <c r="N23" i="14" s="1" a="1"/>
  <c r="N23" i="14" s="1"/>
  <c r="P23" i="14" s="1" a="1"/>
  <c r="P23" i="14" s="1"/>
  <c r="H23" i="14"/>
  <c r="M22" i="14"/>
  <c r="N22" i="14" s="1" a="1"/>
  <c r="N22" i="14" s="1"/>
  <c r="P22" i="14" s="1" a="1"/>
  <c r="P22" i="14" s="1"/>
  <c r="Q22" i="14" s="1" a="1"/>
  <c r="Q22" i="14" s="1"/>
  <c r="H22" i="14"/>
  <c r="M21" i="14"/>
  <c r="N21" i="14" s="1" a="1"/>
  <c r="N21" i="14" s="1"/>
  <c r="P21" i="14" s="1" a="1"/>
  <c r="P21" i="14" s="1"/>
  <c r="Q21" i="14" s="1" a="1"/>
  <c r="Q21" i="14" s="1"/>
  <c r="H21" i="14"/>
  <c r="N20" i="14" a="1"/>
  <c r="N20" i="14" s="1"/>
  <c r="P20" i="14" s="1" a="1"/>
  <c r="P20" i="14" s="1"/>
  <c r="Q20" i="14" s="1" a="1"/>
  <c r="Q20" i="14" s="1"/>
  <c r="M20" i="14"/>
  <c r="H20" i="14"/>
  <c r="M19" i="14"/>
  <c r="N19" i="14" s="1" a="1"/>
  <c r="N19" i="14" s="1"/>
  <c r="P19" i="14" s="1" a="1"/>
  <c r="P19" i="14" s="1"/>
  <c r="Q19" i="14" s="1" a="1"/>
  <c r="Q19" i="14" s="1"/>
  <c r="H19" i="14"/>
  <c r="O18" i="14"/>
  <c r="M18" i="14"/>
  <c r="N18" i="14" s="1" a="1"/>
  <c r="N18" i="14" s="1"/>
  <c r="P18" i="14" s="1" a="1"/>
  <c r="P18" i="14" s="1"/>
  <c r="Q18" i="14" s="1" a="1"/>
  <c r="Q18" i="14" s="1"/>
  <c r="H18" i="14"/>
  <c r="M17" i="14"/>
  <c r="N17" i="14" s="1" a="1"/>
  <c r="N17" i="14" s="1"/>
  <c r="P17" i="14" s="1" a="1"/>
  <c r="P17" i="14" s="1"/>
  <c r="Q17" i="14" s="1" a="1"/>
  <c r="Q17" i="14" s="1"/>
  <c r="H17" i="14"/>
  <c r="M16" i="14"/>
  <c r="N16" i="14" s="1" a="1"/>
  <c r="N16" i="14" s="1"/>
  <c r="P16" i="14" s="1" a="1"/>
  <c r="P16" i="14" s="1"/>
  <c r="Q16" i="14" s="1" a="1"/>
  <c r="Q16" i="14" s="1"/>
  <c r="H16" i="14"/>
  <c r="M15" i="14"/>
  <c r="N15" i="14" s="1" a="1"/>
  <c r="N15" i="14" s="1"/>
  <c r="P15" i="14" s="1" a="1"/>
  <c r="P15" i="14" s="1"/>
  <c r="Q15" i="14" s="1" a="1"/>
  <c r="Q15" i="14" s="1"/>
  <c r="H15" i="14"/>
  <c r="M14" i="14"/>
  <c r="N14" i="14" s="1" a="1"/>
  <c r="N14" i="14" s="1"/>
  <c r="P14" i="14" s="1" a="1"/>
  <c r="P14" i="14" s="1"/>
  <c r="Q14" i="14" s="1" a="1"/>
  <c r="Q14" i="14" s="1"/>
  <c r="H14" i="14"/>
  <c r="M13" i="14"/>
  <c r="N13" i="14" s="1" a="1"/>
  <c r="N13" i="14" s="1"/>
  <c r="P13" i="14" s="1" a="1"/>
  <c r="P13" i="14" s="1"/>
  <c r="H13" i="14"/>
  <c r="M12" i="14"/>
  <c r="N12" i="14" s="1" a="1"/>
  <c r="N12" i="14" s="1"/>
  <c r="P12" i="14" s="1" a="1"/>
  <c r="P12" i="14" s="1"/>
  <c r="H12" i="14"/>
  <c r="M11" i="14"/>
  <c r="N11" i="14" s="1" a="1"/>
  <c r="N11" i="14" s="1"/>
  <c r="H11" i="14"/>
  <c r="M10" i="14"/>
  <c r="N10" i="14" s="1" a="1"/>
  <c r="N10" i="14" s="1"/>
  <c r="P10" i="14" s="1" a="1"/>
  <c r="P10" i="14" s="1"/>
  <c r="H10" i="14"/>
  <c r="M9" i="14"/>
  <c r="N9" i="14" s="1" a="1"/>
  <c r="N9" i="14" s="1"/>
  <c r="P9" i="14" s="1" a="1"/>
  <c r="P9" i="14" s="1"/>
  <c r="Q9" i="14" s="1" a="1"/>
  <c r="Q9" i="14" s="1"/>
  <c r="H9" i="14"/>
  <c r="M8" i="14"/>
  <c r="N8" i="14" s="1" a="1"/>
  <c r="N8" i="14" s="1"/>
  <c r="P8" i="14" s="1" a="1"/>
  <c r="P8" i="14" s="1"/>
  <c r="H8" i="14"/>
  <c r="M7" i="14"/>
  <c r="N7" i="14" s="1" a="1"/>
  <c r="N7" i="14" s="1"/>
  <c r="P7" i="14" s="1" a="1"/>
  <c r="P7" i="14" s="1"/>
  <c r="H7" i="14"/>
  <c r="M6" i="14"/>
  <c r="N6" i="14" s="1" a="1"/>
  <c r="N6" i="14" s="1"/>
  <c r="P6" i="14" s="1" a="1"/>
  <c r="P6" i="14" s="1"/>
  <c r="H6" i="14"/>
  <c r="M5" i="14"/>
  <c r="N5" i="14" s="1" a="1"/>
  <c r="N5" i="14" s="1"/>
  <c r="P5" i="14" s="1" a="1"/>
  <c r="P5" i="14" s="1"/>
  <c r="Q5" i="14" s="1" a="1"/>
  <c r="Q5" i="14" s="1"/>
  <c r="H5" i="14"/>
  <c r="M4" i="14"/>
  <c r="N4" i="14" s="1" a="1"/>
  <c r="N4" i="14" s="1"/>
  <c r="P4" i="14" s="1" a="1"/>
  <c r="P4" i="14" s="1"/>
  <c r="Q4" i="14" s="1" a="1"/>
  <c r="Q4" i="14" s="1"/>
  <c r="H4" i="14"/>
  <c r="M3" i="14"/>
  <c r="N3" i="14" s="1" a="1"/>
  <c r="N3" i="14" s="1"/>
  <c r="P3" i="14" s="1" a="1"/>
  <c r="P3" i="14" s="1"/>
  <c r="Q3" i="14" s="1" a="1"/>
  <c r="Q3" i="14" s="1"/>
  <c r="H3" i="14"/>
  <c r="K24" i="13"/>
  <c r="G24" i="13" a="1"/>
  <c r="G24" i="13" s="1"/>
  <c r="K23" i="13"/>
  <c r="K22" i="13"/>
  <c r="G22" i="13" a="1"/>
  <c r="G22" i="13" s="1"/>
  <c r="K21" i="13"/>
  <c r="G21" i="13" a="1"/>
  <c r="G21" i="13" s="1"/>
  <c r="K20" i="13"/>
  <c r="G20" i="13" a="1"/>
  <c r="G20" i="13" s="1"/>
  <c r="B20" i="13" a="1"/>
  <c r="B20" i="13" s="1"/>
  <c r="B21" i="13" s="1" a="1"/>
  <c r="B21" i="13" s="1"/>
  <c r="K19" i="13"/>
  <c r="G19" i="13" a="1"/>
  <c r="G19" i="13" s="1"/>
  <c r="K18" i="13"/>
  <c r="G18" i="13" a="1"/>
  <c r="G18" i="13" s="1"/>
  <c r="K17" i="13"/>
  <c r="G17" i="13" a="1"/>
  <c r="G17" i="13" s="1"/>
  <c r="K16" i="13"/>
  <c r="G16" i="13" a="1"/>
  <c r="G16" i="13" s="1"/>
  <c r="K15" i="13"/>
  <c r="G15" i="13" a="1"/>
  <c r="G15" i="13" s="1"/>
  <c r="K14" i="13"/>
  <c r="G14" i="13" a="1"/>
  <c r="G14" i="13" s="1"/>
  <c r="B14" i="13" a="1"/>
  <c r="B14" i="13" s="1"/>
  <c r="B15" i="13" s="1" a="1"/>
  <c r="B15" i="13" s="1"/>
  <c r="K13" i="13"/>
  <c r="G13" i="13" a="1"/>
  <c r="G13" i="13" s="1"/>
  <c r="K12" i="13"/>
  <c r="G12" i="13" a="1"/>
  <c r="G12" i="13" s="1"/>
  <c r="K11" i="13"/>
  <c r="G11" i="13" a="1"/>
  <c r="G11" i="13" s="1"/>
  <c r="K10" i="13"/>
  <c r="G10" i="13" a="1"/>
  <c r="G10" i="13" s="1"/>
  <c r="K9" i="13"/>
  <c r="G9" i="13" a="1"/>
  <c r="G9" i="13" s="1"/>
  <c r="K8" i="13"/>
  <c r="G8" i="13" a="1"/>
  <c r="G8" i="13" s="1"/>
  <c r="B8" i="13" a="1"/>
  <c r="B8" i="13" s="1"/>
  <c r="B9" i="13" s="1" a="1"/>
  <c r="B9" i="13" s="1"/>
  <c r="K7" i="13"/>
  <c r="H7" i="13"/>
  <c r="K6" i="13"/>
  <c r="H6" i="13"/>
  <c r="K5" i="13"/>
  <c r="H5" i="13"/>
  <c r="B5" i="13" a="1"/>
  <c r="B5" i="13" s="1"/>
  <c r="K4" i="13"/>
  <c r="G4" i="13"/>
  <c r="K3" i="13"/>
  <c r="G3" i="13"/>
  <c r="B3" i="13" a="1"/>
  <c r="B3" i="13" s="1"/>
  <c r="U10" i="9"/>
  <c r="U9" i="9"/>
  <c r="E9" i="9"/>
  <c r="U8" i="9"/>
  <c r="E8" i="9"/>
  <c r="U7" i="9"/>
  <c r="E7" i="9"/>
  <c r="U6" i="9"/>
  <c r="E6" i="9"/>
  <c r="U5" i="9"/>
  <c r="E5" i="9"/>
  <c r="U4" i="9"/>
  <c r="E4" i="9"/>
  <c r="U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G3" i="6"/>
  <c r="O7" i="3" s="1" a="1"/>
  <c r="O7" i="3" s="1"/>
  <c r="AF3" i="6"/>
  <c r="AE3" i="6"/>
  <c r="AD3" i="6"/>
  <c r="AC3" i="6"/>
  <c r="AB3" i="6"/>
  <c r="AA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O12" i="3" l="1" a="1"/>
  <c r="O12" i="3" s="1"/>
  <c r="P12" i="3" s="1"/>
  <c r="O11" i="3" a="1"/>
  <c r="O10" i="3" a="1"/>
  <c r="O9" i="3" a="1"/>
  <c r="O8" i="3" a="1"/>
  <c r="O11" i="3"/>
  <c r="O10" i="3"/>
  <c r="O9" i="3"/>
  <c r="O8" i="3"/>
  <c r="Q26" i="14" a="1"/>
  <c r="Q26" i="14" s="1"/>
  <c r="Q27" i="14" a="1"/>
  <c r="Q27" i="14" s="1"/>
  <c r="Q6" i="14" a="1"/>
  <c r="Q6" i="14" s="1"/>
  <c r="Q28" i="14" a="1"/>
  <c r="Q28" i="14" s="1"/>
  <c r="Q7" i="14" a="1"/>
  <c r="Q7" i="14" s="1"/>
  <c r="Q12" i="14" a="1"/>
  <c r="Q12" i="14" s="1"/>
  <c r="Q23" i="14" a="1"/>
  <c r="Q23" i="14" s="1"/>
  <c r="Q8" i="14" a="1"/>
  <c r="Q8" i="14" s="1"/>
  <c r="Q10" i="14" a="1"/>
  <c r="Q10" i="14" s="1"/>
  <c r="Q13" i="14" a="1"/>
  <c r="Q13" i="14" s="1"/>
  <c r="P11" i="3"/>
  <c r="P10" i="3"/>
  <c r="P8" i="3"/>
  <c r="F12" i="2"/>
  <c r="F21" i="2"/>
  <c r="F20" i="2"/>
  <c r="F19" i="2"/>
  <c r="F18" i="2"/>
  <c r="F17" i="2"/>
  <c r="F16" i="2"/>
  <c r="F15" i="2"/>
  <c r="F14" i="2"/>
  <c r="F13" i="2"/>
  <c r="P11" i="14" a="1"/>
  <c r="P11" i="14" s="1"/>
  <c r="Q11" i="14" s="1" a="1"/>
  <c r="Q11" i="14" s="1"/>
  <c r="I21" i="13" a="1"/>
  <c r="I21" i="13" s="1"/>
  <c r="B22" i="13" a="1"/>
  <c r="B22" i="13" s="1"/>
  <c r="I15" i="13" a="1"/>
  <c r="I15" i="13" s="1"/>
  <c r="B16" i="13" a="1"/>
  <c r="B16" i="13" s="1"/>
  <c r="B4" i="13" a="1"/>
  <c r="B4" i="13" s="1"/>
  <c r="I3" i="13" a="1"/>
  <c r="I3" i="13" s="1"/>
  <c r="A3" i="16"/>
  <c r="I9" i="13" a="1"/>
  <c r="I9" i="13" s="1"/>
  <c r="A9" i="16"/>
  <c r="B10" i="13" a="1"/>
  <c r="B10" i="13" s="1"/>
  <c r="P9" i="3"/>
  <c r="P7" i="3"/>
  <c r="B6" i="13" a="1"/>
  <c r="B6" i="13" s="1"/>
  <c r="I5" i="13" a="1"/>
  <c r="I5" i="13" s="1"/>
  <c r="A5" i="16"/>
  <c r="I8" i="13" a="1"/>
  <c r="I8" i="13" s="1"/>
  <c r="I14" i="13" a="1"/>
  <c r="I14" i="13" s="1"/>
  <c r="I20" i="13" a="1"/>
  <c r="I20" i="13" s="1"/>
  <c r="A8" i="16"/>
  <c r="R24" i="14" l="1" a="1"/>
  <c r="R24" i="14" s="1"/>
  <c r="F22" i="2"/>
  <c r="S7" i="3" s="1"/>
  <c r="R10" i="14" a="1"/>
  <c r="R10" i="14" s="1"/>
  <c r="R21" i="14" a="1"/>
  <c r="R21" i="14" s="1"/>
  <c r="R15" i="14" a="1"/>
  <c r="R15" i="14" s="1"/>
  <c r="R26" i="14" a="1"/>
  <c r="R26" i="14" s="1"/>
  <c r="R4" i="14" a="1"/>
  <c r="R4" i="14" s="1"/>
  <c r="R6" i="14" a="1"/>
  <c r="R6" i="14" s="1"/>
  <c r="R16" i="14" a="1"/>
  <c r="R16" i="14" s="1"/>
  <c r="R27" i="14" a="1"/>
  <c r="R27" i="14" s="1"/>
  <c r="R20" i="14" a="1"/>
  <c r="R20" i="14" s="1"/>
  <c r="R14" i="14" a="1"/>
  <c r="R14" i="14" s="1"/>
  <c r="R25" i="14" a="1"/>
  <c r="R25" i="14" s="1"/>
  <c r="R11" i="14" a="1"/>
  <c r="R11" i="14" s="1"/>
  <c r="R7" i="14" a="1"/>
  <c r="R7" i="14" s="1"/>
  <c r="R22" i="14" a="1"/>
  <c r="R22" i="14" s="1"/>
  <c r="R17" i="14" a="1"/>
  <c r="R17" i="14" s="1"/>
  <c r="R8" i="14" a="1"/>
  <c r="R8" i="14" s="1"/>
  <c r="R28" i="14" a="1"/>
  <c r="R28" i="14" s="1"/>
  <c r="R12" i="14" a="1"/>
  <c r="R12" i="14" s="1"/>
  <c r="R5" i="14" a="1"/>
  <c r="R5" i="14" s="1"/>
  <c r="R29" i="14" a="1"/>
  <c r="R29" i="14" s="1"/>
  <c r="R23" i="14" a="1"/>
  <c r="R23" i="14" s="1"/>
  <c r="R9" i="14" a="1"/>
  <c r="R9" i="14" s="1"/>
  <c r="R3" i="14" a="1"/>
  <c r="R3" i="14" s="1"/>
  <c r="R18" i="14" a="1"/>
  <c r="R18" i="14" s="1"/>
  <c r="R13" i="14" a="1"/>
  <c r="R13" i="14" s="1"/>
  <c r="R19" i="14" a="1"/>
  <c r="R19" i="14" s="1"/>
  <c r="A6" i="16"/>
  <c r="B7" i="13" a="1"/>
  <c r="B7" i="13" s="1"/>
  <c r="I6" i="13" a="1"/>
  <c r="I6" i="13" s="1"/>
  <c r="B17" i="13" a="1"/>
  <c r="B17" i="13" s="1"/>
  <c r="I16" i="13" a="1"/>
  <c r="I16" i="13" s="1"/>
  <c r="B23" i="13" a="1"/>
  <c r="B23" i="13" s="1"/>
  <c r="I22" i="13" a="1"/>
  <c r="I22" i="13" s="1"/>
  <c r="A4" i="16"/>
  <c r="I4" i="13" a="1"/>
  <c r="I4" i="13" s="1"/>
  <c r="B11" i="13" a="1"/>
  <c r="B11" i="13" s="1"/>
  <c r="A10" i="16"/>
  <c r="I10" i="13" a="1"/>
  <c r="I10" i="13" s="1"/>
  <c r="K7" i="3" l="1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I7" i="13" a="1"/>
  <c r="I7" i="13" s="1"/>
  <c r="D3" i="14" s="1"/>
  <c r="S3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I11" i="13" a="1"/>
  <c r="I11" i="13" s="1"/>
  <c r="D8" i="16" a="1"/>
  <c r="D8" i="16" s="1"/>
  <c r="D9" i="16" a="1"/>
  <c r="D9" i="16" s="1"/>
  <c r="D4" i="16" a="1"/>
  <c r="D4" i="16" s="1"/>
  <c r="B18" i="13" a="1"/>
  <c r="B18" i="13" s="1"/>
  <c r="I17" i="13" a="1"/>
  <c r="I17" i="13" s="1"/>
  <c r="B24" i="13" a="1"/>
  <c r="B24" i="13" s="1"/>
  <c r="I24" i="13" s="1" a="1"/>
  <c r="I24" i="13" s="1"/>
  <c r="I23" i="13" a="1"/>
  <c r="I23" i="13" s="1"/>
  <c r="D5" i="16" a="1"/>
  <c r="D5" i="16" s="1"/>
  <c r="D3" i="16" a="1"/>
  <c r="D3" i="16" s="1"/>
  <c r="I11" i="3" l="1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6" i="14"/>
  <c r="S6" i="14" s="1"/>
  <c r="D5" i="14"/>
  <c r="S5" i="14" s="1"/>
  <c r="C5" i="14"/>
  <c r="C3" i="14"/>
  <c r="D4" i="14"/>
  <c r="S4" i="14" s="1"/>
  <c r="C4" i="14"/>
  <c r="C7" i="14"/>
  <c r="D43" i="16" a="1"/>
  <c r="D43" i="16" s="1"/>
  <c r="D45" i="16" a="1"/>
  <c r="D45" i="16" s="1"/>
  <c r="D46" i="16" a="1"/>
  <c r="D46" i="16" s="1"/>
  <c r="C6" i="14"/>
  <c r="D7" i="14"/>
  <c r="S7" i="14" s="1"/>
  <c r="I12" i="13" a="1"/>
  <c r="I12" i="13" s="1"/>
  <c r="B13" i="13" a="1"/>
  <c r="B13" i="13" s="1"/>
  <c r="I13" i="13" s="1" a="1"/>
  <c r="I13" i="13" s="1"/>
  <c r="I18" i="13" a="1"/>
  <c r="I18" i="13" s="1"/>
  <c r="B19" i="13" a="1"/>
  <c r="B19" i="13" s="1"/>
  <c r="I19" i="13" s="1" a="1"/>
  <c r="I19" i="13" s="1"/>
  <c r="D18" i="14" l="1"/>
  <c r="S18" i="14" s="1"/>
  <c r="D21" i="14"/>
  <c r="S21" i="14" s="1"/>
  <c r="D11" i="14"/>
  <c r="S11" i="14" s="1"/>
  <c r="C22" i="14"/>
  <c r="D27" i="14"/>
  <c r="S27" i="14" s="1"/>
  <c r="C28" i="14"/>
  <c r="D16" i="14"/>
  <c r="S16" i="14" s="1"/>
  <c r="C12" i="14"/>
  <c r="D25" i="14"/>
  <c r="S25" i="14" s="1"/>
  <c r="C10" i="14"/>
  <c r="C14" i="14"/>
  <c r="D22" i="14"/>
  <c r="S22" i="14" s="1"/>
  <c r="D29" i="14"/>
  <c r="S29" i="14" s="1"/>
  <c r="C17" i="14"/>
  <c r="D14" i="14"/>
  <c r="S14" i="14" s="1"/>
  <c r="C15" i="14"/>
  <c r="D9" i="14"/>
  <c r="S9" i="14" s="1"/>
  <c r="D20" i="14"/>
  <c r="S20" i="14" s="1"/>
  <c r="D26" i="14"/>
  <c r="S26" i="14" s="1"/>
  <c r="C24" i="14"/>
  <c r="C16" i="14"/>
  <c r="C9" i="14"/>
  <c r="C26" i="14"/>
  <c r="D28" i="14"/>
  <c r="S28" i="14" s="1"/>
  <c r="D12" i="14"/>
  <c r="S12" i="14" s="1"/>
  <c r="C18" i="14"/>
  <c r="D17" i="14"/>
  <c r="S17" i="14" s="1"/>
  <c r="C8" i="14"/>
  <c r="C20" i="14"/>
  <c r="D23" i="14"/>
  <c r="S23" i="14" s="1"/>
  <c r="C13" i="14"/>
  <c r="C29" i="14"/>
  <c r="D8" i="14"/>
  <c r="S8" i="14" s="1"/>
  <c r="D13" i="14"/>
  <c r="S13" i="14" s="1"/>
  <c r="D24" i="14"/>
  <c r="S24" i="14" s="1"/>
  <c r="C21" i="14"/>
  <c r="C25" i="14"/>
  <c r="C19" i="14"/>
  <c r="D15" i="14"/>
  <c r="S15" i="14" s="1"/>
  <c r="D19" i="14"/>
  <c r="S19" i="14" s="1"/>
  <c r="C11" i="14"/>
  <c r="C27" i="14"/>
  <c r="C23" i="14"/>
  <c r="D10" i="14"/>
  <c r="S10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S2" authorId="0" shapeId="0" xr:uid="{00000000-0006-0000-0D00-000001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무기는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크게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차이나도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상관없습니다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돋움"/>
            <family val="3"/>
            <charset val="129"/>
          </rPr>
          <t>다른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아이템들은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오차범위</t>
        </r>
        <r>
          <rPr>
            <sz val="9"/>
            <color rgb="FF000000"/>
            <rFont val="Tahoma"/>
            <family val="2"/>
          </rPr>
          <t xml:space="preserve"> 5 </t>
        </r>
        <r>
          <rPr>
            <sz val="9"/>
            <color rgb="FF000000"/>
            <rFont val="돋움"/>
            <family val="3"/>
            <charset val="129"/>
          </rPr>
          <t>이내로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맞추는걸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목표로함</t>
        </r>
        <r>
          <rPr>
            <sz val="9"/>
            <color rgb="FF000000"/>
            <rFont val="Tahoma"/>
            <family val="2"/>
          </rPr>
          <t>.</t>
        </r>
      </text>
    </comment>
    <comment ref="S24" authorId="0" shapeId="0" xr:uid="{00000000-0006-0000-0D00-000002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인덱스의</t>
        </r>
        <r>
          <rPr>
            <sz val="9"/>
            <color rgb="FF000000"/>
            <rFont val="Tahoma"/>
            <family val="2"/>
          </rPr>
          <t xml:space="preserve"> # </t>
        </r>
        <r>
          <rPr>
            <sz val="9"/>
            <color rgb="FF000000"/>
            <rFont val="돋움"/>
            <family val="3"/>
            <charset val="129"/>
          </rPr>
          <t>빼면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정상작동</t>
        </r>
        <r>
          <rPr>
            <sz val="9"/>
            <color rgb="FF000000"/>
            <rFont val="Tahoma"/>
            <family val="2"/>
          </rPr>
          <t xml:space="preserve">.
# </t>
        </r>
        <r>
          <rPr>
            <sz val="9"/>
            <color rgb="FF000000"/>
            <rFont val="돋움"/>
            <family val="3"/>
            <charset val="129"/>
          </rPr>
          <t>빼보고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오차값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괜찮은지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확인하세요</t>
        </r>
        <r>
          <rPr>
            <sz val="9"/>
            <color rgb="FF000000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<sst xmlns="http://schemas.openxmlformats.org/spreadsheetml/2006/main" count="1101" uniqueCount="552">
  <si>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</si>
  <si>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</si>
  <si>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</si>
  <si>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</si>
  <si>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</si>
  <si>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</si>
  <si>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</si>
  <si>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</si>
  <si>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</si>
  <si>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</si>
  <si>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</si>
  <si>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</si>
  <si>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</si>
  <si>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</si>
  <si>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</si>
  <si>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</si>
  <si>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</si>
  <si>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</si>
  <si>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</si>
  <si>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</si>
  <si>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</si>
  <si>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</si>
  <si>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</si>
  <si>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</si>
  <si>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</si>
  <si>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</si>
  <si>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</si>
  <si>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</si>
  <si>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</si>
  <si>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</si>
  <si>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</si>
  <si>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</si>
  <si>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</si>
  <si>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</si>
  <si>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</si>
  <si>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</si>
  <si>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최대체력 -2하트, 공격력 +60%</t>
  </si>
  <si>
    <t>빈 하트 1개당 공격력 +10%</t>
  </si>
  <si>
    <t>공 충돌횟수당 공격력 +20%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</si>
  <si>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</si>
  <si>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</si>
  <si>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</si>
  <si>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</si>
  <si>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</si>
  <si>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</si>
  <si>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</si>
  <si>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</si>
  <si>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</si>
  <si>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</si>
  <si>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</si>
  <si>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</si>
  <si>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</si>
  <si>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</si>
  <si>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</si>
  <si>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</si>
  <si>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</si>
  <si>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</si>
  <si>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태양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</si>
  <si>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</si>
  <si>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</si>
  <si>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</si>
  <si>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</si>
  <si>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</si>
  <si>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</si>
  <si>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</si>
  <si>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</si>
  <si>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</si>
  <si>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</si>
  <si>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</si>
  <si>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</si>
  <si>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</si>
  <si>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</si>
  <si>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</si>
  <si>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</si>
  <si>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</si>
  <si>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</si>
  <si>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</si>
  <si>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</si>
  <si>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</si>
  <si>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</si>
  <si>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</si>
  <si>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</si>
  <si>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</si>
  <si>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</si>
  <si>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</si>
  <si>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</si>
  <si>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</si>
  <si>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</si>
  <si>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</si>
  <si>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</si>
  <si>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</si>
  <si>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</si>
  <si>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</si>
  <si>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</si>
  <si>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</si>
  <si>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</si>
  <si>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</si>
  <si>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</si>
  <si>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</si>
  <si>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</si>
  <si>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</si>
  <si>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</si>
  <si>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</si>
  <si>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</si>
  <si>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</si>
  <si>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</si>
  <si>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</si>
  <si>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</si>
  <si>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</si>
  <si>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</si>
  <si>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</si>
  <si>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</si>
  <si>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</si>
  <si>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</si>
  <si>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</si>
  <si>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</si>
  <si>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</si>
  <si>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</si>
  <si>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</si>
  <si>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</si>
  <si>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</si>
  <si>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</si>
  <si>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</si>
  <si>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</si>
  <si>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</si>
  <si>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</si>
  <si>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#효과 한글</t>
  </si>
  <si>
    <t>#개발여부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</si>
  <si>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</si>
  <si>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</si>
  <si>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</si>
  <si>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</si>
  <si>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</si>
  <si>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</si>
  <si>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</si>
  <si>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</si>
  <si>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</si>
  <si>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</si>
  <si>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</si>
  <si>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</si>
  <si>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</si>
  <si>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</si>
  <si>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</si>
  <si>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</si>
  <si>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</si>
  <si>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</si>
  <si>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</si>
  <si>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</si>
  <si>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#효력 가치</t>
  </si>
  <si>
    <t>참조 테이블</t>
  </si>
  <si>
    <t>Reverse</t>
  </si>
  <si>
    <t>#참조 테이블</t>
  </si>
  <si>
    <t>이동속도변경</t>
  </si>
  <si>
    <t>공크기변경</t>
  </si>
  <si>
    <t>최대체력변경</t>
  </si>
  <si>
    <t>효력 검사 ▶</t>
  </si>
  <si>
    <t>Target</t>
  </si>
  <si>
    <t>정방향 발사</t>
  </si>
  <si>
    <t>#총 효력가치</t>
  </si>
  <si>
    <t>#적용 후</t>
  </si>
  <si>
    <t>#기본값</t>
  </si>
  <si>
    <t>#오차값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</si>
  <si>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</si>
  <si>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</si>
  <si>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</si>
  <si>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</si>
  <si>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</si>
  <si>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</si>
  <si>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</si>
  <si>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</si>
  <si>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</si>
  <si>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</si>
  <si>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</si>
  <si>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</si>
  <si>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#효과 한글2</t>
  </si>
  <si>
    <t>Hard</t>
  </si>
  <si>
    <t>삼각김곰</t>
  </si>
  <si>
    <t>Equip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</si>
  <si>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</si>
  <si>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</si>
  <si>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</si>
  <si>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</si>
  <si>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</si>
  <si>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</si>
  <si>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</si>
  <si>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</si>
  <si>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</si>
  <si>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</si>
  <si>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</si>
  <si>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</si>
  <si>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</si>
  <si>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</si>
  <si>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</si>
  <si>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</si>
  <si>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</si>
  <si>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</si>
  <si>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</si>
  <si>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</si>
  <si>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</si>
  <si>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</si>
  <si>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</si>
  <si>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</si>
  <si>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</si>
  <si>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</si>
  <si>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</si>
  <si>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</si>
  <si>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</si>
  <si>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</si>
  <si>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</si>
  <si>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</si>
  <si>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</si>
  <si>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</si>
  <si>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DodgeCooldown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</si>
  <si>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</si>
  <si>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</si>
  <si>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</si>
  <si>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</si>
  <si>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</si>
  <si>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</si>
  <si>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</si>
  <si>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</si>
  <si>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</si>
  <si>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</si>
  <si>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</si>
  <si>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</si>
  <si>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</si>
  <si>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</si>
  <si>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</si>
  <si>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</si>
  <si>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</si>
  <si>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</si>
  <si>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</si>
  <si>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</si>
  <si>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</si>
  <si>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</si>
  <si>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</si>
  <si>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SwingAfterDelay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</si>
  <si>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</si>
  <si>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</si>
  <si>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</si>
  <si>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</si>
  <si>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</si>
  <si>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</si>
  <si>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</si>
  <si>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</si>
  <si>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</si>
  <si>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</si>
  <si>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</si>
  <si>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</si>
  <si>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</si>
  <si>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#ApplyValue 수식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</si>
  <si>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</si>
  <si>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</si>
  <si>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</si>
  <si>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</si>
  <si>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</si>
  <si>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</si>
  <si>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</si>
  <si>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</si>
  <si>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</si>
  <si>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</si>
  <si>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</si>
  <si>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</si>
  <si>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</si>
  <si>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</si>
  <si>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</si>
  <si>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</si>
  <si>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</si>
  <si>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</si>
  <si>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</si>
  <si>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</si>
  <si>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</si>
  <si>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</si>
  <si>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</si>
  <si>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</si>
  <si>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</si>
  <si>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</si>
  <si>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</si>
  <si>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</si>
  <si>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</si>
  <si>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</si>
  <si>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</si>
  <si>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MoveTargetUpdatePeroid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</si>
  <si>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</si>
  <si>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</si>
  <si>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</si>
  <si>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</si>
  <si>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</si>
  <si>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</si>
  <si>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</si>
  <si>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</si>
  <si>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</si>
  <si>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OnMovementSpdChanged</t>
  </si>
  <si>
    <t>이동속도 -25%, 최대체력 +4하트</t>
  </si>
  <si>
    <t>공격속도 -20%, 차징속도 +45%</t>
  </si>
  <si>
    <t>icon/item/item_06.png</t>
  </si>
  <si>
    <t>icon/item/item_14.png</t>
  </si>
  <si>
    <t>icon/item/item_01.png</t>
  </si>
  <si>
    <t>icon/item/item_08.png</t>
  </si>
  <si>
    <t>BlackHole</t>
  </si>
  <si>
    <t>ApplyValue</t>
  </si>
  <si>
    <t>ApplyPoint</t>
  </si>
  <si>
    <t>GoldGain</t>
  </si>
  <si>
    <t>TimeStop</t>
  </si>
  <si>
    <t>GradeType</t>
  </si>
  <si>
    <t>CostGold</t>
  </si>
  <si>
    <t>ApplyType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</si>
  <si>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</si>
  <si>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</si>
  <si>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</si>
  <si>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</si>
  <si>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</si>
  <si>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</si>
  <si>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</si>
  <si>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</si>
  <si>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</si>
  <si>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</si>
  <si>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</si>
  <si>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</si>
  <si>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</si>
  <si>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</si>
  <si>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</si>
  <si>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</si>
  <si>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</si>
  <si>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</si>
  <si>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</si>
  <si>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</si>
  <si>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</si>
  <si>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</si>
  <si>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</si>
  <si>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</si>
  <si>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</si>
  <si>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</si>
  <si>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</si>
  <si>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</si>
  <si>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</si>
  <si>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</si>
  <si>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</si>
  <si>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</si>
  <si>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</si>
  <si>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</si>
  <si>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</si>
  <si>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</si>
  <si>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</si>
  <si>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</si>
  <si>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</si>
  <si>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</si>
  <si>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</si>
  <si>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</si>
  <si>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</si>
  <si>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</si>
  <si>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</si>
  <si>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</si>
  <si>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</si>
  <si>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</si>
  <si>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</si>
  <si>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</si>
  <si>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</si>
  <si>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</si>
  <si>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</si>
  <si>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</si>
  <si>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ApplyStat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</si>
  <si>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</si>
  <si>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</si>
  <si>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</si>
  <si>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</si>
  <si>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</si>
  <si>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</si>
  <si>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</si>
  <si>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</si>
  <si>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</si>
  <si>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Addition</t>
  </si>
  <si>
    <t>청개굴 버섯구이</t>
  </si>
  <si>
    <t>PlayerStat</t>
  </si>
  <si>
    <t>Multiply</t>
  </si>
  <si>
    <t>OnHpChanged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</si>
  <si>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</si>
  <si>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</si>
  <si>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</si>
  <si>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</si>
  <si>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</si>
  <si>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</si>
  <si>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</si>
  <si>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</si>
  <si>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</si>
  <si>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</si>
  <si>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</si>
  <si>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</si>
  <si>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</si>
  <si>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</si>
  <si>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</si>
  <si>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</si>
  <si>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</si>
  <si>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</si>
  <si>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Prefabs/Enemy_pitcher.prefab</t>
  </si>
  <si>
    <t>Prefabs/PlayerProjectile.prefab</t>
  </si>
  <si>
    <t>적에게 직접공격 시 경직될 때 시간당 감속 속도</t>
  </si>
  <si>
    <t>공격력 +50%, 공격 방향이 반대가 됩니다.</t>
  </si>
  <si>
    <t>트럼펫 소리가 납니다. 공격력이 20%증가합니다.</t>
  </si>
  <si>
    <t>RigidSpdDecelerationValue</t>
  </si>
  <si>
    <t>Prefabs/Enemy_bat.prefab</t>
  </si>
  <si>
    <t>공 충돌횟수 -1, 차징샷이 적을 관통합니다.</t>
  </si>
  <si>
    <t>적에게 직접공격 시 경직될 때 밀려나는 속도</t>
  </si>
  <si>
    <t>ChargeBounceCount1 * 0.2</t>
  </si>
  <si>
    <t>RowColider과 플레이어가 충돌하지 않음.</t>
  </si>
  <si>
    <t>/Resource/Bat/RainbowBat</t>
  </si>
  <si>
    <t>TeleportAllowableDistance</t>
  </si>
  <si>
    <t>/Resource/Sound/ToyBat_Walk</t>
  </si>
  <si>
    <t>/Resource/Bat/TrumpetBat</t>
  </si>
  <si>
    <t>OnChargeBounceCountChanged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</si>
  <si>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</si>
  <si>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</si>
  <si>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</si>
  <si>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</si>
  <si>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</si>
  <si>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</si>
  <si>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</si>
  <si>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</si>
  <si>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</si>
  <si>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</si>
  <si>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</si>
  <si>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</si>
  <si>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</si>
  <si>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</si>
  <si>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</si>
  <si>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</si>
  <si>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</si>
  <si>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</si>
  <si>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</si>
  <si>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</si>
  <si>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</si>
  <si>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가끔 열쇠를 먹어버립니다.\n귀중품 관리에 주의하십시오.\n\n&lt;size=20&gt;&lt;color=#97C456&gt;공격속도 +30%&lt;/color&gt;&lt;/size&gt;</t>
  </si>
  <si>
    <t>태초부터 시작되더라도 절망하지 않습니다.\n'자 이제 시작이야'\n\n&lt;size=20&gt;&lt;color=#97C456&gt;공격범위 +20%&lt;/color&gt;&lt;/size&gt;</t>
  </si>
  <si>
    <t>얼.죽.아 클럽의 새로운 유행입니다.\n\n&lt;size=20&gt;&lt;color=#97C456&gt;차징속도 +20%&lt;/color&gt;&lt;/size&gt;</t>
  </si>
  <si>
    <t>배트 이외의 물건에 사용하지 마시오\nQT추출물 0.0006% 함유\nQT향 0.1%함유\n\n&lt;size=20&gt;&lt;color=#97C456&gt;공 충돌횟수 +1&lt;/color&gt;&lt;/size&gt;</t>
  </si>
  <si>
    <t>대나무 향을 머금은 흰 밥이\n까만 김을 만나 완성된 환상적인 조합.\n\n&lt;size=20&gt;&lt;color=#97C456&gt;최대 체력 +1하트&lt;/color&gt;&lt;/size&gt;</t>
  </si>
  <si>
    <t>자아를 가진 저금통입니다.\n숨겨진 돈을 잘 찾아내는 듯 합니다.\n잠깐, 제 지갑의 돈이 사라진 것 같습니다.\n\n&lt;size=20&gt;&lt;color=#97C456&gt;골드획득량 +50%&lt;/color&gt;&lt;/size&gt;</t>
  </si>
  <si>
    <t>종교적인 용도로 보이는 컵입니다.\n잠깐, 방금 조금 움직인 것 같은데요?\n\n&lt;size=20&gt;&lt;color=#97C456&gt;공 충돌횟수 +2&lt;/color&gt;&lt;/size&gt;</t>
  </si>
  <si>
    <t>이벤트성으로 100만봉지\n중 한 개만 들어간 ■̛̲͙̩͎͖̲̐̐̂͐ͅ■͓̟̦̹͚̇̓́͛͠ͅ맛 사탕입니다.\n\n&lt;size=20&gt;&lt;color=#97C456&gt;공 충돌횟수당 공격력 +20%&lt;/color&gt;&lt;/size&gt;</t>
  </si>
  <si>
    <t>온 몸이 녹는 듯 한 강력한 단맛입니다.\n끈적해지지 않게 조심하세요!\n\n&lt;size=20&gt;&lt;color=#97C456&gt;차징속도 +45%&lt;/color&gt;&lt;/size&gt;\n&lt;size=20&gt;&lt;color=#FF6A6A&gt;공격속도 -20%&lt;/color&gt;&lt;/size&gt;</t>
  </si>
  <si>
    <t>어째선지 계속해서 울고 있는 양초입니다.\n\n&lt;size=20&gt;&lt;color=#97C456&gt;최대체력 +4하트&lt;/color&gt;&lt;/size&gt;\n&lt;size=20&gt;&lt;color=#FF6A6A&gt;이동속도 -25%&lt;/color&gt;&lt;/size&gt;</t>
  </si>
  <si>
    <t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t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</si>
  <si>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</si>
  <si>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</si>
  <si>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</si>
  <si>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고대에 멸종된 것으로 보이는 유물 입니다. 많은 시간이 지났지만 튼튼하고 고통스럽습니다.\n\n&lt;size=20&gt;&lt;color=#97C456&gt;빈 하트 1개당 공격력 +10%&lt;/color&gt;&lt;/size&gt;</t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</si>
  <si>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</si>
  <si>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</si>
  <si>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</si>
  <si>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</si>
  <si>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</si>
  <si>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</si>
  <si>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</si>
  <si>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</si>
  <si>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</si>
  <si>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</si>
  <si>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</si>
  <si>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</si>
  <si>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</si>
  <si>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</si>
  <si>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</si>
  <si>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</si>
  <si>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</si>
  <si>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</si>
  <si>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</si>
  <si>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</si>
  <si>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</si>
  <si>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</si>
  <si>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</si>
  <si>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</si>
  <si>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</si>
  <si>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</si>
  <si>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</si>
  <si>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</si>
  <si>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</si>
  <si>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</si>
  <si>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</si>
  <si>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</si>
  <si>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</si>
  <si>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</si>
  <si>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</si>
  <si>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</si>
  <si>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</si>
  <si>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</si>
  <si>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</si>
  <si>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</si>
  <si>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</si>
  <si>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</si>
  <si>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</si>
  <si>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</si>
  <si>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</si>
  <si>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</si>
  <si>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</si>
  <si>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</si>
  <si>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</si>
  <si>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</si>
  <si>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</si>
  <si>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</si>
  <si>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</si>
  <si>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</si>
  <si>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</si>
  <si>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</si>
  <si>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</si>
  <si>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</si>
  <si>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</si>
  <si>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</si>
  <si>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</si>
  <si>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</si>
  <si>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</si>
  <si>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</si>
  <si>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</si>
  <si>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</si>
  <si>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평균 골드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</si>
  <si>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</si>
  <si>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</si>
  <si>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</si>
  <si>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</si>
  <si>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</si>
  <si>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+100%, 공격 방향이 반대가 됩니다.</t>
    <phoneticPr fontId="8" type="noConversion"/>
  </si>
  <si>
    <t>공격력 +100%</t>
    <phoneticPr fontId="8" type="noConversion"/>
  </si>
  <si>
    <t>#체크</t>
    <phoneticPr fontId="8" type="noConversion"/>
  </si>
  <si>
    <t>(HP_Base - HP)*0.004</t>
    <phoneticPr fontId="8" type="noConversion"/>
  </si>
  <si>
    <t>1층_폐가1</t>
    <phoneticPr fontId="8" type="noConversion"/>
  </si>
  <si>
    <t>2층_폐가2</t>
    <phoneticPr fontId="8" type="noConversion"/>
  </si>
  <si>
    <t>3층_폐가3</t>
    <phoneticPr fontId="8" type="noConversion"/>
  </si>
  <si>
    <t>변화된 이동속도 1당 공격력 +18%</t>
    <phoneticPr fontId="8" type="noConversion"/>
  </si>
  <si>
    <t>(MovementSpd - 6)*0.3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</si>
  <si>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</si>
  <si>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</si>
  <si>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+10%, 이동속도 +5, 공격속도 +0.1초</t>
    <phoneticPr fontId="8" type="noConversion"/>
  </si>
  <si>
    <t>공격력 +10%\n이동속도 +5\n공격속도 +0.1초</t>
    <phoneticPr fontId="8" type="noConversion"/>
  </si>
  <si>
    <t>꽤 무게가 나가는 돌가면.\n이걸 쓰고도 단련을 하면 꽤 오래 살 수 있을 것 같은 느낌이 듭니다.\n\n&lt;size=20&gt;&lt;color=#97C456&gt;공격력 +10%\n이동속도 +5\n공격속도 +0.1초&lt;/color&gt;&lt;/size&gt;</t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</si>
  <si>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</si>
  <si>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</si>
  <si>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</si>
  <si>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</si>
  <si>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</si>
  <si>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시크한 표정이 매력적입니다.\n세 나라 이야기의 붉은 목마 입니다.\n\n&lt;size=20&gt;&lt;color=#97C456&gt;이동속도 +6&lt;/color&gt;&lt;/size&gt;</t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</si>
  <si>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</si>
  <si>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데빌불, 숨겨진 악성을 펼쳐줘요.\n아직도 마계에서 불티나게 팔리고 있는 음료입니다.\n\n&lt;size=20&gt;&lt;color=#97C456&gt;변화된 이동속도 1당 공격력 +3%&lt;/color&gt;&lt;/size&gt;</t>
    <phoneticPr fontId="8" type="noConversion"/>
  </si>
  <si>
    <t>1. 태양의 방향으로 기립.\n2. 팔을 벌려 Y자로 선다.\n3. 태양을 바라보며 외친다.\n\n&lt;size=16&gt;&lt;color=#97C456&gt;차징샷이 적을 관통합니다.&lt;/color&gt;&lt;/size&gt;\n&lt;size=20&gt;&lt;color=#FF6A6A&gt;공 충돌횟수 -1&lt;/color&gt;&lt;/size&gt;</t>
    <phoneticPr fontId="8" type="noConversion"/>
  </si>
  <si>
    <t>Prefabs/DullahanProjectile.prefab</t>
    <phoneticPr fontId="8" type="noConversion"/>
  </si>
  <si>
    <t>AgroRange</t>
    <phoneticPr fontId="8" type="noConversion"/>
  </si>
  <si>
    <t>공용_선택지</t>
    <phoneticPr fontId="8" type="noConversion"/>
  </si>
  <si>
    <t>1층_아이템보상</t>
    <phoneticPr fontId="8" type="noConversion"/>
  </si>
  <si>
    <t>1층_Hp상점_슬롯</t>
    <phoneticPr fontId="8" type="noConversion"/>
  </si>
  <si>
    <t>공용_골드상점_슬롯</t>
    <phoneticPr fontId="8" type="noConversion"/>
  </si>
  <si>
    <t>공용_시작방</t>
    <phoneticPr fontId="8" type="noConversion"/>
  </si>
  <si>
    <t>EnemyProjectileDmg1</t>
  </si>
  <si>
    <t>EnemyProjectileDmg2</t>
    <phoneticPr fontId="8" type="noConversion"/>
  </si>
  <si>
    <t>16방향 발사</t>
  </si>
  <si>
    <t>16방향 발사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</si>
</sst>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.0"/>
    <numFmt numFmtId="177" formatCode="0.000E+00"/>
  </numFmts>
  <fonts count="19" x14ac:knownFonts="1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11"/>
      <color theme="0" tint="-0.249977111117893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47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3" fillId="6" borderId="0" xfId="0" applyFont="1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4" fillId="3" borderId="0" xfId="0" applyFont="1" applyFill="1">
      <alignment vertical="center"/>
    </xf>
    <xf numFmtId="0" fontId="4" fillId="4" borderId="0" xfId="0" applyFont="1" applyFill="1">
      <alignment vertical="center"/>
    </xf>
    <xf numFmtId="177" fontId="0" fillId="5" borderId="0" xfId="0" applyNumberFormat="1" applyFill="1">
      <alignment vertical="center"/>
    </xf>
    <xf numFmtId="0" fontId="0" fillId="0" borderId="0" xfId="0" quotePrefix="1">
      <alignment vertical="center"/>
    </xf>
    <xf numFmtId="0" fontId="1" fillId="0" borderId="0" xfId="0" applyFont="1">
      <alignment vertical="center"/>
    </xf>
    <xf numFmtId="0" fontId="0" fillId="9" borderId="0" xfId="0" applyFill="1">
      <alignment vertical="center"/>
    </xf>
    <xf numFmtId="0" fontId="1" fillId="9" borderId="0" xfId="0" applyFont="1" applyFill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10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10" borderId="0" xfId="0" applyFont="1" applyFill="1">
      <alignment vertical="center"/>
    </xf>
    <xf numFmtId="0" fontId="14" fillId="10" borderId="0" xfId="0" applyFont="1" applyFill="1">
      <alignment vertical="center"/>
    </xf>
    <xf numFmtId="0" fontId="0" fillId="10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10" borderId="0" xfId="0" applyFont="1" applyFill="1">
      <alignment vertical="center"/>
    </xf>
    <xf numFmtId="0" fontId="1" fillId="5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6" fillId="0" borderId="0" xfId="0" applyFont="1">
      <alignment vertical="center"/>
    </xf>
    <xf numFmtId="0" fontId="16" fillId="4" borderId="1" xfId="0" applyFont="1" applyFill="1" applyBorder="1">
      <alignment vertical="center"/>
    </xf>
    <xf numFmtId="0" fontId="1" fillId="8" borderId="0" xfId="0" applyFont="1" applyFill="1">
      <alignment vertical="center"/>
    </xf>
    <xf numFmtId="0" fontId="17" fillId="10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</cellXfs>
  <cellStyles count="1">
    <cellStyle name="표준" xfId="0" builtinId="0"/>
  </cellStyles>
  <dxfs count="105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ill>
        <patternFill patternType="solid">
          <fgColor rgb="FF6182D6"/>
          <bgColor rgb="FF6182D6"/>
        </patternFill>
      </fill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04"/>
      <tableStyleElement type="headerRow" dxfId="103"/>
      <tableStyleElement type="totalRow" dxfId="102"/>
      <tableStyleElement type="firstColumn" dxfId="101"/>
      <tableStyleElement type="lastColumn" dxfId="100"/>
      <tableStyleElement type="firstRowStripe" dxfId="99"/>
      <tableStyleElement type="firstColumnStripe" dxfId="98"/>
    </tableStyle>
    <tableStyle name="Light Style 1 - Accent 1" table="0" count="7" xr9:uid="{00000000-0011-0000-FFFF-FFFF01000000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  <tableStyle name="표 스타일 1" pivot="0" count="4" xr9:uid="{00000000-0011-0000-FFFF-FFFF02000000}">
      <tableStyleElement type="wholeTable" dxfId="90"/>
      <tableStyleElement type="headerRow" dxfId="89"/>
      <tableStyleElement type="firstRowStripe" dxfId="88"/>
      <tableStyleElement type="secondRowStripe" dxfId="8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86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1:F22" totalsRowCount="1" headerRowDxfId="85">
  <autoFilter ref="B11:F21" xr:uid="{B73D1EB2-9631-41EE-AD58-6E2FFBE46994}"/>
  <tableColumns count="5">
    <tableColumn id="1" xr3:uid="{F4B054AC-AD7E-4956-B080-A01431C8F732}" name="스테이지" totalsRowLabel="요약"/>
    <tableColumn id="2" xr3:uid="{9DA9C5C9-C26B-415A-8A18-893374490AD7}" name="박쥐"/>
    <tableColumn id="3" xr3:uid="{D0B1BE2A-DC38-4D05-81EC-23F2D1CCCBEB}" name="일반"/>
    <tableColumn id="4" xr3:uid="{41CB39C9-1C4D-48D7-B115-47A5533FB77C}" name="정예"/>
    <tableColumn id="5" xr3:uid="{824C3876-8298-4907-B8FE-3144B3D10904}" name="평균 골드" totalsRowFunction="average" dataDxfId="84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I11:L14" totalsRowCount="1" headerRowDxfId="83">
  <autoFilter ref="I11:L13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82" dataDxfId="81">
  <autoFilter ref="B6:E32" xr:uid="{00000000-0009-0000-0100-000008000000}"/>
  <tableColumns count="4">
    <tableColumn id="1" xr3:uid="{00000000-0010-0000-0100-000001000000}" name="스텟" dataDxfId="80"/>
    <tableColumn id="2" xr3:uid="{00000000-0010-0000-0100-000002000000}" name="참조 테이블" dataDxfId="79"/>
    <tableColumn id="3" xr3:uid="{00000000-0010-0000-0100-000003000000}" name="설명" dataDxfId="78"/>
    <tableColumn id="4" xr3:uid="{00000000-0010-0000-0100-000004000000}" name="Value 1당 가치" dataDxfId="77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76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표11[[#Totals],[평균 골드]]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75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74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73"/>
    <tableColumn id="4" xr3:uid="{00000000-0010-0000-0400-000004000000}" name="획득 무기"/>
    <tableColumn id="5" xr3:uid="{00000000-0010-0000-0400-000005000000}" name="획득 골드" dataDxfId="72">
      <calculatedColumnFormula array="1">밸런스시트[[#This Row],[방 개수]]*표10[방 평균 골드]</calculatedColumnFormula>
    </tableColumn>
    <tableColumn id="6" xr3:uid="{00000000-0010-0000-0400-000006000000}" name="적 체력" dataDxfId="71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70">
      <calculatedColumnFormula array="1">CharacterAtkTable['#던진공 차징1 튕겨내기 DPS]</calculatedColumnFormula>
    </tableColumn>
    <tableColumn id="10" xr3:uid="{00000000-0010-0000-0400-00000A000000}" name="예상 전투 시간" dataDxfId="69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68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67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66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65"/>
    <tableColumn id="3" xr3:uid="{00000000-0010-0000-0600-000003000000}" name="value"/>
    <tableColumn id="4" xr3:uid="{00000000-0010-0000-0600-000004000000}" name="#설명" dataDxfId="64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63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62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G3" totalsRowShown="0" headerRowDxfId="61">
  <autoFilter ref="B2:AG3" xr:uid="{00000000-0009-0000-0100-000007000000}"/>
  <tableColumns count="32">
    <tableColumn id="1" xr3:uid="{00000000-0010-0000-0800-000001000000}" name="Index"/>
    <tableColumn id="2" xr3:uid="{00000000-0010-0000-0800-000002000000}" name="#설명" dataDxfId="60"/>
    <tableColumn id="3" xr3:uid="{00000000-0010-0000-0800-000003000000}" name="ThrowCooldown" dataDxfId="59"/>
    <tableColumn id="4" xr3:uid="{00000000-0010-0000-0800-000004000000}" name="ThrowAfterDelay" dataDxfId="58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57"/>
    <tableColumn id="8" xr3:uid="{00000000-0010-0000-0800-000008000000}" name="SwingAfterDelay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1"/>
    <tableColumn id="16" xr3:uid="{00000000-0010-0000-0800-000010000000}" name="ChargeBounceCount2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31" xr3:uid="{B1D06E50-7BD3-4570-8324-4141AD584B87}" name="EnemyProjectileDmg1"/>
    <tableColumn id="32" xr3:uid="{72CE4178-5CF6-4FE9-B891-32C6A23D3487}" name="EnemyProjectileDmg2"/>
    <tableColumn id="22" xr3:uid="{00000000-0010-0000-0800-000016000000}" name="AtkDmgPer"/>
    <tableColumn id="23" xr3:uid="{00000000-0010-0000-0800-000017000000}" name="TeleportAllowableDistance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56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55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54"/>
    <tableColumn id="14" xr3:uid="{00000000-0010-0000-0900-00000E000000}" name="#드랍테이블2" dataDxfId="53"/>
    <tableColumn id="15" xr3:uid="{00000000-0010-0000-0900-00000F000000}" name="#드랍테이블3" dataDxfId="52"/>
    <tableColumn id="16" xr3:uid="{00000000-0010-0000-0900-000010000000}" name="#드랍테이블4" dataDxfId="51"/>
    <tableColumn id="17" xr3:uid="{00000000-0010-0000-0900-000011000000}" name="#드랍테이블5" dataDxfId="50"/>
    <tableColumn id="18" xr3:uid="{00000000-0010-0000-0900-000012000000}" name="#드랍테이블6" dataDxfId="49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1" totalsRowShown="0" headerRowDxfId="48">
  <autoFilter ref="B2:I11" xr:uid="{00000000-0009-0000-0100-00000C000000}"/>
  <tableColumns count="8">
    <tableColumn id="1" xr3:uid="{00000000-0010-0000-0A00-000001000000}" name="Index"/>
    <tableColumn id="2" xr3:uid="{00000000-0010-0000-0A00-000002000000}" name="#메모" dataDxfId="47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Weapon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U16" totalsRowShown="0">
  <autoFilter ref="B2:U16" xr:uid="{00000000-0009-0000-0100-000012000000}"/>
  <tableColumns count="20">
    <tableColumn id="1" xr3:uid="{00000000-0010-0000-0B00-000001000000}" name="Index"/>
    <tableColumn id="2" xr3:uid="{00000000-0010-0000-0B00-000002000000}" name="#이름" dataDxfId="46"/>
    <tableColumn id="19" xr3:uid="{BFCBC32D-7E44-4D9E-BE44-E28E6C46489C}" name="#" dataDxfId="45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/>
    <tableColumn id="17" xr3:uid="{00000000-0010-0000-0B00-000011000000}" name="#기준 적 체력 비율"/>
    <tableColumn id="18" xr3:uid="{00000000-0010-0000-0B00-000012000000}" name="#평균 드랍 골드" dataDxfId="44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9" totalsRowShown="0">
  <autoFilter ref="B2:I59" xr:uid="{00000000-0009-0000-0100-000015000000}"/>
  <tableColumns count="8">
    <tableColumn id="1" xr3:uid="{00000000-0010-0000-0C00-000001000000}" name="Index"/>
    <tableColumn id="2" xr3:uid="{00000000-0010-0000-0C00-000002000000}" name="#설명" dataDxfId="43"/>
    <tableColumn id="3" xr3:uid="{00000000-0010-0000-0C00-000003000000}" name="ShootDataId" dataDxfId="42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41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40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89" totalsRowShown="0">
  <autoFilter ref="B2:G89" xr:uid="{00000000-0009-0000-0100-000013000000}"/>
  <tableColumns count="6">
    <tableColumn id="1" xr3:uid="{00000000-0010-0000-0D00-000001000000}" name="Index"/>
    <tableColumn id="2" xr3:uid="{00000000-0010-0000-0D00-000002000000}" name="#설명" dataDxfId="39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1" totalsRowShown="0" headerRowDxfId="38">
  <autoFilter ref="B2:G11" xr:uid="{00000000-0009-0000-0100-000011000000}"/>
  <tableColumns count="6">
    <tableColumn id="1" xr3:uid="{00000000-0010-0000-0E00-000001000000}" name="Index"/>
    <tableColumn id="2" xr3:uid="{00000000-0010-0000-0E00-000002000000}" name="#설명" dataDxfId="37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Q24" totalsRowShown="0" headerRowDxfId="36">
  <autoFilter ref="B2:Q24" xr:uid="{00000000-0009-0000-0100-000004000000}"/>
  <tableColumns count="16">
    <tableColumn id="1" xr3:uid="{00000000-0010-0000-0F00-000001000000}" name="Index" dataDxfId="35"/>
    <tableColumn id="2" xr3:uid="{00000000-0010-0000-0F00-000002000000}" name="Name" dataDxfId="34"/>
    <tableColumn id="3" xr3:uid="{00000000-0010-0000-0F00-000003000000}" name="Desc" dataDxfId="33"/>
    <tableColumn id="4" xr3:uid="{00000000-0010-0000-0F00-000004000000}" name="GradeType" dataDxfId="32"/>
    <tableColumn id="5" xr3:uid="{00000000-0010-0000-0F00-000005000000}" name="Value" dataDxfId="31"/>
    <tableColumn id="6" xr3:uid="{00000000-0010-0000-0F00-000006000000}" name="CostHp" dataDxfId="30"/>
    <tableColumn id="7" xr3:uid="{00000000-0010-0000-0F00-000007000000}" name="CostGold" dataDxfId="29"/>
    <tableColumn id="8" xr3:uid="{00000000-0010-0000-0F00-000008000000}" name="ItemEffectDataId" dataDxfId="28"/>
    <tableColumn id="9" xr3:uid="{00000000-0010-0000-0F00-000009000000}" name="ItemIconPath" dataDxfId="27"/>
    <tableColumn id="10" xr3:uid="{00000000-0010-0000-0F00-00000A000000}" name="#자료 위치 변환기" dataDxfId="26"/>
    <tableColumn id="11" xr3:uid="{E752B4AA-7181-4F60-B4A0-8DA8B2E2F337}" name="#" dataDxfId="25"/>
    <tableColumn id="12" xr3:uid="{F85A3E97-232B-4E3A-9F01-EF79D25FA9F9}" name="#2" dataDxfId="24"/>
    <tableColumn id="13" xr3:uid="{550D2A60-9FBB-40C8-A6C2-243D9848C602}" name="#3" dataDxfId="23"/>
    <tableColumn id="14" xr3:uid="{50807AE5-46D5-4351-8885-769C1629BA6A}" name="#4" dataDxfId="22">
      <calculatedColumnFormula>_xlfn.CONCAT(
_xlfn.CONCAT("&lt;size=16&gt;",L3,"&lt;/size&gt;\n\n",
"&lt;size=20&gt;&lt;color=#97C456&gt;",M3,"&lt;/color&gt;&lt;/size&gt;"),
IF(ISBLANK(N3),"",_xlfn.CONCAT("\n","&lt;size=24&gt;&lt;color=#FF6A6A&gt;",N3,"&lt;/color&gt;&lt;/size&gt;"))
)</calculatedColumnFormula>
    </tableColumn>
    <tableColumn id="16" xr3:uid="{A0BAB5E4-0BFE-4883-A7D5-9ECD98E395E0}" name="#예외처리" dataDxfId="21"/>
    <tableColumn id="15" xr3:uid="{859A69BA-D558-47CD-B372-AF915766B5DE}" name="#체크" dataDxfId="20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S29" totalsRowShown="0" headerRowDxfId="19">
  <autoFilter ref="B2:S29" xr:uid="{00000000-0009-0000-0100-000001000000}"/>
  <tableColumns count="18">
    <tableColumn id="1" xr3:uid="{00000000-0010-0000-1000-000001000000}" name="#개발여부" dataDxfId="18"/>
    <tableColumn id="2" xr3:uid="{00000000-0010-0000-1000-000002000000}" name="#이름값" dataDxfId="17"/>
    <tableColumn id="3" xr3:uid="{00000000-0010-0000-1000-000003000000}" name="#Grade" dataDxfId="16"/>
    <tableColumn id="4" xr3:uid="{00000000-0010-0000-1000-000004000000}" name="Index" dataDxfId="15"/>
    <tableColumn id="5" xr3:uid="{00000000-0010-0000-1000-000005000000}" name="ApplyType"/>
    <tableColumn id="6" xr3:uid="{00000000-0010-0000-1000-000006000000}" name="ApplyStat"/>
    <tableColumn id="7" xr3:uid="{00000000-0010-0000-1000-000007000000}" name="#효과 한글" dataDxfId="14"/>
    <tableColumn id="8" xr3:uid="{00000000-0010-0000-1000-000008000000}" name="#효과 한글2" dataDxfId="13"/>
    <tableColumn id="9" xr3:uid="{00000000-0010-0000-1000-000009000000}" name="ApplyValue"/>
    <tableColumn id="10" xr3:uid="{00000000-0010-0000-1000-00000A000000}" name="ValueOperatorType"/>
    <tableColumn id="11" xr3:uid="{00000000-0010-0000-1000-00000B000000}" name="ApplyPoint"/>
    <tableColumn id="12" xr3:uid="{00000000-0010-0000-1000-00000C000000}" name="#참조 테이블" dataDxfId="12"/>
    <tableColumn id="13" xr3:uid="{00000000-0010-0000-1000-00000D000000}" name="#기본값" dataDxfId="11"/>
    <tableColumn id="14" xr3:uid="{00000000-0010-0000-1000-00000E000000}" name="#ApplyValue 수식" dataDxfId="10"/>
    <tableColumn id="15" xr3:uid="{00000000-0010-0000-1000-00000F000000}" name="#적용 후" dataDxfId="9"/>
    <tableColumn id="16" xr3:uid="{00000000-0010-0000-1000-000010000000}" name="#효력 가치" dataDxfId="8"/>
    <tableColumn id="17" xr3:uid="{00000000-0010-0000-1000-000011000000}" name="#총 효력가치" dataDxfId="7"/>
    <tableColumn id="18" xr3:uid="{00000000-0010-0000-1000-000012000000}" name="#오차값" dataDxfId="6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5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4"/>
    <tableColumn id="3" xr3:uid="{00000000-0010-0000-1100-000003000000}" name="#리소스 유형" dataDxfId="3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2">
  <autoFilter ref="A2:D76" xr:uid="{00000000-0009-0000-0100-000003000000}"/>
  <tableColumns count="4">
    <tableColumn id="1" xr3:uid="{00000000-0010-0000-1200-000001000000}" name="Index" dataDxfId="1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comments" Target="../comments1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9.xml"/><Relationship Id="rId1" Type="http://schemas.openxmlformats.org/officeDocument/2006/relationships/vmlDrawing" Target="../drawings/vmlDrawing3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875" defaultRowHeight="16.5" x14ac:dyDescent="0.3"/>
  <sheetData>
    <row r="1" spans="2:5" s="1" customFormat="1" x14ac:dyDescent="0.3">
      <c r="B1" s="45" t="s">
        <v>337</v>
      </c>
      <c r="C1" s="46"/>
      <c r="D1" s="46"/>
      <c r="E1" s="46"/>
    </row>
    <row r="2" spans="2:5" s="1" customFormat="1" x14ac:dyDescent="0.3">
      <c r="B2" s="46"/>
      <c r="C2" s="46"/>
      <c r="D2" s="46"/>
      <c r="E2" s="46"/>
    </row>
    <row r="3" spans="2:5" s="1" customFormat="1" x14ac:dyDescent="0.3">
      <c r="B3" s="46"/>
      <c r="C3" s="46"/>
      <c r="D3" s="46"/>
      <c r="E3" s="46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L22"/>
  <sheetViews>
    <sheetView zoomScaleNormal="75" zoomScaleSheetLayoutView="100" workbookViewId="0">
      <selection activeCell="E12" sqref="E12:E19"/>
    </sheetView>
  </sheetViews>
  <sheetFormatPr defaultColWidth="8.875" defaultRowHeight="16.5" x14ac:dyDescent="0.3"/>
  <cols>
    <col min="2" max="2" width="10.125" customWidth="1"/>
    <col min="3" max="3" width="6.5" customWidth="1"/>
    <col min="4" max="4" width="12.625" bestFit="1" customWidth="1"/>
    <col min="5" max="5" width="10.375" bestFit="1" customWidth="1"/>
    <col min="6" max="6" width="11.125" customWidth="1"/>
    <col min="7" max="7" width="9.875" bestFit="1" customWidth="1"/>
    <col min="8" max="8" width="11" bestFit="1" customWidth="1"/>
  </cols>
  <sheetData>
    <row r="1" spans="2:12" s="1" customFormat="1" x14ac:dyDescent="0.3">
      <c r="B1" s="45" t="s">
        <v>216</v>
      </c>
      <c r="C1" s="46"/>
      <c r="D1" s="46"/>
      <c r="E1" s="46"/>
    </row>
    <row r="2" spans="2:12" s="1" customFormat="1" x14ac:dyDescent="0.3">
      <c r="B2" s="46"/>
      <c r="C2" s="46"/>
      <c r="D2" s="46"/>
      <c r="E2" s="46"/>
    </row>
    <row r="3" spans="2:12" s="1" customFormat="1" x14ac:dyDescent="0.3">
      <c r="B3" s="46"/>
      <c r="C3" s="46"/>
      <c r="D3" s="46"/>
      <c r="E3" s="46"/>
    </row>
    <row r="5" spans="2:12" x14ac:dyDescent="0.3">
      <c r="B5" s="2" t="s">
        <v>92</v>
      </c>
    </row>
    <row r="6" spans="2:12" x14ac:dyDescent="0.3">
      <c r="B6" t="s">
        <v>47</v>
      </c>
      <c r="C6" t="s">
        <v>50</v>
      </c>
      <c r="D6" t="s">
        <v>96</v>
      </c>
      <c r="E6" t="s">
        <v>83</v>
      </c>
      <c r="F6" t="s">
        <v>84</v>
      </c>
      <c r="G6" t="s">
        <v>93</v>
      </c>
      <c r="H6" t="s">
        <v>86</v>
      </c>
    </row>
    <row r="7" spans="2:12" x14ac:dyDescent="0.3">
      <c r="B7" t="s">
        <v>50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12" x14ac:dyDescent="0.3">
      <c r="B8" t="s">
        <v>96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  <row r="10" spans="2:12" x14ac:dyDescent="0.3">
      <c r="B10" s="2" t="s">
        <v>510</v>
      </c>
      <c r="C10" s="2"/>
      <c r="D10" s="2"/>
      <c r="I10" s="2" t="s">
        <v>511</v>
      </c>
      <c r="J10" s="2"/>
      <c r="K10" s="2"/>
    </row>
    <row r="11" spans="2:12" x14ac:dyDescent="0.3">
      <c r="B11" s="19" t="s">
        <v>508</v>
      </c>
      <c r="C11" s="19" t="s">
        <v>509</v>
      </c>
      <c r="D11" s="19" t="s">
        <v>506</v>
      </c>
      <c r="E11" s="19" t="s">
        <v>507</v>
      </c>
      <c r="F11" s="19" t="s">
        <v>512</v>
      </c>
      <c r="I11" s="19" t="s">
        <v>513</v>
      </c>
      <c r="J11" s="19" t="s">
        <v>509</v>
      </c>
      <c r="K11" s="19" t="s">
        <v>506</v>
      </c>
      <c r="L11" s="19" t="s">
        <v>507</v>
      </c>
    </row>
    <row r="12" spans="2:12" x14ac:dyDescent="0.3">
      <c r="B12">
        <v>1</v>
      </c>
      <c r="C12">
        <v>0</v>
      </c>
      <c r="D12">
        <v>4</v>
      </c>
      <c r="E12">
        <v>1</v>
      </c>
      <c r="F12">
        <f>표11[[#This Row],[박쥐]]*표20[[#Totals],[박쥐]]+
표11[[#This Row],[일반]]*표20[[#Totals],[일반]]+
표11[[#This Row],[정예]]*표20[[#Totals],[정예]]</f>
        <v>10</v>
      </c>
      <c r="I12" s="19" t="s">
        <v>514</v>
      </c>
      <c r="J12">
        <v>0</v>
      </c>
      <c r="K12">
        <v>0</v>
      </c>
      <c r="L12">
        <v>3</v>
      </c>
    </row>
    <row r="13" spans="2:12" x14ac:dyDescent="0.3">
      <c r="B13">
        <v>2</v>
      </c>
      <c r="C13">
        <v>2</v>
      </c>
      <c r="D13">
        <v>6</v>
      </c>
      <c r="E13">
        <v>0</v>
      </c>
      <c r="F13">
        <f>표11[[#This Row],[박쥐]]*표20[[#Totals],[박쥐]]+
표11[[#This Row],[일반]]*표20[[#Totals],[일반]]+
표11[[#This Row],[정예]]*표20[[#Totals],[정예]]</f>
        <v>9</v>
      </c>
      <c r="I13" s="19" t="s">
        <v>515</v>
      </c>
      <c r="J13">
        <v>0</v>
      </c>
      <c r="K13">
        <v>3</v>
      </c>
      <c r="L13">
        <v>5</v>
      </c>
    </row>
    <row r="14" spans="2:12" x14ac:dyDescent="0.3">
      <c r="B14">
        <v>3</v>
      </c>
      <c r="C14">
        <v>2</v>
      </c>
      <c r="D14">
        <v>4</v>
      </c>
      <c r="E14">
        <v>0</v>
      </c>
      <c r="F14">
        <f>표11[[#This Row],[박쥐]]*표20[[#Totals],[박쥐]]+
표11[[#This Row],[일반]]*표20[[#Totals],[일반]]+
표11[[#This Row],[정예]]*표20[[#Totals],[정예]]</f>
        <v>6</v>
      </c>
      <c r="I14" t="s">
        <v>516</v>
      </c>
      <c r="J14">
        <f>SUBTOTAL(101,표20[박쥐])</f>
        <v>0</v>
      </c>
      <c r="K14">
        <f>SUBTOTAL(101,표20[일반])</f>
        <v>1.5</v>
      </c>
      <c r="L14">
        <f>SUBTOTAL(101,표20[정예])</f>
        <v>4</v>
      </c>
    </row>
    <row r="15" spans="2:12" x14ac:dyDescent="0.3">
      <c r="B15">
        <v>4</v>
      </c>
      <c r="C15">
        <v>3</v>
      </c>
      <c r="D15">
        <v>4</v>
      </c>
      <c r="E15">
        <v>1</v>
      </c>
      <c r="F15">
        <f>표11[[#This Row],[박쥐]]*표20[[#Totals],[박쥐]]+
표11[[#This Row],[일반]]*표20[[#Totals],[일반]]+
표11[[#This Row],[정예]]*표20[[#Totals],[정예]]</f>
        <v>10</v>
      </c>
    </row>
    <row r="16" spans="2:12" x14ac:dyDescent="0.3">
      <c r="B16">
        <v>5</v>
      </c>
      <c r="C16">
        <v>4</v>
      </c>
      <c r="D16">
        <v>5</v>
      </c>
      <c r="E16">
        <v>1</v>
      </c>
      <c r="F16">
        <f>표11[[#This Row],[박쥐]]*표20[[#Totals],[박쥐]]+
표11[[#This Row],[일반]]*표20[[#Totals],[일반]]+
표11[[#This Row],[정예]]*표20[[#Totals],[정예]]</f>
        <v>11.5</v>
      </c>
    </row>
    <row r="17" spans="2:6" x14ac:dyDescent="0.3">
      <c r="B17">
        <v>6</v>
      </c>
      <c r="C17">
        <v>2</v>
      </c>
      <c r="D17">
        <v>3</v>
      </c>
      <c r="E17">
        <v>1</v>
      </c>
      <c r="F17">
        <f>표11[[#This Row],[박쥐]]*표20[[#Totals],[박쥐]]+
표11[[#This Row],[일반]]*표20[[#Totals],[일반]]+
표11[[#This Row],[정예]]*표20[[#Totals],[정예]]</f>
        <v>8.5</v>
      </c>
    </row>
    <row r="18" spans="2:6" x14ac:dyDescent="0.3">
      <c r="B18">
        <v>7</v>
      </c>
      <c r="C18">
        <v>4</v>
      </c>
      <c r="D18">
        <v>6</v>
      </c>
      <c r="E18">
        <v>1</v>
      </c>
      <c r="F18">
        <f>표11[[#This Row],[박쥐]]*표20[[#Totals],[박쥐]]+
표11[[#This Row],[일반]]*표20[[#Totals],[일반]]+
표11[[#This Row],[정예]]*표20[[#Totals],[정예]]</f>
        <v>13</v>
      </c>
    </row>
    <row r="19" spans="2:6" x14ac:dyDescent="0.3">
      <c r="B19">
        <v>8</v>
      </c>
      <c r="C19">
        <v>2</v>
      </c>
      <c r="D19">
        <v>5</v>
      </c>
      <c r="E19">
        <v>0</v>
      </c>
      <c r="F19">
        <f>표11[[#This Row],[박쥐]]*표20[[#Totals],[박쥐]]+
표11[[#This Row],[일반]]*표20[[#Totals],[일반]]+
표11[[#This Row],[정예]]*표20[[#Totals],[정예]]</f>
        <v>7.5</v>
      </c>
    </row>
    <row r="20" spans="2:6" x14ac:dyDescent="0.3">
      <c r="B20">
        <v>9</v>
      </c>
      <c r="C20">
        <v>2</v>
      </c>
      <c r="D20">
        <v>3</v>
      </c>
      <c r="E20">
        <v>1</v>
      </c>
      <c r="F20">
        <f>표11[[#This Row],[박쥐]]*표20[[#Totals],[박쥐]]+
표11[[#This Row],[일반]]*표20[[#Totals],[일반]]+
표11[[#This Row],[정예]]*표20[[#Totals],[정예]]</f>
        <v>8.5</v>
      </c>
    </row>
    <row r="21" spans="2:6" x14ac:dyDescent="0.3">
      <c r="B21">
        <v>10</v>
      </c>
      <c r="C21">
        <v>4</v>
      </c>
      <c r="D21">
        <v>5</v>
      </c>
      <c r="E21">
        <v>0</v>
      </c>
      <c r="F21">
        <f>표11[[#This Row],[박쥐]]*표20[[#Totals],[박쥐]]+
표11[[#This Row],[일반]]*표20[[#Totals],[일반]]+
표11[[#This Row],[정예]]*표20[[#Totals],[정예]]</f>
        <v>7.5</v>
      </c>
    </row>
    <row r="22" spans="2:6" x14ac:dyDescent="0.3">
      <c r="B22" t="s">
        <v>516</v>
      </c>
      <c r="F22">
        <f>SUBTOTAL(101,표11[평균 골드])</f>
        <v>9.15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A5" zoomScaleNormal="75" zoomScaleSheetLayoutView="100" workbookViewId="0">
      <selection activeCell="H16" sqref="H16"/>
    </sheetView>
  </sheetViews>
  <sheetFormatPr defaultColWidth="14.625" defaultRowHeight="16.5" x14ac:dyDescent="0.3"/>
  <cols>
    <col min="1" max="1" width="2.5" customWidth="1"/>
    <col min="2" max="2" width="19.875" customWidth="1"/>
    <col min="3" max="3" width="20.5" customWidth="1"/>
    <col min="4" max="4" width="41.125" customWidth="1"/>
    <col min="5" max="5" width="16.625" customWidth="1"/>
    <col min="6" max="6" width="3.5" customWidth="1"/>
    <col min="16" max="16" width="16.625" bestFit="1" customWidth="1"/>
    <col min="17" max="17" width="2.5" customWidth="1"/>
  </cols>
  <sheetData>
    <row r="1" spans="1:21" s="1" customFormat="1" x14ac:dyDescent="0.3">
      <c r="B1" s="45" t="s">
        <v>315</v>
      </c>
      <c r="C1" s="46"/>
      <c r="D1" s="46"/>
      <c r="E1" s="46"/>
      <c r="F1" s="46"/>
    </row>
    <row r="2" spans="1:21" s="1" customFormat="1" x14ac:dyDescent="0.3">
      <c r="B2" s="46"/>
      <c r="C2" s="46"/>
      <c r="D2" s="46"/>
      <c r="E2" s="46"/>
      <c r="F2" s="46"/>
    </row>
    <row r="3" spans="1:21" s="1" customFormat="1" x14ac:dyDescent="0.3">
      <c r="B3" s="46"/>
      <c r="C3" s="46"/>
      <c r="D3" s="46"/>
      <c r="E3" s="46"/>
      <c r="F3" s="46"/>
    </row>
    <row r="5" spans="1:21" x14ac:dyDescent="0.3">
      <c r="B5" s="2" t="s">
        <v>108</v>
      </c>
      <c r="G5" s="2" t="s">
        <v>230</v>
      </c>
      <c r="H5" s="2"/>
      <c r="R5" s="2" t="s">
        <v>115</v>
      </c>
    </row>
    <row r="6" spans="1:21" x14ac:dyDescent="0.3">
      <c r="B6" t="s">
        <v>54</v>
      </c>
      <c r="C6" t="s">
        <v>149</v>
      </c>
      <c r="D6" t="s">
        <v>61</v>
      </c>
      <c r="E6" t="s">
        <v>356</v>
      </c>
      <c r="G6" t="s">
        <v>44</v>
      </c>
      <c r="H6" t="s">
        <v>83</v>
      </c>
      <c r="I6" t="s">
        <v>84</v>
      </c>
      <c r="J6" t="s">
        <v>117</v>
      </c>
      <c r="K6" t="s">
        <v>116</v>
      </c>
      <c r="L6" t="s">
        <v>112</v>
      </c>
      <c r="M6" t="s">
        <v>114</v>
      </c>
      <c r="N6" t="s">
        <v>319</v>
      </c>
      <c r="O6" t="s">
        <v>354</v>
      </c>
      <c r="P6" t="s">
        <v>317</v>
      </c>
      <c r="R6" t="s">
        <v>107</v>
      </c>
      <c r="S6" s="19" t="s">
        <v>517</v>
      </c>
    </row>
    <row r="7" spans="1:21" x14ac:dyDescent="0.3">
      <c r="A7" s="14"/>
      <c r="B7" s="12" t="s">
        <v>199</v>
      </c>
      <c r="C7" s="14" t="s">
        <v>33</v>
      </c>
      <c r="D7" t="s">
        <v>141</v>
      </c>
      <c r="E7">
        <v>0</v>
      </c>
      <c r="G7">
        <v>1</v>
      </c>
      <c r="H7">
        <f>밸런스시트[[#This Row],[획득 골드]]/INDEX(아이템가격[Normal],MATCH("Gold",아이템가격[재화],0))</f>
        <v>3.05</v>
      </c>
      <c r="I7">
        <f>밸런스시트[[#This Row],[획득 골드]]/INDEX(아이템가격[Rare],MATCH("Gold",아이템가격[재화],0))+1</f>
        <v>2.83</v>
      </c>
      <c r="J7">
        <f>IF(밸런스시트[[#This Row],[층]]=1,1,0)</f>
        <v>1</v>
      </c>
      <c r="K7" cm="1">
        <f t="array" ref="K7">밸런스시트[[#This Row],[방 개수]]*표10[방 평균 골드]</f>
        <v>91.5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>
        <f t="array" ref="O7">CharacterAtkTable['#던진공 차징1 튕겨내기 DPS]</f>
        <v>120.83333333333334</v>
      </c>
      <c r="P7">
        <f>(밸런스시트[[#This Row],[레벨당 평균 적]]*밸런스시트[[#This Row],[방 개수]]*밸런스시트[[#This Row],[적 체력]])/밸런스시트[[#This Row],[PC 최대 DPS]]</f>
        <v>41.37931034482758</v>
      </c>
      <c r="R7">
        <f>1/15</f>
        <v>6.6666666666666666E-2</v>
      </c>
      <c r="S7">
        <f>표11[[#Totals],[평균 골드]]</f>
        <v>9.15</v>
      </c>
    </row>
    <row r="8" spans="1:21" x14ac:dyDescent="0.3">
      <c r="A8" s="12"/>
      <c r="B8" s="12" t="s">
        <v>2</v>
      </c>
      <c r="C8" s="12" t="s">
        <v>254</v>
      </c>
      <c r="D8" t="s">
        <v>152</v>
      </c>
      <c r="E8">
        <f>50/1</f>
        <v>50</v>
      </c>
      <c r="G8">
        <v>2</v>
      </c>
      <c r="H8">
        <f>밸런스시트[[#This Row],[획득 골드]]/INDEX(아이템가격[Normal],MATCH("Gold",아이템가격[재화],0))</f>
        <v>3.6600000000000006</v>
      </c>
      <c r="I8">
        <f>밸런스시트[[#This Row],[획득 골드]]/INDEX(아이템가격[Rare],MATCH("Gold",아이템가격[재화],0))+1</f>
        <v>3.1960000000000002</v>
      </c>
      <c r="J8">
        <f>IF(밸런스시트[[#This Row],[층]]=1,1,0)</f>
        <v>0</v>
      </c>
      <c r="K8" cm="1">
        <f t="array" ref="K8">밸런스시트[[#This Row],[방 개수]]*표10[방 평균 골드]</f>
        <v>109.80000000000001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>
        <f t="array" ref="O8">CharacterAtkTable['#던진공 차징1 튕겨내기 DPS]</f>
        <v>120.83333333333334</v>
      </c>
      <c r="P8">
        <f>(밸런스시트[[#This Row],[레벨당 평균 적]]*밸런스시트[[#This Row],[방 개수]]*밸런스시트[[#This Row],[적 체력]])/밸런스시트[[#This Row],[PC 최대 DPS]]</f>
        <v>59.586206896551722</v>
      </c>
    </row>
    <row r="9" spans="1:21" x14ac:dyDescent="0.3">
      <c r="A9" s="12"/>
      <c r="B9" s="12" t="s">
        <v>58</v>
      </c>
      <c r="C9" s="12" t="s">
        <v>254</v>
      </c>
      <c r="D9" t="s">
        <v>154</v>
      </c>
      <c r="E9">
        <f>30/25</f>
        <v>1.2</v>
      </c>
      <c r="G9">
        <v>3</v>
      </c>
      <c r="H9">
        <f>밸런스시트[[#This Row],[획득 골드]]/INDEX(아이템가격[Normal],MATCH("Gold",아이템가격[재화],0))</f>
        <v>4.2699999999999996</v>
      </c>
      <c r="I9">
        <f>밸런스시트[[#This Row],[획득 골드]]/INDEX(아이템가격[Rare],MATCH("Gold",아이템가격[재화],0))+1</f>
        <v>3.5619999999999998</v>
      </c>
      <c r="J9">
        <f>IF(밸런스시트[[#This Row],[층]]=1,1,0)</f>
        <v>0</v>
      </c>
      <c r="K9" cm="1">
        <f t="array" ref="K9">밸런스시트[[#This Row],[방 개수]]*표10[방 평균 골드]</f>
        <v>128.1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>
        <f t="array" ref="O9">CharacterAtkTable['#던진공 차징1 튕겨내기 DPS]</f>
        <v>120.83333333333334</v>
      </c>
      <c r="P9">
        <f>(밸런스시트[[#This Row],[레벨당 평균 적]]*밸런스시트[[#This Row],[방 개수]]*밸런스시트[[#This Row],[적 체력]])/밸런스시트[[#This Row],[PC 최대 DPS]]</f>
        <v>81.103448275862064</v>
      </c>
      <c r="R9" s="2" t="s">
        <v>285</v>
      </c>
      <c r="S9" s="2"/>
      <c r="T9" s="2"/>
    </row>
    <row r="10" spans="1:21" x14ac:dyDescent="0.3">
      <c r="A10" s="12"/>
      <c r="B10" s="12" t="s">
        <v>209</v>
      </c>
      <c r="C10" s="12" t="s">
        <v>254</v>
      </c>
      <c r="D10" t="s">
        <v>351</v>
      </c>
      <c r="E10">
        <f>50/3</f>
        <v>16.666666666666668</v>
      </c>
      <c r="G10">
        <v>4</v>
      </c>
      <c r="H10">
        <f>밸런스시트[[#This Row],[획득 골드]]/INDEX(아이템가격[Normal],MATCH("Gold",아이템가격[재화],0))</f>
        <v>4.88</v>
      </c>
      <c r="I10">
        <f>밸런스시트[[#This Row],[획득 골드]]/INDEX(아이템가격[Rare],MATCH("Gold",아이템가격[재화],0))+1</f>
        <v>3.9279999999999999</v>
      </c>
      <c r="J10">
        <f>IF(밸런스시트[[#This Row],[층]]=1,1,0)</f>
        <v>0</v>
      </c>
      <c r="K10" cm="1">
        <f t="array" ref="K10">밸런스시트[[#This Row],[방 개수]]*표10[방 평균 골드]</f>
        <v>146.4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>
        <f t="array" ref="O10">CharacterAtkTable['#던진공 차징1 튕겨내기 DPS]</f>
        <v>120.83333333333334</v>
      </c>
      <c r="P10">
        <f>(밸런스시트[[#This Row],[레벨당 평균 적]]*밸런스시트[[#This Row],[방 개수]]*밸런스시트[[#This Row],[적 체력]])/밸런스시트[[#This Row],[PC 최대 DPS]]</f>
        <v>105.93103448275862</v>
      </c>
      <c r="R10" t="s">
        <v>83</v>
      </c>
      <c r="S10" t="s">
        <v>84</v>
      </c>
      <c r="T10" t="s">
        <v>93</v>
      </c>
      <c r="U10" t="s">
        <v>86</v>
      </c>
    </row>
    <row r="11" spans="1:21" x14ac:dyDescent="0.3">
      <c r="A11" s="12"/>
      <c r="B11" s="12" t="s">
        <v>302</v>
      </c>
      <c r="C11" s="12" t="s">
        <v>254</v>
      </c>
      <c r="D11" t="s">
        <v>147</v>
      </c>
      <c r="E11">
        <v>100</v>
      </c>
      <c r="G11">
        <v>5</v>
      </c>
      <c r="H11">
        <f>밸런스시트[[#This Row],[획득 골드]]/INDEX(아이템가격[Normal],MATCH("Gold",아이템가격[재화],0))</f>
        <v>5.49</v>
      </c>
      <c r="I11">
        <f>밸런스시트[[#This Row],[획득 골드]]/INDEX(아이템가격[Rare],MATCH("Gold",아이템가격[재화],0))+1</f>
        <v>4.2940000000000005</v>
      </c>
      <c r="J11">
        <f>IF(밸런스시트[[#This Row],[층]]=1,1,0)</f>
        <v>0</v>
      </c>
      <c r="K11" cm="1">
        <f t="array" ref="K11">밸런스시트[[#This Row],[방 개수]]*표10[방 평균 골드]</f>
        <v>164.70000000000002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>
        <f t="array" ref="O11">CharacterAtkTable['#던진공 차징1 튕겨내기 DPS]</f>
        <v>120.83333333333334</v>
      </c>
      <c r="P11">
        <f>(밸런스시트[[#This Row],[레벨당 평균 적]]*밸런스시트[[#This Row],[방 개수]]*밸런스시트[[#This Row],[적 체력]])/밸런스시트[[#This Row],[PC 최대 DPS]]</f>
        <v>134.06896551724137</v>
      </c>
      <c r="R11">
        <v>30</v>
      </c>
      <c r="S11">
        <v>50</v>
      </c>
      <c r="T11">
        <v>50</v>
      </c>
      <c r="U11">
        <v>30</v>
      </c>
    </row>
    <row r="12" spans="1:21" x14ac:dyDescent="0.3">
      <c r="A12" s="12"/>
      <c r="B12" s="12" t="s">
        <v>183</v>
      </c>
      <c r="C12" s="12" t="s">
        <v>239</v>
      </c>
      <c r="D12" t="s">
        <v>153</v>
      </c>
      <c r="E12">
        <f>20/0.2</f>
        <v>100</v>
      </c>
      <c r="G12">
        <v>6</v>
      </c>
      <c r="H12">
        <f>밸런스시트[[#This Row],[획득 골드]]/INDEX(아이템가격[Normal],MATCH("Gold",아이템가격[재화],0))</f>
        <v>6.1</v>
      </c>
      <c r="I12">
        <f>밸런스시트[[#This Row],[획득 골드]]/INDEX(아이템가격[Rare],MATCH("Gold",아이템가격[재화],0))+1</f>
        <v>4.66</v>
      </c>
      <c r="J12">
        <f>IF(밸런스시트[[#This Row],[층]]=1,1,0)</f>
        <v>0</v>
      </c>
      <c r="K12" cm="1">
        <f t="array" ref="K12">밸런스시트[[#This Row],[방 개수]]*표10[방 평균 골드]</f>
        <v>183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>
        <f t="array" ref="O12">CharacterAtkTable['#던진공 차징1 튕겨내기 DPS]</f>
        <v>120.83333333333334</v>
      </c>
      <c r="P12">
        <f>(밸런스시트[[#This Row],[레벨당 평균 적]]*밸런스시트[[#This Row],[방 개수]]*밸런스시트[[#This Row],[적 체력]])/밸런스시트[[#This Row],[PC 최대 DPS]]</f>
        <v>165.51724137931032</v>
      </c>
    </row>
    <row r="13" spans="1:21" x14ac:dyDescent="0.3">
      <c r="A13" s="12"/>
      <c r="B13" s="12" t="s">
        <v>341</v>
      </c>
      <c r="C13" s="12" t="s">
        <v>22</v>
      </c>
      <c r="D13" t="s">
        <v>32</v>
      </c>
      <c r="E13">
        <f>30/0.46</f>
        <v>65.217391304347828</v>
      </c>
      <c r="R13" s="2" t="s">
        <v>111</v>
      </c>
    </row>
    <row r="14" spans="1:21" x14ac:dyDescent="0.3">
      <c r="A14" s="12"/>
      <c r="B14" s="12" t="s">
        <v>17</v>
      </c>
      <c r="C14" s="12" t="s">
        <v>22</v>
      </c>
      <c r="D14" t="s">
        <v>34</v>
      </c>
      <c r="E14">
        <f>50/360</f>
        <v>0.1388888888888889</v>
      </c>
      <c r="R14" t="s">
        <v>113</v>
      </c>
      <c r="S14" t="s">
        <v>313</v>
      </c>
    </row>
    <row r="15" spans="1:21" x14ac:dyDescent="0.3">
      <c r="A15" s="12"/>
      <c r="B15" s="12" t="s">
        <v>233</v>
      </c>
      <c r="C15" s="12" t="s">
        <v>22</v>
      </c>
      <c r="D15" t="s">
        <v>247</v>
      </c>
      <c r="E15">
        <f>30/-0.45</f>
        <v>-66.666666666666671</v>
      </c>
      <c r="R15">
        <v>100</v>
      </c>
      <c r="S15">
        <v>0.2</v>
      </c>
    </row>
    <row r="16" spans="1:21" x14ac:dyDescent="0.3">
      <c r="A16" s="12"/>
      <c r="B16" s="12" t="s">
        <v>201</v>
      </c>
      <c r="C16" s="12" t="s">
        <v>22</v>
      </c>
      <c r="D16" t="s">
        <v>259</v>
      </c>
      <c r="E16" s="11">
        <v>40</v>
      </c>
    </row>
    <row r="17" spans="1:5" x14ac:dyDescent="0.3">
      <c r="A17" s="12"/>
      <c r="B17" s="12" t="s">
        <v>342</v>
      </c>
      <c r="C17" s="12" t="s">
        <v>22</v>
      </c>
      <c r="D17" t="s">
        <v>142</v>
      </c>
      <c r="E17">
        <f>50/0.3</f>
        <v>166.66666666666669</v>
      </c>
    </row>
    <row r="18" spans="1:5" x14ac:dyDescent="0.3">
      <c r="A18" s="12"/>
      <c r="B18" s="12" t="s">
        <v>364</v>
      </c>
      <c r="C18" s="12" t="s">
        <v>22</v>
      </c>
      <c r="D18" t="s">
        <v>353</v>
      </c>
      <c r="E18" s="13">
        <f>30/-0.2</f>
        <v>-150</v>
      </c>
    </row>
    <row r="19" spans="1:5" x14ac:dyDescent="0.3">
      <c r="A19" s="12"/>
      <c r="B19" s="12" t="s">
        <v>223</v>
      </c>
      <c r="C19" s="12" t="s">
        <v>22</v>
      </c>
      <c r="D19" t="s">
        <v>246</v>
      </c>
      <c r="E19">
        <f>50/100</f>
        <v>0.5</v>
      </c>
    </row>
    <row r="20" spans="1:5" x14ac:dyDescent="0.3">
      <c r="A20" s="12"/>
      <c r="B20" s="12" t="s">
        <v>256</v>
      </c>
      <c r="C20" s="12" t="s">
        <v>22</v>
      </c>
      <c r="D20" t="s">
        <v>249</v>
      </c>
      <c r="E20">
        <f>50/100</f>
        <v>0.5</v>
      </c>
    </row>
    <row r="21" spans="1:5" x14ac:dyDescent="0.3">
      <c r="A21" s="12"/>
      <c r="B21" s="12" t="s">
        <v>24</v>
      </c>
      <c r="C21" s="12" t="s">
        <v>22</v>
      </c>
      <c r="D21" t="s">
        <v>274</v>
      </c>
      <c r="E21">
        <f>30/1/2</f>
        <v>15</v>
      </c>
    </row>
    <row r="22" spans="1:5" x14ac:dyDescent="0.3">
      <c r="A22" s="12"/>
      <c r="B22" s="12" t="s">
        <v>30</v>
      </c>
      <c r="C22" s="12" t="s">
        <v>22</v>
      </c>
      <c r="D22" t="s">
        <v>266</v>
      </c>
      <c r="E22">
        <f>30/1/2</f>
        <v>15</v>
      </c>
    </row>
    <row r="23" spans="1:5" x14ac:dyDescent="0.3">
      <c r="A23" s="12"/>
      <c r="B23" s="12" t="s">
        <v>237</v>
      </c>
      <c r="C23" s="12" t="s">
        <v>22</v>
      </c>
      <c r="D23" t="s">
        <v>349</v>
      </c>
      <c r="E23">
        <f>50/25</f>
        <v>2</v>
      </c>
    </row>
    <row r="24" spans="1:5" x14ac:dyDescent="0.3">
      <c r="A24" s="12"/>
      <c r="B24" s="12" t="s">
        <v>245</v>
      </c>
      <c r="C24" s="12" t="s">
        <v>22</v>
      </c>
      <c r="D24" t="s">
        <v>350</v>
      </c>
      <c r="E24">
        <f>50/25</f>
        <v>2</v>
      </c>
    </row>
    <row r="25" spans="1:5" x14ac:dyDescent="0.3">
      <c r="A25" s="12"/>
      <c r="B25" s="12" t="s">
        <v>265</v>
      </c>
      <c r="C25" s="12" t="s">
        <v>22</v>
      </c>
      <c r="D25" t="s">
        <v>369</v>
      </c>
      <c r="E25">
        <v>2</v>
      </c>
    </row>
    <row r="26" spans="1:5" x14ac:dyDescent="0.3">
      <c r="A26" s="12"/>
      <c r="B26" s="12" t="s">
        <v>288</v>
      </c>
      <c r="C26" s="12" t="s">
        <v>22</v>
      </c>
      <c r="D26" t="s">
        <v>370</v>
      </c>
      <c r="E26">
        <v>2</v>
      </c>
    </row>
    <row r="27" spans="1:5" x14ac:dyDescent="0.3">
      <c r="A27" s="12"/>
      <c r="B27" s="12" t="s">
        <v>207</v>
      </c>
      <c r="C27" s="12" t="s">
        <v>60</v>
      </c>
      <c r="D27" s="12" t="s">
        <v>25</v>
      </c>
      <c r="E27">
        <v>-50</v>
      </c>
    </row>
    <row r="28" spans="1:5" x14ac:dyDescent="0.3">
      <c r="A28" s="12"/>
      <c r="B28" s="12" t="s">
        <v>150</v>
      </c>
      <c r="C28" s="12" t="s">
        <v>60</v>
      </c>
      <c r="D28" s="12" t="s">
        <v>23</v>
      </c>
      <c r="E28">
        <v>-30</v>
      </c>
    </row>
    <row r="29" spans="1:5" x14ac:dyDescent="0.3">
      <c r="A29" s="12"/>
      <c r="B29" s="12" t="s">
        <v>303</v>
      </c>
      <c r="C29" s="12" t="s">
        <v>60</v>
      </c>
      <c r="D29" s="12" t="s">
        <v>21</v>
      </c>
      <c r="E29">
        <v>50</v>
      </c>
    </row>
    <row r="30" spans="1:5" x14ac:dyDescent="0.3">
      <c r="A30" s="12"/>
      <c r="B30" s="12" t="s">
        <v>52</v>
      </c>
      <c r="C30" s="12" t="s">
        <v>60</v>
      </c>
      <c r="D30" s="12" t="s">
        <v>404</v>
      </c>
      <c r="E30">
        <v>50</v>
      </c>
    </row>
    <row r="31" spans="1:5" x14ac:dyDescent="0.3">
      <c r="A31" s="12"/>
      <c r="B31" s="12" t="s">
        <v>299</v>
      </c>
      <c r="C31" s="12" t="s">
        <v>60</v>
      </c>
      <c r="D31" s="12" t="s">
        <v>194</v>
      </c>
      <c r="E31">
        <v>50</v>
      </c>
    </row>
    <row r="32" spans="1:5" x14ac:dyDescent="0.3">
      <c r="A32" s="12"/>
      <c r="B32" s="12" t="s">
        <v>206</v>
      </c>
      <c r="C32" s="12" t="s">
        <v>60</v>
      </c>
      <c r="D32" s="12" t="s">
        <v>240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defaultColWidth="8.875" defaultRowHeight="16.5" x14ac:dyDescent="0.3"/>
  <cols>
    <col min="1" max="1" width="8.625" bestFit="1" customWidth="1"/>
    <col min="2" max="2" width="30.125" bestFit="1" customWidth="1"/>
    <col min="4" max="4" width="73.625" customWidth="1"/>
  </cols>
  <sheetData>
    <row r="1" spans="1:4" x14ac:dyDescent="0.3">
      <c r="A1" t="s">
        <v>102</v>
      </c>
      <c r="B1" t="s">
        <v>51</v>
      </c>
      <c r="C1" t="s">
        <v>103</v>
      </c>
      <c r="D1" t="s">
        <v>51</v>
      </c>
    </row>
    <row r="2" spans="1:4" x14ac:dyDescent="0.3">
      <c r="A2" t="s">
        <v>78</v>
      </c>
      <c r="B2" s="6" t="s">
        <v>118</v>
      </c>
      <c r="C2" t="s">
        <v>74</v>
      </c>
      <c r="D2" s="6" t="s">
        <v>45</v>
      </c>
    </row>
    <row r="3" spans="1:4" x14ac:dyDescent="0.3">
      <c r="A3">
        <v>1</v>
      </c>
      <c r="B3" s="4" t="s">
        <v>196</v>
      </c>
      <c r="C3">
        <v>5</v>
      </c>
      <c r="D3" s="4" t="s">
        <v>220</v>
      </c>
    </row>
    <row r="4" spans="1:4" x14ac:dyDescent="0.3">
      <c r="A4">
        <v>2</v>
      </c>
      <c r="B4" s="4" t="s">
        <v>263</v>
      </c>
      <c r="C4">
        <v>5</v>
      </c>
      <c r="D4" s="4" t="s">
        <v>195</v>
      </c>
    </row>
    <row r="5" spans="1:4" x14ac:dyDescent="0.3">
      <c r="A5">
        <v>3</v>
      </c>
      <c r="B5" s="4" t="s">
        <v>289</v>
      </c>
      <c r="C5">
        <v>20</v>
      </c>
      <c r="D5" s="4" t="s">
        <v>8</v>
      </c>
    </row>
    <row r="6" spans="1:4" x14ac:dyDescent="0.3">
      <c r="A6">
        <v>4</v>
      </c>
      <c r="B6" s="4" t="s">
        <v>291</v>
      </c>
      <c r="C6">
        <v>0.5</v>
      </c>
      <c r="D6" s="4" t="s">
        <v>211</v>
      </c>
    </row>
    <row r="7" spans="1:4" x14ac:dyDescent="0.3">
      <c r="A7">
        <v>5</v>
      </c>
      <c r="B7" s="4" t="s">
        <v>345</v>
      </c>
      <c r="C7">
        <v>50</v>
      </c>
      <c r="D7" s="4" t="s">
        <v>402</v>
      </c>
    </row>
    <row r="8" spans="1:4" x14ac:dyDescent="0.3">
      <c r="A8">
        <v>6</v>
      </c>
      <c r="B8" s="4" t="s">
        <v>348</v>
      </c>
      <c r="C8">
        <v>1</v>
      </c>
      <c r="D8" s="4" t="s">
        <v>184</v>
      </c>
    </row>
    <row r="9" spans="1:4" x14ac:dyDescent="0.3">
      <c r="A9">
        <v>7</v>
      </c>
      <c r="B9" s="4" t="s">
        <v>399</v>
      </c>
      <c r="C9">
        <v>10</v>
      </c>
      <c r="D9" s="4" t="s">
        <v>396</v>
      </c>
    </row>
    <row r="10" spans="1:4" x14ac:dyDescent="0.3">
      <c r="A10">
        <v>8</v>
      </c>
      <c r="B10" s="4" t="s">
        <v>27</v>
      </c>
      <c r="C10">
        <v>5</v>
      </c>
      <c r="D10" s="4" t="s">
        <v>180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3"/>
  <sheetViews>
    <sheetView zoomScaleNormal="75" zoomScaleSheetLayoutView="100" workbookViewId="0">
      <selection activeCell="G29" sqref="G29"/>
    </sheetView>
  </sheetViews>
  <sheetFormatPr defaultColWidth="8.875" defaultRowHeight="16.5" x14ac:dyDescent="0.3"/>
  <cols>
    <col min="2" max="2" width="8.625" bestFit="1" customWidth="1"/>
    <col min="3" max="3" width="8.625" customWidth="1"/>
    <col min="4" max="4" width="10.125" bestFit="1" customWidth="1"/>
    <col min="5" max="5" width="15.875" bestFit="1" customWidth="1"/>
    <col min="6" max="6" width="17" bestFit="1" customWidth="1"/>
    <col min="7" max="7" width="23.875" bestFit="1" customWidth="1"/>
    <col min="8" max="8" width="22.875" bestFit="1" customWidth="1"/>
    <col min="9" max="9" width="19" bestFit="1" customWidth="1"/>
    <col min="10" max="10" width="23.375" bestFit="1" customWidth="1"/>
    <col min="11" max="12" width="23.375" customWidth="1"/>
    <col min="13" max="13" width="15.125" bestFit="1" customWidth="1"/>
    <col min="14" max="14" width="15.625" bestFit="1" customWidth="1"/>
    <col min="15" max="15" width="11.875" bestFit="1" customWidth="1"/>
    <col min="16" max="16" width="20.125" bestFit="1" customWidth="1"/>
  </cols>
  <sheetData>
    <row r="1" spans="2:16" x14ac:dyDescent="0.3">
      <c r="B1" t="s">
        <v>48</v>
      </c>
      <c r="C1" t="s">
        <v>51</v>
      </c>
      <c r="D1" t="s">
        <v>48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  <c r="J1" t="s">
        <v>103</v>
      </c>
      <c r="K1" t="s">
        <v>165</v>
      </c>
      <c r="L1" t="s">
        <v>165</v>
      </c>
      <c r="M1" t="s">
        <v>48</v>
      </c>
      <c r="N1" t="s">
        <v>48</v>
      </c>
      <c r="O1" t="s">
        <v>48</v>
      </c>
      <c r="P1" t="s">
        <v>48</v>
      </c>
    </row>
    <row r="2" spans="2:16" x14ac:dyDescent="0.3">
      <c r="B2" t="s">
        <v>78</v>
      </c>
      <c r="C2" s="6" t="s">
        <v>45</v>
      </c>
      <c r="D2" t="s">
        <v>162</v>
      </c>
      <c r="E2" t="s">
        <v>311</v>
      </c>
      <c r="F2" t="s">
        <v>2</v>
      </c>
      <c r="G2" t="s">
        <v>29</v>
      </c>
      <c r="H2" t="s">
        <v>14</v>
      </c>
      <c r="I2" t="s">
        <v>212</v>
      </c>
      <c r="J2" t="s">
        <v>12</v>
      </c>
      <c r="K2" t="s">
        <v>28</v>
      </c>
      <c r="L2" t="s">
        <v>243</v>
      </c>
      <c r="M2" t="s">
        <v>307</v>
      </c>
      <c r="N2" t="s">
        <v>209</v>
      </c>
      <c r="O2" t="s">
        <v>302</v>
      </c>
      <c r="P2" t="s">
        <v>18</v>
      </c>
    </row>
    <row r="3" spans="2:16" x14ac:dyDescent="0.3">
      <c r="B3">
        <v>100</v>
      </c>
      <c r="C3" s="4" t="s">
        <v>40</v>
      </c>
      <c r="D3">
        <v>75</v>
      </c>
      <c r="E3">
        <v>5</v>
      </c>
      <c r="F3">
        <v>6</v>
      </c>
      <c r="G3">
        <v>5</v>
      </c>
      <c r="H3">
        <v>1.5</v>
      </c>
      <c r="I3">
        <v>1.7</v>
      </c>
      <c r="J3">
        <v>0.3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G3"/>
  <sheetViews>
    <sheetView zoomScaleNormal="75" zoomScaleSheetLayoutView="100" workbookViewId="0">
      <selection activeCell="E28" sqref="E28"/>
    </sheetView>
  </sheetViews>
  <sheetFormatPr defaultColWidth="8.875" defaultRowHeight="16.5" x14ac:dyDescent="0.3"/>
  <cols>
    <col min="2" max="2" width="8.625" bestFit="1" customWidth="1"/>
    <col min="3" max="3" width="16" bestFit="1" customWidth="1"/>
    <col min="4" max="4" width="18.875" bestFit="1" customWidth="1"/>
    <col min="5" max="5" width="19.625" bestFit="1" customWidth="1"/>
    <col min="6" max="6" width="12.625" bestFit="1" customWidth="1"/>
    <col min="7" max="7" width="22.125" bestFit="1" customWidth="1"/>
    <col min="8" max="8" width="18.5" bestFit="1" customWidth="1"/>
    <col min="9" max="9" width="19.125" bestFit="1" customWidth="1"/>
    <col min="10" max="10" width="12.375" bestFit="1" customWidth="1"/>
    <col min="11" max="11" width="21.375" bestFit="1" customWidth="1"/>
    <col min="12" max="12" width="16.875" bestFit="1" customWidth="1"/>
    <col min="13" max="13" width="19" bestFit="1" customWidth="1"/>
    <col min="14" max="15" width="20.125" bestFit="1" customWidth="1"/>
    <col min="16" max="17" width="25.125" bestFit="1" customWidth="1"/>
    <col min="18" max="18" width="25.125" customWidth="1"/>
    <col min="19" max="20" width="20.625" bestFit="1" customWidth="1"/>
    <col min="21" max="22" width="24.625" bestFit="1" customWidth="1"/>
    <col min="23" max="24" width="24.625" customWidth="1"/>
    <col min="25" max="25" width="14.125" bestFit="1" customWidth="1"/>
    <col min="26" max="26" width="28.875" bestFit="1" customWidth="1"/>
    <col min="27" max="27" width="17" customWidth="1"/>
    <col min="28" max="28" width="26.625" bestFit="1" customWidth="1"/>
    <col min="29" max="29" width="25" bestFit="1" customWidth="1"/>
    <col min="30" max="31" width="26.125" bestFit="1" customWidth="1"/>
    <col min="32" max="32" width="26" bestFit="1" customWidth="1"/>
    <col min="33" max="33" width="27.125" bestFit="1" customWidth="1"/>
  </cols>
  <sheetData>
    <row r="1" spans="2:33" x14ac:dyDescent="0.3">
      <c r="B1" t="s">
        <v>48</v>
      </c>
      <c r="C1" t="s">
        <v>51</v>
      </c>
      <c r="D1" t="s">
        <v>103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  <c r="J1" t="s">
        <v>103</v>
      </c>
      <c r="K1" t="s">
        <v>48</v>
      </c>
      <c r="L1" t="s">
        <v>103</v>
      </c>
      <c r="M1" t="s">
        <v>48</v>
      </c>
      <c r="N1" t="s">
        <v>48</v>
      </c>
      <c r="O1" t="s">
        <v>48</v>
      </c>
      <c r="P1" t="s">
        <v>48</v>
      </c>
      <c r="Q1" t="s">
        <v>48</v>
      </c>
      <c r="R1" t="s">
        <v>48</v>
      </c>
      <c r="S1" t="s">
        <v>48</v>
      </c>
      <c r="T1" t="s">
        <v>48</v>
      </c>
      <c r="U1" t="s">
        <v>48</v>
      </c>
      <c r="V1" t="s">
        <v>48</v>
      </c>
      <c r="W1" t="s">
        <v>48</v>
      </c>
      <c r="X1" t="s">
        <v>48</v>
      </c>
      <c r="Y1" t="s">
        <v>48</v>
      </c>
      <c r="AF1" s="11" t="s">
        <v>181</v>
      </c>
    </row>
    <row r="2" spans="2:33" x14ac:dyDescent="0.3">
      <c r="B2" t="s">
        <v>78</v>
      </c>
      <c r="C2" s="6" t="s">
        <v>45</v>
      </c>
      <c r="D2" s="8" t="s">
        <v>217</v>
      </c>
      <c r="E2" s="7" t="s">
        <v>224</v>
      </c>
      <c r="F2" s="7" t="s">
        <v>344</v>
      </c>
      <c r="G2" s="8" t="s">
        <v>20</v>
      </c>
      <c r="H2" s="9" t="s">
        <v>233</v>
      </c>
      <c r="I2" s="9" t="s">
        <v>236</v>
      </c>
      <c r="J2" s="9" t="s">
        <v>341</v>
      </c>
      <c r="K2" s="9" t="s">
        <v>17</v>
      </c>
      <c r="L2" s="9" t="s">
        <v>364</v>
      </c>
      <c r="M2" s="9" t="s">
        <v>201</v>
      </c>
      <c r="N2" s="9" t="s">
        <v>223</v>
      </c>
      <c r="O2" s="9" t="s">
        <v>256</v>
      </c>
      <c r="P2" s="9" t="s">
        <v>24</v>
      </c>
      <c r="Q2" s="9" t="s">
        <v>30</v>
      </c>
      <c r="R2" s="9" t="s">
        <v>31</v>
      </c>
      <c r="S2" s="10" t="s">
        <v>237</v>
      </c>
      <c r="T2" s="10" t="s">
        <v>245</v>
      </c>
      <c r="U2" s="10" t="s">
        <v>265</v>
      </c>
      <c r="V2" s="10" t="s">
        <v>288</v>
      </c>
      <c r="W2" s="10" t="s">
        <v>548</v>
      </c>
      <c r="X2" s="41" t="s">
        <v>549</v>
      </c>
      <c r="Y2" s="1" t="s">
        <v>342</v>
      </c>
      <c r="Z2" s="1" t="s">
        <v>406</v>
      </c>
      <c r="AA2" s="6" t="s">
        <v>357</v>
      </c>
      <c r="AB2" s="6" t="s">
        <v>238</v>
      </c>
      <c r="AC2" s="6" t="s">
        <v>262</v>
      </c>
      <c r="AD2" s="6" t="s">
        <v>241</v>
      </c>
      <c r="AE2" s="6" t="s">
        <v>261</v>
      </c>
      <c r="AF2" s="6" t="s">
        <v>253</v>
      </c>
      <c r="AG2" s="6" t="s">
        <v>26</v>
      </c>
    </row>
    <row r="3" spans="2:33" x14ac:dyDescent="0.3">
      <c r="B3">
        <v>200</v>
      </c>
      <c r="C3" s="4" t="s">
        <v>318</v>
      </c>
      <c r="D3">
        <v>1</v>
      </c>
      <c r="E3">
        <v>1.2</v>
      </c>
      <c r="F3">
        <v>3</v>
      </c>
      <c r="G3">
        <v>2</v>
      </c>
      <c r="H3">
        <v>1</v>
      </c>
      <c r="I3">
        <v>0.5</v>
      </c>
      <c r="J3">
        <v>2.5</v>
      </c>
      <c r="K3">
        <v>120</v>
      </c>
      <c r="L3">
        <v>0.8</v>
      </c>
      <c r="M3">
        <v>0</v>
      </c>
      <c r="N3">
        <v>20</v>
      </c>
      <c r="O3">
        <v>25</v>
      </c>
      <c r="P3">
        <v>1</v>
      </c>
      <c r="Q3">
        <v>3</v>
      </c>
      <c r="R3">
        <v>0</v>
      </c>
      <c r="S3">
        <v>20</v>
      </c>
      <c r="T3">
        <v>40</v>
      </c>
      <c r="U3">
        <v>80</v>
      </c>
      <c r="V3">
        <v>120</v>
      </c>
      <c r="W3">
        <v>30</v>
      </c>
      <c r="X3">
        <v>60</v>
      </c>
      <c r="Y3">
        <v>1</v>
      </c>
      <c r="Z3">
        <v>8</v>
      </c>
      <c r="AA3">
        <f>INDEX(ProjectileTable[DirectDmg],MATCH(CharacterTable[[#This Row],[DefaultBallDataId]],ProjectileTable[Index],0))/(CharacterAtkTable[[#This Row],[ThrowCooldown]]*(1+(CharacterAtkTable[[#This Row],[ThrowBounceCount]]/2)))</f>
        <v>12.5</v>
      </c>
      <c r="AB3">
        <f>CharacterAtkTable[[#This Row],[ChargeRigidDmg1]]/CharacterAtkTable[[#This Row],[SwingCooldown]]</f>
        <v>20</v>
      </c>
      <c r="AC3">
        <f>CharacterAtkTable[[#This Row],[ChargeRigidDmg2]]/(CharacterAtkTable[[#This Row],[SwingCooldown]]+CharacterAtkTable[[#This Row],[ChargeTime]])</f>
        <v>22.222222222222221</v>
      </c>
      <c r="AD3" t="e">
        <f>#REF!/(CharacterAtkTable[[#This Row],[SwingCooldown]]+#REF!)</f>
        <v>#REF!</v>
      </c>
      <c r="AE3" t="e">
        <f>#REF!/(CharacterAtkTable[[#This Row],[SwingCooldown]]+#REF!)</f>
        <v>#REF!</v>
      </c>
      <c r="AF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Row],[ChargeBounceCount1]]/2))</f>
        <v>106.8</v>
      </c>
      <c r="AG3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Row],[ThrowAfterDelay]])*(1+(CharacterAtkTable[[#This Row],[ChargeBounceCount2]]/2))</f>
        <v>120.83333333333334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G4" sqref="G4"/>
    </sheetView>
  </sheetViews>
  <sheetFormatPr defaultColWidth="8.875" defaultRowHeight="16.5" x14ac:dyDescent="0.3"/>
  <cols>
    <col min="2" max="2" width="8.5" bestFit="1" customWidth="1"/>
    <col min="3" max="3" width="12.875" bestFit="1" customWidth="1"/>
    <col min="4" max="4" width="18.125" bestFit="1" customWidth="1"/>
    <col min="5" max="5" width="16.875" bestFit="1" customWidth="1"/>
    <col min="6" max="6" width="15.125" bestFit="1" customWidth="1"/>
    <col min="7" max="7" width="23.5" bestFit="1" customWidth="1"/>
    <col min="8" max="8" width="14.125" bestFit="1" customWidth="1"/>
    <col min="9" max="9" width="17.375" bestFit="1" customWidth="1"/>
    <col min="10" max="10" width="19" bestFit="1" customWidth="1"/>
    <col min="11" max="11" width="14.125" bestFit="1" customWidth="1"/>
    <col min="12" max="12" width="16.125" bestFit="1" customWidth="1"/>
    <col min="13" max="13" width="17.625" bestFit="1" customWidth="1"/>
    <col min="14" max="14" width="15.625" bestFit="1" customWidth="1"/>
    <col min="15" max="15" width="17.125" bestFit="1" customWidth="1"/>
    <col min="16" max="17" width="17.875" bestFit="1" customWidth="1"/>
    <col min="18" max="18" width="15.625" bestFit="1" customWidth="1"/>
    <col min="19" max="19" width="17.125" bestFit="1" customWidth="1"/>
  </cols>
  <sheetData>
    <row r="1" spans="2:19" x14ac:dyDescent="0.3">
      <c r="B1" t="s">
        <v>48</v>
      </c>
      <c r="C1" t="s">
        <v>51</v>
      </c>
      <c r="D1" t="s">
        <v>48</v>
      </c>
      <c r="E1" t="s">
        <v>103</v>
      </c>
      <c r="F1" t="s">
        <v>103</v>
      </c>
      <c r="G1" t="s">
        <v>103</v>
      </c>
      <c r="H1" t="s">
        <v>48</v>
      </c>
      <c r="I1" t="s">
        <v>48</v>
      </c>
      <c r="J1" t="s">
        <v>48</v>
      </c>
      <c r="K1" t="s">
        <v>48</v>
      </c>
      <c r="L1" t="s">
        <v>48</v>
      </c>
      <c r="M1" t="s">
        <v>48</v>
      </c>
      <c r="N1" t="s">
        <v>51</v>
      </c>
      <c r="O1" t="s">
        <v>51</v>
      </c>
      <c r="P1" t="s">
        <v>51</v>
      </c>
      <c r="Q1" t="s">
        <v>51</v>
      </c>
      <c r="R1" t="s">
        <v>51</v>
      </c>
      <c r="S1" t="s">
        <v>51</v>
      </c>
    </row>
    <row r="2" spans="2:19" x14ac:dyDescent="0.3">
      <c r="B2" t="s">
        <v>78</v>
      </c>
      <c r="C2" s="6" t="s">
        <v>63</v>
      </c>
      <c r="D2" t="s">
        <v>229</v>
      </c>
      <c r="E2" s="35" t="s">
        <v>219</v>
      </c>
      <c r="F2" s="35" t="s">
        <v>312</v>
      </c>
      <c r="G2" t="s">
        <v>15</v>
      </c>
      <c r="H2" t="s">
        <v>330</v>
      </c>
      <c r="I2" t="s">
        <v>227</v>
      </c>
      <c r="J2" t="s">
        <v>225</v>
      </c>
      <c r="K2" t="s">
        <v>316</v>
      </c>
      <c r="L2" t="s">
        <v>221</v>
      </c>
      <c r="M2" t="s">
        <v>228</v>
      </c>
      <c r="N2" s="6" t="s">
        <v>135</v>
      </c>
      <c r="O2" s="6" t="s">
        <v>143</v>
      </c>
      <c r="P2" s="6" t="s">
        <v>144</v>
      </c>
      <c r="Q2" s="6" t="s">
        <v>145</v>
      </c>
      <c r="R2" s="6" t="s">
        <v>146</v>
      </c>
      <c r="S2" s="6" t="s">
        <v>138</v>
      </c>
    </row>
    <row r="3" spans="2:19" x14ac:dyDescent="0.3">
      <c r="B3">
        <v>800</v>
      </c>
      <c r="C3" s="23" t="s">
        <v>522</v>
      </c>
      <c r="D3">
        <v>10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 x14ac:dyDescent="0.3">
      <c r="B4">
        <v>801</v>
      </c>
      <c r="C4" s="23" t="s">
        <v>523</v>
      </c>
      <c r="D4">
        <v>12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 x14ac:dyDescent="0.3">
      <c r="B5">
        <v>802</v>
      </c>
      <c r="C5" s="23" t="s">
        <v>524</v>
      </c>
      <c r="D5">
        <v>14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E3" sqref="E3"/>
    </sheetView>
  </sheetViews>
  <sheetFormatPr defaultColWidth="8.875" defaultRowHeight="16.5" x14ac:dyDescent="0.3"/>
  <cols>
    <col min="3" max="3" width="19.125" customWidth="1"/>
    <col min="4" max="4" width="10.375" bestFit="1" customWidth="1"/>
    <col min="7" max="7" width="10.875" customWidth="1"/>
  </cols>
  <sheetData>
    <row r="1" spans="1:11" x14ac:dyDescent="0.3">
      <c r="B1" t="s">
        <v>48</v>
      </c>
      <c r="C1" t="s">
        <v>51</v>
      </c>
      <c r="D1" t="s">
        <v>103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</row>
    <row r="2" spans="1:11" x14ac:dyDescent="0.3">
      <c r="B2" t="s">
        <v>78</v>
      </c>
      <c r="C2" s="6" t="s">
        <v>43</v>
      </c>
      <c r="D2" t="s">
        <v>83</v>
      </c>
      <c r="E2" t="s">
        <v>84</v>
      </c>
      <c r="F2" t="s">
        <v>93</v>
      </c>
      <c r="G2" t="s">
        <v>86</v>
      </c>
      <c r="H2" t="s">
        <v>50</v>
      </c>
      <c r="I2" t="s">
        <v>96</v>
      </c>
    </row>
    <row r="3" spans="1:11" x14ac:dyDescent="0.3">
      <c r="B3" s="35">
        <v>9001</v>
      </c>
      <c r="C3" s="38" t="s">
        <v>547</v>
      </c>
      <c r="D3" s="35">
        <v>0</v>
      </c>
      <c r="E3" s="35">
        <v>5000</v>
      </c>
      <c r="F3" s="35">
        <v>5000</v>
      </c>
      <c r="G3" s="35">
        <v>0</v>
      </c>
      <c r="H3" s="35">
        <v>0</v>
      </c>
      <c r="I3" s="35">
        <v>0</v>
      </c>
      <c r="K3">
        <f>SUM(DropTable[[#This Row],[Normal]:[Cursed]])</f>
        <v>10000</v>
      </c>
    </row>
    <row r="4" spans="1:11" x14ac:dyDescent="0.3">
      <c r="B4">
        <v>9002</v>
      </c>
      <c r="C4" s="37" t="s">
        <v>546</v>
      </c>
      <c r="D4">
        <v>7500</v>
      </c>
      <c r="E4">
        <v>1250</v>
      </c>
      <c r="F4">
        <v>1250</v>
      </c>
      <c r="G4">
        <v>0</v>
      </c>
      <c r="H4">
        <v>0</v>
      </c>
      <c r="I4">
        <v>0</v>
      </c>
      <c r="K4">
        <f>SUM(DropTable[[#This Row],[Normal]:[Cursed]])</f>
        <v>10000</v>
      </c>
    </row>
    <row r="5" spans="1:11" x14ac:dyDescent="0.3">
      <c r="A5" s="19"/>
      <c r="B5">
        <v>9003</v>
      </c>
      <c r="C5" s="37" t="s">
        <v>543</v>
      </c>
      <c r="D5">
        <v>5000</v>
      </c>
      <c r="E5">
        <v>2500</v>
      </c>
      <c r="F5">
        <v>2500</v>
      </c>
      <c r="G5">
        <v>0</v>
      </c>
      <c r="H5">
        <v>0</v>
      </c>
      <c r="I5">
        <v>0</v>
      </c>
      <c r="K5">
        <f>SUM(DropTable[[#This Row],[Normal]:[Cursed]])</f>
        <v>10000</v>
      </c>
    </row>
    <row r="6" spans="1:11" x14ac:dyDescent="0.3">
      <c r="B6">
        <v>9100</v>
      </c>
      <c r="C6" s="23" t="s">
        <v>544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Row],[Normal]:[Cursed]])</f>
        <v>10000</v>
      </c>
    </row>
    <row r="7" spans="1:11" x14ac:dyDescent="0.3">
      <c r="A7" t="s">
        <v>51</v>
      </c>
      <c r="B7" s="39">
        <v>9101</v>
      </c>
      <c r="C7" s="40" t="s">
        <v>545</v>
      </c>
      <c r="D7" s="39">
        <v>4000</v>
      </c>
      <c r="E7" s="39">
        <v>2000</v>
      </c>
      <c r="F7" s="39">
        <v>2000</v>
      </c>
      <c r="G7" s="39">
        <v>0</v>
      </c>
      <c r="H7" s="39">
        <v>2000</v>
      </c>
      <c r="I7" s="39">
        <v>0</v>
      </c>
    </row>
    <row r="8" spans="1:11" x14ac:dyDescent="0.3">
      <c r="A8" t="s">
        <v>51</v>
      </c>
      <c r="B8" s="39">
        <v>9102</v>
      </c>
      <c r="C8" s="40" t="s">
        <v>322</v>
      </c>
      <c r="D8" s="39">
        <v>4000</v>
      </c>
      <c r="E8" s="39">
        <v>2000</v>
      </c>
      <c r="F8" s="39">
        <v>2000</v>
      </c>
      <c r="G8" s="39">
        <v>0</v>
      </c>
      <c r="H8" s="39">
        <v>0</v>
      </c>
      <c r="I8" s="39">
        <v>2000</v>
      </c>
    </row>
    <row r="9" spans="1:11" x14ac:dyDescent="0.3">
      <c r="A9" t="s">
        <v>51</v>
      </c>
      <c r="B9" s="39">
        <v>9103</v>
      </c>
      <c r="C9" s="40" t="s">
        <v>124</v>
      </c>
      <c r="D9" s="39">
        <v>4000</v>
      </c>
      <c r="E9" s="39">
        <v>2000</v>
      </c>
      <c r="F9" s="39">
        <v>2000</v>
      </c>
      <c r="G9" s="39">
        <v>0</v>
      </c>
      <c r="H9" s="39">
        <v>2000</v>
      </c>
      <c r="I9" s="39">
        <v>0</v>
      </c>
    </row>
    <row r="10" spans="1:11" x14ac:dyDescent="0.3">
      <c r="A10" t="s">
        <v>51</v>
      </c>
      <c r="B10" s="39">
        <v>9104</v>
      </c>
      <c r="C10" s="40" t="s">
        <v>123</v>
      </c>
      <c r="D10" s="39">
        <v>0</v>
      </c>
      <c r="E10" s="39">
        <v>7000</v>
      </c>
      <c r="F10" s="39">
        <v>3000</v>
      </c>
      <c r="G10" s="39">
        <v>0</v>
      </c>
      <c r="H10" s="39">
        <v>0</v>
      </c>
      <c r="I10" s="39">
        <v>0</v>
      </c>
    </row>
    <row r="11" spans="1:11" x14ac:dyDescent="0.3">
      <c r="A11" t="s">
        <v>51</v>
      </c>
      <c r="B11" s="39">
        <v>9105</v>
      </c>
      <c r="C11" s="40" t="s">
        <v>331</v>
      </c>
      <c r="D11" s="39">
        <v>0</v>
      </c>
      <c r="E11" s="39">
        <v>0</v>
      </c>
      <c r="F11" s="39">
        <v>0</v>
      </c>
      <c r="G11" s="39">
        <v>10000</v>
      </c>
      <c r="H11" s="39">
        <v>0</v>
      </c>
      <c r="I11" s="39"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U20"/>
  <sheetViews>
    <sheetView tabSelected="1" topLeftCell="D1" zoomScaleNormal="75" zoomScaleSheetLayoutView="100" workbookViewId="0">
      <selection activeCell="M9" sqref="M9"/>
    </sheetView>
  </sheetViews>
  <sheetFormatPr defaultColWidth="8.875" defaultRowHeight="16.5" x14ac:dyDescent="0.3"/>
  <cols>
    <col min="2" max="2" width="8.625" bestFit="1" customWidth="1"/>
    <col min="3" max="4" width="30.375" customWidth="1"/>
    <col min="5" max="5" width="10.125" bestFit="1" customWidth="1"/>
    <col min="6" max="6" width="14.5" customWidth="1"/>
    <col min="7" max="7" width="12.875" bestFit="1" customWidth="1"/>
    <col min="8" max="8" width="14" bestFit="1" customWidth="1"/>
    <col min="9" max="9" width="27.875" bestFit="1" customWidth="1"/>
    <col min="10" max="10" width="17" bestFit="1" customWidth="1"/>
    <col min="11" max="11" width="17.5" bestFit="1" customWidth="1"/>
    <col min="12" max="12" width="15.625" bestFit="1" customWidth="1"/>
    <col min="13" max="13" width="17.125" bestFit="1" customWidth="1"/>
    <col min="14" max="14" width="12.625" bestFit="1" customWidth="1"/>
    <col min="15" max="15" width="17.625" bestFit="1" customWidth="1"/>
    <col min="16" max="16" width="16" bestFit="1" customWidth="1"/>
    <col min="17" max="17" width="16.375" bestFit="1" customWidth="1"/>
    <col min="18" max="18" width="18.375" bestFit="1" customWidth="1"/>
    <col min="19" max="19" width="25" bestFit="1" customWidth="1"/>
    <col min="20" max="20" width="20.625" bestFit="1" customWidth="1"/>
    <col min="21" max="21" width="17.875" bestFit="1" customWidth="1"/>
  </cols>
  <sheetData>
    <row r="1" spans="2:21" x14ac:dyDescent="0.3">
      <c r="B1" t="s">
        <v>48</v>
      </c>
      <c r="C1" t="s">
        <v>51</v>
      </c>
      <c r="D1" s="19" t="s">
        <v>446</v>
      </c>
      <c r="E1" t="s">
        <v>48</v>
      </c>
      <c r="F1" t="s">
        <v>103</v>
      </c>
      <c r="G1" t="s">
        <v>129</v>
      </c>
      <c r="H1" t="s">
        <v>48</v>
      </c>
      <c r="I1" t="s">
        <v>103</v>
      </c>
      <c r="J1" t="s">
        <v>103</v>
      </c>
      <c r="K1" t="s">
        <v>103</v>
      </c>
      <c r="L1" t="s">
        <v>129</v>
      </c>
      <c r="M1" t="s">
        <v>103</v>
      </c>
      <c r="N1" t="s">
        <v>48</v>
      </c>
      <c r="O1" t="s">
        <v>48</v>
      </c>
      <c r="P1" t="s">
        <v>48</v>
      </c>
      <c r="Q1" t="s">
        <v>48</v>
      </c>
      <c r="R1" t="s">
        <v>48</v>
      </c>
      <c r="S1" t="s">
        <v>102</v>
      </c>
      <c r="T1" t="s">
        <v>51</v>
      </c>
      <c r="U1" t="s">
        <v>51</v>
      </c>
    </row>
    <row r="2" spans="2:21" x14ac:dyDescent="0.3">
      <c r="B2" t="s">
        <v>78</v>
      </c>
      <c r="C2" s="6" t="s">
        <v>63</v>
      </c>
      <c r="D2" s="22" t="s">
        <v>446</v>
      </c>
      <c r="E2" t="s">
        <v>133</v>
      </c>
      <c r="F2" s="26" t="s">
        <v>542</v>
      </c>
      <c r="G2" t="s">
        <v>324</v>
      </c>
      <c r="H2" t="s">
        <v>326</v>
      </c>
      <c r="I2" t="s">
        <v>282</v>
      </c>
      <c r="J2" t="s">
        <v>2</v>
      </c>
      <c r="K2" t="s">
        <v>215</v>
      </c>
      <c r="L2" t="s">
        <v>210</v>
      </c>
      <c r="M2" t="s">
        <v>213</v>
      </c>
      <c r="N2" t="s">
        <v>323</v>
      </c>
      <c r="O2" t="s">
        <v>222</v>
      </c>
      <c r="P2" t="s">
        <v>329</v>
      </c>
      <c r="Q2" t="s">
        <v>327</v>
      </c>
      <c r="R2" t="s">
        <v>11</v>
      </c>
      <c r="S2" t="s">
        <v>332</v>
      </c>
      <c r="T2" s="6" t="s">
        <v>334</v>
      </c>
      <c r="U2" s="6" t="s">
        <v>352</v>
      </c>
    </row>
    <row r="3" spans="2:21" x14ac:dyDescent="0.3">
      <c r="B3">
        <v>500</v>
      </c>
      <c r="C3" s="4" t="s">
        <v>42</v>
      </c>
      <c r="D3" s="23" t="s">
        <v>447</v>
      </c>
      <c r="E3">
        <f>표14[적 기준 체력]*EnemyGameData[[#This Row],['#기준 적 체력 비율]]</f>
        <v>20</v>
      </c>
      <c r="F3">
        <v>10</v>
      </c>
      <c r="G3" t="s">
        <v>125</v>
      </c>
      <c r="H3">
        <v>0.1</v>
      </c>
      <c r="I3">
        <v>0.3</v>
      </c>
      <c r="J3">
        <v>1.8</v>
      </c>
      <c r="K3">
        <v>0</v>
      </c>
      <c r="L3" t="s">
        <v>76</v>
      </c>
      <c r="M3">
        <v>1</v>
      </c>
      <c r="N3">
        <v>0</v>
      </c>
      <c r="O3">
        <v>0</v>
      </c>
      <c r="P3">
        <v>0</v>
      </c>
      <c r="Q3">
        <v>0</v>
      </c>
      <c r="R3">
        <v>501</v>
      </c>
      <c r="S3" t="s">
        <v>400</v>
      </c>
      <c r="T3">
        <v>0.2</v>
      </c>
      <c r="U3">
        <f>AVERAGE(EnemyGameData[[#This Row],[GoldDropMin]],EnemyGameData[[#This Row],[GoldDropMax]])</f>
        <v>0</v>
      </c>
    </row>
    <row r="4" spans="2:21" x14ac:dyDescent="0.3">
      <c r="B4">
        <v>501</v>
      </c>
      <c r="C4" s="23" t="s">
        <v>481</v>
      </c>
      <c r="D4" s="23" t="s">
        <v>449</v>
      </c>
      <c r="E4">
        <f>표14[적 기준 체력]*EnemyGameData[[#This Row],['#기준 적 체력 비율]]</f>
        <v>80</v>
      </c>
      <c r="F4">
        <v>10</v>
      </c>
      <c r="G4" t="s">
        <v>333</v>
      </c>
      <c r="H4">
        <v>6</v>
      </c>
      <c r="I4">
        <v>2</v>
      </c>
      <c r="J4">
        <v>2</v>
      </c>
      <c r="K4">
        <v>1.8</v>
      </c>
      <c r="L4" t="s">
        <v>231</v>
      </c>
      <c r="M4">
        <v>2</v>
      </c>
      <c r="N4">
        <v>600</v>
      </c>
      <c r="O4">
        <v>0</v>
      </c>
      <c r="P4">
        <v>0</v>
      </c>
      <c r="Q4">
        <v>4</v>
      </c>
      <c r="R4">
        <v>501</v>
      </c>
      <c r="S4" t="s">
        <v>394</v>
      </c>
      <c r="T4">
        <v>0.8</v>
      </c>
      <c r="U4">
        <f>AVERAGE(EnemyGameData[[#This Row],[GoldDropMin]],EnemyGameData[[#This Row],[GoldDropMax]])</f>
        <v>2</v>
      </c>
    </row>
    <row r="5" spans="2:21" x14ac:dyDescent="0.3">
      <c r="B5">
        <v>502</v>
      </c>
      <c r="C5" s="4" t="s">
        <v>360</v>
      </c>
      <c r="D5" s="23" t="s">
        <v>452</v>
      </c>
      <c r="E5">
        <f>표14[적 기준 체력]*EnemyGameData[[#This Row],['#기준 적 체력 비율]]</f>
        <v>100</v>
      </c>
      <c r="F5">
        <v>10</v>
      </c>
      <c r="G5" t="s">
        <v>125</v>
      </c>
      <c r="H5">
        <v>0.1</v>
      </c>
      <c r="I5">
        <v>1.2</v>
      </c>
      <c r="J5">
        <v>2</v>
      </c>
      <c r="K5">
        <v>1.5</v>
      </c>
      <c r="L5" t="s">
        <v>128</v>
      </c>
      <c r="M5">
        <v>3</v>
      </c>
      <c r="N5">
        <v>601</v>
      </c>
      <c r="O5">
        <v>0</v>
      </c>
      <c r="P5">
        <v>0</v>
      </c>
      <c r="Q5">
        <v>4</v>
      </c>
      <c r="R5">
        <v>501</v>
      </c>
      <c r="S5" t="s">
        <v>394</v>
      </c>
      <c r="T5">
        <v>1</v>
      </c>
      <c r="U5">
        <f>AVERAGE(EnemyGameData[[#This Row],[GoldDropMin]],EnemyGameData[[#This Row],[GoldDropMax]])</f>
        <v>2</v>
      </c>
    </row>
    <row r="6" spans="2:21" x14ac:dyDescent="0.3">
      <c r="B6">
        <v>503</v>
      </c>
      <c r="C6" s="4" t="s">
        <v>260</v>
      </c>
      <c r="D6" s="23" t="s">
        <v>471</v>
      </c>
      <c r="E6">
        <f>표14[적 기준 체력]*EnemyGameData[[#This Row],['#기준 적 체력 비율]]</f>
        <v>80</v>
      </c>
      <c r="F6">
        <v>10</v>
      </c>
      <c r="G6" t="s">
        <v>333</v>
      </c>
      <c r="H6">
        <v>6</v>
      </c>
      <c r="I6">
        <v>1.2</v>
      </c>
      <c r="J6">
        <v>2</v>
      </c>
      <c r="K6">
        <v>1.4</v>
      </c>
      <c r="L6" t="s">
        <v>128</v>
      </c>
      <c r="M6">
        <v>5</v>
      </c>
      <c r="N6">
        <v>602</v>
      </c>
      <c r="O6">
        <v>0</v>
      </c>
      <c r="P6">
        <v>0</v>
      </c>
      <c r="Q6">
        <v>4</v>
      </c>
      <c r="R6">
        <v>501</v>
      </c>
      <c r="S6" t="s">
        <v>394</v>
      </c>
      <c r="T6">
        <v>0.8</v>
      </c>
      <c r="U6">
        <f>AVERAGE(EnemyGameData[[#This Row],[GoldDropMin]],EnemyGameData[[#This Row],[GoldDropMax]])</f>
        <v>2</v>
      </c>
    </row>
    <row r="7" spans="2:21" s="30" customFormat="1" x14ac:dyDescent="0.3">
      <c r="B7" s="30">
        <v>504</v>
      </c>
      <c r="C7" s="31" t="s">
        <v>251</v>
      </c>
      <c r="D7" s="31" t="s">
        <v>479</v>
      </c>
      <c r="E7" s="30">
        <f>표14[적 기준 체력]*EnemyGameData[[#This Row],['#기준 적 체력 비율]]</f>
        <v>80</v>
      </c>
      <c r="F7">
        <v>10</v>
      </c>
      <c r="G7" s="30" t="s">
        <v>333</v>
      </c>
      <c r="H7" s="30">
        <v>4</v>
      </c>
      <c r="I7" s="30">
        <v>1.5</v>
      </c>
      <c r="J7" s="30">
        <v>2</v>
      </c>
      <c r="K7" s="30">
        <v>3</v>
      </c>
      <c r="L7" s="30" t="s">
        <v>128</v>
      </c>
      <c r="M7" s="30">
        <v>4</v>
      </c>
      <c r="N7" s="30">
        <v>603</v>
      </c>
      <c r="O7" s="30">
        <v>0</v>
      </c>
      <c r="P7" s="30">
        <v>0</v>
      </c>
      <c r="Q7" s="30">
        <v>0</v>
      </c>
      <c r="R7" s="30">
        <v>501</v>
      </c>
      <c r="S7" s="30" t="s">
        <v>394</v>
      </c>
      <c r="T7" s="30">
        <v>0.8</v>
      </c>
      <c r="U7" s="30">
        <f>AVERAGE(EnemyGameData[[#This Row],[GoldDropMin]],EnemyGameData[[#This Row],[GoldDropMax]])</f>
        <v>0</v>
      </c>
    </row>
    <row r="8" spans="2:21" s="30" customFormat="1" x14ac:dyDescent="0.3">
      <c r="B8" s="30">
        <v>505</v>
      </c>
      <c r="C8" s="31" t="s">
        <v>252</v>
      </c>
      <c r="D8" s="31" t="s">
        <v>479</v>
      </c>
      <c r="E8" s="30">
        <f>표14[적 기준 체력]*EnemyGameData[[#This Row],['#기준 적 체력 비율]]</f>
        <v>100</v>
      </c>
      <c r="F8">
        <v>10</v>
      </c>
      <c r="G8" s="30" t="s">
        <v>333</v>
      </c>
      <c r="H8" s="30">
        <v>4</v>
      </c>
      <c r="I8" s="30">
        <v>1.8</v>
      </c>
      <c r="J8" s="30">
        <v>2</v>
      </c>
      <c r="K8" s="30">
        <v>3</v>
      </c>
      <c r="L8" s="30" t="s">
        <v>128</v>
      </c>
      <c r="M8" s="30">
        <v>4</v>
      </c>
      <c r="N8" s="30">
        <v>604</v>
      </c>
      <c r="O8" s="30">
        <v>0</v>
      </c>
      <c r="P8" s="30">
        <v>0</v>
      </c>
      <c r="Q8" s="30">
        <v>0</v>
      </c>
      <c r="R8" s="30">
        <v>501</v>
      </c>
      <c r="S8" s="30" t="s">
        <v>394</v>
      </c>
      <c r="T8" s="30">
        <v>1</v>
      </c>
      <c r="U8" s="30">
        <f>AVERAGE(EnemyGameData[[#This Row],[GoldDropMin]],EnemyGameData[[#This Row],[GoldDropMax]])</f>
        <v>0</v>
      </c>
    </row>
    <row r="9" spans="2:21" x14ac:dyDescent="0.3">
      <c r="B9">
        <v>506</v>
      </c>
      <c r="C9" s="4" t="s">
        <v>255</v>
      </c>
      <c r="D9" s="23" t="s">
        <v>477</v>
      </c>
      <c r="E9">
        <f>표14[적 기준 체력]*EnemyGameData[[#This Row],['#기준 적 체력 비율]]</f>
        <v>100</v>
      </c>
      <c r="F9">
        <v>10</v>
      </c>
      <c r="G9" t="s">
        <v>333</v>
      </c>
      <c r="H9">
        <v>4</v>
      </c>
      <c r="I9">
        <v>1.4</v>
      </c>
      <c r="J9">
        <v>2</v>
      </c>
      <c r="K9">
        <v>1</v>
      </c>
      <c r="L9" t="s">
        <v>128</v>
      </c>
      <c r="M9">
        <v>3.5</v>
      </c>
      <c r="N9">
        <v>605</v>
      </c>
      <c r="O9">
        <v>0</v>
      </c>
      <c r="P9">
        <v>0</v>
      </c>
      <c r="Q9">
        <v>4</v>
      </c>
      <c r="R9">
        <v>501</v>
      </c>
      <c r="S9" t="s">
        <v>394</v>
      </c>
      <c r="T9">
        <v>1</v>
      </c>
      <c r="U9">
        <f>AVERAGE(EnemyGameData[[#This Row],[GoldDropMin]],EnemyGameData[[#This Row],[GoldDropMax]])</f>
        <v>2</v>
      </c>
    </row>
    <row r="10" spans="2:21" x14ac:dyDescent="0.3">
      <c r="B10">
        <v>507</v>
      </c>
      <c r="C10" s="4" t="s">
        <v>388</v>
      </c>
      <c r="D10" s="4"/>
      <c r="E10">
        <v>2000</v>
      </c>
      <c r="F10">
        <v>10</v>
      </c>
      <c r="G10" t="s">
        <v>125</v>
      </c>
      <c r="H10">
        <v>0.1</v>
      </c>
      <c r="I10">
        <v>2</v>
      </c>
      <c r="J10">
        <v>1.5</v>
      </c>
      <c r="K10">
        <v>3</v>
      </c>
      <c r="L10" t="s">
        <v>128</v>
      </c>
      <c r="M10">
        <v>6</v>
      </c>
      <c r="N10">
        <v>0</v>
      </c>
      <c r="O10">
        <v>0</v>
      </c>
      <c r="P10">
        <v>25</v>
      </c>
      <c r="Q10">
        <v>25</v>
      </c>
      <c r="R10">
        <v>0</v>
      </c>
      <c r="T10">
        <v>15</v>
      </c>
      <c r="U10">
        <f>AVERAGE(EnemyGameData[[#This Row],[GoldDropMin]],EnemyGameData[[#This Row],[GoldDropMax]])</f>
        <v>25</v>
      </c>
    </row>
    <row r="11" spans="2:21" x14ac:dyDescent="0.3">
      <c r="B11">
        <v>508</v>
      </c>
      <c r="C11" s="24" t="s">
        <v>483</v>
      </c>
      <c r="D11" s="23" t="s">
        <v>482</v>
      </c>
      <c r="E11">
        <f>표14[적 기준 체력]*EnemyGameData[[#This Row],['#기준 적 체력 비율]]</f>
        <v>80</v>
      </c>
      <c r="F11">
        <v>10</v>
      </c>
      <c r="G11" t="s">
        <v>333</v>
      </c>
      <c r="H11">
        <v>6</v>
      </c>
      <c r="I11">
        <v>2</v>
      </c>
      <c r="J11">
        <v>2</v>
      </c>
      <c r="K11">
        <v>1.8</v>
      </c>
      <c r="L11" t="s">
        <v>231</v>
      </c>
      <c r="M11">
        <v>2</v>
      </c>
      <c r="N11">
        <v>607</v>
      </c>
      <c r="O11">
        <v>0</v>
      </c>
      <c r="P11">
        <v>0</v>
      </c>
      <c r="Q11">
        <v>4</v>
      </c>
      <c r="R11">
        <v>501</v>
      </c>
      <c r="S11" t="s">
        <v>394</v>
      </c>
      <c r="T11">
        <v>0.8</v>
      </c>
      <c r="U11">
        <f>AVERAGE(EnemyGameData[[#This Row],[GoldDropMin]],EnemyGameData[[#This Row],[GoldDropMax]])</f>
        <v>2</v>
      </c>
    </row>
    <row r="12" spans="2:21" x14ac:dyDescent="0.3">
      <c r="B12">
        <v>550</v>
      </c>
      <c r="C12" s="23" t="s">
        <v>475</v>
      </c>
      <c r="D12" s="23" t="s">
        <v>448</v>
      </c>
      <c r="E12">
        <f>표14[적 기준 체력]*EnemyGameData[[#This Row],['#기준 적 체력 비율]]</f>
        <v>140</v>
      </c>
      <c r="F12">
        <v>10</v>
      </c>
      <c r="G12" t="s">
        <v>333</v>
      </c>
      <c r="H12">
        <v>6</v>
      </c>
      <c r="I12">
        <v>2</v>
      </c>
      <c r="J12">
        <v>3.5</v>
      </c>
      <c r="K12">
        <v>1.3</v>
      </c>
      <c r="L12" t="s">
        <v>231</v>
      </c>
      <c r="M12">
        <v>2</v>
      </c>
      <c r="N12">
        <v>650</v>
      </c>
      <c r="O12">
        <v>0</v>
      </c>
      <c r="P12">
        <v>4</v>
      </c>
      <c r="Q12">
        <v>6</v>
      </c>
      <c r="R12">
        <v>501</v>
      </c>
      <c r="S12" t="s">
        <v>394</v>
      </c>
      <c r="T12">
        <v>1.4</v>
      </c>
      <c r="U12">
        <v>7</v>
      </c>
    </row>
    <row r="13" spans="2:21" x14ac:dyDescent="0.3">
      <c r="B13" s="43">
        <v>551</v>
      </c>
      <c r="C13" s="44" t="s">
        <v>473</v>
      </c>
      <c r="D13" s="44" t="s">
        <v>453</v>
      </c>
      <c r="E13" s="43">
        <f>표14[적 기준 체력]*EnemyGameData[[#This Row],['#기준 적 체력 비율]]</f>
        <v>160</v>
      </c>
      <c r="F13" s="43">
        <v>10</v>
      </c>
      <c r="G13" s="43" t="s">
        <v>125</v>
      </c>
      <c r="H13" s="43">
        <v>0.1</v>
      </c>
      <c r="I13" s="43">
        <v>1.2</v>
      </c>
      <c r="J13" s="43">
        <v>3</v>
      </c>
      <c r="K13" s="43">
        <v>1.5</v>
      </c>
      <c r="L13" s="43" t="s">
        <v>128</v>
      </c>
      <c r="M13" s="43">
        <v>3.5</v>
      </c>
      <c r="N13" s="43">
        <v>651</v>
      </c>
      <c r="O13" s="43">
        <v>0</v>
      </c>
      <c r="P13" s="43">
        <v>3</v>
      </c>
      <c r="Q13" s="43">
        <v>5</v>
      </c>
      <c r="R13" s="43">
        <v>501</v>
      </c>
      <c r="S13" s="43" t="s">
        <v>394</v>
      </c>
      <c r="T13" s="43">
        <v>1.6</v>
      </c>
      <c r="U13" s="43">
        <v>7</v>
      </c>
    </row>
    <row r="14" spans="2:21" x14ac:dyDescent="0.3">
      <c r="B14">
        <v>552</v>
      </c>
      <c r="C14" s="23" t="s">
        <v>474</v>
      </c>
      <c r="D14" s="23" t="s">
        <v>472</v>
      </c>
      <c r="E14">
        <f>표14[적 기준 체력]*EnemyGameData[[#This Row],['#기준 적 체력 비율]]</f>
        <v>140</v>
      </c>
      <c r="F14">
        <v>10</v>
      </c>
      <c r="G14" t="s">
        <v>333</v>
      </c>
      <c r="H14">
        <v>6</v>
      </c>
      <c r="I14">
        <v>1.2</v>
      </c>
      <c r="J14">
        <v>3.5</v>
      </c>
      <c r="K14">
        <v>1.2</v>
      </c>
      <c r="L14" t="s">
        <v>128</v>
      </c>
      <c r="M14">
        <v>6</v>
      </c>
      <c r="N14">
        <v>652</v>
      </c>
      <c r="O14">
        <v>0</v>
      </c>
      <c r="P14">
        <v>4</v>
      </c>
      <c r="Q14">
        <v>6</v>
      </c>
      <c r="R14">
        <v>501</v>
      </c>
      <c r="S14" t="s">
        <v>394</v>
      </c>
      <c r="T14">
        <v>1.4</v>
      </c>
      <c r="U14">
        <v>7</v>
      </c>
    </row>
    <row r="15" spans="2:21" x14ac:dyDescent="0.3">
      <c r="B15">
        <v>553</v>
      </c>
      <c r="C15" s="24" t="s">
        <v>478</v>
      </c>
      <c r="D15" s="23" t="s">
        <v>476</v>
      </c>
      <c r="E15">
        <f>표14[적 기준 체력]*EnemyGameData[[#This Row],['#기준 적 체력 비율]]</f>
        <v>160</v>
      </c>
      <c r="F15">
        <v>10</v>
      </c>
      <c r="G15" t="s">
        <v>333</v>
      </c>
      <c r="H15">
        <v>4</v>
      </c>
      <c r="I15">
        <v>2.5</v>
      </c>
      <c r="J15">
        <v>3.5</v>
      </c>
      <c r="K15">
        <v>1.6</v>
      </c>
      <c r="L15" t="s">
        <v>128</v>
      </c>
      <c r="M15">
        <v>3.5</v>
      </c>
      <c r="N15">
        <v>604</v>
      </c>
      <c r="O15">
        <v>0</v>
      </c>
      <c r="P15">
        <v>4</v>
      </c>
      <c r="Q15">
        <v>6</v>
      </c>
      <c r="R15">
        <v>501</v>
      </c>
      <c r="S15" t="s">
        <v>394</v>
      </c>
      <c r="T15">
        <v>1.6</v>
      </c>
      <c r="U15">
        <f>AVERAGE(EnemyGameData[[#This Row],[GoldDropMin]],EnemyGameData[[#This Row],[GoldDropMax]])</f>
        <v>5</v>
      </c>
    </row>
    <row r="16" spans="2:21" s="30" customFormat="1" x14ac:dyDescent="0.3">
      <c r="B16" s="30">
        <v>554</v>
      </c>
      <c r="C16" s="32" t="s">
        <v>480</v>
      </c>
      <c r="D16" s="31" t="s">
        <v>479</v>
      </c>
      <c r="E16" s="30">
        <f>표14[적 기준 체력]*EnemyGameData[[#This Row],['#기준 적 체력 비율]]</f>
        <v>20</v>
      </c>
      <c r="F16">
        <v>10</v>
      </c>
      <c r="G16" s="30" t="s">
        <v>125</v>
      </c>
      <c r="H16" s="30">
        <v>1</v>
      </c>
      <c r="I16" s="30">
        <v>0.3</v>
      </c>
      <c r="J16" s="30">
        <v>1.8</v>
      </c>
      <c r="K16" s="30">
        <v>0</v>
      </c>
      <c r="L16" s="30" t="s">
        <v>76</v>
      </c>
      <c r="M16" s="30">
        <v>1</v>
      </c>
      <c r="N16" s="30">
        <v>0</v>
      </c>
      <c r="O16" s="30">
        <v>0</v>
      </c>
      <c r="P16" s="30">
        <v>0</v>
      </c>
      <c r="Q16" s="30">
        <v>0</v>
      </c>
      <c r="R16" s="30">
        <v>501</v>
      </c>
      <c r="S16" s="30" t="s">
        <v>400</v>
      </c>
      <c r="T16" s="30">
        <v>0.2</v>
      </c>
      <c r="U16" s="30">
        <f>AVERAGE(EnemyGameData[[#This Row],[GoldDropMin]],EnemyGameData[[#This Row],[GoldDropMax]])</f>
        <v>0</v>
      </c>
    </row>
    <row r="20" spans="18:18" x14ac:dyDescent="0.3">
      <c r="R20" s="19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zoomScaleNormal="75" zoomScaleSheetLayoutView="100" workbookViewId="0">
      <selection activeCell="F18" sqref="F18"/>
    </sheetView>
  </sheetViews>
  <sheetFormatPr defaultColWidth="8.875" defaultRowHeight="16.5" x14ac:dyDescent="0.3"/>
  <cols>
    <col min="2" max="2" width="8.625" bestFit="1" customWidth="1"/>
    <col min="3" max="3" width="20" bestFit="1" customWidth="1"/>
    <col min="4" max="4" width="15" bestFit="1" customWidth="1"/>
    <col min="5" max="5" width="11.625" bestFit="1" customWidth="1"/>
    <col min="6" max="6" width="13.375" bestFit="1" customWidth="1"/>
    <col min="7" max="7" width="14.625" bestFit="1" customWidth="1"/>
    <col min="8" max="8" width="23.875" bestFit="1" customWidth="1"/>
    <col min="9" max="9" width="22.125" bestFit="1" customWidth="1"/>
  </cols>
  <sheetData>
    <row r="1" spans="2:9" x14ac:dyDescent="0.3">
      <c r="B1" t="s">
        <v>48</v>
      </c>
      <c r="C1" t="s">
        <v>51</v>
      </c>
      <c r="D1" t="s">
        <v>48</v>
      </c>
      <c r="E1" t="s">
        <v>129</v>
      </c>
      <c r="F1" t="s">
        <v>103</v>
      </c>
      <c r="G1" t="s">
        <v>103</v>
      </c>
      <c r="H1" s="19" t="s">
        <v>446</v>
      </c>
      <c r="I1" s="19" t="s">
        <v>446</v>
      </c>
    </row>
    <row r="2" spans="2:9" x14ac:dyDescent="0.3">
      <c r="B2" t="s">
        <v>78</v>
      </c>
      <c r="C2" s="6" t="s">
        <v>45</v>
      </c>
      <c r="D2" t="s">
        <v>339</v>
      </c>
      <c r="E2" t="s">
        <v>131</v>
      </c>
      <c r="F2" t="s">
        <v>338</v>
      </c>
      <c r="G2" t="s">
        <v>335</v>
      </c>
      <c r="H2" s="19" t="s">
        <v>446</v>
      </c>
      <c r="I2" s="19" t="s">
        <v>505</v>
      </c>
    </row>
    <row r="3" spans="2:9" x14ac:dyDescent="0.3">
      <c r="B3">
        <v>600</v>
      </c>
      <c r="C3" s="25" t="s">
        <v>497</v>
      </c>
      <c r="D3">
        <v>700</v>
      </c>
      <c r="E3" t="s">
        <v>164</v>
      </c>
      <c r="F3">
        <v>0.4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0.4</v>
      </c>
    </row>
    <row r="4" spans="2:9" x14ac:dyDescent="0.3">
      <c r="B4">
        <v>601</v>
      </c>
      <c r="C4" s="23" t="s">
        <v>454</v>
      </c>
      <c r="D4">
        <v>702</v>
      </c>
      <c r="E4" t="s">
        <v>156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 x14ac:dyDescent="0.3">
      <c r="B5">
        <v>601</v>
      </c>
      <c r="C5" s="23" t="s">
        <v>454</v>
      </c>
      <c r="D5">
        <v>706</v>
      </c>
      <c r="E5" t="s">
        <v>156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 x14ac:dyDescent="0.3">
      <c r="B6">
        <v>601</v>
      </c>
      <c r="C6" s="23" t="s">
        <v>454</v>
      </c>
      <c r="D6">
        <v>712</v>
      </c>
      <c r="E6" t="s">
        <v>156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 x14ac:dyDescent="0.3">
      <c r="B7">
        <v>601</v>
      </c>
      <c r="C7" s="23" t="s">
        <v>454</v>
      </c>
      <c r="D7">
        <v>709</v>
      </c>
      <c r="E7" t="s">
        <v>156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 x14ac:dyDescent="0.3">
      <c r="B8">
        <v>601</v>
      </c>
      <c r="C8" s="23" t="s">
        <v>454</v>
      </c>
      <c r="D8">
        <v>711</v>
      </c>
      <c r="E8" t="s">
        <v>156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 x14ac:dyDescent="0.3">
      <c r="B9">
        <v>601</v>
      </c>
      <c r="C9" s="23" t="s">
        <v>454</v>
      </c>
      <c r="D9">
        <v>708</v>
      </c>
      <c r="E9" t="s">
        <v>156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 x14ac:dyDescent="0.3">
      <c r="B10">
        <v>601</v>
      </c>
      <c r="C10" s="23" t="s">
        <v>454</v>
      </c>
      <c r="D10">
        <v>718</v>
      </c>
      <c r="E10" t="s">
        <v>156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 x14ac:dyDescent="0.3">
      <c r="B11">
        <v>601</v>
      </c>
      <c r="C11" s="23" t="s">
        <v>454</v>
      </c>
      <c r="D11">
        <v>710</v>
      </c>
      <c r="E11" t="s">
        <v>156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 x14ac:dyDescent="0.3">
      <c r="B12">
        <v>601</v>
      </c>
      <c r="C12" s="23" t="s">
        <v>454</v>
      </c>
      <c r="D12">
        <v>703</v>
      </c>
      <c r="E12" t="s">
        <v>156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 x14ac:dyDescent="0.3">
      <c r="B13">
        <v>602</v>
      </c>
      <c r="C13" s="25" t="s">
        <v>493</v>
      </c>
      <c r="D13">
        <v>719</v>
      </c>
      <c r="E13" t="s">
        <v>156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 x14ac:dyDescent="0.3">
      <c r="B14">
        <v>603</v>
      </c>
      <c r="C14" s="4" t="s">
        <v>166</v>
      </c>
      <c r="D14">
        <v>720</v>
      </c>
      <c r="E14" t="s">
        <v>156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 x14ac:dyDescent="0.3">
      <c r="B15">
        <v>604</v>
      </c>
      <c r="C15" s="25" t="s">
        <v>501</v>
      </c>
      <c r="D15">
        <v>721</v>
      </c>
      <c r="E15" t="s">
        <v>156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 x14ac:dyDescent="0.3">
      <c r="B16">
        <v>604</v>
      </c>
      <c r="C16" s="25" t="s">
        <v>501</v>
      </c>
      <c r="D16">
        <v>722</v>
      </c>
      <c r="E16" t="s">
        <v>156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 x14ac:dyDescent="0.3">
      <c r="B17">
        <v>604</v>
      </c>
      <c r="C17" s="25" t="s">
        <v>501</v>
      </c>
      <c r="D17">
        <v>723</v>
      </c>
      <c r="E17" t="s">
        <v>156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 x14ac:dyDescent="0.3">
      <c r="B18">
        <v>605</v>
      </c>
      <c r="C18" s="25" t="s">
        <v>492</v>
      </c>
      <c r="D18">
        <v>724</v>
      </c>
      <c r="E18" t="s">
        <v>156</v>
      </c>
      <c r="F18">
        <v>1.5669999999999999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1.9670000000000001</v>
      </c>
    </row>
    <row r="19" spans="2:9" x14ac:dyDescent="0.3">
      <c r="B19">
        <v>606</v>
      </c>
      <c r="C19" s="4" t="s">
        <v>366</v>
      </c>
      <c r="D19">
        <v>724</v>
      </c>
      <c r="E19" t="s">
        <v>156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 x14ac:dyDescent="0.3">
      <c r="B20">
        <v>606</v>
      </c>
      <c r="C20" s="4" t="s">
        <v>366</v>
      </c>
      <c r="D20">
        <v>724</v>
      </c>
      <c r="E20" t="s">
        <v>156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 x14ac:dyDescent="0.3">
      <c r="B21">
        <v>606</v>
      </c>
      <c r="C21" s="4" t="s">
        <v>366</v>
      </c>
      <c r="D21">
        <v>724</v>
      </c>
      <c r="E21" t="s">
        <v>156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 x14ac:dyDescent="0.3">
      <c r="B22">
        <v>607</v>
      </c>
      <c r="C22" s="27" t="s">
        <v>491</v>
      </c>
      <c r="D22">
        <v>701</v>
      </c>
      <c r="E22" t="s">
        <v>164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 x14ac:dyDescent="0.3">
      <c r="B23">
        <v>650</v>
      </c>
      <c r="C23" s="25" t="s">
        <v>498</v>
      </c>
      <c r="D23">
        <v>725</v>
      </c>
      <c r="E23" t="s">
        <v>164</v>
      </c>
      <c r="F23">
        <v>0.4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3.4</v>
      </c>
    </row>
    <row r="24" spans="2:9" x14ac:dyDescent="0.3">
      <c r="B24">
        <v>650</v>
      </c>
      <c r="C24" s="25" t="s">
        <v>499</v>
      </c>
      <c r="D24">
        <v>725</v>
      </c>
      <c r="E24" t="s">
        <v>164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3.4</v>
      </c>
    </row>
    <row r="25" spans="2:9" x14ac:dyDescent="0.3">
      <c r="B25">
        <v>650</v>
      </c>
      <c r="C25" s="25" t="s">
        <v>500</v>
      </c>
      <c r="D25">
        <v>725</v>
      </c>
      <c r="E25" t="s">
        <v>164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3.4</v>
      </c>
    </row>
    <row r="26" spans="2:9" x14ac:dyDescent="0.3">
      <c r="B26">
        <v>651</v>
      </c>
      <c r="C26" s="27" t="s">
        <v>532</v>
      </c>
      <c r="D26">
        <v>716</v>
      </c>
      <c r="E26" t="s">
        <v>156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4.7670000000000003</v>
      </c>
    </row>
    <row r="27" spans="2:9" x14ac:dyDescent="0.3">
      <c r="B27">
        <v>651</v>
      </c>
      <c r="C27" s="27" t="s">
        <v>532</v>
      </c>
      <c r="D27">
        <v>718</v>
      </c>
      <c r="E27" t="s">
        <v>156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4.7670000000000003</v>
      </c>
    </row>
    <row r="28" spans="2:9" x14ac:dyDescent="0.3">
      <c r="B28">
        <v>651</v>
      </c>
      <c r="C28" s="27" t="s">
        <v>532</v>
      </c>
      <c r="D28">
        <v>708</v>
      </c>
      <c r="E28" t="s">
        <v>156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4.7670000000000003</v>
      </c>
    </row>
    <row r="29" spans="2:9" x14ac:dyDescent="0.3">
      <c r="B29">
        <v>651</v>
      </c>
      <c r="C29" s="27" t="s">
        <v>532</v>
      </c>
      <c r="D29">
        <v>712</v>
      </c>
      <c r="E29" t="s">
        <v>156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4.7670000000000003</v>
      </c>
    </row>
    <row r="30" spans="2:9" x14ac:dyDescent="0.3">
      <c r="B30">
        <v>651</v>
      </c>
      <c r="C30" s="27" t="s">
        <v>532</v>
      </c>
      <c r="D30">
        <v>708</v>
      </c>
      <c r="E30" t="s">
        <v>156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4.7670000000000003</v>
      </c>
    </row>
    <row r="31" spans="2:9" x14ac:dyDescent="0.3">
      <c r="B31">
        <v>651</v>
      </c>
      <c r="C31" s="27" t="s">
        <v>532</v>
      </c>
      <c r="D31">
        <v>711</v>
      </c>
      <c r="E31" t="s">
        <v>156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4.7670000000000003</v>
      </c>
    </row>
    <row r="32" spans="2:9" x14ac:dyDescent="0.3">
      <c r="B32">
        <v>651</v>
      </c>
      <c r="C32" s="27" t="s">
        <v>532</v>
      </c>
      <c r="D32">
        <v>713</v>
      </c>
      <c r="E32" t="s">
        <v>156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4.7670000000000003</v>
      </c>
    </row>
    <row r="33" spans="2:9" x14ac:dyDescent="0.3">
      <c r="B33">
        <v>651</v>
      </c>
      <c r="C33" s="27" t="s">
        <v>532</v>
      </c>
      <c r="D33">
        <v>713</v>
      </c>
      <c r="E33" t="s">
        <v>156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4.7670000000000003</v>
      </c>
    </row>
    <row r="34" spans="2:9" x14ac:dyDescent="0.3">
      <c r="B34">
        <v>651</v>
      </c>
      <c r="C34" s="27" t="s">
        <v>532</v>
      </c>
      <c r="D34">
        <v>705</v>
      </c>
      <c r="E34" t="s">
        <v>156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4.7670000000000003</v>
      </c>
    </row>
    <row r="35" spans="2:9" x14ac:dyDescent="0.3">
      <c r="B35">
        <v>651</v>
      </c>
      <c r="C35" s="27" t="s">
        <v>532</v>
      </c>
      <c r="D35">
        <v>706</v>
      </c>
      <c r="E35" t="s">
        <v>156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4.7670000000000003</v>
      </c>
    </row>
    <row r="36" spans="2:9" x14ac:dyDescent="0.3">
      <c r="B36">
        <v>651</v>
      </c>
      <c r="C36" s="27" t="s">
        <v>532</v>
      </c>
      <c r="D36">
        <v>711</v>
      </c>
      <c r="E36" t="s">
        <v>156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4.7670000000000003</v>
      </c>
    </row>
    <row r="37" spans="2:9" x14ac:dyDescent="0.3">
      <c r="B37">
        <v>651</v>
      </c>
      <c r="C37" s="27" t="s">
        <v>532</v>
      </c>
      <c r="D37">
        <v>712</v>
      </c>
      <c r="E37" t="s">
        <v>156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4.7670000000000003</v>
      </c>
    </row>
    <row r="38" spans="2:9" x14ac:dyDescent="0.3">
      <c r="B38">
        <v>651</v>
      </c>
      <c r="C38" s="27" t="s">
        <v>532</v>
      </c>
      <c r="D38">
        <v>708</v>
      </c>
      <c r="E38" t="s">
        <v>156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4.7670000000000003</v>
      </c>
    </row>
    <row r="39" spans="2:9" x14ac:dyDescent="0.3">
      <c r="B39">
        <v>651</v>
      </c>
      <c r="C39" s="27" t="s">
        <v>532</v>
      </c>
      <c r="D39">
        <v>702</v>
      </c>
      <c r="E39" t="s">
        <v>156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4.7670000000000003</v>
      </c>
    </row>
    <row r="40" spans="2:9" x14ac:dyDescent="0.3">
      <c r="B40">
        <v>651</v>
      </c>
      <c r="C40" s="27" t="s">
        <v>532</v>
      </c>
      <c r="D40">
        <v>708</v>
      </c>
      <c r="E40" t="s">
        <v>156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4.7670000000000003</v>
      </c>
    </row>
    <row r="41" spans="2:9" x14ac:dyDescent="0.3">
      <c r="B41">
        <v>651</v>
      </c>
      <c r="C41" s="27" t="s">
        <v>532</v>
      </c>
      <c r="D41">
        <v>717</v>
      </c>
      <c r="E41" t="s">
        <v>156</v>
      </c>
      <c r="F41">
        <v>0</v>
      </c>
      <c r="G41">
        <v>0.2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4.7670000000000003</v>
      </c>
    </row>
    <row r="42" spans="2:9" x14ac:dyDescent="0.3">
      <c r="B42">
        <v>652</v>
      </c>
      <c r="C42" s="27" t="s">
        <v>502</v>
      </c>
      <c r="D42">
        <v>726</v>
      </c>
      <c r="E42" t="s">
        <v>156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 x14ac:dyDescent="0.3">
      <c r="B43">
        <v>652</v>
      </c>
      <c r="C43" s="27" t="s">
        <v>503</v>
      </c>
      <c r="D43">
        <v>726</v>
      </c>
      <c r="E43" t="s">
        <v>156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 x14ac:dyDescent="0.3">
      <c r="B44">
        <v>652</v>
      </c>
      <c r="C44" s="27" t="s">
        <v>504</v>
      </c>
      <c r="D44">
        <v>726</v>
      </c>
      <c r="E44" t="s">
        <v>156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 x14ac:dyDescent="0.3">
      <c r="B45">
        <v>9991</v>
      </c>
      <c r="C45" s="42" t="s">
        <v>486</v>
      </c>
      <c r="D45">
        <v>700</v>
      </c>
      <c r="E45" t="s">
        <v>156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 x14ac:dyDescent="0.3">
      <c r="B46">
        <v>9991</v>
      </c>
      <c r="C46" s="27" t="s">
        <v>486</v>
      </c>
      <c r="D46">
        <v>701</v>
      </c>
      <c r="E46" t="s">
        <v>156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 x14ac:dyDescent="0.3">
      <c r="B47">
        <v>9991</v>
      </c>
      <c r="C47" s="27" t="s">
        <v>486</v>
      </c>
      <c r="D47">
        <v>700</v>
      </c>
      <c r="E47" t="s">
        <v>156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 x14ac:dyDescent="0.3">
      <c r="B48">
        <v>9991</v>
      </c>
      <c r="C48" s="27" t="s">
        <v>486</v>
      </c>
      <c r="D48">
        <v>701</v>
      </c>
      <c r="E48" t="s">
        <v>156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 x14ac:dyDescent="0.3">
      <c r="B49">
        <v>9991</v>
      </c>
      <c r="C49" s="27" t="s">
        <v>486</v>
      </c>
      <c r="D49">
        <v>700</v>
      </c>
      <c r="E49" t="s">
        <v>156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 x14ac:dyDescent="0.3">
      <c r="B50">
        <v>9991</v>
      </c>
      <c r="C50" s="27" t="s">
        <v>486</v>
      </c>
      <c r="D50">
        <v>701</v>
      </c>
      <c r="E50" t="s">
        <v>156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 x14ac:dyDescent="0.3">
      <c r="B51">
        <v>9991</v>
      </c>
      <c r="C51" s="27" t="s">
        <v>486</v>
      </c>
      <c r="D51">
        <v>700</v>
      </c>
      <c r="E51" t="s">
        <v>156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 x14ac:dyDescent="0.3">
      <c r="B52">
        <v>9991</v>
      </c>
      <c r="C52" s="27" t="s">
        <v>486</v>
      </c>
      <c r="D52">
        <v>701</v>
      </c>
      <c r="E52" t="s">
        <v>156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 x14ac:dyDescent="0.3">
      <c r="B53">
        <v>9991</v>
      </c>
      <c r="C53" s="27" t="s">
        <v>486</v>
      </c>
      <c r="D53">
        <v>700</v>
      </c>
      <c r="E53" t="s">
        <v>156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 x14ac:dyDescent="0.3">
      <c r="B54">
        <v>9991</v>
      </c>
      <c r="C54" s="27" t="s">
        <v>486</v>
      </c>
      <c r="D54">
        <v>701</v>
      </c>
      <c r="E54" t="s">
        <v>156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 x14ac:dyDescent="0.3">
      <c r="B55">
        <v>9991</v>
      </c>
      <c r="C55" s="27" t="s">
        <v>486</v>
      </c>
      <c r="D55">
        <v>700</v>
      </c>
      <c r="E55" t="s">
        <v>156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 x14ac:dyDescent="0.3">
      <c r="B56" s="26">
        <v>9991</v>
      </c>
      <c r="C56" s="27" t="s">
        <v>486</v>
      </c>
      <c r="D56">
        <v>727</v>
      </c>
      <c r="E56" t="s">
        <v>156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 x14ac:dyDescent="0.3">
      <c r="B57">
        <v>9992</v>
      </c>
      <c r="C57" s="27" t="s">
        <v>487</v>
      </c>
      <c r="D57">
        <v>725</v>
      </c>
      <c r="E57" s="26" t="s">
        <v>484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 x14ac:dyDescent="0.3">
      <c r="B58">
        <v>9992</v>
      </c>
      <c r="C58" s="27" t="s">
        <v>487</v>
      </c>
      <c r="D58">
        <v>725</v>
      </c>
      <c r="E58" s="26" t="s">
        <v>484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 x14ac:dyDescent="0.3">
      <c r="B59">
        <v>9993</v>
      </c>
      <c r="C59" s="27" t="s">
        <v>488</v>
      </c>
      <c r="D59">
        <v>999</v>
      </c>
      <c r="E59" s="26" t="s">
        <v>485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89"/>
  <sheetViews>
    <sheetView topLeftCell="A22" zoomScaleNormal="75" zoomScaleSheetLayoutView="100" workbookViewId="0">
      <selection activeCell="B73" sqref="B73"/>
    </sheetView>
  </sheetViews>
  <sheetFormatPr defaultColWidth="8.875" defaultRowHeight="16.5" x14ac:dyDescent="0.3"/>
  <cols>
    <col min="2" max="2" width="8.625" bestFit="1" customWidth="1"/>
    <col min="3" max="3" width="22.5" customWidth="1"/>
    <col min="4" max="4" width="14.125" bestFit="1" customWidth="1"/>
    <col min="5" max="5" width="18.375" bestFit="1" customWidth="1"/>
    <col min="6" max="6" width="20.125" bestFit="1" customWidth="1"/>
    <col min="7" max="7" width="11.5" bestFit="1" customWidth="1"/>
  </cols>
  <sheetData>
    <row r="1" spans="2:7" x14ac:dyDescent="0.3">
      <c r="B1" t="s">
        <v>48</v>
      </c>
      <c r="C1" t="s">
        <v>51</v>
      </c>
      <c r="D1" t="s">
        <v>129</v>
      </c>
      <c r="E1" t="s">
        <v>48</v>
      </c>
      <c r="F1" t="s">
        <v>48</v>
      </c>
      <c r="G1" t="s">
        <v>48</v>
      </c>
    </row>
    <row r="2" spans="2:7" x14ac:dyDescent="0.3">
      <c r="B2" t="s">
        <v>78</v>
      </c>
      <c r="C2" s="6" t="s">
        <v>45</v>
      </c>
      <c r="D2" t="s">
        <v>340</v>
      </c>
      <c r="E2" t="s">
        <v>11</v>
      </c>
      <c r="F2" t="s">
        <v>232</v>
      </c>
      <c r="G2" t="s">
        <v>343</v>
      </c>
    </row>
    <row r="3" spans="2:7" x14ac:dyDescent="0.3">
      <c r="B3">
        <v>700</v>
      </c>
      <c r="C3" s="4" t="s">
        <v>358</v>
      </c>
      <c r="D3">
        <v>0</v>
      </c>
      <c r="E3">
        <v>400</v>
      </c>
      <c r="F3">
        <v>0</v>
      </c>
      <c r="G3">
        <v>6.5</v>
      </c>
    </row>
    <row r="4" spans="2:7" x14ac:dyDescent="0.3">
      <c r="B4">
        <v>700</v>
      </c>
      <c r="C4" s="4" t="s">
        <v>358</v>
      </c>
      <c r="D4">
        <v>90</v>
      </c>
      <c r="E4">
        <v>400</v>
      </c>
      <c r="F4">
        <v>0</v>
      </c>
      <c r="G4">
        <v>6.5</v>
      </c>
    </row>
    <row r="5" spans="2:7" x14ac:dyDescent="0.3">
      <c r="B5">
        <v>700</v>
      </c>
      <c r="C5" s="4" t="s">
        <v>358</v>
      </c>
      <c r="D5">
        <v>180</v>
      </c>
      <c r="E5">
        <v>400</v>
      </c>
      <c r="F5">
        <v>0</v>
      </c>
      <c r="G5">
        <v>6.5</v>
      </c>
    </row>
    <row r="6" spans="2:7" x14ac:dyDescent="0.3">
      <c r="B6">
        <v>700</v>
      </c>
      <c r="C6" s="4" t="s">
        <v>358</v>
      </c>
      <c r="D6">
        <v>-90</v>
      </c>
      <c r="E6">
        <v>400</v>
      </c>
      <c r="F6">
        <v>0</v>
      </c>
      <c r="G6">
        <v>6.5</v>
      </c>
    </row>
    <row r="7" spans="2:7" x14ac:dyDescent="0.3">
      <c r="B7">
        <v>701</v>
      </c>
      <c r="C7" s="4" t="s">
        <v>242</v>
      </c>
      <c r="D7">
        <v>45</v>
      </c>
      <c r="E7">
        <v>401</v>
      </c>
      <c r="F7">
        <v>0</v>
      </c>
      <c r="G7">
        <v>6.5</v>
      </c>
    </row>
    <row r="8" spans="2:7" x14ac:dyDescent="0.3">
      <c r="B8">
        <v>701</v>
      </c>
      <c r="C8" s="4" t="s">
        <v>242</v>
      </c>
      <c r="D8">
        <v>-45</v>
      </c>
      <c r="E8">
        <v>401</v>
      </c>
      <c r="F8">
        <v>0</v>
      </c>
      <c r="G8">
        <v>6.5</v>
      </c>
    </row>
    <row r="9" spans="2:7" x14ac:dyDescent="0.3">
      <c r="B9">
        <v>701</v>
      </c>
      <c r="C9" s="4" t="s">
        <v>242</v>
      </c>
      <c r="D9">
        <v>135</v>
      </c>
      <c r="E9">
        <v>401</v>
      </c>
      <c r="F9">
        <v>0</v>
      </c>
      <c r="G9">
        <v>6.5</v>
      </c>
    </row>
    <row r="10" spans="2:7" x14ac:dyDescent="0.3">
      <c r="B10">
        <v>701</v>
      </c>
      <c r="C10" s="4" t="s">
        <v>242</v>
      </c>
      <c r="D10">
        <v>-135</v>
      </c>
      <c r="E10">
        <v>401</v>
      </c>
      <c r="F10">
        <v>0</v>
      </c>
      <c r="G10">
        <v>6.5</v>
      </c>
    </row>
    <row r="11" spans="2:7" x14ac:dyDescent="0.3">
      <c r="B11">
        <v>702</v>
      </c>
      <c r="C11" s="4" t="s">
        <v>157</v>
      </c>
      <c r="D11">
        <v>0</v>
      </c>
      <c r="E11">
        <v>400</v>
      </c>
      <c r="F11">
        <v>0</v>
      </c>
      <c r="G11">
        <v>6.5</v>
      </c>
    </row>
    <row r="12" spans="2:7" x14ac:dyDescent="0.3">
      <c r="B12">
        <v>703</v>
      </c>
      <c r="C12" s="23" t="s">
        <v>457</v>
      </c>
      <c r="D12">
        <v>5</v>
      </c>
      <c r="E12">
        <v>400</v>
      </c>
      <c r="F12">
        <v>0</v>
      </c>
      <c r="G12">
        <v>5.5</v>
      </c>
    </row>
    <row r="13" spans="2:7" x14ac:dyDescent="0.3">
      <c r="B13">
        <v>704</v>
      </c>
      <c r="C13" s="23" t="s">
        <v>458</v>
      </c>
      <c r="D13">
        <v>10</v>
      </c>
      <c r="E13">
        <v>400</v>
      </c>
      <c r="F13">
        <v>0</v>
      </c>
      <c r="G13">
        <v>5.5</v>
      </c>
    </row>
    <row r="14" spans="2:7" x14ac:dyDescent="0.3">
      <c r="B14">
        <v>705</v>
      </c>
      <c r="C14" s="23" t="s">
        <v>459</v>
      </c>
      <c r="D14">
        <v>15</v>
      </c>
      <c r="E14">
        <v>400</v>
      </c>
      <c r="F14">
        <v>0</v>
      </c>
      <c r="G14">
        <v>5.5</v>
      </c>
    </row>
    <row r="15" spans="2:7" x14ac:dyDescent="0.3">
      <c r="B15">
        <v>706</v>
      </c>
      <c r="C15" s="23" t="s">
        <v>460</v>
      </c>
      <c r="D15">
        <v>20</v>
      </c>
      <c r="E15">
        <v>400</v>
      </c>
      <c r="F15">
        <v>0</v>
      </c>
      <c r="G15">
        <v>5.5</v>
      </c>
    </row>
    <row r="16" spans="2:7" x14ac:dyDescent="0.3">
      <c r="B16">
        <v>707</v>
      </c>
      <c r="C16" s="23" t="s">
        <v>461</v>
      </c>
      <c r="D16">
        <v>25</v>
      </c>
      <c r="E16">
        <v>400</v>
      </c>
      <c r="F16">
        <v>0</v>
      </c>
      <c r="G16">
        <v>5.5</v>
      </c>
    </row>
    <row r="17" spans="2:7" x14ac:dyDescent="0.3">
      <c r="B17">
        <v>708</v>
      </c>
      <c r="C17" s="23" t="s">
        <v>462</v>
      </c>
      <c r="D17" s="19">
        <v>30</v>
      </c>
      <c r="E17">
        <v>400</v>
      </c>
      <c r="F17">
        <v>0</v>
      </c>
      <c r="G17">
        <v>5.5</v>
      </c>
    </row>
    <row r="18" spans="2:7" x14ac:dyDescent="0.3">
      <c r="B18">
        <v>709</v>
      </c>
      <c r="C18" s="23" t="s">
        <v>463</v>
      </c>
      <c r="D18">
        <v>35</v>
      </c>
      <c r="E18">
        <v>400</v>
      </c>
      <c r="F18">
        <v>0</v>
      </c>
      <c r="G18">
        <v>5.5</v>
      </c>
    </row>
    <row r="19" spans="2:7" x14ac:dyDescent="0.3">
      <c r="B19">
        <v>710</v>
      </c>
      <c r="C19" s="23" t="s">
        <v>464</v>
      </c>
      <c r="D19">
        <v>40</v>
      </c>
      <c r="E19">
        <v>400</v>
      </c>
      <c r="F19">
        <v>0</v>
      </c>
      <c r="G19">
        <v>5.5</v>
      </c>
    </row>
    <row r="20" spans="2:7" x14ac:dyDescent="0.3">
      <c r="B20">
        <v>711</v>
      </c>
      <c r="C20" s="23" t="s">
        <v>465</v>
      </c>
      <c r="D20">
        <v>-5</v>
      </c>
      <c r="E20">
        <v>400</v>
      </c>
      <c r="F20">
        <v>0</v>
      </c>
      <c r="G20">
        <v>5.5</v>
      </c>
    </row>
    <row r="21" spans="2:7" x14ac:dyDescent="0.3">
      <c r="B21">
        <v>712</v>
      </c>
      <c r="C21" s="23" t="s">
        <v>466</v>
      </c>
      <c r="D21">
        <v>-10</v>
      </c>
      <c r="E21">
        <v>400</v>
      </c>
      <c r="F21">
        <v>0</v>
      </c>
      <c r="G21">
        <v>5.5</v>
      </c>
    </row>
    <row r="22" spans="2:7" x14ac:dyDescent="0.3">
      <c r="B22">
        <v>713</v>
      </c>
      <c r="C22" s="23" t="s">
        <v>467</v>
      </c>
      <c r="D22">
        <v>-15</v>
      </c>
      <c r="E22">
        <v>400</v>
      </c>
      <c r="F22">
        <v>0</v>
      </c>
      <c r="G22">
        <v>5.5</v>
      </c>
    </row>
    <row r="23" spans="2:7" x14ac:dyDescent="0.3">
      <c r="B23">
        <v>714</v>
      </c>
      <c r="C23" s="23" t="s">
        <v>455</v>
      </c>
      <c r="D23">
        <v>-20</v>
      </c>
      <c r="E23">
        <v>400</v>
      </c>
      <c r="F23">
        <v>0</v>
      </c>
      <c r="G23">
        <v>5.5</v>
      </c>
    </row>
    <row r="24" spans="2:7" x14ac:dyDescent="0.3">
      <c r="B24">
        <v>715</v>
      </c>
      <c r="C24" s="23" t="s">
        <v>468</v>
      </c>
      <c r="D24">
        <v>-25</v>
      </c>
      <c r="E24">
        <v>400</v>
      </c>
      <c r="F24">
        <v>0</v>
      </c>
      <c r="G24">
        <v>5.5</v>
      </c>
    </row>
    <row r="25" spans="2:7" x14ac:dyDescent="0.3">
      <c r="B25">
        <v>716</v>
      </c>
      <c r="C25" s="23" t="s">
        <v>456</v>
      </c>
      <c r="D25">
        <v>-30</v>
      </c>
      <c r="E25">
        <v>400</v>
      </c>
      <c r="F25">
        <v>0</v>
      </c>
      <c r="G25">
        <v>5.5</v>
      </c>
    </row>
    <row r="26" spans="2:7" x14ac:dyDescent="0.3">
      <c r="B26">
        <v>717</v>
      </c>
      <c r="C26" s="23" t="s">
        <v>469</v>
      </c>
      <c r="D26">
        <v>-35</v>
      </c>
      <c r="E26">
        <v>400</v>
      </c>
      <c r="F26">
        <v>0</v>
      </c>
      <c r="G26">
        <v>5.5</v>
      </c>
    </row>
    <row r="27" spans="2:7" x14ac:dyDescent="0.3">
      <c r="B27">
        <v>718</v>
      </c>
      <c r="C27" s="23" t="s">
        <v>470</v>
      </c>
      <c r="D27">
        <v>-40</v>
      </c>
      <c r="E27">
        <v>400</v>
      </c>
      <c r="F27">
        <v>0</v>
      </c>
      <c r="G27">
        <v>5.5</v>
      </c>
    </row>
    <row r="28" spans="2:7" x14ac:dyDescent="0.3">
      <c r="B28">
        <v>719</v>
      </c>
      <c r="C28" s="23" t="s">
        <v>494</v>
      </c>
      <c r="D28">
        <v>0</v>
      </c>
      <c r="E28">
        <v>403</v>
      </c>
      <c r="F28">
        <v>0</v>
      </c>
      <c r="G28">
        <v>6</v>
      </c>
    </row>
    <row r="29" spans="2:7" x14ac:dyDescent="0.3">
      <c r="B29">
        <v>720</v>
      </c>
      <c r="C29" s="4" t="s">
        <v>367</v>
      </c>
      <c r="D29">
        <v>-35</v>
      </c>
      <c r="E29">
        <v>400</v>
      </c>
      <c r="F29">
        <v>0</v>
      </c>
      <c r="G29">
        <v>5.5</v>
      </c>
    </row>
    <row r="30" spans="2:7" x14ac:dyDescent="0.3">
      <c r="B30">
        <v>720</v>
      </c>
      <c r="C30" s="4" t="s">
        <v>367</v>
      </c>
      <c r="D30">
        <v>-25</v>
      </c>
      <c r="E30">
        <v>400</v>
      </c>
      <c r="F30">
        <v>0</v>
      </c>
      <c r="G30">
        <v>5.5</v>
      </c>
    </row>
    <row r="31" spans="2:7" x14ac:dyDescent="0.3">
      <c r="B31">
        <v>720</v>
      </c>
      <c r="C31" s="4" t="s">
        <v>367</v>
      </c>
      <c r="D31">
        <v>-15</v>
      </c>
      <c r="E31">
        <v>400</v>
      </c>
      <c r="F31">
        <v>0</v>
      </c>
      <c r="G31">
        <v>5.5</v>
      </c>
    </row>
    <row r="32" spans="2:7" x14ac:dyDescent="0.3">
      <c r="B32">
        <v>720</v>
      </c>
      <c r="C32" s="4" t="s">
        <v>367</v>
      </c>
      <c r="D32">
        <v>-5</v>
      </c>
      <c r="E32">
        <v>400</v>
      </c>
      <c r="F32">
        <v>0</v>
      </c>
      <c r="G32">
        <v>5.5</v>
      </c>
    </row>
    <row r="33" spans="2:7" x14ac:dyDescent="0.3">
      <c r="B33">
        <v>720</v>
      </c>
      <c r="C33" s="4" t="s">
        <v>367</v>
      </c>
      <c r="D33">
        <v>5</v>
      </c>
      <c r="E33">
        <v>400</v>
      </c>
      <c r="F33">
        <v>0</v>
      </c>
      <c r="G33">
        <v>5.5</v>
      </c>
    </row>
    <row r="34" spans="2:7" x14ac:dyDescent="0.3">
      <c r="B34">
        <v>720</v>
      </c>
      <c r="C34" s="4" t="s">
        <v>367</v>
      </c>
      <c r="D34">
        <v>15</v>
      </c>
      <c r="E34">
        <v>400</v>
      </c>
      <c r="F34">
        <v>0</v>
      </c>
      <c r="G34">
        <v>5.5</v>
      </c>
    </row>
    <row r="35" spans="2:7" x14ac:dyDescent="0.3">
      <c r="B35">
        <v>720</v>
      </c>
      <c r="C35" s="4" t="s">
        <v>367</v>
      </c>
      <c r="D35">
        <v>25</v>
      </c>
      <c r="E35">
        <v>400</v>
      </c>
      <c r="F35">
        <v>0</v>
      </c>
      <c r="G35">
        <v>5.5</v>
      </c>
    </row>
    <row r="36" spans="2:7" x14ac:dyDescent="0.3">
      <c r="B36">
        <v>720</v>
      </c>
      <c r="C36" s="4" t="s">
        <v>367</v>
      </c>
      <c r="D36">
        <v>35</v>
      </c>
      <c r="E36">
        <v>400</v>
      </c>
      <c r="F36">
        <v>0</v>
      </c>
      <c r="G36">
        <v>5.5</v>
      </c>
    </row>
    <row r="37" spans="2:7" x14ac:dyDescent="0.3">
      <c r="B37">
        <v>721</v>
      </c>
      <c r="C37" s="4" t="s">
        <v>244</v>
      </c>
      <c r="D37">
        <v>-26</v>
      </c>
      <c r="E37">
        <v>402</v>
      </c>
      <c r="F37">
        <v>0</v>
      </c>
      <c r="G37">
        <v>5.5</v>
      </c>
    </row>
    <row r="38" spans="2:7" x14ac:dyDescent="0.3">
      <c r="B38">
        <v>721</v>
      </c>
      <c r="C38" s="4" t="s">
        <v>244</v>
      </c>
      <c r="D38">
        <v>-12</v>
      </c>
      <c r="E38">
        <v>402</v>
      </c>
      <c r="F38">
        <v>0</v>
      </c>
      <c r="G38">
        <v>5.5</v>
      </c>
    </row>
    <row r="39" spans="2:7" x14ac:dyDescent="0.3">
      <c r="B39">
        <v>721</v>
      </c>
      <c r="C39" s="4" t="s">
        <v>244</v>
      </c>
      <c r="D39">
        <v>-7</v>
      </c>
      <c r="E39">
        <v>402</v>
      </c>
      <c r="F39">
        <v>0</v>
      </c>
      <c r="G39">
        <v>5.5</v>
      </c>
    </row>
    <row r="40" spans="2:7" x14ac:dyDescent="0.3">
      <c r="B40">
        <v>721</v>
      </c>
      <c r="C40" s="4" t="s">
        <v>244</v>
      </c>
      <c r="D40">
        <v>1</v>
      </c>
      <c r="E40">
        <v>402</v>
      </c>
      <c r="F40">
        <v>0</v>
      </c>
      <c r="G40">
        <v>5.5</v>
      </c>
    </row>
    <row r="41" spans="2:7" x14ac:dyDescent="0.3">
      <c r="B41">
        <v>721</v>
      </c>
      <c r="C41" s="4" t="s">
        <v>244</v>
      </c>
      <c r="D41">
        <v>5</v>
      </c>
      <c r="E41">
        <v>402</v>
      </c>
      <c r="F41">
        <v>0</v>
      </c>
      <c r="G41">
        <v>5.5</v>
      </c>
    </row>
    <row r="42" spans="2:7" x14ac:dyDescent="0.3">
      <c r="B42">
        <v>721</v>
      </c>
      <c r="C42" s="4" t="s">
        <v>244</v>
      </c>
      <c r="D42">
        <v>10</v>
      </c>
      <c r="E42">
        <v>402</v>
      </c>
      <c r="F42">
        <v>0</v>
      </c>
      <c r="G42">
        <v>5.5</v>
      </c>
    </row>
    <row r="43" spans="2:7" x14ac:dyDescent="0.3">
      <c r="B43">
        <v>721</v>
      </c>
      <c r="C43" s="4" t="s">
        <v>244</v>
      </c>
      <c r="D43">
        <v>14</v>
      </c>
      <c r="E43">
        <v>402</v>
      </c>
      <c r="F43">
        <v>0</v>
      </c>
      <c r="G43">
        <v>5.5</v>
      </c>
    </row>
    <row r="44" spans="2:7" x14ac:dyDescent="0.3">
      <c r="B44">
        <v>721</v>
      </c>
      <c r="C44" s="4" t="s">
        <v>244</v>
      </c>
      <c r="D44">
        <v>22</v>
      </c>
      <c r="E44">
        <v>402</v>
      </c>
      <c r="F44">
        <v>0</v>
      </c>
      <c r="G44">
        <v>5.5</v>
      </c>
    </row>
    <row r="45" spans="2:7" x14ac:dyDescent="0.3">
      <c r="B45">
        <v>722</v>
      </c>
      <c r="C45" s="4" t="s">
        <v>257</v>
      </c>
      <c r="D45">
        <v>28</v>
      </c>
      <c r="E45">
        <v>402</v>
      </c>
      <c r="F45">
        <v>0</v>
      </c>
      <c r="G45">
        <v>5.5</v>
      </c>
    </row>
    <row r="46" spans="2:7" x14ac:dyDescent="0.3">
      <c r="B46">
        <v>722</v>
      </c>
      <c r="C46" s="4" t="s">
        <v>257</v>
      </c>
      <c r="D46">
        <v>12</v>
      </c>
      <c r="E46">
        <v>402</v>
      </c>
      <c r="F46">
        <v>0</v>
      </c>
      <c r="G46">
        <v>5.5</v>
      </c>
    </row>
    <row r="47" spans="2:7" x14ac:dyDescent="0.3">
      <c r="B47">
        <v>722</v>
      </c>
      <c r="C47" s="4" t="s">
        <v>257</v>
      </c>
      <c r="D47">
        <v>0</v>
      </c>
      <c r="E47">
        <v>402</v>
      </c>
      <c r="F47">
        <v>0</v>
      </c>
      <c r="G47">
        <v>5.5</v>
      </c>
    </row>
    <row r="48" spans="2:7" x14ac:dyDescent="0.3">
      <c r="B48">
        <v>722</v>
      </c>
      <c r="C48" s="4" t="s">
        <v>257</v>
      </c>
      <c r="D48">
        <v>-21</v>
      </c>
      <c r="E48">
        <v>402</v>
      </c>
      <c r="F48">
        <v>0</v>
      </c>
      <c r="G48">
        <v>5.5</v>
      </c>
    </row>
    <row r="49" spans="2:7" x14ac:dyDescent="0.3">
      <c r="B49">
        <v>722</v>
      </c>
      <c r="C49" s="4" t="s">
        <v>257</v>
      </c>
      <c r="D49">
        <v>24</v>
      </c>
      <c r="E49">
        <v>402</v>
      </c>
      <c r="F49">
        <v>0</v>
      </c>
      <c r="G49">
        <v>5.5</v>
      </c>
    </row>
    <row r="50" spans="2:7" x14ac:dyDescent="0.3">
      <c r="B50">
        <v>722</v>
      </c>
      <c r="C50" s="4" t="s">
        <v>257</v>
      </c>
      <c r="D50">
        <v>26</v>
      </c>
      <c r="E50">
        <v>402</v>
      </c>
      <c r="F50">
        <v>0</v>
      </c>
      <c r="G50">
        <v>5.5</v>
      </c>
    </row>
    <row r="51" spans="2:7" x14ac:dyDescent="0.3">
      <c r="B51">
        <v>722</v>
      </c>
      <c r="C51" s="4" t="s">
        <v>257</v>
      </c>
      <c r="D51">
        <v>-23</v>
      </c>
      <c r="E51">
        <v>402</v>
      </c>
      <c r="F51">
        <v>0</v>
      </c>
      <c r="G51">
        <v>5.5</v>
      </c>
    </row>
    <row r="52" spans="2:7" x14ac:dyDescent="0.3">
      <c r="B52">
        <v>722</v>
      </c>
      <c r="C52" s="4" t="s">
        <v>257</v>
      </c>
      <c r="D52">
        <v>-17</v>
      </c>
      <c r="E52">
        <v>402</v>
      </c>
      <c r="F52">
        <v>0</v>
      </c>
      <c r="G52">
        <v>5.5</v>
      </c>
    </row>
    <row r="53" spans="2:7" x14ac:dyDescent="0.3">
      <c r="B53">
        <v>723</v>
      </c>
      <c r="C53" s="4" t="s">
        <v>248</v>
      </c>
      <c r="D53">
        <v>-5</v>
      </c>
      <c r="E53">
        <v>402</v>
      </c>
      <c r="F53">
        <v>0</v>
      </c>
      <c r="G53">
        <v>5.5</v>
      </c>
    </row>
    <row r="54" spans="2:7" x14ac:dyDescent="0.3">
      <c r="B54">
        <v>723</v>
      </c>
      <c r="C54" s="4" t="s">
        <v>248</v>
      </c>
      <c r="D54">
        <v>-17</v>
      </c>
      <c r="E54">
        <v>402</v>
      </c>
      <c r="F54">
        <v>0</v>
      </c>
      <c r="G54">
        <v>5.5</v>
      </c>
    </row>
    <row r="55" spans="2:7" x14ac:dyDescent="0.3">
      <c r="B55">
        <v>723</v>
      </c>
      <c r="C55" s="4" t="s">
        <v>248</v>
      </c>
      <c r="D55">
        <v>-10</v>
      </c>
      <c r="E55">
        <v>402</v>
      </c>
      <c r="F55">
        <v>0</v>
      </c>
      <c r="G55">
        <v>5.5</v>
      </c>
    </row>
    <row r="56" spans="2:7" x14ac:dyDescent="0.3">
      <c r="B56">
        <v>723</v>
      </c>
      <c r="C56" s="4" t="s">
        <v>248</v>
      </c>
      <c r="D56">
        <v>3</v>
      </c>
      <c r="E56">
        <v>402</v>
      </c>
      <c r="F56">
        <v>0</v>
      </c>
      <c r="G56">
        <v>5.5</v>
      </c>
    </row>
    <row r="57" spans="2:7" x14ac:dyDescent="0.3">
      <c r="B57">
        <v>723</v>
      </c>
      <c r="C57" s="4" t="s">
        <v>248</v>
      </c>
      <c r="D57">
        <v>15</v>
      </c>
      <c r="E57">
        <v>402</v>
      </c>
      <c r="F57">
        <v>0</v>
      </c>
      <c r="G57">
        <v>5.5</v>
      </c>
    </row>
    <row r="58" spans="2:7" x14ac:dyDescent="0.3">
      <c r="B58">
        <v>723</v>
      </c>
      <c r="C58" s="4" t="s">
        <v>248</v>
      </c>
      <c r="D58">
        <v>23</v>
      </c>
      <c r="E58">
        <v>402</v>
      </c>
      <c r="F58">
        <v>0</v>
      </c>
      <c r="G58">
        <v>5.5</v>
      </c>
    </row>
    <row r="59" spans="2:7" x14ac:dyDescent="0.3">
      <c r="B59">
        <v>723</v>
      </c>
      <c r="C59" s="4" t="s">
        <v>248</v>
      </c>
      <c r="D59">
        <v>-4</v>
      </c>
      <c r="E59">
        <v>402</v>
      </c>
      <c r="F59">
        <v>0</v>
      </c>
      <c r="G59">
        <v>5.5</v>
      </c>
    </row>
    <row r="60" spans="2:7" x14ac:dyDescent="0.3">
      <c r="B60">
        <v>723</v>
      </c>
      <c r="C60" s="4" t="s">
        <v>248</v>
      </c>
      <c r="D60">
        <v>-8</v>
      </c>
      <c r="E60">
        <v>402</v>
      </c>
      <c r="F60">
        <v>0</v>
      </c>
      <c r="G60">
        <v>5.5</v>
      </c>
    </row>
    <row r="61" spans="2:7" x14ac:dyDescent="0.3">
      <c r="B61">
        <v>724</v>
      </c>
      <c r="C61" s="4" t="s">
        <v>169</v>
      </c>
      <c r="D61">
        <v>-30</v>
      </c>
      <c r="E61">
        <v>402</v>
      </c>
      <c r="F61">
        <v>0</v>
      </c>
      <c r="G61">
        <v>6.5</v>
      </c>
    </row>
    <row r="62" spans="2:7" x14ac:dyDescent="0.3">
      <c r="B62">
        <v>724</v>
      </c>
      <c r="C62" s="4" t="s">
        <v>169</v>
      </c>
      <c r="D62">
        <v>0</v>
      </c>
      <c r="E62">
        <v>402</v>
      </c>
      <c r="F62">
        <v>0</v>
      </c>
      <c r="G62">
        <v>6.5</v>
      </c>
    </row>
    <row r="63" spans="2:7" x14ac:dyDescent="0.3">
      <c r="B63">
        <v>724</v>
      </c>
      <c r="C63" s="4" t="s">
        <v>169</v>
      </c>
      <c r="D63">
        <v>30</v>
      </c>
      <c r="E63">
        <v>402</v>
      </c>
      <c r="F63">
        <v>0</v>
      </c>
      <c r="G63">
        <v>6.5</v>
      </c>
    </row>
    <row r="64" spans="2:7" x14ac:dyDescent="0.3">
      <c r="B64">
        <v>725</v>
      </c>
      <c r="C64" s="23" t="s">
        <v>451</v>
      </c>
      <c r="D64">
        <v>0</v>
      </c>
      <c r="E64">
        <v>401</v>
      </c>
      <c r="F64">
        <v>0</v>
      </c>
      <c r="G64">
        <v>6.5</v>
      </c>
    </row>
    <row r="65" spans="2:7" x14ac:dyDescent="0.3">
      <c r="B65">
        <v>725</v>
      </c>
      <c r="C65" s="23" t="s">
        <v>451</v>
      </c>
      <c r="D65">
        <v>90</v>
      </c>
      <c r="E65">
        <v>401</v>
      </c>
      <c r="F65">
        <v>0</v>
      </c>
      <c r="G65">
        <v>6.5</v>
      </c>
    </row>
    <row r="66" spans="2:7" x14ac:dyDescent="0.3">
      <c r="B66">
        <v>725</v>
      </c>
      <c r="C66" s="23" t="s">
        <v>450</v>
      </c>
      <c r="D66">
        <v>180</v>
      </c>
      <c r="E66">
        <v>401</v>
      </c>
      <c r="F66">
        <v>0</v>
      </c>
      <c r="G66">
        <v>6.5</v>
      </c>
    </row>
    <row r="67" spans="2:7" x14ac:dyDescent="0.3">
      <c r="B67">
        <v>725</v>
      </c>
      <c r="C67" s="23" t="s">
        <v>450</v>
      </c>
      <c r="D67">
        <v>-90</v>
      </c>
      <c r="E67">
        <v>401</v>
      </c>
      <c r="F67">
        <v>0</v>
      </c>
      <c r="G67">
        <v>6.5</v>
      </c>
    </row>
    <row r="68" spans="2:7" x14ac:dyDescent="0.3">
      <c r="B68">
        <v>725</v>
      </c>
      <c r="C68" s="23" t="s">
        <v>450</v>
      </c>
      <c r="D68">
        <v>45</v>
      </c>
      <c r="E68">
        <v>401</v>
      </c>
      <c r="F68">
        <v>0</v>
      </c>
      <c r="G68">
        <v>6.5</v>
      </c>
    </row>
    <row r="69" spans="2:7" x14ac:dyDescent="0.3">
      <c r="B69">
        <v>725</v>
      </c>
      <c r="C69" s="23" t="s">
        <v>450</v>
      </c>
      <c r="D69">
        <v>-45</v>
      </c>
      <c r="E69">
        <v>401</v>
      </c>
      <c r="F69">
        <v>0</v>
      </c>
      <c r="G69">
        <v>6.5</v>
      </c>
    </row>
    <row r="70" spans="2:7" x14ac:dyDescent="0.3">
      <c r="B70">
        <v>725</v>
      </c>
      <c r="C70" s="23" t="s">
        <v>450</v>
      </c>
      <c r="D70">
        <v>135</v>
      </c>
      <c r="E70">
        <v>401</v>
      </c>
      <c r="F70">
        <v>0</v>
      </c>
      <c r="G70">
        <v>6.5</v>
      </c>
    </row>
    <row r="71" spans="2:7" x14ac:dyDescent="0.3">
      <c r="B71">
        <v>725</v>
      </c>
      <c r="C71" s="23" t="s">
        <v>450</v>
      </c>
      <c r="D71">
        <v>-135</v>
      </c>
      <c r="E71">
        <v>401</v>
      </c>
      <c r="F71">
        <v>0</v>
      </c>
      <c r="G71">
        <v>6.5</v>
      </c>
    </row>
    <row r="72" spans="2:7" x14ac:dyDescent="0.3">
      <c r="B72">
        <v>726</v>
      </c>
      <c r="C72" s="29" t="s">
        <v>359</v>
      </c>
      <c r="D72">
        <v>0</v>
      </c>
      <c r="E72">
        <v>404</v>
      </c>
      <c r="F72">
        <v>1</v>
      </c>
      <c r="G72">
        <v>6.5</v>
      </c>
    </row>
    <row r="73" spans="2:7" x14ac:dyDescent="0.3">
      <c r="B73">
        <v>727</v>
      </c>
      <c r="C73" s="24" t="s">
        <v>551</v>
      </c>
      <c r="D73">
        <v>0</v>
      </c>
      <c r="E73">
        <v>401</v>
      </c>
      <c r="F73">
        <v>0</v>
      </c>
      <c r="G73">
        <v>6.5</v>
      </c>
    </row>
    <row r="74" spans="2:7" x14ac:dyDescent="0.3">
      <c r="B74">
        <v>727</v>
      </c>
      <c r="C74" s="24" t="s">
        <v>551</v>
      </c>
      <c r="D74">
        <v>90</v>
      </c>
      <c r="E74">
        <v>401</v>
      </c>
      <c r="F74">
        <v>0</v>
      </c>
      <c r="G74">
        <v>6.5</v>
      </c>
    </row>
    <row r="75" spans="2:7" x14ac:dyDescent="0.3">
      <c r="B75">
        <v>727</v>
      </c>
      <c r="C75" s="24" t="s">
        <v>550</v>
      </c>
      <c r="D75">
        <v>180</v>
      </c>
      <c r="E75">
        <v>401</v>
      </c>
      <c r="F75">
        <v>0</v>
      </c>
      <c r="G75">
        <v>6.5</v>
      </c>
    </row>
    <row r="76" spans="2:7" x14ac:dyDescent="0.3">
      <c r="B76">
        <v>727</v>
      </c>
      <c r="C76" s="24" t="s">
        <v>550</v>
      </c>
      <c r="D76">
        <v>-90</v>
      </c>
      <c r="E76">
        <v>401</v>
      </c>
      <c r="F76">
        <v>0</v>
      </c>
      <c r="G76">
        <v>6.5</v>
      </c>
    </row>
    <row r="77" spans="2:7" x14ac:dyDescent="0.3">
      <c r="B77">
        <v>727</v>
      </c>
      <c r="C77" s="24" t="s">
        <v>550</v>
      </c>
      <c r="D77">
        <v>45</v>
      </c>
      <c r="E77">
        <v>401</v>
      </c>
      <c r="F77">
        <v>0</v>
      </c>
      <c r="G77">
        <v>6.5</v>
      </c>
    </row>
    <row r="78" spans="2:7" x14ac:dyDescent="0.3">
      <c r="B78">
        <v>727</v>
      </c>
      <c r="C78" s="24" t="s">
        <v>550</v>
      </c>
      <c r="D78">
        <v>-45</v>
      </c>
      <c r="E78">
        <v>401</v>
      </c>
      <c r="F78">
        <v>0</v>
      </c>
      <c r="G78">
        <v>6.5</v>
      </c>
    </row>
    <row r="79" spans="2:7" x14ac:dyDescent="0.3">
      <c r="B79">
        <v>727</v>
      </c>
      <c r="C79" s="24" t="s">
        <v>550</v>
      </c>
      <c r="D79">
        <v>135</v>
      </c>
      <c r="E79">
        <v>401</v>
      </c>
      <c r="F79">
        <v>0</v>
      </c>
      <c r="G79">
        <v>6.5</v>
      </c>
    </row>
    <row r="80" spans="2:7" x14ac:dyDescent="0.3">
      <c r="B80">
        <v>727</v>
      </c>
      <c r="C80" s="24" t="s">
        <v>550</v>
      </c>
      <c r="D80">
        <v>-135</v>
      </c>
      <c r="E80">
        <v>401</v>
      </c>
      <c r="F80">
        <v>0</v>
      </c>
      <c r="G80">
        <v>6.5</v>
      </c>
    </row>
    <row r="81" spans="2:7" x14ac:dyDescent="0.3">
      <c r="B81">
        <v>727</v>
      </c>
      <c r="C81" s="24" t="s">
        <v>551</v>
      </c>
      <c r="D81">
        <v>22.5</v>
      </c>
      <c r="E81">
        <v>401</v>
      </c>
      <c r="F81">
        <v>0</v>
      </c>
      <c r="G81">
        <v>6.5</v>
      </c>
    </row>
    <row r="82" spans="2:7" x14ac:dyDescent="0.3">
      <c r="B82">
        <v>727</v>
      </c>
      <c r="C82" s="24" t="s">
        <v>551</v>
      </c>
      <c r="D82">
        <v>112.5</v>
      </c>
      <c r="E82">
        <v>401</v>
      </c>
      <c r="F82">
        <v>0</v>
      </c>
      <c r="G82">
        <v>6.5</v>
      </c>
    </row>
    <row r="83" spans="2:7" x14ac:dyDescent="0.3">
      <c r="B83">
        <v>727</v>
      </c>
      <c r="C83" s="24" t="s">
        <v>550</v>
      </c>
      <c r="D83">
        <v>202.5</v>
      </c>
      <c r="E83">
        <v>401</v>
      </c>
      <c r="F83">
        <v>0</v>
      </c>
      <c r="G83">
        <v>6.5</v>
      </c>
    </row>
    <row r="84" spans="2:7" x14ac:dyDescent="0.3">
      <c r="B84">
        <v>727</v>
      </c>
      <c r="C84" s="24" t="s">
        <v>550</v>
      </c>
      <c r="D84">
        <v>-67.5</v>
      </c>
      <c r="E84">
        <v>401</v>
      </c>
      <c r="F84">
        <v>0</v>
      </c>
      <c r="G84">
        <v>6.5</v>
      </c>
    </row>
    <row r="85" spans="2:7" x14ac:dyDescent="0.3">
      <c r="B85">
        <v>727</v>
      </c>
      <c r="C85" s="24" t="s">
        <v>550</v>
      </c>
      <c r="D85">
        <v>67.5</v>
      </c>
      <c r="E85">
        <v>401</v>
      </c>
      <c r="F85">
        <v>0</v>
      </c>
      <c r="G85">
        <v>6.5</v>
      </c>
    </row>
    <row r="86" spans="2:7" x14ac:dyDescent="0.3">
      <c r="B86">
        <v>727</v>
      </c>
      <c r="C86" s="24" t="s">
        <v>550</v>
      </c>
      <c r="D86">
        <v>-22.5</v>
      </c>
      <c r="E86">
        <v>401</v>
      </c>
      <c r="F86">
        <v>0</v>
      </c>
      <c r="G86">
        <v>6.5</v>
      </c>
    </row>
    <row r="87" spans="2:7" x14ac:dyDescent="0.3">
      <c r="B87">
        <v>727</v>
      </c>
      <c r="C87" s="24" t="s">
        <v>550</v>
      </c>
      <c r="D87">
        <v>157.5</v>
      </c>
      <c r="E87">
        <v>401</v>
      </c>
      <c r="F87">
        <v>0</v>
      </c>
      <c r="G87">
        <v>6.5</v>
      </c>
    </row>
    <row r="88" spans="2:7" x14ac:dyDescent="0.3">
      <c r="B88">
        <v>727</v>
      </c>
      <c r="C88" s="24" t="s">
        <v>550</v>
      </c>
      <c r="D88">
        <v>-112.5</v>
      </c>
      <c r="E88">
        <v>401</v>
      </c>
      <c r="F88">
        <v>0</v>
      </c>
      <c r="G88">
        <v>6.5</v>
      </c>
    </row>
    <row r="89" spans="2:7" x14ac:dyDescent="0.3">
      <c r="B89">
        <v>999</v>
      </c>
      <c r="C89" s="28" t="s">
        <v>489</v>
      </c>
      <c r="D89">
        <v>0</v>
      </c>
      <c r="E89">
        <v>999</v>
      </c>
      <c r="F89">
        <v>8</v>
      </c>
      <c r="G89">
        <v>15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1"/>
  <sheetViews>
    <sheetView zoomScaleNormal="75" zoomScaleSheetLayoutView="100" workbookViewId="0">
      <selection activeCell="E11" sqref="E11"/>
    </sheetView>
  </sheetViews>
  <sheetFormatPr defaultColWidth="8.875" defaultRowHeight="16.5" x14ac:dyDescent="0.3"/>
  <cols>
    <col min="2" max="2" width="8.625" bestFit="1" customWidth="1"/>
    <col min="3" max="3" width="11.375" bestFit="1" customWidth="1"/>
    <col min="4" max="4" width="11.625" bestFit="1" customWidth="1"/>
    <col min="5" max="5" width="14" bestFit="1" customWidth="1"/>
    <col min="6" max="6" width="13.375" bestFit="1" customWidth="1"/>
    <col min="7" max="7" width="29.625" customWidth="1"/>
  </cols>
  <sheetData>
    <row r="1" spans="2:7" x14ac:dyDescent="0.3">
      <c r="B1" t="s">
        <v>48</v>
      </c>
      <c r="C1" t="s">
        <v>51</v>
      </c>
      <c r="D1" t="s">
        <v>136</v>
      </c>
      <c r="E1" t="s">
        <v>103</v>
      </c>
      <c r="F1" t="s">
        <v>48</v>
      </c>
      <c r="G1" t="s">
        <v>102</v>
      </c>
    </row>
    <row r="2" spans="2:7" x14ac:dyDescent="0.3">
      <c r="B2" t="s">
        <v>78</v>
      </c>
      <c r="C2" s="6" t="s">
        <v>45</v>
      </c>
      <c r="D2" t="s">
        <v>355</v>
      </c>
      <c r="E2" t="s">
        <v>183</v>
      </c>
      <c r="F2" t="s">
        <v>325</v>
      </c>
      <c r="G2" t="s">
        <v>332</v>
      </c>
    </row>
    <row r="3" spans="2:7" x14ac:dyDescent="0.3">
      <c r="B3">
        <v>200</v>
      </c>
      <c r="C3" s="4" t="s">
        <v>41</v>
      </c>
      <c r="D3" t="b">
        <v>1</v>
      </c>
      <c r="E3">
        <v>0.8</v>
      </c>
      <c r="F3">
        <v>25</v>
      </c>
      <c r="G3" t="s">
        <v>395</v>
      </c>
    </row>
    <row r="4" spans="2:7" x14ac:dyDescent="0.3">
      <c r="B4">
        <v>500</v>
      </c>
      <c r="C4" s="4" t="s">
        <v>42</v>
      </c>
      <c r="D4" s="3" t="b">
        <v>0</v>
      </c>
      <c r="E4">
        <v>1</v>
      </c>
      <c r="F4">
        <v>60</v>
      </c>
      <c r="G4" t="s">
        <v>393</v>
      </c>
    </row>
    <row r="5" spans="2:7" x14ac:dyDescent="0.3">
      <c r="B5">
        <v>501</v>
      </c>
      <c r="C5" s="4" t="s">
        <v>163</v>
      </c>
      <c r="D5" s="3" t="b">
        <v>0</v>
      </c>
      <c r="E5">
        <v>1</v>
      </c>
      <c r="F5">
        <v>60</v>
      </c>
      <c r="G5" t="s">
        <v>393</v>
      </c>
    </row>
    <row r="6" spans="2:7" x14ac:dyDescent="0.3">
      <c r="B6">
        <v>400</v>
      </c>
      <c r="C6" s="4" t="s">
        <v>137</v>
      </c>
      <c r="D6" s="3" t="b">
        <v>0</v>
      </c>
      <c r="E6">
        <v>0.25</v>
      </c>
      <c r="F6">
        <v>25</v>
      </c>
      <c r="G6" t="s">
        <v>393</v>
      </c>
    </row>
    <row r="7" spans="2:7" x14ac:dyDescent="0.3">
      <c r="B7">
        <v>401</v>
      </c>
      <c r="C7" s="4" t="s">
        <v>368</v>
      </c>
      <c r="D7" s="3" t="b">
        <v>1</v>
      </c>
      <c r="E7">
        <v>0.25</v>
      </c>
      <c r="F7">
        <v>25</v>
      </c>
      <c r="G7" t="s">
        <v>393</v>
      </c>
    </row>
    <row r="8" spans="2:7" x14ac:dyDescent="0.3">
      <c r="B8">
        <v>402</v>
      </c>
      <c r="C8" s="4" t="s">
        <v>134</v>
      </c>
      <c r="D8" s="3" t="b">
        <v>0</v>
      </c>
      <c r="E8">
        <v>0.4</v>
      </c>
      <c r="F8">
        <v>25</v>
      </c>
      <c r="G8" t="s">
        <v>393</v>
      </c>
    </row>
    <row r="9" spans="2:7" x14ac:dyDescent="0.3">
      <c r="B9">
        <v>403</v>
      </c>
      <c r="C9" s="23" t="s">
        <v>495</v>
      </c>
      <c r="D9" s="3" t="b">
        <v>0</v>
      </c>
      <c r="E9">
        <v>0.8</v>
      </c>
      <c r="F9">
        <v>25</v>
      </c>
      <c r="G9" t="s">
        <v>393</v>
      </c>
    </row>
    <row r="10" spans="2:7" x14ac:dyDescent="0.3">
      <c r="B10">
        <v>404</v>
      </c>
      <c r="C10" s="23" t="s">
        <v>496</v>
      </c>
      <c r="D10" s="3" t="b">
        <v>1</v>
      </c>
      <c r="E10">
        <v>0.8</v>
      </c>
      <c r="F10">
        <v>25</v>
      </c>
      <c r="G10" t="s">
        <v>393</v>
      </c>
    </row>
    <row r="11" spans="2:7" x14ac:dyDescent="0.3">
      <c r="B11">
        <v>999</v>
      </c>
      <c r="C11" s="28" t="s">
        <v>490</v>
      </c>
      <c r="D11" t="b">
        <v>1</v>
      </c>
      <c r="E11">
        <v>1</v>
      </c>
      <c r="F11">
        <v>25</v>
      </c>
      <c r="G11" s="26" t="s">
        <v>541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Q27"/>
  <sheetViews>
    <sheetView zoomScaleNormal="75" zoomScaleSheetLayoutView="100" workbookViewId="0">
      <selection activeCell="C23" sqref="C23"/>
    </sheetView>
  </sheetViews>
  <sheetFormatPr defaultColWidth="8.875" defaultRowHeight="16.5" x14ac:dyDescent="0.3"/>
  <cols>
    <col min="2" max="2" width="8.625" bestFit="1" customWidth="1"/>
    <col min="3" max="3" width="15.125" customWidth="1"/>
    <col min="4" max="4" width="94.625" customWidth="1"/>
    <col min="5" max="5" width="13.375" bestFit="1" customWidth="1"/>
    <col min="6" max="6" width="18.5" bestFit="1" customWidth="1"/>
    <col min="7" max="9" width="18.5" customWidth="1"/>
    <col min="10" max="10" width="35.625" bestFit="1" customWidth="1"/>
    <col min="11" max="11" width="17.875" bestFit="1" customWidth="1"/>
    <col min="12" max="12" width="97" customWidth="1"/>
    <col min="13" max="13" width="44.625" customWidth="1"/>
    <col min="14" max="14" width="24.375" customWidth="1"/>
    <col min="15" max="16" width="64.5" customWidth="1"/>
  </cols>
  <sheetData>
    <row r="1" spans="2:17" x14ac:dyDescent="0.3">
      <c r="B1" t="s">
        <v>53</v>
      </c>
      <c r="C1" t="s">
        <v>79</v>
      </c>
      <c r="D1" t="s">
        <v>79</v>
      </c>
      <c r="E1" t="s">
        <v>79</v>
      </c>
      <c r="F1" t="s">
        <v>48</v>
      </c>
      <c r="G1" t="s">
        <v>48</v>
      </c>
      <c r="H1" t="s">
        <v>48</v>
      </c>
      <c r="I1" t="s">
        <v>48</v>
      </c>
      <c r="J1" t="s">
        <v>102</v>
      </c>
      <c r="K1" t="s">
        <v>51</v>
      </c>
    </row>
    <row r="2" spans="2:17" x14ac:dyDescent="0.3">
      <c r="B2" t="s">
        <v>78</v>
      </c>
      <c r="C2" t="s">
        <v>82</v>
      </c>
      <c r="D2" t="s">
        <v>178</v>
      </c>
      <c r="E2" t="s">
        <v>304</v>
      </c>
      <c r="F2" t="s">
        <v>91</v>
      </c>
      <c r="G2" t="s">
        <v>95</v>
      </c>
      <c r="H2" t="s">
        <v>305</v>
      </c>
      <c r="I2" t="s">
        <v>16</v>
      </c>
      <c r="J2" t="s">
        <v>208</v>
      </c>
      <c r="K2" s="6" t="s">
        <v>383</v>
      </c>
      <c r="L2" s="1" t="s">
        <v>51</v>
      </c>
      <c r="M2" s="1" t="s">
        <v>427</v>
      </c>
      <c r="N2" s="1" t="s">
        <v>428</v>
      </c>
      <c r="O2" s="1" t="s">
        <v>429</v>
      </c>
      <c r="P2" s="34" t="s">
        <v>533</v>
      </c>
      <c r="Q2" s="34" t="s">
        <v>520</v>
      </c>
    </row>
    <row r="3" spans="2:17" x14ac:dyDescent="0.3">
      <c r="B3">
        <f t="array" ref="B3">_xlfn.IFS(ItemTable[[#This Row],[GradeType]]="Hp",IF(E2=ItemTable[[#This Row],[GradeType]],B2+1,10),ItemTable[[#This Row],[GradeType]]="Gold",IF(E2=ItemTable[[#This Row],[GradeType]],B2+1,20),ItemTable[[#This Row],[GradeType]]="Weapon",IF(E2=ItemTable[[#This Row],[GradeType]],B2+1,1000),ItemTable[[#This Row],[GradeType]]="Normal",IF(E2=ItemTable[[#This Row],[GradeType]],B2+1,2000),ItemTable[[#This Row],[GradeType]]="Rare",IF(E2=ItemTable[[#This Row],[GradeType]],B2+1,3000),ItemTable[[#This Row],[GradeType]]="Cursed",IF(E2=ItemTable[[#This Row],[GradeType]],B2+1,4000))</f>
        <v>10</v>
      </c>
      <c r="E3" t="s">
        <v>50</v>
      </c>
      <c r="F3">
        <v>25</v>
      </c>
      <c r="G3">
        <f>INDEX(아이템가격[],MATCH(MID(ItemTable[[#Headers],[CostHp]],5,10),아이템가격[재화],0),MATCH(ItemTable[[#This Row],[GradeType]],아이템가격[#Headers],0))*ItemTable[[#This Row],[Value]]</f>
        <v>0</v>
      </c>
      <c r="H3">
        <v>10</v>
      </c>
      <c r="I3">
        <f t="array" ref="I3">_xlfn.IFS(OR(ItemTable[[#This Row],[GradeType]]="Hp",ItemTable[[#This Row],[GradeType]]="Gold"),0,TRUE,5000+ItemTable[[#This Row],[Index]])</f>
        <v>0</v>
      </c>
      <c r="K3" s="4" t="e">
        <f>MID(ItemTable[[#This Row],[ItemIconPath]],FIND("icon",ItemTable[[#This Row],[ItemIconPath]]),999)</f>
        <v>#VALUE!</v>
      </c>
      <c r="L3" s="20"/>
      <c r="M3" s="20"/>
      <c r="N3" s="20"/>
      <c r="O3" s="20"/>
      <c r="P3" s="20"/>
      <c r="Q3" s="20" t="str">
        <f>IF(ItemTable[[#This Row],['#4]]=ItemTable[[#This Row],[Desc]],"T","F")</f>
        <v>T</v>
      </c>
    </row>
    <row r="4" spans="2:17" x14ac:dyDescent="0.3">
      <c r="B4">
        <f t="array" ref="B4">_xlfn.IFS(ItemTable[[#This Row],[GradeType]]="Hp",IF(E3=ItemTable[[#This Row],[GradeType]],B3+1,10),ItemTable[[#This Row],[GradeType]]="Gold",IF(E3=ItemTable[[#This Row],[GradeType]],B3+1,20),ItemTable[[#This Row],[GradeType]]="Weapon",IF(E3=ItemTable[[#This Row],[GradeType]],B3+1,1000),ItemTable[[#This Row],[GradeType]]="Normal",IF(E3=ItemTable[[#This Row],[GradeType]],B3+1,2000),ItemTable[[#This Row],[GradeType]]="Rare",IF(E3=ItemTable[[#This Row],[GradeType]],B3+1,3000),ItemTable[[#This Row],[GradeType]]="Cursed",IF(E3=ItemTable[[#This Row],[GradeType]],B3+1,4000))</f>
        <v>11</v>
      </c>
      <c r="E4" t="s">
        <v>50</v>
      </c>
      <c r="F4">
        <v>50</v>
      </c>
      <c r="G4">
        <f>INDEX(아이템가격[],MATCH(MID(ItemTable[[#Headers],[CostHp]],5,10),아이템가격[재화],0),MATCH(ItemTable[[#This Row],[GradeType]],아이템가격[#Headers],0))*ItemTable[[#This Row],[Value]]</f>
        <v>0</v>
      </c>
      <c r="H4">
        <v>20</v>
      </c>
      <c r="I4">
        <f t="array" ref="I4">_xlfn.IFS(OR(ItemTable[[#This Row],[GradeType]]="Hp",ItemTable[[#This Row],[GradeType]]="Gold"),0,TRUE,5000+ItemTable[[#This Row],[Index]])</f>
        <v>0</v>
      </c>
      <c r="K4" s="4" t="e">
        <f>MID(ItemTable[[#This Row],[ItemIconPath]],FIND("icon",ItemTable[[#This Row],[ItemIconPath]]),999)</f>
        <v>#VALUE!</v>
      </c>
      <c r="L4" s="20"/>
      <c r="M4" s="20"/>
      <c r="N4" s="20"/>
      <c r="O4" s="20"/>
      <c r="P4" s="20"/>
      <c r="Q4" s="20" t="str">
        <f>IF(ItemTable[[#This Row],['#4]]=ItemTable[[#This Row],[Desc]],"T","F")</f>
        <v>T</v>
      </c>
    </row>
    <row r="5" spans="2:17" x14ac:dyDescent="0.3">
      <c r="B5">
        <f t="array" ref="B5">_xlfn.IFS(ItemTable[[#This Row],[GradeType]]="Hp",IF(E4=ItemTable[[#This Row],[GradeType]],B4+1,10),ItemTable[[#This Row],[GradeType]]="Gold",IF(E4=ItemTable[[#This Row],[GradeType]],B4+1,20),ItemTable[[#This Row],[GradeType]]="Weapon",IF(E4=ItemTable[[#This Row],[GradeType]],B4+1,1000),ItemTable[[#This Row],[GradeType]]="Normal",IF(E4=ItemTable[[#This Row],[GradeType]],B4+1,2000),ItemTable[[#This Row],[GradeType]]="Rare",IF(E4=ItemTable[[#This Row],[GradeType]],B4+1,3000),ItemTable[[#This Row],[GradeType]]="Cursed",IF(E4=ItemTable[[#This Row],[GradeType]],B4+1,4000))</f>
        <v>20</v>
      </c>
      <c r="E5" t="s">
        <v>96</v>
      </c>
      <c r="F5">
        <v>15</v>
      </c>
      <c r="G5">
        <v>25</v>
      </c>
      <c r="H5">
        <f>INDEX(아이템가격[],MATCH(MID(ItemTable[[#Headers],[CostGold]],5,10),아이템가격[재화],0),MATCH(ItemTable[[#This Row],[GradeType]],아이템가격[#Headers],0))*ItemTable[[#This Row],[Value]]</f>
        <v>0</v>
      </c>
      <c r="I5">
        <f t="array" ref="I5">_xlfn.IFS(OR(ItemTable[[#This Row],[GradeType]]="Hp",ItemTable[[#This Row],[GradeType]]="Gold"),0,TRUE,5000+ItemTable[[#This Row],[Index]])</f>
        <v>0</v>
      </c>
      <c r="J5" t="s">
        <v>35</v>
      </c>
      <c r="K5" s="4" t="str">
        <f>MID(ItemTable[[#This Row],[ItemIconPath]],FIND("icon",ItemTable[[#This Row],[ItemIconPath]]),999)</f>
        <v>icon/item/coin.png</v>
      </c>
      <c r="L5" s="20"/>
      <c r="M5" s="20"/>
      <c r="N5" s="20"/>
      <c r="O5" s="20"/>
      <c r="P5" s="20"/>
      <c r="Q5" s="20" t="str">
        <f>IF(ItemTable[[#This Row],['#4]]=ItemTable[[#This Row],[Desc]],"T","F")</f>
        <v>T</v>
      </c>
    </row>
    <row r="6" spans="2:17" x14ac:dyDescent="0.3">
      <c r="B6">
        <f t="array" ref="B6">_xlfn.IFS(ItemTable[[#This Row],[GradeType]]="Hp",IF(E5=ItemTable[[#This Row],[GradeType]],B5+1,10),ItemTable[[#This Row],[GradeType]]="Gold",IF(E5=ItemTable[[#This Row],[GradeType]],B5+1,20),ItemTable[[#This Row],[GradeType]]="Weapon",IF(E5=ItemTable[[#This Row],[GradeType]],B5+1,1000),ItemTable[[#This Row],[GradeType]]="Normal",IF(E5=ItemTable[[#This Row],[GradeType]],B5+1,2000),ItemTable[[#This Row],[GradeType]]="Rare",IF(E5=ItemTable[[#This Row],[GradeType]],B5+1,3000),ItemTable[[#This Row],[GradeType]]="Cursed",IF(E5=ItemTable[[#This Row],[GradeType]],B5+1,4000))</f>
        <v>21</v>
      </c>
      <c r="E6" t="s">
        <v>96</v>
      </c>
      <c r="F6">
        <v>30</v>
      </c>
      <c r="G6">
        <v>50</v>
      </c>
      <c r="H6">
        <f>INDEX(아이템가격[],MATCH(MID(ItemTable[[#Headers],[CostGold]],5,10),아이템가격[재화],0),MATCH(ItemTable[[#This Row],[GradeType]],아이템가격[#Headers],0))*ItemTable[[#This Row],[Value]]</f>
        <v>0</v>
      </c>
      <c r="I6">
        <f t="array" ref="I6">_xlfn.IFS(OR(ItemTable[[#This Row],[GradeType]]="Hp",ItemTable[[#This Row],[GradeType]]="Gold"),0,TRUE,5000+ItemTable[[#This Row],[Index]])</f>
        <v>0</v>
      </c>
      <c r="J6" t="s">
        <v>35</v>
      </c>
      <c r="K6" s="4" t="str">
        <f>MID(ItemTable[[#This Row],[ItemIconPath]],FIND("icon",ItemTable[[#This Row],[ItemIconPath]]),999)</f>
        <v>icon/item/coin.png</v>
      </c>
      <c r="L6" s="20"/>
      <c r="M6" s="20"/>
      <c r="N6" s="20"/>
      <c r="O6" s="20"/>
      <c r="P6" s="20"/>
      <c r="Q6" s="20" t="str">
        <f>IF(ItemTable[[#This Row],['#4]]=ItemTable[[#This Row],[Desc]],"T","F")</f>
        <v>T</v>
      </c>
    </row>
    <row r="7" spans="2:17" x14ac:dyDescent="0.3">
      <c r="B7">
        <f t="array" ref="B7">_xlfn.IFS(ItemTable[[#This Row],[GradeType]]="Hp",IF(E6=ItemTable[[#This Row],[GradeType]],B6+1,10),ItemTable[[#This Row],[GradeType]]="Gold",IF(E6=ItemTable[[#This Row],[GradeType]],B6+1,20),ItemTable[[#This Row],[GradeType]]="Weapon",IF(E6=ItemTable[[#This Row],[GradeType]],B6+1,1000),ItemTable[[#This Row],[GradeType]]="Normal",IF(E6=ItemTable[[#This Row],[GradeType]],B6+1,2000),ItemTable[[#This Row],[GradeType]]="Rare",IF(E6=ItemTable[[#This Row],[GradeType]],B6+1,3000),ItemTable[[#This Row],[GradeType]]="Cursed",IF(E6=ItemTable[[#This Row],[GradeType]],B6+1,4000))</f>
        <v>22</v>
      </c>
      <c r="E7" t="s">
        <v>96</v>
      </c>
      <c r="F7">
        <v>45</v>
      </c>
      <c r="G7">
        <v>75</v>
      </c>
      <c r="H7">
        <f>INDEX(아이템가격[],MATCH(MID(ItemTable[[#Headers],[CostGold]],5,10),아이템가격[재화],0),MATCH(ItemTable[[#This Row],[GradeType]],아이템가격[#Headers],0))*ItemTable[[#This Row],[Value]]</f>
        <v>0</v>
      </c>
      <c r="I7">
        <f t="array" ref="I7">_xlfn.IFS(OR(ItemTable[[#This Row],[GradeType]]="Hp",ItemTable[[#This Row],[GradeType]]="Gold"),0,TRUE,5000+ItemTable[[#This Row],[Index]])</f>
        <v>0</v>
      </c>
      <c r="J7" t="s">
        <v>35</v>
      </c>
      <c r="K7" s="4" t="str">
        <f>MID(ItemTable[[#This Row],[ItemIconPath]],FIND("icon",ItemTable[[#This Row],[ItemIconPath]]),999)</f>
        <v>icon/item/coin.png</v>
      </c>
      <c r="L7" s="20"/>
      <c r="M7" s="20"/>
      <c r="N7" s="20"/>
      <c r="O7" s="20"/>
      <c r="P7" s="20"/>
      <c r="Q7" s="20" t="str">
        <f>IF(ItemTable[[#This Row],['#4]]=ItemTable[[#This Row],[Desc]],"T","F")</f>
        <v>T</v>
      </c>
    </row>
    <row r="8" spans="2:17" x14ac:dyDescent="0.3">
      <c r="B8">
        <f t="array" ref="B8">_xlfn.IFS(ItemTable[[#This Row],[GradeType]]="Hp",IF(E7=ItemTable[[#This Row],[GradeType]],B7+1,10),ItemTable[[#This Row],[GradeType]]="Gold",IF(E7=ItemTable[[#This Row],[GradeType]],B7+1,20),ItemTable[[#This Row],[GradeType]]="Weapon",IF(E7=ItemTable[[#This Row],[GradeType]],B7+1,1000),ItemTable[[#This Row],[GradeType]]="Normal",IF(E7=ItemTable[[#This Row],[GradeType]],B7+1,2000),ItemTable[[#This Row],[GradeType]]="Rare",IF(E7=ItemTable[[#This Row],[GradeType]],B7+1,3000),ItemTable[[#This Row],[GradeType]]="Cursed",IF(E7=ItemTable[[#This Row],[GradeType]],B7+1,4000))</f>
        <v>2000</v>
      </c>
      <c r="C8" t="s">
        <v>365</v>
      </c>
      <c r="D8" s="19" t="s">
        <v>431</v>
      </c>
      <c r="E8" t="s">
        <v>83</v>
      </c>
      <c r="F8">
        <v>1</v>
      </c>
      <c r="G8">
        <f t="array" ref="G8">_xlfn.IFS(ItemTable[[#This Row],[GradeType]]="Normal",25,ItemTable[[#This Row],[GradeType]]="Cursed",50,ItemTable[[#This Row],[GradeType]]="Rare",50)</f>
        <v>25</v>
      </c>
      <c r="H8">
        <v>30</v>
      </c>
      <c r="I8">
        <f t="array" ref="I8">_xlfn.IFS(OR(ItemTable[[#This Row],[GradeType]]="Hp",ItemTable[[#This Row],[GradeType]]="Gold"),0,TRUE,5000+ItemTable[[#This Row],[Index]])</f>
        <v>7000</v>
      </c>
      <c r="J8" t="s">
        <v>272</v>
      </c>
      <c r="K8" s="4" t="str">
        <f>MID(ItemTable[[#This Row],[ItemIconPath]],FIND("icon",ItemTable[[#This Row],[ItemIconPath]]),999)</f>
        <v>icon/item/item_02.png</v>
      </c>
      <c r="L8" s="21" t="s">
        <v>414</v>
      </c>
      <c r="M8" s="20" t="s">
        <v>384</v>
      </c>
      <c r="N8" s="20"/>
      <c r="O8" s="20" t="str">
        <f>_xlfn.CONCAT(
_xlfn.CONCAT(L8,"\n\n",
"&lt;size=20&gt;&lt;color=#97C456&gt;",M8,"&lt;/color&gt;&lt;/size&gt;"),
IF(ISBLANK(N8),"",_xlfn.CONCAT("\n","&lt;size=20&gt;&lt;color=#FF6A6A&gt;",N8,"&lt;/color&gt;&lt;/size&gt;"))
)</f>
        <v>가끔 열쇠를 먹어버립니다.\n귀중품 관리에 주의하십시오.\n\n&lt;size=20&gt;&lt;color=#97C456&gt;공격속도 +30%&lt;/color&gt;&lt;/size&gt;</v>
      </c>
      <c r="P8" s="20"/>
      <c r="Q8" s="20" t="str">
        <f>IF(ItemTable[[#This Row],['#4]]=ItemTable[[#This Row],[Desc]],"T","F")</f>
        <v>T</v>
      </c>
    </row>
    <row r="9" spans="2:17" x14ac:dyDescent="0.3">
      <c r="B9">
        <f t="array" ref="B9">_xlfn.IFS(ItemTable[[#This Row],[GradeType]]="Hp",IF(E8=ItemTable[[#This Row],[GradeType]],B8+1,10),ItemTable[[#This Row],[GradeType]]="Gold",IF(E8=ItemTable[[#This Row],[GradeType]],B8+1,20),ItemTable[[#This Row],[GradeType]]="Weapon",IF(E8=ItemTable[[#This Row],[GradeType]],B8+1,1000),ItemTable[[#This Row],[GradeType]]="Normal",IF(E8=ItemTable[[#This Row],[GradeType]],B8+1,2000),ItemTable[[#This Row],[GradeType]]="Rare",IF(E8=ItemTable[[#This Row],[GradeType]],B8+1,3000),ItemTable[[#This Row],[GradeType]]="Cursed",IF(E8=ItemTable[[#This Row],[GradeType]],B8+1,4000))</f>
        <v>2001</v>
      </c>
      <c r="C9" t="s">
        <v>170</v>
      </c>
      <c r="D9" t="s">
        <v>432</v>
      </c>
      <c r="E9" t="s">
        <v>83</v>
      </c>
      <c r="F9">
        <v>1</v>
      </c>
      <c r="G9">
        <f t="array" ref="G9">_xlfn.IFS(ItemTable[[#This Row],[GradeType]]="Normal",25,ItemTable[[#This Row],[GradeType]]="Cursed",50,ItemTable[[#This Row],[GradeType]]="Rare",50)</f>
        <v>25</v>
      </c>
      <c r="H9">
        <v>30</v>
      </c>
      <c r="I9">
        <f t="array" ref="I9">_xlfn.IFS(OR(ItemTable[[#This Row],[GradeType]]="Hp",ItemTable[[#This Row],[GradeType]]="Gold"),0,TRUE,5000+ItemTable[[#This Row],[Index]])</f>
        <v>7001</v>
      </c>
      <c r="J9" t="s">
        <v>275</v>
      </c>
      <c r="K9" s="4" t="str">
        <f>MID(ItemTable[[#This Row],[ItemIconPath]],FIND("icon",ItemTable[[#This Row],[ItemIconPath]]),999)</f>
        <v>icon/item/item_04.png</v>
      </c>
      <c r="L9" s="21" t="s">
        <v>430</v>
      </c>
      <c r="M9" s="20" t="s">
        <v>391</v>
      </c>
      <c r="N9" s="20"/>
      <c r="O9" s="20" t="str">
        <f t="shared" ref="O9:O24" si="0">_xlfn.CONCAT(
_xlfn.CONCAT(L9,"\n\n",
"&lt;size=20&gt;&lt;color=#97C456&gt;",M9,"&lt;/color&gt;&lt;/size&gt;"),
IF(ISBLANK(N9),"",_xlfn.CONCAT("\n","&lt;size=20&gt;&lt;color=#FF6A6A&gt;",N9,"&lt;/color&gt;&lt;/size&gt;"))
)</f>
        <v>태초부터 시작되더라도 절망하지 않습니다.\n'자 이제 시작이야'\n\n&lt;size=20&gt;&lt;color=#97C456&gt;공격범위 +20%&lt;/color&gt;&lt;/size&gt;</v>
      </c>
      <c r="P9" s="20"/>
      <c r="Q9" s="20" t="str">
        <f>IF(ItemTable[[#This Row],['#4]]=ItemTable[[#This Row],[Desc]],"T","F")</f>
        <v>T</v>
      </c>
    </row>
    <row r="10" spans="2:17" x14ac:dyDescent="0.3">
      <c r="B10">
        <f t="array" ref="B10">_xlfn.IFS(ItemTable[[#This Row],[GradeType]]="Hp",IF(E9=ItemTable[[#This Row],[GradeType]],B9+1,10),ItemTable[[#This Row],[GradeType]]="Gold",IF(E9=ItemTable[[#This Row],[GradeType]],B9+1,20),ItemTable[[#This Row],[GradeType]]="Weapon",IF(E9=ItemTable[[#This Row],[GradeType]],B9+1,1000),ItemTable[[#This Row],[GradeType]]="Normal",IF(E9=ItemTable[[#This Row],[GradeType]],B9+1,2000),ItemTable[[#This Row],[GradeType]]="Rare",IF(E9=ItemTable[[#This Row],[GradeType]],B9+1,3000),ItemTable[[#This Row],[GradeType]]="Cursed",IF(E9=ItemTable[[#This Row],[GradeType]],B9+1,4000))</f>
        <v>2002</v>
      </c>
      <c r="C10" t="s">
        <v>173</v>
      </c>
      <c r="D10" t="s">
        <v>433</v>
      </c>
      <c r="E10" t="s">
        <v>83</v>
      </c>
      <c r="F10">
        <v>1</v>
      </c>
      <c r="G10">
        <f t="array" ref="G10">_xlfn.IFS(ItemTable[[#This Row],[GradeType]]="Normal",25,ItemTable[[#This Row],[GradeType]]="Cursed",50,ItemTable[[#This Row],[GradeType]]="Rare",50)</f>
        <v>25</v>
      </c>
      <c r="H10">
        <v>30</v>
      </c>
      <c r="I10">
        <f t="array" ref="I10">_xlfn.IFS(OR(ItemTable[[#This Row],[GradeType]]="Hp",ItemTable[[#This Row],[GradeType]]="Gold"),0,TRUE,5000+ItemTable[[#This Row],[Index]])</f>
        <v>7002</v>
      </c>
      <c r="J10" t="s">
        <v>269</v>
      </c>
      <c r="K10" s="4" t="str">
        <f>MID(ItemTable[[#This Row],[ItemIconPath]],FIND("icon",ItemTable[[#This Row],[ItemIconPath]]),999)</f>
        <v>icon/item/item_05.png</v>
      </c>
      <c r="L10" s="21" t="s">
        <v>412</v>
      </c>
      <c r="M10" s="20" t="s">
        <v>380</v>
      </c>
      <c r="N10" s="20"/>
      <c r="O10" s="20" t="str">
        <f t="shared" si="0"/>
        <v>얼.죽.아 클럽의 새로운 유행입니다.\n\n&lt;size=20&gt;&lt;color=#97C456&gt;차징속도 +20%&lt;/color&gt;&lt;/size&gt;</v>
      </c>
      <c r="P10" s="20"/>
      <c r="Q10" s="20" t="str">
        <f>IF(ItemTable[[#This Row],['#4]]=ItemTable[[#This Row],[Desc]],"T","F")</f>
        <v>T</v>
      </c>
    </row>
    <row r="11" spans="2:17" x14ac:dyDescent="0.3">
      <c r="B11">
        <f t="array" ref="B11">_xlfn.IFS(ItemTable[[#This Row],[GradeType]]="Hp",IF(E10=ItemTable[[#This Row],[GradeType]],B10+1,10),ItemTable[[#This Row],[GradeType]]="Gold",IF(E10=ItemTable[[#This Row],[GradeType]],B10+1,20),ItemTable[[#This Row],[GradeType]]="Weapon",IF(E10=ItemTable[[#This Row],[GradeType]],B10+1,1000),ItemTable[[#This Row],[GradeType]]="Normal",IF(E10=ItemTable[[#This Row],[GradeType]],B10+1,2000),ItemTable[[#This Row],[GradeType]]="Rare",IF(E10=ItemTable[[#This Row],[GradeType]],B10+1,3000),ItemTable[[#This Row],[GradeType]]="Cursed",IF(E10=ItemTable[[#This Row],[GradeType]],B10+1,4000))</f>
        <v>2003</v>
      </c>
      <c r="C11" t="s">
        <v>172</v>
      </c>
      <c r="D11" t="s">
        <v>434</v>
      </c>
      <c r="E11" t="s">
        <v>83</v>
      </c>
      <c r="F11">
        <v>1</v>
      </c>
      <c r="G11">
        <f t="array" ref="G11">_xlfn.IFS(ItemTable[[#This Row],[GradeType]]="Normal",25,ItemTable[[#This Row],[GradeType]]="Cursed",50,ItemTable[[#This Row],[GradeType]]="Rare",50)</f>
        <v>25</v>
      </c>
      <c r="H11">
        <v>30</v>
      </c>
      <c r="I11">
        <f t="array" ref="I11">_xlfn.IFS(OR(ItemTable[[#This Row],[GradeType]]="Hp",ItemTable[[#This Row],[GradeType]]="Gold"),0,TRUE,5000+ItemTable[[#This Row],[Index]])</f>
        <v>7003</v>
      </c>
      <c r="J11" t="s">
        <v>267</v>
      </c>
      <c r="K11" s="4" t="str">
        <f>MID(ItemTable[[#This Row],[ItemIconPath]],FIND("icon",ItemTable[[#This Row],[ItemIconPath]]),999)</f>
        <v>icon/item/item_07.png</v>
      </c>
      <c r="L11" s="21" t="s">
        <v>413</v>
      </c>
      <c r="M11" s="20" t="s">
        <v>379</v>
      </c>
      <c r="N11" s="20"/>
      <c r="O11" s="20" t="str">
        <f t="shared" si="0"/>
        <v>배트 이외의 물건에 사용하지 마시오\nQT추출물 0.0006% 함유\nQT향 0.1%함유\n\n&lt;size=20&gt;&lt;color=#97C456&gt;공 충돌횟수 +1&lt;/color&gt;&lt;/size&gt;</v>
      </c>
      <c r="P11" s="20"/>
      <c r="Q11" s="20" t="str">
        <f>IF(ItemTable[[#This Row],['#4]]=ItemTable[[#This Row],[Desc]],"T","F")</f>
        <v>T</v>
      </c>
    </row>
    <row r="12" spans="2:17" x14ac:dyDescent="0.3">
      <c r="B12">
        <f t="array" ref="B12">_xlfn.IFS(ItemTable[[#This Row],[GradeType]]="Hp",IF(E11=ItemTable[[#This Row],[GradeType]],B11+1,10),ItemTable[[#This Row],[GradeType]]="Gold",IF(E11=ItemTable[[#This Row],[GradeType]],B11+1,20),ItemTable[[#This Row],[GradeType]]="Weapon",IF(E11=ItemTable[[#This Row],[GradeType]],B11+1,1000),ItemTable[[#This Row],[GradeType]]="Normal",IF(E11=ItemTable[[#This Row],[GradeType]],B11+1,2000),ItemTable[[#This Row],[GradeType]]="Rare",IF(E11=ItemTable[[#This Row],[GradeType]],B11+1,3000),ItemTable[[#This Row],[GradeType]]="Cursed",IF(E11=ItemTable[[#This Row],[GradeType]],B11+1,4000))</f>
        <v>2004</v>
      </c>
      <c r="C12" t="s">
        <v>168</v>
      </c>
      <c r="D12" s="18" t="s">
        <v>537</v>
      </c>
      <c r="E12" t="s">
        <v>83</v>
      </c>
      <c r="F12">
        <v>1</v>
      </c>
      <c r="G12">
        <f t="array" ref="G12">_xlfn.IFS(ItemTable[[#This Row],[GradeType]]="Normal",25,ItemTable[[#This Row],[GradeType]]="Cursed",50,ItemTable[[#This Row],[GradeType]]="Rare",50)</f>
        <v>25</v>
      </c>
      <c r="H12">
        <v>30</v>
      </c>
      <c r="I12">
        <f t="array" ref="I12">_xlfn.IFS(OR(ItemTable[[#This Row],[GradeType]]="Hp",ItemTable[[#This Row],[GradeType]]="Gold"),0,TRUE,5000+ItemTable[[#This Row],[Index]])</f>
        <v>7004</v>
      </c>
      <c r="J12" t="s">
        <v>270</v>
      </c>
      <c r="K12" s="4" t="str">
        <f>MID(ItemTable[[#This Row],[ItemIconPath]],FIND("icon",ItemTable[[#This Row],[ItemIconPath]]),999)</f>
        <v>icon/item/item_11.png</v>
      </c>
      <c r="L12" s="21" t="s">
        <v>536</v>
      </c>
      <c r="M12" s="21" t="s">
        <v>527</v>
      </c>
      <c r="N12" s="20"/>
      <c r="O12" s="20" t="str">
        <f t="shared" si="0"/>
        <v>시크한 표정이 매력적입니다.\n세 나라 이야기의 붉은 목마 입니다.\n\n&lt;size=20&gt;&lt;color=#97C456&gt;이동속도 +6&lt;/color&gt;&lt;/size&gt;</v>
      </c>
      <c r="P12" s="20"/>
      <c r="Q12" s="20" t="str">
        <f>IF(ItemTable[[#This Row],['#4]]=ItemTable[[#This Row],[Desc]],"T","F")</f>
        <v>T</v>
      </c>
    </row>
    <row r="13" spans="2:17" x14ac:dyDescent="0.3">
      <c r="B13">
        <f t="array" ref="B13">_xlfn.IFS(ItemTable[[#This Row],[GradeType]]="Hp",IF(E12=ItemTable[[#This Row],[GradeType]],B12+1,10),ItemTable[[#This Row],[GradeType]]="Gold",IF(E12=ItemTable[[#This Row],[GradeType]],B12+1,20),ItemTable[[#This Row],[GradeType]]="Weapon",IF(E12=ItemTable[[#This Row],[GradeType]],B12+1,1000),ItemTable[[#This Row],[GradeType]]="Normal",IF(E12=ItemTable[[#This Row],[GradeType]],B12+1,2000),ItemTable[[#This Row],[GradeType]]="Rare",IF(E12=ItemTable[[#This Row],[GradeType]],B12+1,3000),ItemTable[[#This Row],[GradeType]]="Cursed",IF(E12=ItemTable[[#This Row],[GradeType]],B12+1,4000))</f>
        <v>2005</v>
      </c>
      <c r="C13" t="s">
        <v>176</v>
      </c>
      <c r="D13" t="s">
        <v>435</v>
      </c>
      <c r="E13" t="s">
        <v>83</v>
      </c>
      <c r="F13">
        <v>1</v>
      </c>
      <c r="G13">
        <f t="array" ref="G13">_xlfn.IFS(ItemTable[[#This Row],[GradeType]]="Normal",25,ItemTable[[#This Row],[GradeType]]="Cursed",50,ItemTable[[#This Row],[GradeType]]="Rare",50)</f>
        <v>25</v>
      </c>
      <c r="H13">
        <v>30</v>
      </c>
      <c r="I13">
        <f t="array" ref="I13">_xlfn.IFS(OR(ItemTable[[#This Row],[GradeType]]="Hp",ItemTable[[#This Row],[GradeType]]="Gold"),0,TRUE,5000+ItemTable[[#This Row],[Index]])</f>
        <v>7005</v>
      </c>
      <c r="J13" t="s">
        <v>271</v>
      </c>
      <c r="K13" s="4" t="str">
        <f>MID(ItemTable[[#This Row],[ItemIconPath]],FIND("icon",ItemTable[[#This Row],[ItemIconPath]]),999)</f>
        <v>icon/item/item_15.png</v>
      </c>
      <c r="L13" s="21" t="s">
        <v>426</v>
      </c>
      <c r="M13" s="20" t="s">
        <v>377</v>
      </c>
      <c r="N13" s="20"/>
      <c r="O13" s="20" t="str">
        <f t="shared" si="0"/>
        <v>대나무 향을 머금은 흰 밥이\n까만 김을 만나 완성된 환상적인 조합.\n\n&lt;size=20&gt;&lt;color=#97C456&gt;최대 체력 +1하트&lt;/color&gt;&lt;/size&gt;</v>
      </c>
      <c r="P13" s="20"/>
      <c r="Q13" s="20" t="str">
        <f>IF(ItemTable[[#This Row],['#4]]=ItemTable[[#This Row],[Desc]],"T","F")</f>
        <v>T</v>
      </c>
    </row>
    <row r="14" spans="2:17" x14ac:dyDescent="0.3">
      <c r="B14">
        <f t="array" ref="B14">_xlfn.IFS(ItemTable[[#This Row],[GradeType]]="Hp",IF(E13=ItemTable[[#This Row],[GradeType]],B13+1,10),ItemTable[[#This Row],[GradeType]]="Gold",IF(E13=ItemTable[[#This Row],[GradeType]],B13+1,20),ItemTable[[#This Row],[GradeType]]="Weapon",IF(E13=ItemTable[[#This Row],[GradeType]],B13+1,1000),ItemTable[[#This Row],[GradeType]]="Normal",IF(E13=ItemTable[[#This Row],[GradeType]],B13+1,2000),ItemTable[[#This Row],[GradeType]]="Rare",IF(E13=ItemTable[[#This Row],[GradeType]],B13+1,3000),ItemTable[[#This Row],[GradeType]]="Cursed",IF(E13=ItemTable[[#This Row],[GradeType]],B13+1,4000))</f>
        <v>3000</v>
      </c>
      <c r="C14" t="s">
        <v>62</v>
      </c>
      <c r="D14" s="36" t="s">
        <v>539</v>
      </c>
      <c r="E14" t="s">
        <v>84</v>
      </c>
      <c r="F14">
        <v>1</v>
      </c>
      <c r="G14">
        <f t="array" ref="G14">_xlfn.IFS(ItemTable[[#This Row],[GradeType]]="Normal",25,ItemTable[[#This Row],[GradeType]]="Cursed",50,ItemTable[[#This Row],[GradeType]]="Rare",50)</f>
        <v>50</v>
      </c>
      <c r="H14">
        <v>50</v>
      </c>
      <c r="I14">
        <f t="array" ref="I14">_xlfn.IFS(OR(ItemTable[[#This Row],[GradeType]]="Hp",ItemTable[[#This Row],[GradeType]]="Gold"),0,TRUE,5000+ItemTable[[#This Row],[Index]])</f>
        <v>8000</v>
      </c>
      <c r="J14" t="s">
        <v>273</v>
      </c>
      <c r="K14" s="4" t="str">
        <f>MID(ItemTable[[#This Row],[ItemIconPath]],FIND("icon",ItemTable[[#This Row],[ItemIconPath]]),999)</f>
        <v>icon/item/item_17.png</v>
      </c>
      <c r="L14" s="21" t="s">
        <v>444</v>
      </c>
      <c r="M14" s="21" t="s">
        <v>528</v>
      </c>
      <c r="N14" s="20"/>
      <c r="O14" s="20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P14" s="21" t="s">
        <v>538</v>
      </c>
      <c r="Q14" s="20" t="str">
        <f>IF(ItemTable[[#This Row],['#4]]=ItemTable[[#This Row],[Desc]],"T","F")</f>
        <v>T</v>
      </c>
    </row>
    <row r="15" spans="2:17" x14ac:dyDescent="0.3">
      <c r="B15">
        <f t="array" ref="B15">_xlfn.IFS(ItemTable[[#This Row],[GradeType]]="Hp",IF(E14=ItemTable[[#This Row],[GradeType]],B14+1,10),ItemTable[[#This Row],[GradeType]]="Gold",IF(E14=ItemTable[[#This Row],[GradeType]],B14+1,20),ItemTable[[#This Row],[GradeType]]="Weapon",IF(E14=ItemTable[[#This Row],[GradeType]],B14+1,1000),ItemTable[[#This Row],[GradeType]]="Normal",IF(E14=ItemTable[[#This Row],[GradeType]],B14+1,2000),ItemTable[[#This Row],[GradeType]]="Rare",IF(E14=ItemTable[[#This Row],[GradeType]],B14+1,3000),ItemTable[[#This Row],[GradeType]]="Cursed",IF(E14=ItemTable[[#This Row],[GradeType]],B14+1,4000))</f>
        <v>3001</v>
      </c>
      <c r="C15" s="19" t="s">
        <v>415</v>
      </c>
      <c r="D15" t="s">
        <v>445</v>
      </c>
      <c r="E15" t="s">
        <v>84</v>
      </c>
      <c r="F15">
        <v>1</v>
      </c>
      <c r="G15">
        <f t="array" ref="G15">_xlfn.IFS(ItemTable[[#This Row],[GradeType]]="Normal",25,ItemTable[[#This Row],[GradeType]]="Cursed",50,ItemTable[[#This Row],[GradeType]]="Rare",50)</f>
        <v>50</v>
      </c>
      <c r="H15">
        <v>50</v>
      </c>
      <c r="I15">
        <f t="array" ref="I15">_xlfn.IFS(OR(ItemTable[[#This Row],[GradeType]]="Hp",ItemTable[[#This Row],[GradeType]]="Gold"),0,TRUE,5000+ItemTable[[#This Row],[Index]])</f>
        <v>8001</v>
      </c>
      <c r="J15" t="s">
        <v>276</v>
      </c>
      <c r="K15" s="4" t="str">
        <f>MID(ItemTable[[#This Row],[ItemIconPath]],FIND("icon",ItemTable[[#This Row],[ItemIconPath]]),999)</f>
        <v>icon/item/item_12.png</v>
      </c>
      <c r="L15" s="21" t="s">
        <v>443</v>
      </c>
      <c r="M15" s="20" t="s">
        <v>37</v>
      </c>
      <c r="N15" s="20"/>
      <c r="O15" s="20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P15" s="20"/>
      <c r="Q15" s="20" t="str">
        <f>IF(ItemTable[[#This Row],['#4]]=ItemTable[[#This Row],[Desc]],"T","F")</f>
        <v>T</v>
      </c>
    </row>
    <row r="16" spans="2:17" x14ac:dyDescent="0.3">
      <c r="B16">
        <f t="array" ref="B16">_xlfn.IFS(ItemTable[[#This Row],[GradeType]]="Hp",IF(E15=ItemTable[[#This Row],[GradeType]],B15+1,10),ItemTable[[#This Row],[GradeType]]="Gold",IF(E15=ItemTable[[#This Row],[GradeType]],B15+1,20),ItemTable[[#This Row],[GradeType]]="Weapon",IF(E15=ItemTable[[#This Row],[GradeType]],B15+1,1000),ItemTable[[#This Row],[GradeType]]="Normal",IF(E15=ItemTable[[#This Row],[GradeType]],B15+1,2000),ItemTable[[#This Row],[GradeType]]="Rare",IF(E15=ItemTable[[#This Row],[GradeType]],B15+1,3000),ItemTable[[#This Row],[GradeType]]="Cursed",IF(E15=ItemTable[[#This Row],[GradeType]],B15+1,4000))</f>
        <v>3002</v>
      </c>
      <c r="C16" t="s">
        <v>64</v>
      </c>
      <c r="D16" t="s">
        <v>531</v>
      </c>
      <c r="E16" t="s">
        <v>84</v>
      </c>
      <c r="F16">
        <v>1</v>
      </c>
      <c r="G16">
        <f t="array" ref="G16">_xlfn.IFS(ItemTable[[#This Row],[GradeType]]="Normal",25,ItemTable[[#This Row],[GradeType]]="Cursed",50,ItemTable[[#This Row],[GradeType]]="Rare",50)</f>
        <v>50</v>
      </c>
      <c r="H16">
        <v>50</v>
      </c>
      <c r="I16">
        <f t="array" ref="I16">_xlfn.IFS(OR(ItemTable[[#This Row],[GradeType]]="Hp",ItemTable[[#This Row],[GradeType]]="Gold"),0,TRUE,5000+ItemTable[[#This Row],[Index]])</f>
        <v>8002</v>
      </c>
      <c r="J16" t="s">
        <v>278</v>
      </c>
      <c r="K16" s="4" t="str">
        <f>MID(ItemTable[[#This Row],[ItemIconPath]],FIND("icon",ItemTable[[#This Row],[ItemIconPath]]),999)</f>
        <v>icon/item/item_09.png</v>
      </c>
      <c r="L16" s="21" t="s">
        <v>425</v>
      </c>
      <c r="M16" s="21" t="s">
        <v>530</v>
      </c>
      <c r="N16" s="20"/>
      <c r="O16" s="20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P16" s="20"/>
      <c r="Q16" s="20" t="str">
        <f>IF(ItemTable[[#This Row],['#4]]=ItemTable[[#This Row],[Desc]],"T","F")</f>
        <v>T</v>
      </c>
    </row>
    <row r="17" spans="2:17" x14ac:dyDescent="0.3">
      <c r="B17">
        <f t="array" ref="B17">_xlfn.IFS(ItemTable[[#This Row],[GradeType]]="Hp",IF(E16=ItemTable[[#This Row],[GradeType]],B16+1,10),ItemTable[[#This Row],[GradeType]]="Gold",IF(E16=ItemTable[[#This Row],[GradeType]],B16+1,20),ItemTable[[#This Row],[GradeType]]="Weapon",IF(E16=ItemTable[[#This Row],[GradeType]],B16+1,1000),ItemTable[[#This Row],[GradeType]]="Normal",IF(E16=ItemTable[[#This Row],[GradeType]],B16+1,2000),ItemTable[[#This Row],[GradeType]]="Rare",IF(E16=ItemTable[[#This Row],[GradeType]],B16+1,3000),ItemTable[[#This Row],[GradeType]]="Cursed",IF(E16=ItemTable[[#This Row],[GradeType]],B16+1,4000))</f>
        <v>3003</v>
      </c>
      <c r="C17" t="s">
        <v>362</v>
      </c>
      <c r="D17" t="s">
        <v>436</v>
      </c>
      <c r="E17" t="s">
        <v>84</v>
      </c>
      <c r="F17">
        <v>1</v>
      </c>
      <c r="G17">
        <f t="array" ref="G17">_xlfn.IFS(ItemTable[[#This Row],[GradeType]]="Normal",25,ItemTable[[#This Row],[GradeType]]="Cursed",50,ItemTable[[#This Row],[GradeType]]="Rare",50)</f>
        <v>50</v>
      </c>
      <c r="H17">
        <v>50</v>
      </c>
      <c r="I17">
        <f t="array" ref="I17">_xlfn.IFS(OR(ItemTable[[#This Row],[GradeType]]="Hp",ItemTable[[#This Row],[GradeType]]="Gold"),0,TRUE,5000+ItemTable[[#This Row],[Index]])</f>
        <v>8003</v>
      </c>
      <c r="J17" t="s">
        <v>279</v>
      </c>
      <c r="K17" s="4" t="str">
        <f>MID(ItemTable[[#This Row],[ItemIconPath]],FIND("icon",ItemTable[[#This Row],[ItemIconPath]]),999)</f>
        <v>icon/item/item_10.png</v>
      </c>
      <c r="L17" s="21" t="s">
        <v>416</v>
      </c>
      <c r="M17" s="20" t="s">
        <v>376</v>
      </c>
      <c r="N17" s="20"/>
      <c r="O17" s="20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P17" s="20"/>
      <c r="Q17" s="20" t="str">
        <f>IF(ItemTable[[#This Row],['#4]]=ItemTable[[#This Row],[Desc]],"T","F")</f>
        <v>T</v>
      </c>
    </row>
    <row r="18" spans="2:17" x14ac:dyDescent="0.3">
      <c r="B18">
        <f t="array" ref="B18">_xlfn.IFS(ItemTable[[#This Row],[GradeType]]="Hp",IF(E17=ItemTable[[#This Row],[GradeType]],B17+1,10),ItemTable[[#This Row],[GradeType]]="Gold",IF(E17=ItemTable[[#This Row],[GradeType]],B17+1,20),ItemTable[[#This Row],[GradeType]]="Weapon",IF(E17=ItemTable[[#This Row],[GradeType]],B17+1,1000),ItemTable[[#This Row],[GradeType]]="Normal",IF(E17=ItemTable[[#This Row],[GradeType]],B17+1,2000),ItemTable[[#This Row],[GradeType]]="Rare",IF(E17=ItemTable[[#This Row],[GradeType]],B17+1,3000),ItemTable[[#This Row],[GradeType]]="Cursed",IF(E17=ItemTable[[#This Row],[GradeType]],B17+1,4000))</f>
        <v>3004</v>
      </c>
      <c r="C18" t="s">
        <v>382</v>
      </c>
      <c r="D18" t="s">
        <v>437</v>
      </c>
      <c r="E18" t="s">
        <v>84</v>
      </c>
      <c r="F18">
        <v>1</v>
      </c>
      <c r="G18">
        <f t="array" ref="G18">_xlfn.IFS(ItemTable[[#This Row],[GradeType]]="Normal",25,ItemTable[[#This Row],[GradeType]]="Cursed",50,ItemTable[[#This Row],[GradeType]]="Rare",50)</f>
        <v>50</v>
      </c>
      <c r="H18">
        <v>50</v>
      </c>
      <c r="I18">
        <f t="array" ref="I18">_xlfn.IFS(OR(ItemTable[[#This Row],[GradeType]]="Hp",ItemTable[[#This Row],[GradeType]]="Gold"),0,TRUE,5000+ItemTable[[#This Row],[Index]])</f>
        <v>8004</v>
      </c>
      <c r="J18" t="s">
        <v>280</v>
      </c>
      <c r="K18" s="4" t="str">
        <f>MID(ItemTable[[#This Row],[ItemIconPath]],FIND("icon",ItemTable[[#This Row],[ItemIconPath]]),999)</f>
        <v>icon/item/item_16.png</v>
      </c>
      <c r="L18" s="21" t="s">
        <v>420</v>
      </c>
      <c r="M18" s="20" t="s">
        <v>378</v>
      </c>
      <c r="N18" s="20"/>
      <c r="O18" s="20" t="str">
        <f t="shared" si="0"/>
        <v>종교적인 용도로 보이는 컵입니다.\n잠깐, 방금 조금 움직인 것 같은데요?\n\n&lt;size=20&gt;&lt;color=#97C456&gt;공 충돌횟수 +2&lt;/color&gt;&lt;/size&gt;</v>
      </c>
      <c r="P18" s="20"/>
      <c r="Q18" s="20" t="str">
        <f>IF(ItemTable[[#This Row],['#4]]=ItemTable[[#This Row],[Desc]],"T","F")</f>
        <v>T</v>
      </c>
    </row>
    <row r="19" spans="2:17" x14ac:dyDescent="0.3">
      <c r="B19">
        <f t="array" ref="B19">_xlfn.IFS(ItemTable[[#This Row],[GradeType]]="Hp",IF(E18=ItemTable[[#This Row],[GradeType]],B18+1,10),ItemTable[[#This Row],[GradeType]]="Gold",IF(E18=ItemTable[[#This Row],[GradeType]],B18+1,20),ItemTable[[#This Row],[GradeType]]="Weapon",IF(E18=ItemTable[[#This Row],[GradeType]],B18+1,1000),ItemTable[[#This Row],[GradeType]]="Normal",IF(E18=ItemTable[[#This Row],[GradeType]],B18+1,2000),ItemTable[[#This Row],[GradeType]]="Rare",IF(E18=ItemTable[[#This Row],[GradeType]],B18+1,3000),ItemTable[[#This Row],[GradeType]]="Cursed",IF(E18=ItemTable[[#This Row],[GradeType]],B18+1,4000))</f>
        <v>3005</v>
      </c>
      <c r="C19" t="s">
        <v>179</v>
      </c>
      <c r="D19" t="s">
        <v>438</v>
      </c>
      <c r="E19" t="s">
        <v>84</v>
      </c>
      <c r="F19">
        <v>1</v>
      </c>
      <c r="G19">
        <f t="array" ref="G19">_xlfn.IFS(ItemTable[[#This Row],[GradeType]]="Normal",25,ItemTable[[#This Row],[GradeType]]="Cursed",50,ItemTable[[#This Row],[GradeType]]="Rare",50)</f>
        <v>50</v>
      </c>
      <c r="H19">
        <v>50</v>
      </c>
      <c r="I19">
        <f t="array" ref="I19">_xlfn.IFS(OR(ItemTable[[#This Row],[GradeType]]="Hp",ItemTable[[#This Row],[GradeType]]="Gold"),0,TRUE,5000+ItemTable[[#This Row],[Index]])</f>
        <v>8005</v>
      </c>
      <c r="J19" t="s">
        <v>283</v>
      </c>
      <c r="K19" s="4" t="str">
        <f>MID(ItemTable[[#This Row],[ItemIconPath]],FIND("icon",ItemTable[[#This Row],[ItemIconPath]]),999)</f>
        <v>icon/item/item_03.png</v>
      </c>
      <c r="L19" s="21" t="s">
        <v>417</v>
      </c>
      <c r="M19" s="21" t="s">
        <v>421</v>
      </c>
      <c r="N19" s="20"/>
      <c r="O19" s="20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P19" s="20"/>
      <c r="Q19" s="20" t="str">
        <f>IF(ItemTable[[#This Row],['#4]]=ItemTable[[#This Row],[Desc]],"T","F")</f>
        <v>T</v>
      </c>
    </row>
    <row r="20" spans="2:17" x14ac:dyDescent="0.3">
      <c r="B20">
        <f t="array" ref="B20">_xlfn.IFS(ItemTable[[#This Row],[GradeType]]="Hp",IF(E19=ItemTable[[#This Row],[GradeType]],B19+1,10),ItemTable[[#This Row],[GradeType]]="Gold",IF(E19=ItemTable[[#This Row],[GradeType]],B19+1,20),ItemTable[[#This Row],[GradeType]]="Weapon",IF(E19=ItemTable[[#This Row],[GradeType]],B19+1,1000),ItemTable[[#This Row],[GradeType]]="Normal",IF(E19=ItemTable[[#This Row],[GradeType]],B19+1,2000),ItemTable[[#This Row],[GradeType]]="Rare",IF(E19=ItemTable[[#This Row],[GradeType]],B19+1,3000),ItemTable[[#This Row],[GradeType]]="Cursed",IF(E19=ItemTable[[#This Row],[GradeType]],B19+1,4000))</f>
        <v>4000</v>
      </c>
      <c r="C20" t="s">
        <v>171</v>
      </c>
      <c r="D20" t="s">
        <v>439</v>
      </c>
      <c r="E20" t="s">
        <v>93</v>
      </c>
      <c r="F20">
        <v>1</v>
      </c>
      <c r="G20">
        <f t="array" ref="G20">_xlfn.IFS(ItemTable[[#This Row],[GradeType]]="Normal",25,ItemTable[[#This Row],[GradeType]]="Cursed",50,ItemTable[[#This Row],[GradeType]]="Rare",50)</f>
        <v>50</v>
      </c>
      <c r="H20">
        <v>60</v>
      </c>
      <c r="I20">
        <f t="array" ref="I20">_xlfn.IFS(OR(ItemTable[[#This Row],[GradeType]]="Hp",ItemTable[[#This Row],[GradeType]]="Gold"),0,TRUE,5000+ItemTable[[#This Row],[Index]])</f>
        <v>9000</v>
      </c>
      <c r="J20" t="s">
        <v>295</v>
      </c>
      <c r="K20" s="4" t="str">
        <f>MID(ItemTable[[#This Row],[ItemIconPath]],FIND("icon",ItemTable[[#This Row],[ItemIconPath]]),999)</f>
        <v>icon/item/item_06.png</v>
      </c>
      <c r="L20" s="21" t="s">
        <v>424</v>
      </c>
      <c r="M20" s="20" t="s">
        <v>390</v>
      </c>
      <c r="N20" s="20" t="s">
        <v>386</v>
      </c>
      <c r="O20" s="20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P20" s="20"/>
      <c r="Q20" s="20" t="str">
        <f>IF(ItemTable[[#This Row],['#4]]=ItemTable[[#This Row],[Desc]],"T","F")</f>
        <v>T</v>
      </c>
    </row>
    <row r="21" spans="2:17" x14ac:dyDescent="0.3">
      <c r="B21">
        <f t="array" ref="B21">_xlfn.IFS(ItemTable[[#This Row],[GradeType]]="Hp",IF(E20=ItemTable[[#This Row],[GradeType]],B20+1,10),ItemTable[[#This Row],[GradeType]]="Gold",IF(E20=ItemTable[[#This Row],[GradeType]],B20+1,20),ItemTable[[#This Row],[GradeType]]="Weapon",IF(E20=ItemTable[[#This Row],[GradeType]],B20+1,1000),ItemTable[[#This Row],[GradeType]]="Normal",IF(E20=ItemTable[[#This Row],[GradeType]],B20+1,2000),ItemTable[[#This Row],[GradeType]]="Rare",IF(E20=ItemTable[[#This Row],[GradeType]],B20+1,3000),ItemTable[[#This Row],[GradeType]]="Cursed",IF(E20=ItemTable[[#This Row],[GradeType]],B20+1,4000))</f>
        <v>4001</v>
      </c>
      <c r="C21" t="s">
        <v>167</v>
      </c>
      <c r="D21" t="s">
        <v>440</v>
      </c>
      <c r="E21" t="s">
        <v>93</v>
      </c>
      <c r="F21">
        <v>1</v>
      </c>
      <c r="G21">
        <f t="array" ref="G21">_xlfn.IFS(ItemTable[[#This Row],[GradeType]]="Normal",25,ItemTable[[#This Row],[GradeType]]="Cursed",50,ItemTable[[#This Row],[GradeType]]="Rare",50)</f>
        <v>50</v>
      </c>
      <c r="H21">
        <v>60</v>
      </c>
      <c r="I21">
        <f t="array" ref="I21">_xlfn.IFS(OR(ItemTable[[#This Row],[GradeType]]="Hp",ItemTable[[#This Row],[GradeType]]="Gold"),0,TRUE,5000+ItemTable[[#This Row],[Index]])</f>
        <v>9001</v>
      </c>
      <c r="J21" t="s">
        <v>298</v>
      </c>
      <c r="K21" s="4" t="str">
        <f>MID(ItemTable[[#This Row],[ItemIconPath]],FIND("icon",ItemTable[[#This Row],[ItemIconPath]]),999)</f>
        <v>icon/item/item_08.png</v>
      </c>
      <c r="L21" s="21" t="s">
        <v>418</v>
      </c>
      <c r="M21" s="20" t="s">
        <v>385</v>
      </c>
      <c r="N21" s="20" t="s">
        <v>387</v>
      </c>
      <c r="O21" s="20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P21" s="20"/>
      <c r="Q21" s="20" t="str">
        <f>IF(ItemTable[[#This Row],['#4]]=ItemTable[[#This Row],[Desc]],"T","F")</f>
        <v>T</v>
      </c>
    </row>
    <row r="22" spans="2:17" x14ac:dyDescent="0.3">
      <c r="B22">
        <f t="array" ref="B22">_xlfn.IFS(ItemTable[[#This Row],[GradeType]]="Hp",IF(E21=ItemTable[[#This Row],[GradeType]],B21+1,10),ItemTable[[#This Row],[GradeType]]="Gold",IF(E21=ItemTable[[#This Row],[GradeType]],B21+1,20),ItemTable[[#This Row],[GradeType]]="Weapon",IF(E21=ItemTable[[#This Row],[GradeType]],B21+1,1000),ItemTable[[#This Row],[GradeType]]="Normal",IF(E21=ItemTable[[#This Row],[GradeType]],B21+1,2000),ItemTable[[#This Row],[GradeType]]="Rare",IF(E21=ItemTable[[#This Row],[GradeType]],B21+1,3000),ItemTable[[#This Row],[GradeType]]="Cursed",IF(E21=ItemTable[[#This Row],[GradeType]],B21+1,4000))</f>
        <v>4002</v>
      </c>
      <c r="C22" t="s">
        <v>372</v>
      </c>
      <c r="D22" t="s">
        <v>534</v>
      </c>
      <c r="E22" t="s">
        <v>93</v>
      </c>
      <c r="F22">
        <v>1</v>
      </c>
      <c r="G22">
        <f t="array" ref="G22">_xlfn.IFS(ItemTable[[#This Row],[GradeType]]="Normal",25,ItemTable[[#This Row],[GradeType]]="Cursed",50,ItemTable[[#This Row],[GradeType]]="Rare",50)</f>
        <v>50</v>
      </c>
      <c r="H22">
        <v>60</v>
      </c>
      <c r="I22">
        <f t="array" ref="I22">_xlfn.IFS(OR(ItemTable[[#This Row],[GradeType]]="Hp",ItemTable[[#This Row],[GradeType]]="Gold"),0,TRUE,5000+ItemTable[[#This Row],[Index]])</f>
        <v>9002</v>
      </c>
      <c r="J22" t="s">
        <v>296</v>
      </c>
      <c r="K22" s="4" t="str">
        <f>MID(ItemTable[[#This Row],[ItemIconPath]],FIND("icon",ItemTable[[#This Row],[ItemIconPath]]),999)</f>
        <v>icon/item/item_14.png</v>
      </c>
      <c r="L22" s="21" t="s">
        <v>423</v>
      </c>
      <c r="M22" s="21" t="s">
        <v>519</v>
      </c>
      <c r="N22" s="20" t="s">
        <v>258</v>
      </c>
      <c r="O22" s="20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P22" s="21" t="s">
        <v>535</v>
      </c>
      <c r="Q22" s="20" t="str">
        <f>IF(ItemTable[[#This Row],['#4]]=ItemTable[[#This Row],[Desc]],"T","F")</f>
        <v>F</v>
      </c>
    </row>
    <row r="23" spans="2:17" x14ac:dyDescent="0.3">
      <c r="B23">
        <f t="array" ref="B23">_xlfn.IFS(ItemTable[[#This Row],[GradeType]]="Hp",IF(E22=ItemTable[[#This Row],[GradeType]],B22+1,10),ItemTable[[#This Row],[GradeType]]="Gold",IF(E22=ItemTable[[#This Row],[GradeType]],B22+1,20),ItemTable[[#This Row],[GradeType]]="Weapon",IF(E22=ItemTable[[#This Row],[GradeType]],B22+1,1000),ItemTable[[#This Row],[GradeType]]="Normal",IF(E22=ItemTable[[#This Row],[GradeType]],B22+1,2000),ItemTable[[#This Row],[GradeType]]="Rare",IF(E22=ItemTable[[#This Row],[GradeType]],B22+1,3000),ItemTable[[#This Row],[GradeType]]="Cursed",IF(E22=ItemTable[[#This Row],[GradeType]],B22+1,4000))</f>
        <v>4003</v>
      </c>
      <c r="C23" t="s">
        <v>363</v>
      </c>
      <c r="D23" t="s">
        <v>441</v>
      </c>
      <c r="E23" t="s">
        <v>93</v>
      </c>
      <c r="F23">
        <v>1</v>
      </c>
      <c r="G23">
        <v>50</v>
      </c>
      <c r="H23">
        <v>60</v>
      </c>
      <c r="I23">
        <f t="array" ref="I23">_xlfn.IFS(OR(ItemTable[[#This Row],[GradeType]]="Hp",ItemTable[[#This Row],[GradeType]]="Gold"),0,TRUE,5000+ItemTable[[#This Row],[Index]])</f>
        <v>9003</v>
      </c>
      <c r="J23" t="s">
        <v>297</v>
      </c>
      <c r="K23" s="4" t="str">
        <f>MID(ItemTable[[#This Row],[ItemIconPath]],FIND("icon",ItemTable[[#This Row],[ItemIconPath]]),999)</f>
        <v>icon/item/item_01.png</v>
      </c>
      <c r="L23" s="21" t="s">
        <v>419</v>
      </c>
      <c r="M23" s="20" t="s">
        <v>381</v>
      </c>
      <c r="N23" s="20" t="s">
        <v>389</v>
      </c>
      <c r="O23" s="20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P23" s="20"/>
      <c r="Q23" s="20" t="str">
        <f>IF(ItemTable[[#This Row],['#4]]=ItemTable[[#This Row],[Desc]],"T","F")</f>
        <v>T</v>
      </c>
    </row>
    <row r="24" spans="2:17" x14ac:dyDescent="0.3">
      <c r="B24">
        <f t="array" ref="B24">_xlfn.IFS(ItemTable[[#This Row],[GradeType]]="Hp",IF(E23=ItemTable[[#This Row],[GradeType]],B23+1,10),ItemTable[[#This Row],[GradeType]]="Gold",IF(E23=ItemTable[[#This Row],[GradeType]],B23+1,20),ItemTable[[#This Row],[GradeType]]="Weapon",IF(E23=ItemTable[[#This Row],[GradeType]],B23+1,1000),ItemTable[[#This Row],[GradeType]]="Normal",IF(E23=ItemTable[[#This Row],[GradeType]],B23+1,2000),ItemTable[[#This Row],[GradeType]]="Rare",IF(E23=ItemTable[[#This Row],[GradeType]],B23+1,3000),ItemTable[[#This Row],[GradeType]]="Cursed",IF(E23=ItemTable[[#This Row],[GradeType]],B23+1,4000))</f>
        <v>4004</v>
      </c>
      <c r="C24" t="s">
        <v>57</v>
      </c>
      <c r="D24" s="19" t="s">
        <v>540</v>
      </c>
      <c r="E24" t="s">
        <v>93</v>
      </c>
      <c r="F24">
        <v>1</v>
      </c>
      <c r="G24">
        <f t="array" ref="G24">_xlfn.IFS(ItemTable[[#This Row],[GradeType]]="Normal",25,ItemTable[[#This Row],[GradeType]]="Cursed",50,ItemTable[[#This Row],[GradeType]]="Rare",50)</f>
        <v>50</v>
      </c>
      <c r="H24">
        <v>60</v>
      </c>
      <c r="I24">
        <f t="array" ref="I24">_xlfn.IFS(OR(ItemTable[[#This Row],[GradeType]]="Hp",ItemTable[[#This Row],[GradeType]]="Gold"),0,TRUE,5000+ItemTable[[#This Row],[Index]])</f>
        <v>9004</v>
      </c>
      <c r="J24" t="s">
        <v>277</v>
      </c>
      <c r="K24" s="4" t="str">
        <f>MID(ItemTable[[#This Row],[ItemIconPath]],FIND("icon",ItemTable[[#This Row],[ItemIconPath]]),999)</f>
        <v>icon/item/item_13.png</v>
      </c>
      <c r="L24" s="21" t="s">
        <v>442</v>
      </c>
      <c r="M24" s="21" t="s">
        <v>422</v>
      </c>
      <c r="N24" s="20" t="s">
        <v>392</v>
      </c>
      <c r="O24" s="20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P24" s="20"/>
      <c r="Q24" s="20" t="str">
        <f>IF(ItemTable[[#This Row],['#4]]=ItemTable[[#This Row],[Desc]],"T","F")</f>
        <v>F</v>
      </c>
    </row>
    <row r="26" spans="2:17" x14ac:dyDescent="0.3">
      <c r="I26" s="19"/>
    </row>
    <row r="27" spans="2:17" x14ac:dyDescent="0.3">
      <c r="I27" s="19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S29"/>
  <sheetViews>
    <sheetView zoomScaleNormal="75" zoomScaleSheetLayoutView="100" workbookViewId="0">
      <selection activeCell="I20" sqref="I20"/>
    </sheetView>
  </sheetViews>
  <sheetFormatPr defaultColWidth="8.875" defaultRowHeight="16.5" x14ac:dyDescent="0.3"/>
  <cols>
    <col min="2" max="2" width="12.375" bestFit="1" customWidth="1"/>
    <col min="3" max="3" width="20" bestFit="1" customWidth="1"/>
    <col min="4" max="4" width="10.125" bestFit="1" customWidth="1"/>
    <col min="5" max="5" width="8.625" bestFit="1" customWidth="1"/>
    <col min="6" max="6" width="21.125" bestFit="1" customWidth="1"/>
    <col min="7" max="7" width="21.125" customWidth="1"/>
    <col min="8" max="8" width="39.5" customWidth="1"/>
    <col min="9" max="9" width="32.375" customWidth="1"/>
    <col min="10" max="10" width="22.5" bestFit="1" customWidth="1"/>
    <col min="11" max="11" width="21.625" bestFit="1" customWidth="1"/>
    <col min="12" max="12" width="22.875" bestFit="1" customWidth="1"/>
    <col min="13" max="13" width="17.125" customWidth="1"/>
    <col min="14" max="14" width="19.625" customWidth="1"/>
    <col min="15" max="15" width="19.625" style="11" customWidth="1"/>
    <col min="16" max="17" width="20.375" customWidth="1"/>
    <col min="18" max="19" width="17.125" customWidth="1"/>
  </cols>
  <sheetData>
    <row r="1" spans="2:19" x14ac:dyDescent="0.3">
      <c r="E1" t="s">
        <v>48</v>
      </c>
      <c r="F1" t="s">
        <v>129</v>
      </c>
      <c r="G1" t="s">
        <v>102</v>
      </c>
      <c r="J1" t="s">
        <v>102</v>
      </c>
      <c r="K1" t="s">
        <v>129</v>
      </c>
      <c r="L1" t="s">
        <v>129</v>
      </c>
      <c r="M1" s="11" t="s">
        <v>155</v>
      </c>
      <c r="N1" s="11"/>
      <c r="P1" s="11"/>
      <c r="Q1" s="11"/>
    </row>
    <row r="2" spans="2:19" x14ac:dyDescent="0.3">
      <c r="B2" s="6" t="s">
        <v>127</v>
      </c>
      <c r="C2" s="6" t="s">
        <v>130</v>
      </c>
      <c r="D2" s="6" t="s">
        <v>132</v>
      </c>
      <c r="E2" t="s">
        <v>78</v>
      </c>
      <c r="F2" t="s">
        <v>306</v>
      </c>
      <c r="G2" t="s">
        <v>361</v>
      </c>
      <c r="H2" s="6" t="s">
        <v>126</v>
      </c>
      <c r="I2" s="6" t="s">
        <v>174</v>
      </c>
      <c r="J2" t="s">
        <v>300</v>
      </c>
      <c r="K2" t="s">
        <v>13</v>
      </c>
      <c r="L2" t="s">
        <v>301</v>
      </c>
      <c r="M2" s="6" t="s">
        <v>151</v>
      </c>
      <c r="N2" s="6" t="s">
        <v>160</v>
      </c>
      <c r="O2" s="6" t="s">
        <v>250</v>
      </c>
      <c r="P2" s="2" t="s">
        <v>159</v>
      </c>
      <c r="Q2" s="6" t="s">
        <v>148</v>
      </c>
      <c r="R2" s="15" t="s">
        <v>158</v>
      </c>
      <c r="S2" s="15" t="s">
        <v>161</v>
      </c>
    </row>
    <row r="3" spans="2:19" x14ac:dyDescent="0.3">
      <c r="B3" s="4"/>
      <c r="C3" s="4" t="str">
        <f>INDEX(ItemTable[Name],MATCH(ItemEffectTable[[#This Row],[Index]],ItemTable[ItemEffectDataId],0))</f>
        <v>메탈유니콘 키링</v>
      </c>
      <c r="D3" s="4" t="str">
        <f>INDEX(ItemTable[GradeType],MATCH(ItemEffectTable[[#This Row],[Index]],ItemTable[ItemEffectDataId],0))</f>
        <v>Normal</v>
      </c>
      <c r="E3">
        <v>7000</v>
      </c>
      <c r="F3" t="s">
        <v>373</v>
      </c>
      <c r="G3" s="12" t="s">
        <v>233</v>
      </c>
      <c r="H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3" s="5" t="s">
        <v>384</v>
      </c>
      <c r="J3">
        <v>0.7</v>
      </c>
      <c r="K3" t="s">
        <v>374</v>
      </c>
      <c r="L3" t="s">
        <v>177</v>
      </c>
      <c r="M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3" s="5">
        <f t="array" ref="N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3" s="16" t="s">
        <v>60</v>
      </c>
      <c r="P3" s="5">
        <f t="array" ref="P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0.7</v>
      </c>
      <c r="Q3" s="5">
        <f t="array" ref="Q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20.000000000000004</v>
      </c>
      <c r="R3" s="5">
        <f t="array" ref="R3">SUM(IF($E$3:$E$56=E3,$Q$3:$Q$56))</f>
        <v>20.000000000000004</v>
      </c>
      <c r="S3" s="5">
        <f>INDEX(표9[],MATCH(ItemEffectTable[[#This Row],['#Grade]],표9[#Headers],0))-ItemEffectTable[[#This Row],['#총 효력가치]]</f>
        <v>9.9999999999999964</v>
      </c>
    </row>
    <row r="4" spans="2:19" x14ac:dyDescent="0.3">
      <c r="B4" s="4"/>
      <c r="C4" s="4" t="str">
        <f>INDEX(ItemTable[Name],MATCH(ItemEffectTable[[#This Row],[Index]],ItemTable[ItemEffectDataId],0))</f>
        <v>챔피언 모자</v>
      </c>
      <c r="D4" s="4" t="str">
        <f>INDEX(ItemTable[GradeType],MATCH(ItemEffectTable[[#This Row],[Index]],ItemTable[ItemEffectDataId],0))</f>
        <v>Normal</v>
      </c>
      <c r="E4">
        <v>7001</v>
      </c>
      <c r="F4" t="s">
        <v>373</v>
      </c>
      <c r="G4" s="12" t="s">
        <v>341</v>
      </c>
      <c r="H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공격 범위 반지름 변경</v>
      </c>
      <c r="I4" s="5" t="s">
        <v>391</v>
      </c>
      <c r="J4">
        <v>1.2</v>
      </c>
      <c r="K4" s="12" t="s">
        <v>374</v>
      </c>
      <c r="L4" t="s">
        <v>177</v>
      </c>
      <c r="M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4" s="5">
        <f t="array" ref="N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2.5</v>
      </c>
      <c r="O4" s="16"/>
      <c r="P4" s="5">
        <f t="array" ref="P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3</v>
      </c>
      <c r="Q4" s="5">
        <f t="array" ref="Q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32.608695652173914</v>
      </c>
      <c r="R4" s="5">
        <f t="array" ref="R4">SUM(IF($E$3:$E$56=E4,$Q$3:$Q$56))</f>
        <v>32.608695652173914</v>
      </c>
      <c r="S4" s="5">
        <f>INDEX(표9[],MATCH(ItemEffectTable[[#This Row],['#Grade]],표9[#Headers],0))-ItemEffectTable[[#This Row],['#총 효력가치]]</f>
        <v>-2.608695652173914</v>
      </c>
    </row>
    <row r="5" spans="2:19" x14ac:dyDescent="0.3">
      <c r="B5" s="4"/>
      <c r="C5" s="4" t="str">
        <f>INDEX(ItemTable[Name],MATCH(ItemEffectTable[[#This Row],[Index]],ItemTable[ItemEffectDataId],0))</f>
        <v>쿨 - 도그</v>
      </c>
      <c r="D5" s="4" t="str">
        <f>INDEX(ItemTable[GradeType],MATCH(ItemEffectTable[[#This Row],[Index]],ItemTable[ItemEffectDataId],0))</f>
        <v>Normal</v>
      </c>
      <c r="E5">
        <v>7002</v>
      </c>
      <c r="F5" t="s">
        <v>373</v>
      </c>
      <c r="G5" s="12" t="s">
        <v>364</v>
      </c>
      <c r="H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차징속도변경-1단계</v>
      </c>
      <c r="I5" s="5" t="s">
        <v>380</v>
      </c>
      <c r="J5">
        <v>0.8</v>
      </c>
      <c r="K5" t="s">
        <v>374</v>
      </c>
      <c r="L5" t="s">
        <v>177</v>
      </c>
      <c r="M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5" s="5">
        <f t="array" ref="N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0.8</v>
      </c>
      <c r="O5" s="16"/>
      <c r="P5" s="5">
        <f t="array" ref="P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0.64000000000000012</v>
      </c>
      <c r="Q5" s="5">
        <f t="array" ref="Q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23.999999999999989</v>
      </c>
      <c r="R5" s="5">
        <f t="array" ref="R5">SUM(IF($E$3:$E$56=E5,$Q$3:$Q$56))</f>
        <v>23.999999999999989</v>
      </c>
      <c r="S5" s="5">
        <f>INDEX(표9[],MATCH(ItemEffectTable[[#This Row],['#Grade]],표9[#Headers],0))-ItemEffectTable[[#This Row],['#총 효력가치]]</f>
        <v>6.0000000000000107</v>
      </c>
    </row>
    <row r="6" spans="2:19" x14ac:dyDescent="0.3">
      <c r="B6" s="4"/>
      <c r="C6" s="4" t="str">
        <f>INDEX(ItemTable[Name],MATCH(ItemEffectTable[[#This Row],[Index]],ItemTable[ItemEffectDataId],0))</f>
        <v>QT 파우더</v>
      </c>
      <c r="D6" s="4" t="str">
        <f>INDEX(ItemTable[GradeType],MATCH(ItemEffectTable[[#This Row],[Index]],ItemTable[ItemEffectDataId],0))</f>
        <v>Normal</v>
      </c>
      <c r="E6">
        <v>7003</v>
      </c>
      <c r="F6" t="s">
        <v>373</v>
      </c>
      <c r="G6" s="12" t="s">
        <v>24</v>
      </c>
      <c r="H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6" s="5" t="s">
        <v>379</v>
      </c>
      <c r="J6">
        <v>1</v>
      </c>
      <c r="K6" t="s">
        <v>371</v>
      </c>
      <c r="L6" t="s">
        <v>177</v>
      </c>
      <c r="M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6" s="5">
        <f t="array" ref="N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6" s="16"/>
      <c r="P6" s="5">
        <f t="array" ref="P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6" s="5">
        <f t="array" ref="Q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15</v>
      </c>
      <c r="R6" s="5">
        <f t="array" ref="R6">SUM(IF($E$3:$E$56=E6,$Q$3:$Q$56))</f>
        <v>30</v>
      </c>
      <c r="S6" s="5">
        <f>INDEX(표9[],MATCH(ItemEffectTable[[#This Row],['#Grade]],표9[#Headers],0))-ItemEffectTable[[#This Row],['#총 효력가치]]</f>
        <v>0</v>
      </c>
    </row>
    <row r="7" spans="2:19" x14ac:dyDescent="0.3">
      <c r="B7" s="4"/>
      <c r="C7" s="4" t="str">
        <f>INDEX(ItemTable[Name],MATCH(ItemEffectTable[[#This Row],[Index]],ItemTable[ItemEffectDataId],0))</f>
        <v>QT 파우더</v>
      </c>
      <c r="D7" s="4" t="str">
        <f>INDEX(ItemTable[GradeType],MATCH(ItemEffectTable[[#This Row],[Index]],ItemTable[ItemEffectDataId],0))</f>
        <v>Normal</v>
      </c>
      <c r="E7">
        <v>7003</v>
      </c>
      <c r="F7" t="s">
        <v>373</v>
      </c>
      <c r="G7" s="12" t="s">
        <v>30</v>
      </c>
      <c r="H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7" s="5" t="s">
        <v>379</v>
      </c>
      <c r="J7">
        <v>1</v>
      </c>
      <c r="K7" t="s">
        <v>371</v>
      </c>
      <c r="L7" t="s">
        <v>177</v>
      </c>
      <c r="M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7" s="5">
        <f t="array" ref="N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7" s="16"/>
      <c r="P7" s="5">
        <f t="array" ref="P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4</v>
      </c>
      <c r="Q7" s="5">
        <f t="array" ref="Q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15</v>
      </c>
      <c r="R7" s="5">
        <f t="array" ref="R7">SUM(IF($E$3:$E$56=E7,$Q$3:$Q$56))</f>
        <v>30</v>
      </c>
      <c r="S7" s="5">
        <f>INDEX(표9[],MATCH(ItemEffectTable[[#This Row],['#Grade]],표9[#Headers],0))-ItemEffectTable[[#This Row],['#총 효력가치]]</f>
        <v>0</v>
      </c>
    </row>
    <row r="8" spans="2:19" x14ac:dyDescent="0.3">
      <c r="B8" s="4"/>
      <c r="C8" s="4" t="str">
        <f>INDEX(ItemTable[Name],MATCH(ItemEffectTable[[#This Row],[Index]],ItemTable[ItemEffectDataId],0))</f>
        <v>적토목마</v>
      </c>
      <c r="D8" s="4" t="str">
        <f>INDEX(ItemTable[GradeType],MATCH(ItemEffectTable[[#This Row],[Index]],ItemTable[ItemEffectDataId],0))</f>
        <v>Normal</v>
      </c>
      <c r="E8">
        <v>7004</v>
      </c>
      <c r="F8" t="s">
        <v>373</v>
      </c>
      <c r="G8" s="12" t="s">
        <v>2</v>
      </c>
      <c r="H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8" s="33" t="s">
        <v>527</v>
      </c>
      <c r="J8">
        <v>0.6</v>
      </c>
      <c r="K8" t="s">
        <v>371</v>
      </c>
      <c r="L8" t="s">
        <v>177</v>
      </c>
      <c r="M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8" s="5">
        <f t="array" ref="N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8" s="16"/>
      <c r="P8" s="5">
        <f t="array" ref="P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6.6</v>
      </c>
      <c r="Q8" s="5">
        <f t="array" ref="Q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29.999999999999982</v>
      </c>
      <c r="R8" s="5">
        <f t="array" ref="R8">SUM(IF($E$3:$E$56=E8,$Q$3:$Q$56))</f>
        <v>29.999999999999982</v>
      </c>
      <c r="S8" s="17">
        <f>INDEX(표9[],MATCH(ItemEffectTable[[#This Row],['#Grade]],표9[#Headers],0))-ItemEffectTable[[#This Row],['#총 효력가치]]</f>
        <v>0</v>
      </c>
    </row>
    <row r="9" spans="2:19" x14ac:dyDescent="0.3">
      <c r="B9" s="4"/>
      <c r="C9" s="4" t="str">
        <f>INDEX(ItemTable[Name],MATCH(ItemEffectTable[[#This Row],[Index]],ItemTable[ItemEffectDataId],0))</f>
        <v>삼각김곰</v>
      </c>
      <c r="D9" s="4" t="str">
        <f>INDEX(ItemTable[GradeType],MATCH(ItemEffectTable[[#This Row],[Index]],ItemTable[ItemEffectDataId],0))</f>
        <v>Normal</v>
      </c>
      <c r="E9">
        <v>7005</v>
      </c>
      <c r="F9" t="s">
        <v>373</v>
      </c>
      <c r="G9" s="12" t="s">
        <v>58</v>
      </c>
      <c r="H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9" s="5" t="s">
        <v>377</v>
      </c>
      <c r="J9">
        <v>25</v>
      </c>
      <c r="K9" t="s">
        <v>371</v>
      </c>
      <c r="L9" t="s">
        <v>177</v>
      </c>
      <c r="M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9" s="5">
        <f t="array" ref="N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9" s="16"/>
      <c r="P9" s="5">
        <f t="array" ref="P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100</v>
      </c>
      <c r="Q9" s="5">
        <f t="array" ref="Q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9" s="5">
        <f t="array" ref="R9">SUM(IF($E$3:$E$56=E9,$Q$3:$Q$56))</f>
        <v>30</v>
      </c>
      <c r="S9" s="5">
        <f>INDEX(표9[],MATCH(ItemEffectTable[[#This Row],['#Grade]],표9[#Headers],0))-ItemEffectTable[[#This Row],['#총 효력가치]]</f>
        <v>0</v>
      </c>
    </row>
    <row r="10" spans="2:19" x14ac:dyDescent="0.3">
      <c r="B10" s="4"/>
      <c r="C10" s="4" t="str">
        <f>INDEX(ItemTable[Name],MATCH(ItemEffectTable[[#This Row],[Index]],ItemTable[ItemEffectDataId],0))</f>
        <v>데빌불</v>
      </c>
      <c r="D10" s="4" t="str">
        <f>INDEX(ItemTable[GradeType],MATCH(ItemEffectTable[[#This Row],[Index]],ItemTable[ItemEffectDataId],0))</f>
        <v>Rare</v>
      </c>
      <c r="E10">
        <v>8000</v>
      </c>
      <c r="F10" t="s">
        <v>373</v>
      </c>
      <c r="G10" s="12" t="s">
        <v>342</v>
      </c>
      <c r="H10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0" s="33" t="s">
        <v>525</v>
      </c>
      <c r="J10" s="19" t="s">
        <v>526</v>
      </c>
      <c r="K10" t="s">
        <v>371</v>
      </c>
      <c r="L10" t="s">
        <v>292</v>
      </c>
      <c r="M10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0" s="5">
        <f t="array" ref="N10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0" s="16">
        <f>(6.6-6)*0.3</f>
        <v>0.17999999999999988</v>
      </c>
      <c r="P10" s="5">
        <f t="array" ref="P10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1.18</v>
      </c>
      <c r="Q10" s="5">
        <f t="array" ref="Q10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29.999999999999993</v>
      </c>
      <c r="R10" s="5">
        <f t="array" ref="R10">SUM(IF($E$3:$E$56=E10,$Q$3:$Q$56))</f>
        <v>29.999999999999993</v>
      </c>
      <c r="S10" s="5">
        <f>INDEX(표9[],MATCH(ItemEffectTable[[#This Row],['#Grade]],표9[#Headers],0))-ItemEffectTable[[#This Row],['#총 효력가치]]</f>
        <v>20.000000000000007</v>
      </c>
    </row>
    <row r="11" spans="2:19" x14ac:dyDescent="0.3">
      <c r="B11" s="4"/>
      <c r="C11" s="4" t="str">
        <f>INDEX(ItemTable[Name],MATCH(ItemEffectTable[[#This Row],[Index]],ItemTable[ItemEffectDataId],0))</f>
        <v>대인 지뢰</v>
      </c>
      <c r="D11" s="4" t="str">
        <f>INDEX(ItemTable[GradeType],MATCH(ItemEffectTable[[#This Row],[Index]],ItemTable[ItemEffectDataId],0))</f>
        <v>Rare</v>
      </c>
      <c r="E11">
        <v>8001</v>
      </c>
      <c r="F11" t="s">
        <v>373</v>
      </c>
      <c r="G11" s="12" t="s">
        <v>342</v>
      </c>
      <c r="H11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1" s="5" t="s">
        <v>37</v>
      </c>
      <c r="J11" s="19" t="s">
        <v>521</v>
      </c>
      <c r="K11" t="s">
        <v>371</v>
      </c>
      <c r="L11" t="s">
        <v>375</v>
      </c>
      <c r="M11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1" s="5">
        <f t="array" ref="N11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1" s="16">
        <f>((75)-(25))*0.004</f>
        <v>0.2</v>
      </c>
      <c r="P11" s="5">
        <f t="array" ref="P11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1.2</v>
      </c>
      <c r="Q11" s="5">
        <f t="array" ref="Q11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33.333333333333329</v>
      </c>
      <c r="R11" s="5">
        <f t="array" ref="R11">SUM(IF($E$3:$E$56=E11,$Q$3:$Q$56))</f>
        <v>33.333333333333329</v>
      </c>
      <c r="S11" s="5">
        <f>INDEX(표9[],MATCH(ItemEffectTable[[#This Row],['#Grade]],표9[#Headers],0))-ItemEffectTable[[#This Row],['#총 효력가치]]</f>
        <v>16.666666666666671</v>
      </c>
    </row>
    <row r="12" spans="2:19" x14ac:dyDescent="0.3">
      <c r="B12" s="4"/>
      <c r="C12" s="4" t="str">
        <f>INDEX(ItemTable[Name],MATCH(ItemEffectTable[[#This Row],[Index]],ItemTable[ItemEffectDataId],0))</f>
        <v>돌가면</v>
      </c>
      <c r="D12" s="4" t="str">
        <f>INDEX(ItemTable[GradeType],MATCH(ItemEffectTable[[#This Row],[Index]],ItemTable[ItemEffectDataId],0))</f>
        <v>Rare</v>
      </c>
      <c r="E12">
        <v>8002</v>
      </c>
      <c r="F12" t="s">
        <v>373</v>
      </c>
      <c r="G12" t="s">
        <v>342</v>
      </c>
      <c r="H12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2" s="33" t="s">
        <v>529</v>
      </c>
      <c r="J12">
        <v>0.1</v>
      </c>
      <c r="K12" t="s">
        <v>371</v>
      </c>
      <c r="L12" t="s">
        <v>177</v>
      </c>
      <c r="M12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2" s="5">
        <f t="array" ref="N12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2" s="16"/>
      <c r="P12" s="5">
        <f t="array" ref="P12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1.1000000000000001</v>
      </c>
      <c r="Q12" s="5">
        <f t="array" ref="Q12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16.666666666666682</v>
      </c>
      <c r="R12" s="5">
        <f t="array" ref="R12">SUM(IF($E$3:$E$56=E12,$Q$3:$Q$56))</f>
        <v>48.33333333333335</v>
      </c>
      <c r="S12" s="5">
        <f>INDEX(표9[],MATCH(ItemEffectTable[[#This Row],['#Grade]],표9[#Headers],0))-ItemEffectTable[[#This Row],['#총 효력가치]]</f>
        <v>1.6666666666666501</v>
      </c>
    </row>
    <row r="13" spans="2:19" x14ac:dyDescent="0.3">
      <c r="B13" s="4"/>
      <c r="C13" s="4" t="str">
        <f>INDEX(ItemTable[Name],MATCH(ItemEffectTable[[#This Row],[Index]],ItemTable[ItemEffectDataId],0))</f>
        <v>돌가면</v>
      </c>
      <c r="D13" s="4" t="str">
        <f>INDEX(ItemTable[GradeType],MATCH(ItemEffectTable[[#This Row],[Index]],ItemTable[ItemEffectDataId],0))</f>
        <v>Rare</v>
      </c>
      <c r="E13">
        <v>8002</v>
      </c>
      <c r="F13" t="s">
        <v>373</v>
      </c>
      <c r="G13" t="s">
        <v>2</v>
      </c>
      <c r="H1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13" s="33" t="s">
        <v>529</v>
      </c>
      <c r="J13">
        <v>0.5</v>
      </c>
      <c r="K13" t="s">
        <v>371</v>
      </c>
      <c r="L13" t="s">
        <v>177</v>
      </c>
      <c r="M1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13" s="5">
        <f t="array" ref="N1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13" s="16"/>
      <c r="P13" s="5">
        <f t="array" ref="P1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6.5</v>
      </c>
      <c r="Q13" s="5">
        <f t="array" ref="Q1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25</v>
      </c>
      <c r="R13" s="5">
        <f t="array" ref="R13">SUM(IF($E$3:$E$56=E13,$Q$3:$Q$56))</f>
        <v>48.33333333333335</v>
      </c>
      <c r="S13" s="5">
        <f>INDEX(표9[],MATCH(ItemEffectTable[[#This Row],['#Grade]],표9[#Headers],0))-ItemEffectTable[[#This Row],['#총 효력가치]]</f>
        <v>1.6666666666666501</v>
      </c>
    </row>
    <row r="14" spans="2:19" x14ac:dyDescent="0.3">
      <c r="B14" s="4"/>
      <c r="C14" s="4" t="str">
        <f>INDEX(ItemTable[Name],MATCH(ItemEffectTable[[#This Row],[Index]],ItemTable[ItemEffectDataId],0))</f>
        <v>돌가면</v>
      </c>
      <c r="D14" s="4" t="str">
        <f>INDEX(ItemTable[GradeType],MATCH(ItemEffectTable[[#This Row],[Index]],ItemTable[ItemEffectDataId],0))</f>
        <v>Rare</v>
      </c>
      <c r="E14">
        <v>8002</v>
      </c>
      <c r="F14" t="s">
        <v>373</v>
      </c>
      <c r="G14" t="s">
        <v>233</v>
      </c>
      <c r="H1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14" s="33" t="s">
        <v>529</v>
      </c>
      <c r="J14">
        <v>-0.1</v>
      </c>
      <c r="K14" t="s">
        <v>371</v>
      </c>
      <c r="L14" t="s">
        <v>177</v>
      </c>
      <c r="M1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4" s="5">
        <f t="array" ref="N1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4" s="16"/>
      <c r="P14" s="5">
        <f t="array" ref="P1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0.9</v>
      </c>
      <c r="Q14" s="5">
        <f t="array" ref="Q1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6.6666666666666661</v>
      </c>
      <c r="R14" s="5">
        <f t="array" ref="R14">SUM(IF($E$3:$E$56=E14,$Q$3:$Q$56))</f>
        <v>48.33333333333335</v>
      </c>
      <c r="S14" s="5">
        <f>INDEX(표9[],MATCH(ItemEffectTable[[#This Row],['#Grade]],표9[#Headers],0))-ItemEffectTable[[#This Row],['#총 효력가치]]</f>
        <v>1.6666666666666501</v>
      </c>
    </row>
    <row r="15" spans="2:19" x14ac:dyDescent="0.3">
      <c r="B15" s="4"/>
      <c r="C15" s="4" t="str">
        <f>INDEX(ItemTable[Name],MATCH(ItemEffectTable[[#This Row],[Index]],ItemTable[ItemEffectDataId],0))</f>
        <v>사나운 돼지저금통</v>
      </c>
      <c r="D15" s="4" t="str">
        <f>INDEX(ItemTable[GradeType],MATCH(ItemEffectTable[[#This Row],[Index]],ItemTable[ItemEffectDataId],0))</f>
        <v>Rare</v>
      </c>
      <c r="E15">
        <v>8003</v>
      </c>
      <c r="F15" t="s">
        <v>373</v>
      </c>
      <c r="G15" t="s">
        <v>302</v>
      </c>
      <c r="H1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골드획득량변경</v>
      </c>
      <c r="I15" s="5" t="s">
        <v>376</v>
      </c>
      <c r="J15">
        <v>0.5</v>
      </c>
      <c r="K15" t="s">
        <v>371</v>
      </c>
      <c r="L15" t="s">
        <v>177</v>
      </c>
      <c r="M1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15" s="5">
        <f t="array" ref="N1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5" s="16"/>
      <c r="P15" s="5">
        <f t="array" ref="P1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1.5</v>
      </c>
      <c r="Q15" s="5">
        <f t="array" ref="Q1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50</v>
      </c>
      <c r="R15" s="5">
        <f t="array" ref="R15">SUM(IF($E$3:$E$56=E15,$Q$3:$Q$56))</f>
        <v>50</v>
      </c>
      <c r="S15" s="5">
        <f>INDEX(표9[],MATCH(ItemEffectTable[[#This Row],['#Grade]],표9[#Headers],0))-ItemEffectTable[[#This Row],['#총 효력가치]]</f>
        <v>0</v>
      </c>
    </row>
    <row r="16" spans="2:19" x14ac:dyDescent="0.3">
      <c r="B16" s="4"/>
      <c r="C16" s="4" t="str">
        <f>INDEX(ItemTable[Name],MATCH(ItemEffectTable[[#This Row],[Index]],ItemTable[ItemEffectDataId],0))</f>
        <v>성배 속 무언가</v>
      </c>
      <c r="D16" s="4" t="str">
        <f>INDEX(ItemTable[GradeType],MATCH(ItemEffectTable[[#This Row],[Index]],ItemTable[ItemEffectDataId],0))</f>
        <v>Rare</v>
      </c>
      <c r="E16">
        <v>8004</v>
      </c>
      <c r="F16" t="s">
        <v>373</v>
      </c>
      <c r="G16" s="12" t="s">
        <v>24</v>
      </c>
      <c r="H1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16" s="5" t="s">
        <v>378</v>
      </c>
      <c r="J16">
        <v>2</v>
      </c>
      <c r="K16" t="s">
        <v>371</v>
      </c>
      <c r="L16" t="s">
        <v>177</v>
      </c>
      <c r="M1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6" s="5">
        <f t="array" ref="N1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6" s="16"/>
      <c r="P16" s="5">
        <f t="array" ref="P1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3</v>
      </c>
      <c r="Q16" s="5">
        <f t="array" ref="Q1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16" s="5">
        <f t="array" ref="R16">SUM(IF($E$3:$E$56=E16,$Q$3:$Q$56))</f>
        <v>60</v>
      </c>
      <c r="S16" s="5">
        <f>INDEX(표9[],MATCH(ItemEffectTable[[#This Row],['#Grade]],표9[#Headers],0))-ItemEffectTable[[#This Row],['#총 효력가치]]</f>
        <v>-10</v>
      </c>
    </row>
    <row r="17" spans="2:19" x14ac:dyDescent="0.3">
      <c r="B17" s="4"/>
      <c r="C17" s="4" t="str">
        <f>INDEX(ItemTable[Name],MATCH(ItemEffectTable[[#This Row],[Index]],ItemTable[ItemEffectDataId],0))</f>
        <v>성배 속 무언가</v>
      </c>
      <c r="D17" s="4" t="str">
        <f>INDEX(ItemTable[GradeType],MATCH(ItemEffectTable[[#This Row],[Index]],ItemTable[ItemEffectDataId],0))</f>
        <v>Rare</v>
      </c>
      <c r="E17">
        <v>8004</v>
      </c>
      <c r="F17" t="s">
        <v>373</v>
      </c>
      <c r="G17" s="12" t="s">
        <v>30</v>
      </c>
      <c r="H1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17" s="5" t="s">
        <v>378</v>
      </c>
      <c r="J17">
        <v>2</v>
      </c>
      <c r="K17" t="s">
        <v>371</v>
      </c>
      <c r="L17" t="s">
        <v>177</v>
      </c>
      <c r="M1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7" s="5">
        <f t="array" ref="N1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17" s="16"/>
      <c r="P17" s="5">
        <f t="array" ref="P1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5</v>
      </c>
      <c r="Q17" s="5">
        <f t="array" ref="Q1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17" s="5">
        <f t="array" ref="R17">SUM(IF($E$3:$E$56=E17,$Q$3:$Q$56))</f>
        <v>60</v>
      </c>
      <c r="S17" s="5">
        <f>INDEX(표9[],MATCH(ItemEffectTable[[#This Row],['#Grade]],표9[#Headers],0))-ItemEffectTable[[#This Row],['#총 효력가치]]</f>
        <v>-10</v>
      </c>
    </row>
    <row r="18" spans="2:19" x14ac:dyDescent="0.3">
      <c r="B18" s="4"/>
      <c r="C18" s="4" t="str">
        <f>INDEX(ItemTable[Name],MATCH(ItemEffectTable[[#This Row],[Index]],ItemTable[ItemEffectDataId],0))</f>
        <v>이상한 사탕</v>
      </c>
      <c r="D18" s="4" t="str">
        <f>INDEX(ItemTable[GradeType],MATCH(ItemEffectTable[[#This Row],[Index]],ItemTable[ItemEffectDataId],0))</f>
        <v>Rare</v>
      </c>
      <c r="E18">
        <v>8005</v>
      </c>
      <c r="F18" t="s">
        <v>373</v>
      </c>
      <c r="G18" s="12" t="s">
        <v>342</v>
      </c>
      <c r="H1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8" s="5" t="s">
        <v>38</v>
      </c>
      <c r="J18" t="s">
        <v>403</v>
      </c>
      <c r="K18" t="s">
        <v>371</v>
      </c>
      <c r="L18" t="s">
        <v>409</v>
      </c>
      <c r="M1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8" s="5">
        <f t="array" ref="N1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8" s="16">
        <f>3*0.1</f>
        <v>0.30000000000000004</v>
      </c>
      <c r="P18" s="5">
        <f t="array" ref="P1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1.3</v>
      </c>
      <c r="Q18" s="5">
        <f t="array" ref="Q1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50.000000000000014</v>
      </c>
      <c r="R18" s="5">
        <f t="array" ref="R18">SUM(IF($E$3:$E$56=E18,$Q$3:$Q$56))</f>
        <v>50.000000000000014</v>
      </c>
      <c r="S18" s="5">
        <f>INDEX(표9[],MATCH(ItemEffectTable[[#This Row],['#Grade]],표9[#Headers],0))-ItemEffectTable[[#This Row],['#총 효력가치]]</f>
        <v>0</v>
      </c>
    </row>
    <row r="19" spans="2:19" x14ac:dyDescent="0.3">
      <c r="B19" s="4"/>
      <c r="C19" s="4" t="str">
        <f>INDEX(ItemTable[Name],MATCH(ItemEffectTable[[#This Row],[Index]],ItemTable[ItemEffectDataId],0))</f>
        <v>코코아 한통</v>
      </c>
      <c r="D19" s="4" t="str">
        <f>INDEX(ItemTable[GradeType],MATCH(ItemEffectTable[[#This Row],[Index]],ItemTable[ItemEffectDataId],0))</f>
        <v>Cursed</v>
      </c>
      <c r="E19">
        <v>9000</v>
      </c>
      <c r="F19" t="s">
        <v>373</v>
      </c>
      <c r="G19" s="12" t="s">
        <v>233</v>
      </c>
      <c r="H1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19" s="5" t="s">
        <v>294</v>
      </c>
      <c r="J19">
        <v>1.2</v>
      </c>
      <c r="K19" t="s">
        <v>374</v>
      </c>
      <c r="L19" t="s">
        <v>177</v>
      </c>
      <c r="M1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9" s="5">
        <f t="array" ref="N1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9" s="16"/>
      <c r="P19" s="5">
        <f t="array" ref="P1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1.2</v>
      </c>
      <c r="Q19" s="5">
        <f t="array" ref="Q1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-13.333333333333332</v>
      </c>
      <c r="R19" s="5">
        <f t="array" ref="R19">SUM(IF($E$3:$E$56=E19,$Q$3:$Q$56))</f>
        <v>40.666666666666671</v>
      </c>
      <c r="S19" s="5">
        <f>INDEX(표9[],MATCH(ItemEffectTable[[#This Row],['#Grade]],표9[#Headers],0))-ItemEffectTable[[#This Row],['#총 효력가치]]</f>
        <v>9.3333333333333286</v>
      </c>
    </row>
    <row r="20" spans="2:19" x14ac:dyDescent="0.3">
      <c r="B20" s="4"/>
      <c r="C20" s="4" t="str">
        <f>INDEX(ItemTable[Name],MATCH(ItemEffectTable[[#This Row],[Index]],ItemTable[ItemEffectDataId],0))</f>
        <v>코코아 한통</v>
      </c>
      <c r="D20" s="4" t="str">
        <f>INDEX(ItemTable[GradeType],MATCH(ItemEffectTable[[#This Row],[Index]],ItemTable[ItemEffectDataId],0))</f>
        <v>Cursed</v>
      </c>
      <c r="E20">
        <v>9000</v>
      </c>
      <c r="F20" t="s">
        <v>373</v>
      </c>
      <c r="G20" s="12" t="s">
        <v>364</v>
      </c>
      <c r="H20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차징속도변경-1단계</v>
      </c>
      <c r="I20" s="5" t="s">
        <v>294</v>
      </c>
      <c r="J20">
        <v>0.55000000000000004</v>
      </c>
      <c r="K20" t="s">
        <v>374</v>
      </c>
      <c r="L20" t="s">
        <v>177</v>
      </c>
      <c r="M20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0" s="5">
        <f t="array" ref="N20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0.8</v>
      </c>
      <c r="O20" s="16"/>
      <c r="P20" s="5">
        <f t="array" ref="P20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0.44000000000000006</v>
      </c>
      <c r="Q20" s="5">
        <f t="array" ref="Q20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54</v>
      </c>
      <c r="R20" s="5">
        <f t="array" ref="R20">SUM(IF($E$3:$E$56=E20,$Q$3:$Q$56))</f>
        <v>40.666666666666671</v>
      </c>
      <c r="S20" s="5">
        <f>INDEX(표9[],MATCH(ItemEffectTable[[#This Row],['#Grade]],표9[#Headers],0))-ItemEffectTable[[#This Row],['#총 효력가치]]</f>
        <v>9.3333333333333286</v>
      </c>
    </row>
    <row r="21" spans="2:19" x14ac:dyDescent="0.3">
      <c r="B21" s="4"/>
      <c r="C21" s="4" t="str">
        <f>INDEX(ItemTable[Name],MATCH(ItemEffectTable[[#This Row],[Index]],ItemTable[ItemEffectDataId],0))</f>
        <v>슬픈 캔리오</v>
      </c>
      <c r="D21" s="4" t="str">
        <f>INDEX(ItemTable[GradeType],MATCH(ItemEffectTable[[#This Row],[Index]],ItemTable[ItemEffectDataId],0))</f>
        <v>Cursed</v>
      </c>
      <c r="E21">
        <v>9001</v>
      </c>
      <c r="F21" t="s">
        <v>373</v>
      </c>
      <c r="G21" t="s">
        <v>2</v>
      </c>
      <c r="H21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21" s="5" t="s">
        <v>293</v>
      </c>
      <c r="J21">
        <v>0.75</v>
      </c>
      <c r="K21" t="s">
        <v>374</v>
      </c>
      <c r="L21" t="s">
        <v>177</v>
      </c>
      <c r="M21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1" s="5">
        <f t="array" ref="N21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21" s="16"/>
      <c r="P21" s="5">
        <f t="array" ref="P21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4.5</v>
      </c>
      <c r="Q21" s="5">
        <f t="array" ref="Q21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-75</v>
      </c>
      <c r="R21" s="5">
        <f t="array" ref="R21">SUM(IF($E$3:$E$56=E21,$Q$3:$Q$56))</f>
        <v>45</v>
      </c>
      <c r="S21" s="5">
        <f>INDEX(표9[],MATCH(ItemEffectTable[[#This Row],['#Grade]],표9[#Headers],0))-ItemEffectTable[[#This Row],['#총 효력가치]]</f>
        <v>5</v>
      </c>
    </row>
    <row r="22" spans="2:19" x14ac:dyDescent="0.3">
      <c r="B22" s="4"/>
      <c r="C22" s="4" t="str">
        <f>INDEX(ItemTable[Name],MATCH(ItemEffectTable[[#This Row],[Index]],ItemTable[ItemEffectDataId],0))</f>
        <v>슬픈 캔리오</v>
      </c>
      <c r="D22" s="4" t="str">
        <f>INDEX(ItemTable[GradeType],MATCH(ItemEffectTable[[#This Row],[Index]],ItemTable[ItemEffectDataId],0))</f>
        <v>Cursed</v>
      </c>
      <c r="E22">
        <v>9001</v>
      </c>
      <c r="F22" t="s">
        <v>373</v>
      </c>
      <c r="G22" s="12" t="s">
        <v>58</v>
      </c>
      <c r="H22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22" s="5" t="s">
        <v>293</v>
      </c>
      <c r="J22">
        <v>100</v>
      </c>
      <c r="K22" t="s">
        <v>371</v>
      </c>
      <c r="L22" t="s">
        <v>177</v>
      </c>
      <c r="M22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2" s="5">
        <f t="array" ref="N22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22" s="16"/>
      <c r="P22" s="5">
        <f t="array" ref="P22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175</v>
      </c>
      <c r="Q22" s="5">
        <f t="array" ref="Q22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120</v>
      </c>
      <c r="R22" s="5">
        <f t="array" ref="R22">SUM(IF($E$3:$E$56=E22,$Q$3:$Q$56))</f>
        <v>45</v>
      </c>
      <c r="S22" s="5">
        <f>INDEX(표9[],MATCH(ItemEffectTable[[#This Row],['#Grade]],표9[#Headers],0))-ItemEffectTable[[#This Row],['#총 효력가치]]</f>
        <v>5</v>
      </c>
    </row>
    <row r="23" spans="2:19" x14ac:dyDescent="0.3">
      <c r="B23" s="4"/>
      <c r="C23" s="4" t="str">
        <f>INDEX(ItemTable[Name],MATCH(ItemEffectTable[[#This Row],[Index]],ItemTable[ItemEffectDataId],0))</f>
        <v>청개굴 버섯구이</v>
      </c>
      <c r="D23" s="4" t="str">
        <f>INDEX(ItemTable[GradeType],MATCH(ItemEffectTable[[#This Row],[Index]],ItemTable[ItemEffectDataId],0))</f>
        <v>Cursed</v>
      </c>
      <c r="E23">
        <v>9002</v>
      </c>
      <c r="F23" t="s">
        <v>373</v>
      </c>
      <c r="G23" t="s">
        <v>342</v>
      </c>
      <c r="H2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23" s="33" t="s">
        <v>518</v>
      </c>
      <c r="J23">
        <v>1</v>
      </c>
      <c r="K23" t="s">
        <v>371</v>
      </c>
      <c r="L23" t="s">
        <v>177</v>
      </c>
      <c r="M2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3" s="5">
        <f t="array" ref="N2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3" s="16"/>
      <c r="P23" s="5">
        <f t="array" ref="P2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23" s="5">
        <f t="array" ref="Q2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166.66666666666669</v>
      </c>
      <c r="R23" s="5" t="e">
        <f t="array" ref="R23">SUM(IF($E$3:$E$56=E23,$Q$3:$Q$56))</f>
        <v>#VALUE!</v>
      </c>
      <c r="S23" s="5" t="e">
        <f>INDEX(표9[],MATCH(ItemEffectTable[[#This Row],['#Grade]],표9[#Headers],0))-ItemEffectTable[[#This Row],['#총 효력가치]]</f>
        <v>#VALUE!</v>
      </c>
    </row>
    <row r="24" spans="2:19" x14ac:dyDescent="0.3">
      <c r="B24" s="4"/>
      <c r="C24" s="4" t="str">
        <f>INDEX(ItemTable[Name],MATCH(ItemEffectTable[[#This Row],[Index]],ItemTable[ItemEffectDataId],0))</f>
        <v>청개굴 버섯구이</v>
      </c>
      <c r="D24" s="4" t="str">
        <f>INDEX(ItemTable[GradeType],MATCH(ItemEffectTable[[#This Row],[Index]],ItemTable[ItemEffectDataId],0))</f>
        <v>Cursed</v>
      </c>
      <c r="E24">
        <v>9002</v>
      </c>
      <c r="F24" t="s">
        <v>150</v>
      </c>
      <c r="G24" t="s">
        <v>76</v>
      </c>
      <c r="H2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 방향이 반대 방향이 됨.</v>
      </c>
      <c r="I24" s="5" t="s">
        <v>397</v>
      </c>
      <c r="J24">
        <v>0</v>
      </c>
      <c r="K24" t="s">
        <v>175</v>
      </c>
      <c r="L24" t="s">
        <v>177</v>
      </c>
      <c r="M2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-</v>
      </c>
      <c r="N24" s="5" t="str">
        <f t="array" ref="N2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예외처리</v>
      </c>
      <c r="O24" s="16"/>
      <c r="P24" s="5">
        <f t="array" ref="P2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</v>
      </c>
      <c r="Q24" s="5" t="e">
        <f t="array" ref="Q2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#VALUE!</v>
      </c>
      <c r="R24" s="5" t="e">
        <f t="array" ref="R24">SUM(IF($E$3:$E$56=E24,$Q$3:$Q$56))</f>
        <v>#VALUE!</v>
      </c>
      <c r="S24" s="5" t="e">
        <f>INDEX(표9[],MATCH(ItemEffectTable[[#This Row],['#Grade]],표9[#Headers],0))-ItemEffectTable[[#This Row],['#총 효력가치]]</f>
        <v>#VALUE!</v>
      </c>
    </row>
    <row r="25" spans="2:19" x14ac:dyDescent="0.3">
      <c r="B25" s="4"/>
      <c r="C25" s="4" t="str">
        <f>INDEX(ItemTable[Name],MATCH(ItemEffectTable[[#This Row],[Index]],ItemTable[ItemEffectDataId],0))</f>
        <v>누군가의 일기장</v>
      </c>
      <c r="D25" s="4" t="str">
        <f>INDEX(ItemTable[GradeType],MATCH(ItemEffectTable[[#This Row],[Index]],ItemTable[ItemEffectDataId],0))</f>
        <v>Cursed</v>
      </c>
      <c r="E25">
        <v>9003</v>
      </c>
      <c r="F25" t="s">
        <v>373</v>
      </c>
      <c r="G25" s="12" t="s">
        <v>58</v>
      </c>
      <c r="H2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25" s="5" t="s">
        <v>36</v>
      </c>
      <c r="J25">
        <v>-50</v>
      </c>
      <c r="K25" t="s">
        <v>371</v>
      </c>
      <c r="L25" t="s">
        <v>177</v>
      </c>
      <c r="M2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5" s="5">
        <f t="array" ref="N2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25" s="16"/>
      <c r="P25" s="5">
        <f t="array" ref="P2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25</v>
      </c>
      <c r="Q25" s="5">
        <f t="array" ref="Q2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-60</v>
      </c>
      <c r="R25" s="5">
        <f t="array" ref="R25">SUM(IF($E$3:$E$56=E25,$Q$3:$Q$56))</f>
        <v>40.000000000000028</v>
      </c>
      <c r="S25" s="5">
        <f>INDEX(표9[],MATCH(ItemEffectTable[[#This Row],['#Grade]],표9[#Headers],0))-ItemEffectTable[[#This Row],['#총 효력가치]]</f>
        <v>9.9999999999999716</v>
      </c>
    </row>
    <row r="26" spans="2:19" x14ac:dyDescent="0.3">
      <c r="B26" s="4"/>
      <c r="C26" s="4" t="str">
        <f>INDEX(ItemTable[Name],MATCH(ItemEffectTable[[#This Row],[Index]],ItemTable[ItemEffectDataId],0))</f>
        <v>누군가의 일기장</v>
      </c>
      <c r="D26" s="4" t="str">
        <f>INDEX(ItemTable[GradeType],MATCH(ItemEffectTable[[#This Row],[Index]],ItemTable[ItemEffectDataId],0))</f>
        <v>Cursed</v>
      </c>
      <c r="E26">
        <v>9003</v>
      </c>
      <c r="F26" t="s">
        <v>373</v>
      </c>
      <c r="G26" t="s">
        <v>342</v>
      </c>
      <c r="H2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26" s="5" t="s">
        <v>36</v>
      </c>
      <c r="J26">
        <v>0.6</v>
      </c>
      <c r="K26" t="s">
        <v>371</v>
      </c>
      <c r="L26" t="s">
        <v>177</v>
      </c>
      <c r="M2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6" s="5">
        <f t="array" ref="N2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6" s="16"/>
      <c r="P26" s="5">
        <f t="array" ref="P2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1.6</v>
      </c>
      <c r="Q26" s="5">
        <f t="array" ref="Q2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100.00000000000003</v>
      </c>
      <c r="R26" s="5">
        <f t="array" ref="R26">SUM(IF($E$3:$E$56=E26,$Q$3:$Q$56))</f>
        <v>40.000000000000028</v>
      </c>
      <c r="S26" s="5">
        <f>INDEX(표9[],MATCH(ItemEffectTable[[#This Row],['#Grade]],표9[#Headers],0))-ItemEffectTable[[#This Row],['#총 효력가치]]</f>
        <v>9.9999999999999716</v>
      </c>
    </row>
    <row r="27" spans="2:19" x14ac:dyDescent="0.3">
      <c r="B27" s="4"/>
      <c r="C27" s="4" t="str">
        <f>INDEX(ItemTable[Name],MATCH(ItemEffectTable[[#This Row],[Index]],ItemTable[ItemEffectDataId],0))</f>
        <v>태양</v>
      </c>
      <c r="D27" s="4" t="str">
        <f>INDEX(ItemTable[GradeType],MATCH(ItemEffectTable[[#This Row],[Index]],ItemTable[ItemEffectDataId],0))</f>
        <v>Cursed</v>
      </c>
      <c r="E27">
        <v>9004</v>
      </c>
      <c r="F27" t="s">
        <v>373</v>
      </c>
      <c r="G27" s="12" t="s">
        <v>24</v>
      </c>
      <c r="H2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27" s="5" t="s">
        <v>401</v>
      </c>
      <c r="J27">
        <v>-1</v>
      </c>
      <c r="K27" t="s">
        <v>371</v>
      </c>
      <c r="L27" t="s">
        <v>177</v>
      </c>
      <c r="M2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7" s="5">
        <f t="array" ref="N2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7" s="16"/>
      <c r="P27" s="5">
        <f t="array" ref="P2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</v>
      </c>
      <c r="Q27" s="5">
        <f t="array" ref="Q2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-15</v>
      </c>
      <c r="R27" s="5">
        <f t="array" ref="R27">SUM(IF($E$3:$E$56=E27,$Q$3:$Q$56))</f>
        <v>10</v>
      </c>
      <c r="S27" s="5">
        <f>INDEX(표9[],MATCH(ItemEffectTable[[#This Row],['#Grade]],표9[#Headers],0))-ItemEffectTable[[#This Row],['#총 효력가치]]</f>
        <v>40</v>
      </c>
    </row>
    <row r="28" spans="2:19" x14ac:dyDescent="0.3">
      <c r="B28" s="4"/>
      <c r="C28" s="4" t="str">
        <f>INDEX(ItemTable[Name],MATCH(ItemEffectTable[[#This Row],[Index]],ItemTable[ItemEffectDataId],0))</f>
        <v>태양</v>
      </c>
      <c r="D28" s="4" t="str">
        <f>INDEX(ItemTable[GradeType],MATCH(ItemEffectTable[[#This Row],[Index]],ItemTable[ItemEffectDataId],0))</f>
        <v>Cursed</v>
      </c>
      <c r="E28">
        <v>9004</v>
      </c>
      <c r="F28" t="s">
        <v>373</v>
      </c>
      <c r="G28" s="12" t="s">
        <v>30</v>
      </c>
      <c r="H2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28" s="5" t="s">
        <v>401</v>
      </c>
      <c r="J28">
        <v>-1</v>
      </c>
      <c r="K28" t="s">
        <v>371</v>
      </c>
      <c r="L28" t="s">
        <v>177</v>
      </c>
      <c r="M2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8" s="5">
        <f t="array" ref="N2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28" s="16"/>
      <c r="P28" s="5">
        <f t="array" ref="P2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28" s="5">
        <f t="array" ref="Q2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-15</v>
      </c>
      <c r="R28" s="5">
        <f t="array" ref="R28">SUM(IF($E$3:$E$56=E28,$Q$3:$Q$56))</f>
        <v>10</v>
      </c>
      <c r="S28" s="5">
        <f>INDEX(표9[],MATCH(ItemEffectTable[[#This Row],['#Grade]],표9[#Headers],0))-ItemEffectTable[[#This Row],['#총 효력가치]]</f>
        <v>40</v>
      </c>
    </row>
    <row r="29" spans="2:19" x14ac:dyDescent="0.3">
      <c r="B29" s="4"/>
      <c r="C29" s="4" t="str">
        <f>INDEX(ItemTable[Name],MATCH(ItemEffectTable[[#This Row],[Index]],ItemTable[ItemEffectDataId],0))</f>
        <v>태양</v>
      </c>
      <c r="D29" s="4" t="str">
        <f>INDEX(ItemTable[GradeType],MATCH(ItemEffectTable[[#This Row],[Index]],ItemTable[ItemEffectDataId],0))</f>
        <v>Cursed</v>
      </c>
      <c r="E29">
        <v>9004</v>
      </c>
      <c r="F29" t="s">
        <v>373</v>
      </c>
      <c r="G29" t="s">
        <v>201</v>
      </c>
      <c r="H2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관통샷 변경</v>
      </c>
      <c r="I29" s="5" t="s">
        <v>401</v>
      </c>
      <c r="J29">
        <v>1</v>
      </c>
      <c r="K29" t="s">
        <v>175</v>
      </c>
      <c r="L29" t="s">
        <v>177</v>
      </c>
      <c r="M2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9" s="5">
        <f t="array" ref="N2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</v>
      </c>
      <c r="O29" s="16"/>
      <c r="P29" s="5">
        <f t="array" ref="P2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</v>
      </c>
      <c r="Q29" s="5">
        <f t="array" ref="Q2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40</v>
      </c>
      <c r="R29" s="5">
        <f t="array" ref="R29">SUM(IF($E$3:$E$56=E29,$Q$3:$Q$56))</f>
        <v>10</v>
      </c>
      <c r="S29" s="5">
        <f>INDEX(표9[],MATCH(ItemEffectTable[[#This Row],['#Grade]],표9[#Headers],0))-ItemEffectTable[[#This Row],['#총 효력가치]]</f>
        <v>40</v>
      </c>
    </row>
  </sheetData>
  <phoneticPr fontId="8" type="noConversion"/>
  <conditionalFormatting sqref="S3:S2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{A3F509AD-3D70-4F54-82E6-8CD23F1F41A7}</x14:id>
        </ext>
      </extLst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F509AD-3D70-4F54-82E6-8CD23F1F41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S3:S29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F6" sqref="F6"/>
    </sheetView>
  </sheetViews>
  <sheetFormatPr defaultColWidth="8.875" defaultRowHeight="16.5" x14ac:dyDescent="0.3"/>
  <cols>
    <col min="3" max="3" width="15.125" bestFit="1" customWidth="1"/>
    <col min="4" max="4" width="28.375" customWidth="1"/>
    <col min="5" max="5" width="16.375" bestFit="1" customWidth="1"/>
    <col min="6" max="6" width="33.125" customWidth="1"/>
  </cols>
  <sheetData>
    <row r="1" spans="2:6" x14ac:dyDescent="0.3">
      <c r="B1" t="s">
        <v>53</v>
      </c>
      <c r="C1" t="s">
        <v>51</v>
      </c>
      <c r="D1" t="s">
        <v>51</v>
      </c>
      <c r="E1" t="s">
        <v>80</v>
      </c>
      <c r="F1" t="s">
        <v>79</v>
      </c>
    </row>
    <row r="2" spans="2:6" x14ac:dyDescent="0.3">
      <c r="B2" t="s">
        <v>78</v>
      </c>
      <c r="C2" s="6" t="s">
        <v>120</v>
      </c>
      <c r="D2" s="6" t="s">
        <v>121</v>
      </c>
      <c r="E2" t="s">
        <v>234</v>
      </c>
      <c r="F2" t="s">
        <v>235</v>
      </c>
    </row>
    <row r="3" spans="2:6" x14ac:dyDescent="0.3">
      <c r="B3">
        <v>900</v>
      </c>
      <c r="C3" s="4" t="e">
        <f>INDEX(#REF!,MATCH(ItemResourceTable[[#This Row],[Index]],ItemEffectTable[ApplyValue],0))</f>
        <v>#REF!</v>
      </c>
      <c r="D3" s="4" t="s">
        <v>346</v>
      </c>
      <c r="E3" t="s">
        <v>59</v>
      </c>
      <c r="F3" t="s">
        <v>264</v>
      </c>
    </row>
    <row r="4" spans="2:6" x14ac:dyDescent="0.3">
      <c r="B4">
        <v>900</v>
      </c>
      <c r="C4" s="4" t="e">
        <f>INDEX(#REF!,MATCH(ItemResourceTable[[#This Row],[Index]],ItemEffectTable[ApplyValue],0))</f>
        <v>#REF!</v>
      </c>
      <c r="D4" s="4" t="s">
        <v>122</v>
      </c>
      <c r="E4" t="s">
        <v>321</v>
      </c>
      <c r="F4" t="s">
        <v>407</v>
      </c>
    </row>
    <row r="5" spans="2:6" x14ac:dyDescent="0.3">
      <c r="B5">
        <v>901</v>
      </c>
      <c r="C5" s="4" t="e">
        <f>INDEX(#REF!,MATCH(ItemResourceTable[[#This Row],[Index]],ItemEffectTable[ApplyValue],0))</f>
        <v>#REF!</v>
      </c>
      <c r="D5" s="4" t="s">
        <v>346</v>
      </c>
      <c r="E5" t="s">
        <v>59</v>
      </c>
      <c r="F5" t="s">
        <v>405</v>
      </c>
    </row>
    <row r="6" spans="2:6" x14ac:dyDescent="0.3">
      <c r="B6">
        <v>901</v>
      </c>
      <c r="C6" s="4" t="e">
        <f>INDEX(#REF!,MATCH(ItemResourceTable[[#This Row],[Index]],ItemEffectTable[ApplyValue],0))</f>
        <v>#REF!</v>
      </c>
      <c r="D6" s="4" t="s">
        <v>320</v>
      </c>
      <c r="E6" t="s">
        <v>214</v>
      </c>
      <c r="F6" t="s">
        <v>197</v>
      </c>
    </row>
    <row r="7" spans="2:6" x14ac:dyDescent="0.3">
      <c r="B7">
        <v>901</v>
      </c>
      <c r="C7" s="4" t="e">
        <f>INDEX(#REF!,MATCH(ItemResourceTable[[#This Row],[Index]],ItemEffectTable[ApplyValue],0))</f>
        <v>#REF!</v>
      </c>
      <c r="D7" s="4" t="s">
        <v>347</v>
      </c>
      <c r="E7" t="s">
        <v>328</v>
      </c>
      <c r="F7" t="s">
        <v>410</v>
      </c>
    </row>
    <row r="8" spans="2:6" x14ac:dyDescent="0.3">
      <c r="B8">
        <v>902</v>
      </c>
      <c r="C8" s="4" t="e">
        <f>INDEX(#REF!,MATCH(ItemResourceTable[[#This Row],[Index]],ItemEffectTable[ApplyValue],0))</f>
        <v>#REF!</v>
      </c>
      <c r="D8" s="4" t="s">
        <v>346</v>
      </c>
      <c r="E8" t="s">
        <v>59</v>
      </c>
      <c r="F8" t="s">
        <v>408</v>
      </c>
    </row>
    <row r="9" spans="2:6" x14ac:dyDescent="0.3">
      <c r="B9">
        <v>902</v>
      </c>
      <c r="C9" s="4" t="e">
        <f>INDEX(#REF!,MATCH(ItemResourceTable[[#This Row],[Index]],ItemEffectTable[ApplyValue],0))</f>
        <v>#REF!</v>
      </c>
      <c r="D9" s="4" t="s">
        <v>347</v>
      </c>
      <c r="E9" t="s">
        <v>328</v>
      </c>
      <c r="F9" t="s">
        <v>287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24" sqref="B24"/>
    </sheetView>
  </sheetViews>
  <sheetFormatPr defaultColWidth="8.875" defaultRowHeight="16.5" x14ac:dyDescent="0.3"/>
  <cols>
    <col min="1" max="1" width="12.625" customWidth="1"/>
    <col min="2" max="2" width="63.625" customWidth="1"/>
    <col min="3" max="3" width="35.625" customWidth="1"/>
    <col min="4" max="4" width="20" bestFit="1" customWidth="1"/>
  </cols>
  <sheetData>
    <row r="1" spans="1:4" x14ac:dyDescent="0.3">
      <c r="A1" t="s">
        <v>53</v>
      </c>
      <c r="B1" t="s">
        <v>79</v>
      </c>
      <c r="C1" t="s">
        <v>79</v>
      </c>
      <c r="D1" t="s">
        <v>51</v>
      </c>
    </row>
    <row r="2" spans="1:4" x14ac:dyDescent="0.3">
      <c r="A2" t="s">
        <v>78</v>
      </c>
      <c r="B2" t="s">
        <v>310</v>
      </c>
      <c r="C2" t="s">
        <v>308</v>
      </c>
      <c r="D2" s="6" t="s">
        <v>119</v>
      </c>
    </row>
    <row r="3" spans="1:4" x14ac:dyDescent="0.3">
      <c r="A3">
        <f>ItemTable[[#This Row],[Index]]+10000</f>
        <v>10010</v>
      </c>
      <c r="B3" t="s">
        <v>97</v>
      </c>
      <c r="C3" t="s">
        <v>104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 x14ac:dyDescent="0.3">
      <c r="A4">
        <f>ItemTable[[#This Row],[Index]]+10000</f>
        <v>10011</v>
      </c>
      <c r="B4" t="s">
        <v>98</v>
      </c>
      <c r="C4" t="s">
        <v>105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 x14ac:dyDescent="0.3">
      <c r="A5">
        <f>ItemTable[[#This Row],[Index]]+10000</f>
        <v>10020</v>
      </c>
      <c r="B5" t="s">
        <v>94</v>
      </c>
      <c r="C5" t="s">
        <v>106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 x14ac:dyDescent="0.3">
      <c r="A6">
        <f>ItemTable[[#This Row],[Index]]+10000</f>
        <v>10021</v>
      </c>
      <c r="B6" t="s">
        <v>99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 x14ac:dyDescent="0.3">
      <c r="A7">
        <f>ItemTable[[#This Row],[Index]]+10000</f>
        <v>10022</v>
      </c>
      <c r="B7" t="s">
        <v>100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 x14ac:dyDescent="0.3">
      <c r="A8">
        <f>ItemTable[[#This Row],[Index]]+10000</f>
        <v>12000</v>
      </c>
      <c r="B8" t="s">
        <v>101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 x14ac:dyDescent="0.3">
      <c r="A9">
        <f>ItemTable[[#This Row],[Index]]+10000</f>
        <v>12001</v>
      </c>
      <c r="B9" t="s">
        <v>139</v>
      </c>
      <c r="C9" t="s">
        <v>140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 x14ac:dyDescent="0.3">
      <c r="A10">
        <f>ItemTable[[#This Row],[Index]]+10000</f>
        <v>12002</v>
      </c>
      <c r="B10" t="s">
        <v>336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 x14ac:dyDescent="0.3">
      <c r="A11">
        <v>11002</v>
      </c>
      <c r="B11" t="s">
        <v>39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 x14ac:dyDescent="0.3">
      <c r="A12">
        <v>12000</v>
      </c>
      <c r="B12" t="s">
        <v>66</v>
      </c>
      <c r="C12" t="s">
        <v>309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 x14ac:dyDescent="0.3">
      <c r="A13">
        <v>12001</v>
      </c>
      <c r="B13" t="s">
        <v>55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 x14ac:dyDescent="0.3">
      <c r="A14">
        <v>12002</v>
      </c>
      <c r="B14" t="s">
        <v>87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 x14ac:dyDescent="0.3">
      <c r="A15">
        <v>12003</v>
      </c>
      <c r="B15" t="s">
        <v>314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 x14ac:dyDescent="0.3">
      <c r="A16">
        <v>12004</v>
      </c>
      <c r="B16" t="s">
        <v>90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 x14ac:dyDescent="0.3">
      <c r="A17">
        <v>12005</v>
      </c>
      <c r="B17" t="s">
        <v>68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 x14ac:dyDescent="0.3">
      <c r="A18">
        <v>12006</v>
      </c>
      <c r="B18" t="s">
        <v>56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 x14ac:dyDescent="0.3">
      <c r="A19">
        <v>13000</v>
      </c>
      <c r="B19" t="s">
        <v>205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 x14ac:dyDescent="0.3">
      <c r="A20">
        <v>13001</v>
      </c>
      <c r="B20" t="s">
        <v>65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 x14ac:dyDescent="0.3">
      <c r="A21">
        <v>13002</v>
      </c>
      <c r="B21" t="s">
        <v>109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 x14ac:dyDescent="0.3">
      <c r="A22">
        <v>13003</v>
      </c>
      <c r="B22" t="s">
        <v>46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 x14ac:dyDescent="0.3">
      <c r="A23">
        <v>13004</v>
      </c>
      <c r="B23" t="s">
        <v>67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 x14ac:dyDescent="0.3">
      <c r="A24">
        <v>13005</v>
      </c>
      <c r="B24" t="s">
        <v>69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 x14ac:dyDescent="0.3">
      <c r="A25">
        <v>13006</v>
      </c>
      <c r="B25" t="s">
        <v>49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 x14ac:dyDescent="0.3">
      <c r="A26">
        <v>13007</v>
      </c>
      <c r="B26" t="s">
        <v>88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 x14ac:dyDescent="0.3">
      <c r="A27">
        <v>13008</v>
      </c>
      <c r="B27" t="s">
        <v>85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 x14ac:dyDescent="0.3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 x14ac:dyDescent="0.3">
      <c r="A29">
        <v>13010</v>
      </c>
      <c r="B29" t="s">
        <v>77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 x14ac:dyDescent="0.3">
      <c r="A30">
        <v>13011</v>
      </c>
      <c r="B30" t="s">
        <v>70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 x14ac:dyDescent="0.3">
      <c r="A31">
        <v>13012</v>
      </c>
      <c r="B31" t="s">
        <v>110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 x14ac:dyDescent="0.3">
      <c r="A32">
        <v>14000</v>
      </c>
      <c r="B32" t="s">
        <v>71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 x14ac:dyDescent="0.3">
      <c r="A33">
        <v>14001</v>
      </c>
      <c r="B33" t="s">
        <v>72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 x14ac:dyDescent="0.3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 x14ac:dyDescent="0.3">
      <c r="A35">
        <v>14003</v>
      </c>
      <c r="B35" t="s">
        <v>73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 x14ac:dyDescent="0.3">
      <c r="A36">
        <v>14004</v>
      </c>
      <c r="B36" t="s">
        <v>89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 x14ac:dyDescent="0.3">
      <c r="A37">
        <v>14005</v>
      </c>
      <c r="B37" t="s">
        <v>81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 x14ac:dyDescent="0.3">
      <c r="A38">
        <v>14006</v>
      </c>
      <c r="B38" t="s">
        <v>75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 x14ac:dyDescent="0.3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 x14ac:dyDescent="0.3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 x14ac:dyDescent="0.3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 x14ac:dyDescent="0.3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 x14ac:dyDescent="0.3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 x14ac:dyDescent="0.3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 x14ac:dyDescent="0.3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 x14ac:dyDescent="0.3">
      <c r="A46">
        <v>21000</v>
      </c>
      <c r="B46" t="s">
        <v>186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 x14ac:dyDescent="0.3">
      <c r="A47">
        <v>21001</v>
      </c>
      <c r="B47" t="s">
        <v>268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 x14ac:dyDescent="0.3">
      <c r="A48">
        <v>21002</v>
      </c>
      <c r="B48" t="s">
        <v>398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 x14ac:dyDescent="0.3">
      <c r="A49">
        <v>22000</v>
      </c>
      <c r="B49" t="s">
        <v>204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 x14ac:dyDescent="0.3">
      <c r="A50">
        <v>22001</v>
      </c>
      <c r="B50" t="s">
        <v>411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 x14ac:dyDescent="0.3">
      <c r="A51">
        <v>22002</v>
      </c>
      <c r="B51" t="s">
        <v>203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 x14ac:dyDescent="0.3">
      <c r="A52">
        <v>22003</v>
      </c>
      <c r="B52" t="s">
        <v>200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 x14ac:dyDescent="0.3">
      <c r="A53">
        <v>22004</v>
      </c>
      <c r="B53" t="s">
        <v>198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 x14ac:dyDescent="0.3">
      <c r="A54">
        <v>22005</v>
      </c>
      <c r="B54" t="s">
        <v>218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 x14ac:dyDescent="0.3">
      <c r="A55">
        <v>22006</v>
      </c>
      <c r="B55" t="s">
        <v>284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 x14ac:dyDescent="0.3">
      <c r="A56">
        <v>23000</v>
      </c>
      <c r="B56" t="s">
        <v>202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 x14ac:dyDescent="0.3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 x14ac:dyDescent="0.3">
      <c r="A58">
        <v>23002</v>
      </c>
      <c r="B58" t="s">
        <v>281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 x14ac:dyDescent="0.3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 x14ac:dyDescent="0.3">
      <c r="A60">
        <v>23004</v>
      </c>
      <c r="B60" t="s">
        <v>188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 x14ac:dyDescent="0.3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 x14ac:dyDescent="0.3">
      <c r="A62">
        <v>23006</v>
      </c>
      <c r="B62" t="s">
        <v>191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 x14ac:dyDescent="0.3">
      <c r="A63">
        <v>23007</v>
      </c>
      <c r="B63" t="s">
        <v>290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 x14ac:dyDescent="0.3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 x14ac:dyDescent="0.3">
      <c r="A65">
        <v>23009</v>
      </c>
      <c r="B65" t="s">
        <v>286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 x14ac:dyDescent="0.3">
      <c r="A66">
        <v>23010</v>
      </c>
      <c r="B66" t="s">
        <v>226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 x14ac:dyDescent="0.3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 x14ac:dyDescent="0.3">
      <c r="A68">
        <v>23012</v>
      </c>
      <c r="B68" t="s">
        <v>189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 x14ac:dyDescent="0.3">
      <c r="A69">
        <v>24000</v>
      </c>
      <c r="B69" t="s">
        <v>193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 x14ac:dyDescent="0.3">
      <c r="A70">
        <v>24001</v>
      </c>
      <c r="B70" t="s">
        <v>192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 x14ac:dyDescent="0.3">
      <c r="A71">
        <v>24002</v>
      </c>
      <c r="B71" t="s">
        <v>182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 x14ac:dyDescent="0.3">
      <c r="A72">
        <v>24003</v>
      </c>
      <c r="B72" t="s">
        <v>187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 x14ac:dyDescent="0.3">
      <c r="A73">
        <v>24004</v>
      </c>
      <c r="B73" t="s">
        <v>185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 x14ac:dyDescent="0.3">
      <c r="A74">
        <v>24005</v>
      </c>
      <c r="B74" t="s">
        <v>190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 x14ac:dyDescent="0.3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 x14ac:dyDescent="0.3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Kim_Dongju</cp:lastModifiedBy>
  <cp:revision>2</cp:revision>
  <dcterms:created xsi:type="dcterms:W3CDTF">2023-03-25T04:43:38Z</dcterms:created>
  <dcterms:modified xsi:type="dcterms:W3CDTF">2023-06-12T15:33:49Z</dcterms:modified>
  <cp:version>1200.0100.01</cp:version>
</cp:coreProperties>
</file>