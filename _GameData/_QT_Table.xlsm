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D0C1D282-B8AE-4250-A02A-4919C7EBBEDA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9" l="1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H22" i="19" l="1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<sst xmlns="http://schemas.openxmlformats.org/spreadsheetml/2006/main" count="1713" uniqueCount="776">
  <si>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</si>
  <si>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</si>
  <si>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</si>
  <si>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</si>
  <si>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</si>
  <si>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</si>
  <si>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</si>
  <si>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</si>
  <si>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</si>
  <si>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</si>
  <si>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</si>
  <si>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</si>
  <si>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</si>
  <si>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</si>
  <si>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</si>
  <si>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</si>
  <si>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</si>
  <si>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</si>
  <si>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</si>
  <si>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</si>
  <si>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</si>
  <si>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</si>
  <si>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</si>
  <si>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</si>
  <si>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</si>
  <si>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</si>
  <si>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</si>
  <si>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</si>
  <si>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</si>
  <si>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</si>
  <si>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</si>
  <si>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</si>
  <si>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</si>
  <si>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</si>
  <si>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</si>
  <si>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</si>
  <si>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</si>
  <si>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</si>
  <si>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</si>
  <si>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</si>
  <si>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</si>
  <si>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</si>
  <si>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</si>
  <si>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</si>
  <si>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</si>
  <si>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</si>
  <si>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</si>
  <si>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</si>
  <si>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</si>
  <si>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</si>
  <si>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</si>
  <si>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</si>
  <si>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</si>
  <si>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</si>
  <si>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</si>
  <si>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</si>
  <si>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</si>
  <si>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</si>
  <si>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</si>
  <si>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</si>
  <si>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</si>
  <si>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</si>
  <si>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</si>
  <si>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</si>
  <si>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</si>
  <si>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</si>
  <si>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</si>
  <si>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</si>
  <si>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</si>
  <si>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</si>
  <si>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</si>
  <si>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</si>
  <si>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</si>
  <si>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</si>
  <si>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</si>
  <si>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</si>
  <si>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</si>
  <si>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</si>
  <si>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</si>
  <si>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</si>
  <si>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</si>
  <si>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</si>
  <si>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</si>
  <si>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</si>
  <si>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</si>
  <si>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</si>
  <si>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</si>
  <si>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</si>
  <si>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</si>
  <si>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</si>
  <si>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</si>
  <si>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</si>
  <si>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</si>
  <si>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</si>
  <si>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</si>
  <si>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</si>
  <si>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</si>
  <si>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</si>
  <si>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</si>
  <si>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</si>
  <si>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</si>
  <si>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</si>
  <si>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</si>
  <si>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</si>
  <si>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</si>
  <si>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</si>
  <si>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</si>
  <si>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</si>
  <si>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</si>
  <si>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</si>
  <si>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</si>
  <si>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</si>
  <si>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</si>
  <si>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</si>
  <si>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</si>
  <si>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</si>
  <si>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</si>
  <si>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</si>
  <si>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</si>
  <si>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</si>
  <si>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</si>
  <si>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</si>
  <si>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</si>
  <si>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</si>
  <si>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</si>
  <si>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</si>
  <si>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</si>
  <si>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</si>
  <si>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</si>
  <si>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</si>
  <si>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</si>
  <si>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</si>
  <si>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</si>
  <si>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</si>
  <si>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</si>
  <si>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</si>
  <si>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</si>
  <si>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</si>
  <si>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</si>
  <si>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</si>
  <si>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</si>
  <si>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</si>
  <si>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</si>
  <si>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</si>
  <si>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</si>
  <si>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</si>
  <si>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</si>
  <si>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</si>
  <si>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</si>
  <si>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</si>
  <si>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</si>
  <si>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</si>
  <si>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</si>
  <si>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</si>
  <si>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</si>
  <si>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</si>
  <si>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</si>
  <si>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</si>
  <si>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</si>
  <si>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</si>
  <si>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</si>
  <si>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</si>
  <si>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</si>
  <si>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</si>
  <si>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</si>
  <si>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</si>
  <si>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</si>
  <si>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</si>
  <si>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</si>
  <si>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</si>
  <si>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</si>
  <si>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</si>
  <si>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</si>
  <si>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</si>
  <si>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</si>
  <si>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</si>
  <si>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</si>
  <si>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</si>
  <si>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</si>
  <si>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</si>
  <si>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</si>
  <si>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</si>
  <si>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</si>
  <si>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</si>
  <si>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</si>
  <si>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</si>
  <si>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</si>
  <si>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</si>
  <si>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</si>
  <si>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</si>
  <si>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</si>
  <si>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</si>
  <si>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</si>
  <si>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</si>
  <si>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</si>
  <si>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</si>
  <si>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</si>
  <si>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</si>
  <si>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</si>
  <si>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</si>
  <si>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</si>
  <si>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</si>
  <si>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</si>
  <si>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</si>
  <si>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</si>
  <si>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</si>
  <si>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</si>
  <si>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</si>
  <si>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</si>
  <si>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</si>
  <si>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</si>
  <si>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</si>
  <si>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</si>
  <si>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</si>
  <si>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</si>
  <si>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</si>
  <si>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</si>
  <si>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</si>
  <si>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</si>
  <si>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</si>
  <si>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</si>
  <si>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</si>
  <si>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</si>
  <si>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</si>
  <si>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</si>
  <si>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</si>
  <si>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</si>
  <si>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</si>
  <si>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</si>
  <si>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</si>
  <si>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</si>
  <si>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</si>
  <si>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</si>
  <si>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</si>
  <si>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</si>
  <si>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</si>
  <si>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</si>
  <si>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</si>
  <si>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</si>
  <si>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</si>
  <si>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</si>
  <si>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</si>
  <si>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</si>
  <si>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</si>
  <si>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</si>
  <si>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</si>
  <si>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</si>
  <si>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</si>
  <si>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</si>
  <si>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</si>
  <si>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</si>
  <si>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</si>
  <si>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</si>
  <si>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</si>
  <si>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</si>
  <si>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</si>
  <si>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</si>
  <si>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</si>
  <si>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</si>
  <si>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</si>
  <si>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</si>
  <si>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</si>
  <si>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</si>
  <si>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</si>
  <si>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</si>
  <si>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</si>
  <si>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</si>
  <si>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</si>
  <si>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</si>
  <si>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</si>
  <si>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</si>
  <si>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</si>
  <si>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</si>
  <si>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</si>
  <si>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</si>
  <si>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</si>
  <si>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</si>
  <si>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</si>
  <si>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</si>
  <si>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</si>
  <si>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</si>
  <si>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</si>
  <si>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</si>
  <si>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</si>
  <si>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</si>
  <si>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</si>
  <si>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</si>
  <si>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</si>
  <si>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</si>
  <si>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</si>
  <si>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</si>
  <si>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</si>
  <si>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</si>
  <si>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</si>
  <si>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</si>
  <si>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</si>
  <si>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</si>
  <si>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</si>
  <si>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</si>
  <si>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</si>
  <si>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</si>
  <si>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</si>
  <si>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</si>
  <si>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</si>
  <si>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</si>
  <si>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</si>
  <si>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</si>
  <si>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</si>
  <si>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</si>
  <si>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</si>
  <si>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</si>
  <si>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</si>
  <si>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</si>
  <si>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</si>
  <si>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</si>
  <si>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</si>
  <si>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</si>
  <si>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</si>
  <si>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</si>
  <si>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</si>
  <si>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</si>
  <si>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</si>
  <si>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</si>
  <si>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</si>
  <si>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</si>
  <si>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</si>
  <si>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</si>
  <si>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</si>
  <si>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</si>
  <si>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</si>
  <si>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</si>
  <si>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</si>
  <si>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</si>
  <si>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</si>
  <si>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</si>
  <si>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</si>
  <si>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</si>
  <si>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</si>
  <si>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</si>
  <si>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</si>
  <si>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</si>
  <si>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</si>
  <si>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</si>
  <si>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</si>
  <si>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</si>
  <si>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</si>
  <si>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</si>
  <si>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</si>
  <si>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</si>
  <si>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</si>
  <si>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</si>
  <si>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</si>
  <si>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</si>
  <si>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</si>
  <si>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</si>
  <si>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</si>
  <si>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</si>
  <si>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</si>
  <si>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</si>
  <si>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</si>
  <si>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</si>
  <si>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</si>
  <si>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</si>
  <si>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</si>
  <si>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</si>
  <si>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</si>
  <si>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</si>
  <si>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</si>
  <si>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</si>
  <si>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</si>
  <si>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</si>
  <si>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</si>
  <si>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</si>
  <si>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</si>
  <si>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</si>
  <si>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</si>
  <si>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</si>
  <si>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</si>
  <si>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</si>
  <si>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</si>
  <si>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</si>
  <si>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</si>
  <si>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</si>
  <si>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</si>
  <si>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</si>
  <si>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</si>
  <si>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</si>
  <si>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</si>
  <si>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</si>
  <si>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</si>
  <si>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</si>
  <si>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</si>
  <si>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</si>
  <si>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</si>
  <si>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</si>
  <si>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</si>
  <si>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</si>
  <si>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</si>
  <si>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</si>
  <si>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</si>
  <si>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</si>
  <si>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</si>
  <si>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</si>
  <si>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</si>
  <si>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</si>
  <si>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</si>
  <si>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</si>
  <si>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</si>
  <si>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</si>
  <si>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</si>
  <si>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</si>
  <si>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</si>
  <si>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</si>
  <si>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</si>
  <si>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</si>
  <si>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</si>
  <si>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</si>
  <si>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</si>
  <si>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</si>
  <si>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</si>
  <si>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</si>
  <si>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</si>
  <si>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</si>
  <si>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</si>
  <si>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</si>
  <si>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</si>
  <si>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</si>
  <si>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</si>
  <si>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</si>
  <si>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</si>
  <si>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</si>
  <si>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</si>
  <si>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</si>
  <si>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</si>
  <si>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</si>
  <si>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</si>
  <si>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</si>
  <si>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</si>
  <si>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</si>
  <si>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</si>
  <si>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</si>
  <si>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</si>
  <si>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</si>
  <si>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</si>
  <si>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</si>
  <si>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</si>
  <si>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</si>
  <si>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</si>
  <si>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</si>
  <si>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</si>
  <si>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</si>
  <si>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</si>
  <si>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</si>
  <si>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</si>
  <si>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</si>
  <si>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</si>
  <si>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</si>
  <si>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</si>
  <si>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</si>
  <si>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</si>
  <si>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</si>
  <si>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</si>
  <si>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</si>
  <si>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</si>
  <si>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</si>
  <si>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</si>
  <si>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</si>
  <si>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</si>
  <si>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</si>
  <si>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</si>
  <si>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</si>
  <si>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</si>
  <si>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</si>
  <si>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</si>
  <si>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</si>
  <si>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</si>
  <si>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</si>
  <si>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</si>
  <si>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</si>
  <si>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</si>
  <si>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</si>
  <si>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</si>
  <si>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</si>
  <si>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</si>
  <si>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</si>
  <si>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</si>
  <si>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</si>
  <si>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</si>
  <si>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</si>
  <si>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</si>
  <si>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</si>
  <si>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</si>
  <si>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</si>
  <si>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</si>
  <si>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</si>
  <si>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</si>
  <si>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</si>
  <si>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</si>
  <si>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</si>
  <si>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</si>
  <si>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</si>
  <si>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</si>
  <si>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</si>
  <si>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</si>
  <si>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</si>
  <si>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</si>
  <si>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</si>
  <si>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</si>
  <si>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</si>
  <si>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</si>
  <si>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</si>
  <si>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</si>
  <si>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</si>
  <si>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</si>
  <si>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</si>
  <si>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</si>
  <si>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</si>
  <si>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</si>
  <si>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</si>
  <si>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</si>
  <si>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</si>
  <si>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</si>
  <si>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</si>
  <si>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</si>
  <si>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</si>
  <si>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</si>
  <si>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</si>
  <si>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</si>
  <si>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</si>
  <si>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</si>
  <si>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</si>
  <si>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</si>
  <si>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</si>
  <si>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</si>
  <si>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</si>
  <si>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</si>
  <si>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</si>
  <si>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</si>
  <si>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</si>
  <si>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</si>
  <si>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</si>
  <si>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</si>
  <si>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</si>
  <si>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</si>
  <si>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</si>
  <si>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</si>
  <si>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</si>
  <si>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</si>
  <si>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</si>
  <si>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</si>
  <si>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</si>
  <si>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</si>
  <si>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</si>
  <si>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</si>
  <si>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</si>
  <si>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</si>
  <si>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</si>
  <si>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</si>
  <si>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</si>
  <si>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</si>
  <si>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</si>
  <si>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</si>
  <si>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</si>
  <si>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</si>
  <si>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</si>
  <si>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</si>
  <si>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</si>
  <si>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</si>
  <si>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an adult's card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</si>
  <si>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</si>
  <si>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</si>
  <si>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</si>
  <si>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</si>
  <si>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</si>
  <si>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</si>
  <si>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</si>
  <si>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</si>
  <si>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</si>
  <si>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</si>
  <si>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</si>
  <si>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</si>
  <si>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</si>
  <si>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</si>
  <si>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</si>
  <si>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</si>
  <si>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</si>
  <si>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Grilled green frog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</si>
  <si>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</si>
  <si>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</si>
  <si>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</si>
  <si>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</si>
  <si>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</si>
  <si>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MetalUnicornKeyring</t>
  </si>
  <si>
    <t>AChampionHat</t>
  </si>
  <si>
    <t>Cool-Dog</t>
  </si>
  <si>
    <t>QtPowder</t>
  </si>
  <si>
    <t>RedHobbyhorse</t>
  </si>
  <si>
    <t>DevilBull</t>
  </si>
  <si>
    <t>TheBoobytrap</t>
  </si>
  <si>
    <t>StoneMask</t>
  </si>
  <si>
    <t>AFiercePiggyBank</t>
  </si>
  <si>
    <t>SomethingInTheHolyGrail</t>
  </si>
  <si>
    <t>StrangeCandy</t>
  </si>
  <si>
    <t>KerberosPitcher</t>
  </si>
  <si>
    <t>ABucketOfCocoa</t>
  </si>
  <si>
    <t>SadCanrio</t>
  </si>
  <si>
    <t>GrilledGreenFrog</t>
  </si>
  <si>
    <t>Someone'SDiary</t>
  </si>
  <si>
    <t>PraiseTheSun</t>
  </si>
  <si>
    <t>DodgeCat</t>
  </si>
  <si>
    <t>AnAdult'SCard</t>
  </si>
  <si>
    <t>InfinityDoughnut</t>
  </si>
  <si>
    <t>Ultra-SmallBlackHole</t>
  </si>
  <si>
    <t>AMissileBackpack</t>
  </si>
  <si>
    <t>RuyiJinguBat</t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</si>
  <si>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</si>
  <si>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</si>
  <si>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</si>
  <si>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</si>
  <si>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</si>
  <si>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</si>
  <si>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</si>
  <si>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</si>
  <si>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</si>
  <si>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</si>
  <si>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</si>
  <si>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</si>
  <si>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</si>
  <si>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</si>
  <si>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</si>
  <si>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</si>
  <si>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</si>
  <si>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</si>
  <si>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</si>
  <si>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</si>
  <si>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</si>
  <si>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</si>
  <si>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</si>
  <si>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</si>
  <si>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</si>
  <si>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</si>
  <si>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</si>
  <si>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</si>
  <si>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</si>
  <si>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</si>
  <si>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</si>
  <si>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</si>
  <si>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</si>
  <si>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</si>
  <si>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</si>
  <si>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</si>
  <si>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</si>
  <si>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</si>
  <si>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</si>
  <si>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</si>
  <si>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</si>
  <si>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</si>
  <si>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</si>
  <si>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</si>
  <si>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</si>
  <si>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</si>
  <si>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</si>
  <si>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</si>
  <si>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</si>
  <si>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</si>
  <si>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</si>
  <si>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</si>
  <si>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</si>
  <si>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</si>
  <si>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</si>
  <si>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Grilled Green Frog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</si>
  <si>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</si>
  <si>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</si>
  <si>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</si>
  <si>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</si>
  <si>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</si>
  <si>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</si>
  <si>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</si>
  <si>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An Adult's Card</t>
    <phoneticPr fontId="7" type="noConversion"/>
  </si>
  <si>
    <t>Lorem ipsum dolor sit amet, consectetur adipiscing elit, sed do eiusmod tempor incididunt ut labore et dolore magna aliqua.</t>
    <phoneticPr fontId="7" type="noConversion"/>
  </si>
  <si>
    <t>Lorem ipsum dolor sit amet</t>
  </si>
  <si>
    <t>consectetur adipiscing elit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</si>
  <si>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</si>
  <si>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</si>
  <si>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</si>
  <si>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</si>
  <si>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</si>
  <si>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</si>
  <si>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</si>
  <si>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</si>
  <si>
    <t>Item_Name_MetalUnicornKeyring</t>
  </si>
  <si>
    <t>Item_Desc_MetalUnicornKeyring</t>
  </si>
  <si>
    <t>Item_PlusDesc_MetalUnicornKeyring</t>
  </si>
  <si>
    <t>Item_Name_AChampionHat</t>
  </si>
  <si>
    <t>Item_Desc_AChampionHat</t>
  </si>
  <si>
    <t>Item_PlusDesc_AChampionHat</t>
  </si>
  <si>
    <t>Item_Name_Cool-Dog</t>
  </si>
  <si>
    <t>Item_Desc_Cool-Dog</t>
  </si>
  <si>
    <t>Item_PlusDesc_Cool-Dog</t>
  </si>
  <si>
    <t>Item_Name_QtPowder</t>
  </si>
  <si>
    <t>Item_Desc_QtPowder</t>
  </si>
  <si>
    <t>Item_PlusDesc_QtPowder</t>
  </si>
  <si>
    <t>Item_Name_RedHobbyhorse</t>
  </si>
  <si>
    <t>Item_Desc_RedHobbyhorse</t>
  </si>
  <si>
    <t>Item_PlusDesc_RedHobbyhorse</t>
  </si>
  <si>
    <t>Item_Name_Rice_Ball</t>
  </si>
  <si>
    <t>Item_Desc_Rice_Ball</t>
  </si>
  <si>
    <t>Item_PlusDesc_Rice_Ball</t>
  </si>
  <si>
    <t>Item_Name_DevilBull</t>
  </si>
  <si>
    <t>Item_Desc_DevilBull</t>
  </si>
  <si>
    <t>Item_PlusDesc_DevilBull</t>
  </si>
  <si>
    <t>Item_Name_TheBoobytrap</t>
  </si>
  <si>
    <t>Item_Desc_TheBoobytrap</t>
  </si>
  <si>
    <t>Item_PlusDesc_TheBoobytrap</t>
  </si>
  <si>
    <t>Item_Name_StoneMask</t>
  </si>
  <si>
    <t>Item_Desc_StoneMask</t>
  </si>
  <si>
    <t>Item_PlusDesc_StoneMask</t>
  </si>
  <si>
    <t>Item_Name_AFiercePiggyBank</t>
  </si>
  <si>
    <t>Item_Desc_AFiercePiggyBank</t>
  </si>
  <si>
    <t>Item_PlusDesc_AFiercePiggyBank</t>
  </si>
  <si>
    <t>Item_Name_SomethingInTheHolyGrail</t>
  </si>
  <si>
    <t>Item_Desc_SomethingInTheHolyGrail</t>
  </si>
  <si>
    <t>Item_PlusDesc_SomethingInTheHolyGrail</t>
  </si>
  <si>
    <t>Item_Name_StrangeCandy</t>
  </si>
  <si>
    <t>Item_Desc_StrangeCandy</t>
  </si>
  <si>
    <t>Item_PlusDesc_StrangeCandy</t>
  </si>
  <si>
    <t>Item_Name_KerberosPitcher</t>
  </si>
  <si>
    <t>Item_Desc_KerberosPitcher</t>
  </si>
  <si>
    <t>Item_PlusDesc_KerberosPitcher</t>
  </si>
  <si>
    <t>Item_Name_ABucketOfCocoa</t>
  </si>
  <si>
    <t>Item_Desc_ABucketOfCocoa</t>
  </si>
  <si>
    <t>Item_PlusDesc_ABucketOfCocoa</t>
  </si>
  <si>
    <t>Item_MinusDesc_ABucketOfCocoa</t>
  </si>
  <si>
    <t>Item_Name_SadCanrio</t>
  </si>
  <si>
    <t>Item_Desc_SadCanrio</t>
  </si>
  <si>
    <t>Item_PlusDesc_SadCanrio</t>
  </si>
  <si>
    <t>Item_MinusDesc_SadCanrio</t>
  </si>
  <si>
    <t>Item_Name_GrilledGreenFrog</t>
  </si>
  <si>
    <t>Item_Desc_GrilledGreenFrog</t>
  </si>
  <si>
    <t>Item_PlusDesc_GrilledGreenFrog</t>
  </si>
  <si>
    <t>Item_MinusDesc_GrilledGreenFrog</t>
  </si>
  <si>
    <t>Item_Name_Someone'SDiary</t>
  </si>
  <si>
    <t>Item_Desc_Someone'SDiary</t>
  </si>
  <si>
    <t>Item_PlusDesc_Someone'SDiary</t>
  </si>
  <si>
    <t>Item_MinusDesc_Someone'SDiary</t>
  </si>
  <si>
    <t>Item_Name_PraiseTheSun</t>
  </si>
  <si>
    <t>Item_Desc_PraiseTheSun</t>
  </si>
  <si>
    <t>Item_PlusDesc_PraiseTheSun</t>
  </si>
  <si>
    <t>Item_MinusDesc_PraiseTheSun</t>
  </si>
  <si>
    <t>Item_Name_DodgeCat</t>
  </si>
  <si>
    <t>Item_Desc_DodgeCat</t>
  </si>
  <si>
    <t>Item_PlusDesc_DodgeCat</t>
  </si>
  <si>
    <t>Item_MinusDesc_DodgeCat</t>
  </si>
  <si>
    <t>Item_Name_AnAdult'SCard</t>
  </si>
  <si>
    <t>Item_Desc_AnAdult'SCard</t>
  </si>
  <si>
    <t>Item_PlusDesc_AnAdult'SCard</t>
  </si>
  <si>
    <t>Item_MinusDesc_AnAdult'SCard</t>
  </si>
  <si>
    <t>Item_Name_InfinityDoughnut</t>
  </si>
  <si>
    <t>Item_Desc_InfinityDoughnut</t>
  </si>
  <si>
    <t>Item_PlusDesc_InfinityDoughnut</t>
  </si>
  <si>
    <t>Item_Name_Ultra-SmallBlackHole</t>
  </si>
  <si>
    <t>Item_Desc_Ultra-SmallBlackHole</t>
  </si>
  <si>
    <t>Item_PlusDesc_Ultra-SmallBlackHole</t>
  </si>
  <si>
    <t>Item_Name_Cyberware</t>
  </si>
  <si>
    <t>Item_Desc_Cyberware</t>
  </si>
  <si>
    <t>Item_PlusDesc_Cyberware</t>
  </si>
  <si>
    <t>Item_Name_AMissileBackpack</t>
  </si>
  <si>
    <t>Item_Desc_AMissileBackpack</t>
  </si>
  <si>
    <t>Item_PlusDesc_AMissileBackpack</t>
  </si>
  <si>
    <t>Item_Name_Excalibat</t>
  </si>
  <si>
    <t>Item_Desc_Excalibat</t>
  </si>
  <si>
    <t>Item_PlusDesc_Excalibat</t>
  </si>
  <si>
    <t>Item_Name_RuyiJinguBat</t>
  </si>
  <si>
    <t>Item_Desc_RuyiJinguBat</t>
  </si>
  <si>
    <t>Item_PlusDesc_RuyiJinguBat</t>
  </si>
  <si>
    <t>StringKeys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</si>
</sst>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20" fillId="0" borderId="0" xfId="0" quotePrefix="1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/>
    <tableColumn id="3" xr3:uid="{00000000-0010-0000-1200-000003000000}" name="Desc" dataDxfId="47"/>
    <tableColumn id="18" xr3:uid="{00000000-0010-0000-1200-000012000000}" name="PlusDesc" dataDxfId="46"/>
    <tableColumn id="19" xr3:uid="{00000000-0010-0000-1200-000013000000}" name="MinusDesc" dataDxfId="45"/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Row],[Name]],LocaleTable[StringKeys],0))</calculatedColumnFormula>
    </tableColumn>
    <tableColumn id="16" xr3:uid="{BD981A3F-409D-4C64-B49F-2D8E2500BA62}" name="#DescString" dataDxfId="34">
      <calculatedColumnFormula>INDEX(LocaleTable[LocaleKR],MATCH(ItemTable[[#This Row],[Desc]],LocaleTable[StringKeys],0))</calculatedColumnFormula>
    </tableColumn>
    <tableColumn id="17" xr3:uid="{1B500542-CB1F-4E31-BC77-415A06C9F656}" name="#PlusDescString" dataDxfId="33">
      <calculatedColumnFormula>INDEX(LocaleTable[LocaleKR],MATCH(ItemTable[[#This Row],[PlusDesc]],LocaleTable[StringKeys],0))</calculatedColumnFormula>
    </tableColumn>
    <tableColumn id="20" xr3:uid="{78B82A2A-7097-4744-A5E9-85BB7D653EB0}" name="#MinusDescString" dataDxfId="32">
      <calculatedColumnFormula>INDEX(LocaleTable[LocaleKR],MATCH(ItemTable[[#This Row],[MinusDesc]],LocaleTable[StringKeys],0))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8" totalsRowShown="0" headerRowDxfId="9" dataDxfId="8">
  <autoFilter ref="B2:I118" xr:uid="{00000000-0009-0000-0100-000003000000}"/>
  <tableColumns count="8">
    <tableColumn id="1" xr3:uid="{00000000-0010-0000-1700-000001000000}" name="StringKeys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67" t="s">
        <v>215</v>
      </c>
      <c r="C1" s="68"/>
      <c r="D1" s="68"/>
      <c r="E1" s="68"/>
    </row>
    <row r="2" spans="2:5" s="1" customFormat="1">
      <c r="B2" s="68"/>
      <c r="C2" s="68"/>
      <c r="D2" s="68"/>
      <c r="E2" s="68"/>
    </row>
    <row r="3" spans="2:5" s="1" customFormat="1">
      <c r="B3" s="68"/>
      <c r="C3" s="68"/>
      <c r="D3" s="68"/>
      <c r="E3" s="68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984375" defaultRowHeight="17.399999999999999"/>
  <cols>
    <col min="2" max="2" width="10.09765625" customWidth="1"/>
    <col min="3" max="3" width="6.5" customWidth="1"/>
    <col min="4" max="4" width="12.59765625" bestFit="1" customWidth="1"/>
    <col min="5" max="5" width="10.3984375" bestFit="1" customWidth="1"/>
    <col min="6" max="6" width="11.09765625" customWidth="1"/>
    <col min="7" max="7" width="9.8984375" bestFit="1" customWidth="1"/>
    <col min="8" max="8" width="11" bestFit="1" customWidth="1"/>
    <col min="9" max="9" width="11.8984375" customWidth="1"/>
    <col min="11" max="11" width="8.3984375" customWidth="1"/>
    <col min="12" max="13" width="13.59765625" bestFit="1" customWidth="1"/>
  </cols>
  <sheetData>
    <row r="1" spans="2:13" s="1" customFormat="1">
      <c r="B1" s="67" t="s">
        <v>135</v>
      </c>
      <c r="C1" s="68"/>
      <c r="D1" s="68"/>
      <c r="E1" s="68"/>
    </row>
    <row r="2" spans="2:13" s="1" customFormat="1">
      <c r="B2" s="68"/>
      <c r="C2" s="68"/>
      <c r="D2" s="68"/>
      <c r="E2" s="68"/>
    </row>
    <row r="3" spans="2:13" s="1" customFormat="1">
      <c r="B3" s="68"/>
      <c r="C3" s="68"/>
      <c r="D3" s="68"/>
      <c r="E3" s="68"/>
    </row>
    <row r="5" spans="2:13">
      <c r="B5" s="2" t="s">
        <v>54</v>
      </c>
      <c r="J5" s="2" t="s">
        <v>335</v>
      </c>
      <c r="K5" s="2"/>
    </row>
    <row r="6" spans="2:13">
      <c r="B6" t="s">
        <v>30</v>
      </c>
      <c r="C6" t="s">
        <v>32</v>
      </c>
      <c r="D6" t="s">
        <v>57</v>
      </c>
      <c r="E6" t="s">
        <v>50</v>
      </c>
      <c r="F6" t="s">
        <v>51</v>
      </c>
      <c r="G6" t="s">
        <v>55</v>
      </c>
      <c r="H6" t="s">
        <v>52</v>
      </c>
      <c r="J6" s="12" t="s">
        <v>336</v>
      </c>
      <c r="K6" s="12" t="s">
        <v>333</v>
      </c>
      <c r="L6" s="12" t="s">
        <v>330</v>
      </c>
      <c r="M6" s="12" t="s">
        <v>331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337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338</v>
      </c>
      <c r="K8">
        <v>0</v>
      </c>
      <c r="L8">
        <v>6</v>
      </c>
      <c r="M8">
        <v>12</v>
      </c>
    </row>
    <row r="9" spans="2:13">
      <c r="J9" t="s">
        <v>339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334</v>
      </c>
      <c r="C11" s="2"/>
      <c r="D11" s="2"/>
      <c r="J11" s="2" t="s">
        <v>431</v>
      </c>
    </row>
    <row r="12" spans="2:13">
      <c r="B12" s="12" t="s">
        <v>430</v>
      </c>
      <c r="C12" s="12" t="s">
        <v>332</v>
      </c>
      <c r="D12" s="12" t="s">
        <v>333</v>
      </c>
      <c r="E12" s="12" t="s">
        <v>330</v>
      </c>
      <c r="F12" s="12" t="s">
        <v>331</v>
      </c>
      <c r="G12" s="12" t="s">
        <v>439</v>
      </c>
      <c r="H12" s="12"/>
      <c r="J12" s="12" t="s">
        <v>430</v>
      </c>
      <c r="K12" s="12" t="s">
        <v>438</v>
      </c>
      <c r="L12" s="12" t="s">
        <v>440</v>
      </c>
      <c r="M12" s="12" t="s">
        <v>441</v>
      </c>
    </row>
    <row r="13" spans="2:13">
      <c r="B13" s="12" t="s">
        <v>433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433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433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435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432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437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432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339</v>
      </c>
      <c r="M16">
        <f>SUBTOTAL(109,표24[층 완료 획득])</f>
        <v>508</v>
      </c>
    </row>
    <row r="17" spans="2:13">
      <c r="B17" s="12" t="s">
        <v>432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432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442</v>
      </c>
      <c r="M18" s="12">
        <f>표24[[#Totals],[층 완료 획득]]/30</f>
        <v>16.933333333333334</v>
      </c>
    </row>
    <row r="19" spans="2:13">
      <c r="B19" s="12" t="s">
        <v>432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443</v>
      </c>
      <c r="M19" s="12">
        <f>표24[[#Totals],[층 완료 획득]]/50</f>
        <v>10.16</v>
      </c>
    </row>
    <row r="20" spans="2:13">
      <c r="B20" s="12" t="s">
        <v>432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432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432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435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435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434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434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434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434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434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434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434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434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437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437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436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436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436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436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436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436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436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436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6.59765625" customWidth="1"/>
    <col min="6" max="6" width="3.5" customWidth="1"/>
    <col min="16" max="16" width="16.59765625" bestFit="1" customWidth="1"/>
    <col min="17" max="17" width="2.5" customWidth="1"/>
  </cols>
  <sheetData>
    <row r="1" spans="1:21" s="1" customFormat="1">
      <c r="B1" s="67" t="s">
        <v>194</v>
      </c>
      <c r="C1" s="68"/>
      <c r="D1" s="68"/>
      <c r="E1" s="68"/>
      <c r="F1" s="68"/>
    </row>
    <row r="2" spans="1:21" s="1" customFormat="1">
      <c r="B2" s="68"/>
      <c r="C2" s="68"/>
      <c r="D2" s="68"/>
      <c r="E2" s="68"/>
      <c r="F2" s="68"/>
    </row>
    <row r="3" spans="1:21" s="1" customFormat="1">
      <c r="B3" s="68"/>
      <c r="C3" s="68"/>
      <c r="D3" s="68"/>
      <c r="E3" s="68"/>
      <c r="F3" s="68"/>
    </row>
    <row r="5" spans="1:21">
      <c r="B5" s="2" t="s">
        <v>61</v>
      </c>
      <c r="G5" s="2" t="s">
        <v>145</v>
      </c>
      <c r="H5" s="2"/>
      <c r="R5" s="2" t="s">
        <v>66</v>
      </c>
    </row>
    <row r="6" spans="1:21">
      <c r="B6" t="s">
        <v>36</v>
      </c>
      <c r="C6" t="s">
        <v>94</v>
      </c>
      <c r="D6" t="s">
        <v>40</v>
      </c>
      <c r="E6" t="s">
        <v>233</v>
      </c>
      <c r="G6" t="s">
        <v>28</v>
      </c>
      <c r="H6" t="s">
        <v>50</v>
      </c>
      <c r="I6" t="s">
        <v>51</v>
      </c>
      <c r="J6" t="s">
        <v>68</v>
      </c>
      <c r="K6" t="s">
        <v>67</v>
      </c>
      <c r="L6" t="s">
        <v>63</v>
      </c>
      <c r="M6" t="s">
        <v>65</v>
      </c>
      <c r="N6" t="s">
        <v>198</v>
      </c>
      <c r="O6" t="s">
        <v>231</v>
      </c>
      <c r="P6" t="s">
        <v>196</v>
      </c>
      <c r="R6" t="s">
        <v>60</v>
      </c>
      <c r="S6" s="12" t="s">
        <v>340</v>
      </c>
    </row>
    <row r="7" spans="1:21">
      <c r="A7" s="11"/>
      <c r="B7" s="9" t="s">
        <v>124</v>
      </c>
      <c r="C7" s="11" t="s">
        <v>21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167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167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179</v>
      </c>
      <c r="S9" s="2"/>
      <c r="T9" s="2"/>
    </row>
    <row r="10" spans="1:21">
      <c r="A10" s="9"/>
      <c r="B10" s="9" t="s">
        <v>129</v>
      </c>
      <c r="C10" s="9" t="s">
        <v>167</v>
      </c>
      <c r="D10" t="s">
        <v>228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55</v>
      </c>
      <c r="U10" t="s">
        <v>52</v>
      </c>
    </row>
    <row r="11" spans="1:21">
      <c r="A11" s="9"/>
      <c r="B11" s="9" t="s">
        <v>185</v>
      </c>
      <c r="C11" s="9" t="s">
        <v>167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118</v>
      </c>
      <c r="C12" s="9" t="s">
        <v>153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219</v>
      </c>
      <c r="C13" s="9" t="s">
        <v>10</v>
      </c>
      <c r="D13" t="s">
        <v>20</v>
      </c>
      <c r="E13">
        <f>30/0.46</f>
        <v>65.217391304347828</v>
      </c>
      <c r="R13" s="2" t="s">
        <v>62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64</v>
      </c>
      <c r="S14" t="s">
        <v>193</v>
      </c>
    </row>
    <row r="15" spans="1:21">
      <c r="A15" s="9"/>
      <c r="B15" s="9" t="s">
        <v>148</v>
      </c>
      <c r="C15" s="9" t="s">
        <v>10</v>
      </c>
      <c r="D15" t="s">
        <v>161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125</v>
      </c>
      <c r="C16" s="9" t="s">
        <v>10</v>
      </c>
      <c r="D16" t="s">
        <v>171</v>
      </c>
      <c r="E16" s="8">
        <v>40</v>
      </c>
    </row>
    <row r="17" spans="1:5">
      <c r="A17" s="9"/>
      <c r="B17" s="9" t="s">
        <v>220</v>
      </c>
      <c r="C17" s="9" t="s">
        <v>10</v>
      </c>
      <c r="D17" t="s">
        <v>88</v>
      </c>
      <c r="E17">
        <f>50/0.3</f>
        <v>166.66666666666669</v>
      </c>
    </row>
    <row r="18" spans="1:5">
      <c r="A18" s="9"/>
      <c r="B18" s="9" t="s">
        <v>239</v>
      </c>
      <c r="C18" s="9" t="s">
        <v>10</v>
      </c>
      <c r="D18" t="s">
        <v>230</v>
      </c>
      <c r="E18" s="10">
        <f>30/-0.2</f>
        <v>-150</v>
      </c>
    </row>
    <row r="19" spans="1:5">
      <c r="A19" s="9"/>
      <c r="B19" s="9" t="s">
        <v>140</v>
      </c>
      <c r="C19" s="9" t="s">
        <v>10</v>
      </c>
      <c r="D19" t="s">
        <v>160</v>
      </c>
      <c r="E19">
        <f>50/100</f>
        <v>0.5</v>
      </c>
    </row>
    <row r="20" spans="1:5">
      <c r="A20" s="9"/>
      <c r="B20" s="9" t="s">
        <v>168</v>
      </c>
      <c r="C20" s="9" t="s">
        <v>10</v>
      </c>
      <c r="D20" t="s">
        <v>163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178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177</v>
      </c>
      <c r="E22">
        <f>30/1/2</f>
        <v>15</v>
      </c>
    </row>
    <row r="23" spans="1:5">
      <c r="A23" s="9"/>
      <c r="B23" s="9" t="s">
        <v>151</v>
      </c>
      <c r="C23" s="9" t="s">
        <v>10</v>
      </c>
      <c r="D23" t="s">
        <v>226</v>
      </c>
      <c r="E23">
        <f>50/25</f>
        <v>2</v>
      </c>
    </row>
    <row r="24" spans="1:5">
      <c r="A24" s="9"/>
      <c r="B24" s="9" t="s">
        <v>159</v>
      </c>
      <c r="C24" s="9" t="s">
        <v>10</v>
      </c>
      <c r="D24" t="s">
        <v>227</v>
      </c>
      <c r="E24">
        <f>50/25</f>
        <v>2</v>
      </c>
    </row>
    <row r="25" spans="1:5">
      <c r="A25" s="9"/>
      <c r="B25" s="9" t="s">
        <v>176</v>
      </c>
      <c r="C25" s="9" t="s">
        <v>10</v>
      </c>
      <c r="D25" t="s">
        <v>244</v>
      </c>
      <c r="E25">
        <v>2</v>
      </c>
    </row>
    <row r="26" spans="1:5">
      <c r="A26" s="9"/>
      <c r="B26" s="9" t="s">
        <v>181</v>
      </c>
      <c r="C26" s="9" t="s">
        <v>10</v>
      </c>
      <c r="D26" t="s">
        <v>245</v>
      </c>
      <c r="E26">
        <v>2</v>
      </c>
    </row>
    <row r="27" spans="1:5">
      <c r="A27" s="9"/>
      <c r="B27" s="9" t="s">
        <v>127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95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186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258</v>
      </c>
      <c r="E30">
        <v>50</v>
      </c>
    </row>
    <row r="31" spans="1:5">
      <c r="A31" s="9"/>
      <c r="B31" s="9" t="s">
        <v>184</v>
      </c>
      <c r="C31" s="9" t="s">
        <v>39</v>
      </c>
      <c r="D31" s="9" t="s">
        <v>120</v>
      </c>
      <c r="E31">
        <v>50</v>
      </c>
    </row>
    <row r="32" spans="1:5">
      <c r="A32" s="9"/>
      <c r="B32" s="9" t="s">
        <v>126</v>
      </c>
      <c r="C32" s="9" t="s">
        <v>39</v>
      </c>
      <c r="D32" s="9" t="s">
        <v>154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58</v>
      </c>
      <c r="B1" t="s">
        <v>33</v>
      </c>
      <c r="C1" t="s">
        <v>59</v>
      </c>
      <c r="D1" t="s">
        <v>33</v>
      </c>
    </row>
    <row r="2" spans="1:4">
      <c r="A2" t="s">
        <v>46</v>
      </c>
      <c r="B2" s="5" t="s">
        <v>69</v>
      </c>
      <c r="C2" t="s">
        <v>44</v>
      </c>
      <c r="D2" s="5" t="s">
        <v>29</v>
      </c>
    </row>
    <row r="3" spans="1:4">
      <c r="A3">
        <v>1</v>
      </c>
      <c r="B3" s="4" t="s">
        <v>122</v>
      </c>
      <c r="C3">
        <v>5</v>
      </c>
      <c r="D3" s="4" t="s">
        <v>137</v>
      </c>
    </row>
    <row r="4" spans="1:4">
      <c r="A4">
        <v>2</v>
      </c>
      <c r="B4" s="4" t="s">
        <v>174</v>
      </c>
      <c r="C4">
        <v>5</v>
      </c>
      <c r="D4" s="4" t="s">
        <v>121</v>
      </c>
    </row>
    <row r="5" spans="1:4">
      <c r="A5">
        <v>3</v>
      </c>
      <c r="B5" s="4" t="s">
        <v>182</v>
      </c>
      <c r="C5">
        <v>20</v>
      </c>
      <c r="D5" s="4" t="s">
        <v>1</v>
      </c>
    </row>
    <row r="6" spans="1:4">
      <c r="A6">
        <v>4</v>
      </c>
      <c r="B6" s="4" t="s">
        <v>183</v>
      </c>
      <c r="C6">
        <v>0.5</v>
      </c>
      <c r="D6" s="4" t="s">
        <v>131</v>
      </c>
    </row>
    <row r="7" spans="1:4">
      <c r="A7">
        <v>5</v>
      </c>
      <c r="B7" s="4" t="s">
        <v>222</v>
      </c>
      <c r="C7">
        <v>50</v>
      </c>
      <c r="D7" s="4" t="s">
        <v>257</v>
      </c>
    </row>
    <row r="8" spans="1:4">
      <c r="A8">
        <v>6</v>
      </c>
      <c r="B8" s="4" t="s">
        <v>225</v>
      </c>
      <c r="C8">
        <v>1</v>
      </c>
      <c r="D8" s="4" t="s">
        <v>119</v>
      </c>
    </row>
    <row r="9" spans="1:4">
      <c r="A9">
        <v>7</v>
      </c>
      <c r="B9" s="4" t="s">
        <v>256</v>
      </c>
      <c r="C9">
        <v>10</v>
      </c>
      <c r="D9" s="4" t="s">
        <v>255</v>
      </c>
    </row>
    <row r="10" spans="1:4">
      <c r="A10">
        <v>8</v>
      </c>
      <c r="B10" s="4" t="s">
        <v>15</v>
      </c>
      <c r="C10">
        <v>5</v>
      </c>
      <c r="D10" s="4" t="s">
        <v>116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31</v>
      </c>
    </row>
    <row r="2" spans="2:13">
      <c r="B2" t="s">
        <v>46</v>
      </c>
      <c r="C2" s="5" t="s">
        <v>29</v>
      </c>
      <c r="D2" t="s">
        <v>101</v>
      </c>
      <c r="E2" t="s">
        <v>191</v>
      </c>
      <c r="F2" t="s">
        <v>0</v>
      </c>
      <c r="G2" s="12" t="s">
        <v>411</v>
      </c>
      <c r="H2" t="s">
        <v>5</v>
      </c>
      <c r="I2" s="17" t="s">
        <v>388</v>
      </c>
      <c r="J2" t="s">
        <v>3</v>
      </c>
      <c r="K2" t="s">
        <v>16</v>
      </c>
      <c r="L2" t="s">
        <v>157</v>
      </c>
      <c r="M2" t="s">
        <v>185</v>
      </c>
    </row>
    <row r="3" spans="2:13">
      <c r="B3">
        <v>100</v>
      </c>
      <c r="C3" s="4" t="s">
        <v>24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abSelected="1" topLeftCell="C1"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18.09765625" bestFit="1" customWidth="1"/>
    <col min="9" max="9" width="19.09765625" bestFit="1" customWidth="1"/>
    <col min="10" max="10" width="22.59765625" bestFit="1" customWidth="1"/>
    <col min="11" max="11" width="18.8984375" bestFit="1" customWidth="1"/>
    <col min="12" max="13" width="19.5" bestFit="1" customWidth="1"/>
    <col min="14" max="14" width="23.3984375" bestFit="1" customWidth="1"/>
    <col min="15" max="15" width="23.09765625" bestFit="1" customWidth="1"/>
    <col min="16" max="16" width="13.3984375" bestFit="1" customWidth="1"/>
    <col min="17" max="17" width="14.09765625" bestFit="1" customWidth="1"/>
    <col min="18" max="18" width="25.09765625" bestFit="1" customWidth="1"/>
    <col min="19" max="21" width="22.3984375" bestFit="1" customWidth="1"/>
    <col min="22" max="22" width="21.09765625" customWidth="1"/>
    <col min="23" max="23" width="27.09765625" bestFit="1" customWidth="1"/>
  </cols>
  <sheetData>
    <row r="1" spans="2:23">
      <c r="B1" t="s">
        <v>31</v>
      </c>
      <c r="C1" t="s">
        <v>33</v>
      </c>
      <c r="D1" t="s">
        <v>59</v>
      </c>
      <c r="E1" t="s">
        <v>59</v>
      </c>
      <c r="F1" t="s">
        <v>31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117</v>
      </c>
    </row>
    <row r="2" spans="2:23">
      <c r="B2" t="s">
        <v>46</v>
      </c>
      <c r="C2" s="5" t="s">
        <v>29</v>
      </c>
      <c r="D2" s="34" t="s">
        <v>389</v>
      </c>
      <c r="E2" s="6" t="s">
        <v>219</v>
      </c>
      <c r="F2" s="38" t="s">
        <v>521</v>
      </c>
      <c r="G2" s="6" t="s">
        <v>239</v>
      </c>
      <c r="H2" s="6" t="s">
        <v>125</v>
      </c>
      <c r="I2" s="34" t="s">
        <v>467</v>
      </c>
      <c r="J2" s="38" t="s">
        <v>458</v>
      </c>
      <c r="K2" s="6" t="s">
        <v>19</v>
      </c>
      <c r="L2" s="7" t="s">
        <v>151</v>
      </c>
      <c r="M2" s="7" t="s">
        <v>159</v>
      </c>
      <c r="N2" s="39" t="s">
        <v>465</v>
      </c>
      <c r="O2" s="29" t="s">
        <v>466</v>
      </c>
      <c r="P2" s="1" t="s">
        <v>220</v>
      </c>
      <c r="Q2" s="5" t="s">
        <v>234</v>
      </c>
      <c r="R2" s="5" t="s">
        <v>152</v>
      </c>
      <c r="S2" s="5" t="s">
        <v>173</v>
      </c>
      <c r="T2" s="5" t="s">
        <v>155</v>
      </c>
      <c r="U2" s="5" t="s">
        <v>172</v>
      </c>
      <c r="V2" s="5" t="s">
        <v>166</v>
      </c>
      <c r="W2" s="5" t="s">
        <v>14</v>
      </c>
    </row>
    <row r="3" spans="2:23">
      <c r="B3">
        <v>200</v>
      </c>
      <c r="C3" s="4" t="s">
        <v>197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50</v>
      </c>
      <c r="S3">
        <f>CharacterAtkTable[[#This Row],[ChargeRigidDmg2]]/(CharacterAtkTable[[#This Row],[SwingCooldown]]+CharacterAtkTable[[#This Row],[ChargeTime]])</f>
        <v>36.36363636363636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144</v>
      </c>
      <c r="E2" s="24" t="s">
        <v>136</v>
      </c>
      <c r="F2" s="24" t="s">
        <v>192</v>
      </c>
      <c r="G2" t="s">
        <v>6</v>
      </c>
      <c r="H2" t="s">
        <v>209</v>
      </c>
      <c r="I2" t="s">
        <v>142</v>
      </c>
      <c r="J2" t="s">
        <v>141</v>
      </c>
      <c r="K2" t="s">
        <v>195</v>
      </c>
      <c r="L2" t="s">
        <v>138</v>
      </c>
      <c r="M2" t="s">
        <v>143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433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435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437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31</v>
      </c>
      <c r="C1" t="s">
        <v>33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55</v>
      </c>
      <c r="G2" s="17" t="s">
        <v>393</v>
      </c>
      <c r="H2" t="s">
        <v>32</v>
      </c>
      <c r="I2" t="s">
        <v>57</v>
      </c>
    </row>
    <row r="3" spans="1:11">
      <c r="B3" s="24">
        <v>9001</v>
      </c>
      <c r="C3" s="26" t="s">
        <v>349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348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345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276</v>
      </c>
      <c r="B6">
        <v>9100</v>
      </c>
      <c r="C6" s="14" t="s">
        <v>346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347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201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210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D1" zoomScaleNormal="75" zoomScaleSheetLayoutView="100" workbookViewId="0">
      <selection activeCell="N14" sqref="N14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37.09765625" customWidth="1"/>
    <col min="21" max="21" width="20.59765625" bestFit="1" customWidth="1"/>
    <col min="22" max="22" width="17.8984375" bestFit="1" customWidth="1"/>
  </cols>
  <sheetData>
    <row r="1" spans="2:22">
      <c r="B1" t="s">
        <v>31</v>
      </c>
      <c r="C1" s="17" t="s">
        <v>368</v>
      </c>
      <c r="D1" s="12" t="s">
        <v>276</v>
      </c>
      <c r="E1" t="s">
        <v>31</v>
      </c>
      <c r="F1" t="s">
        <v>59</v>
      </c>
      <c r="G1" t="s">
        <v>77</v>
      </c>
      <c r="H1" t="s">
        <v>31</v>
      </c>
      <c r="I1" t="s">
        <v>59</v>
      </c>
      <c r="J1" t="s">
        <v>59</v>
      </c>
      <c r="K1" s="17" t="s">
        <v>352</v>
      </c>
      <c r="L1" t="s">
        <v>59</v>
      </c>
      <c r="M1" t="s">
        <v>77</v>
      </c>
      <c r="N1" t="s">
        <v>59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58</v>
      </c>
      <c r="U1" t="s">
        <v>33</v>
      </c>
      <c r="V1" t="s">
        <v>33</v>
      </c>
    </row>
    <row r="2" spans="2:22">
      <c r="B2" t="s">
        <v>46</v>
      </c>
      <c r="C2" s="32" t="s">
        <v>367</v>
      </c>
      <c r="D2" s="13" t="s">
        <v>276</v>
      </c>
      <c r="E2" t="s">
        <v>81</v>
      </c>
      <c r="F2" s="17" t="s">
        <v>344</v>
      </c>
      <c r="G2" t="s">
        <v>203</v>
      </c>
      <c r="H2" t="s">
        <v>205</v>
      </c>
      <c r="I2" s="17" t="s">
        <v>372</v>
      </c>
      <c r="J2" t="s">
        <v>0</v>
      </c>
      <c r="K2" s="17" t="s">
        <v>353</v>
      </c>
      <c r="L2" t="s">
        <v>134</v>
      </c>
      <c r="M2" t="s">
        <v>130</v>
      </c>
      <c r="N2" t="s">
        <v>132</v>
      </c>
      <c r="O2" t="s">
        <v>202</v>
      </c>
      <c r="P2" t="s">
        <v>139</v>
      </c>
      <c r="Q2" t="s">
        <v>208</v>
      </c>
      <c r="R2" t="s">
        <v>206</v>
      </c>
      <c r="S2" t="s">
        <v>2</v>
      </c>
      <c r="T2" t="s">
        <v>211</v>
      </c>
      <c r="U2" s="5" t="s">
        <v>213</v>
      </c>
      <c r="V2" s="5" t="s">
        <v>229</v>
      </c>
    </row>
    <row r="3" spans="2:22">
      <c r="B3">
        <v>500</v>
      </c>
      <c r="C3" s="4" t="s">
        <v>26</v>
      </c>
      <c r="D3" s="14" t="s">
        <v>277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365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479</v>
      </c>
      <c r="D4" s="14" t="s">
        <v>279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382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480</v>
      </c>
      <c r="D5" s="14" t="s">
        <v>282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470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481</v>
      </c>
      <c r="D6" s="14" t="s">
        <v>301</v>
      </c>
      <c r="E6">
        <f>표14[적 기준 체력]*EnemyGameData[[#This Row],['#기준 적 체력 비율]]</f>
        <v>80</v>
      </c>
      <c r="F6">
        <v>16</v>
      </c>
      <c r="G6" t="s">
        <v>212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471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472</v>
      </c>
      <c r="C7" s="22" t="s">
        <v>164</v>
      </c>
      <c r="D7" s="22" t="s">
        <v>305</v>
      </c>
      <c r="E7" s="21">
        <f>표14[적 기준 체력]*EnemyGameData[[#This Row],['#기준 적 체력 비율]]</f>
        <v>80</v>
      </c>
      <c r="F7">
        <v>16</v>
      </c>
      <c r="G7" s="21" t="s">
        <v>212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366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473</v>
      </c>
      <c r="C8" s="22" t="s">
        <v>165</v>
      </c>
      <c r="D8" s="22" t="s">
        <v>305</v>
      </c>
      <c r="E8" s="21">
        <f>표14[적 기준 체력]*EnemyGameData[[#This Row],['#기준 적 체력 비율]]</f>
        <v>100</v>
      </c>
      <c r="F8">
        <v>16</v>
      </c>
      <c r="G8" s="21" t="s">
        <v>212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366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482</v>
      </c>
      <c r="D9" s="14" t="s">
        <v>304</v>
      </c>
      <c r="E9">
        <f>표14[적 기준 체력]*EnemyGameData[[#This Row],['#기준 적 체력 비율]]</f>
        <v>100</v>
      </c>
      <c r="F9">
        <v>16</v>
      </c>
      <c r="G9" t="s">
        <v>212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251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483</v>
      </c>
      <c r="D11" s="14" t="s">
        <v>307</v>
      </c>
      <c r="E11">
        <f>표14[적 기준 체력]*EnemyGameData[[#This Row],['#기준 적 체력 비율]]</f>
        <v>80</v>
      </c>
      <c r="F11">
        <v>50</v>
      </c>
      <c r="G11" t="s">
        <v>212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146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477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484</v>
      </c>
      <c r="D12" s="14" t="s">
        <v>278</v>
      </c>
      <c r="E12">
        <f>표14[적 기준 체력]*EnemyGameData[[#This Row],['#기준 적 체력 비율]]</f>
        <v>140</v>
      </c>
      <c r="F12">
        <v>50</v>
      </c>
      <c r="G12" s="17" t="s">
        <v>464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146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478</v>
      </c>
      <c r="U12">
        <v>1.4</v>
      </c>
      <c r="V12">
        <v>7</v>
      </c>
    </row>
    <row r="13" spans="2:22">
      <c r="B13" s="40">
        <v>551</v>
      </c>
      <c r="C13" s="41" t="s">
        <v>485</v>
      </c>
      <c r="D13" s="41" t="s">
        <v>283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470</v>
      </c>
      <c r="U13" s="40">
        <v>1.6</v>
      </c>
      <c r="V13" s="40">
        <v>7</v>
      </c>
    </row>
    <row r="14" spans="2:22">
      <c r="B14">
        <v>552</v>
      </c>
      <c r="C14" s="14" t="s">
        <v>486</v>
      </c>
      <c r="D14" s="14" t="s">
        <v>302</v>
      </c>
      <c r="E14">
        <f>표14[적 기준 체력]*EnemyGameData[[#This Row],['#기준 적 체력 비율]]</f>
        <v>140</v>
      </c>
      <c r="F14">
        <v>16</v>
      </c>
      <c r="G14" t="s">
        <v>212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476</v>
      </c>
      <c r="U14">
        <v>1.4</v>
      </c>
      <c r="V14">
        <v>7</v>
      </c>
    </row>
    <row r="15" spans="2:22">
      <c r="B15">
        <v>553</v>
      </c>
      <c r="C15" s="15" t="s">
        <v>487</v>
      </c>
      <c r="D15" s="14" t="s">
        <v>303</v>
      </c>
      <c r="E15">
        <f>표14[적 기준 체력]*EnemyGameData[[#This Row],['#기준 적 체력 비율]]</f>
        <v>160</v>
      </c>
      <c r="F15">
        <v>16</v>
      </c>
      <c r="G15" t="s">
        <v>212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475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468</v>
      </c>
      <c r="C16" s="23" t="s">
        <v>306</v>
      </c>
      <c r="D16" s="22" t="s">
        <v>305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365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984375" defaultRowHeight="17.399999999999999"/>
  <cols>
    <col min="2" max="2" width="8.59765625" bestFit="1" customWidth="1"/>
    <col min="3" max="3" width="20" bestFit="1" customWidth="1"/>
    <col min="4" max="4" width="15" bestFit="1" customWidth="1"/>
    <col min="5" max="5" width="11.59765625" bestFit="1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31</v>
      </c>
      <c r="C1" t="s">
        <v>33</v>
      </c>
      <c r="D1" t="s">
        <v>31</v>
      </c>
      <c r="E1" t="s">
        <v>77</v>
      </c>
      <c r="F1" t="s">
        <v>59</v>
      </c>
      <c r="G1" t="s">
        <v>59</v>
      </c>
      <c r="H1" s="12" t="s">
        <v>276</v>
      </c>
      <c r="I1" s="12" t="s">
        <v>276</v>
      </c>
    </row>
    <row r="2" spans="2:9">
      <c r="B2" t="s">
        <v>46</v>
      </c>
      <c r="C2" s="5" t="s">
        <v>29</v>
      </c>
      <c r="D2" t="s">
        <v>217</v>
      </c>
      <c r="E2" t="s">
        <v>79</v>
      </c>
      <c r="F2" t="s">
        <v>216</v>
      </c>
      <c r="G2" t="s">
        <v>214</v>
      </c>
      <c r="H2" s="12" t="s">
        <v>276</v>
      </c>
      <c r="I2" s="12" t="s">
        <v>329</v>
      </c>
    </row>
    <row r="3" spans="2:9">
      <c r="B3">
        <v>600</v>
      </c>
      <c r="C3" s="16" t="s">
        <v>321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284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284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284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284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284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284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284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284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284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317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325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325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325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316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241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241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241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315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322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323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324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342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342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342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342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342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342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342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342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342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342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342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342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342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342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342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342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326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327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328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310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310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310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310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310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310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310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310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310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310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310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310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311</v>
      </c>
      <c r="D57">
        <v>725</v>
      </c>
      <c r="E57" s="17" t="s">
        <v>308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311</v>
      </c>
      <c r="D58">
        <v>725</v>
      </c>
      <c r="E58" s="17" t="s">
        <v>308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312</v>
      </c>
      <c r="D59">
        <v>999</v>
      </c>
      <c r="E59" s="17" t="s">
        <v>309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77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218</v>
      </c>
      <c r="E2" t="s">
        <v>2</v>
      </c>
      <c r="F2" t="s">
        <v>147</v>
      </c>
      <c r="G2" t="s">
        <v>221</v>
      </c>
    </row>
    <row r="3" spans="2:7">
      <c r="B3">
        <v>700</v>
      </c>
      <c r="C3" s="4" t="s">
        <v>235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287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288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289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290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291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292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293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294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295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296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297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285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298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286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299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300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281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281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280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280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280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280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280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280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350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350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350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350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350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350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351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351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350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350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350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350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350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350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408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408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408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446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446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446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446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446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446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446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446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498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498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498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498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313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984375" defaultRowHeight="17.399999999999999"/>
  <cols>
    <col min="2" max="2" width="8.59765625" bestFit="1" customWidth="1"/>
    <col min="3" max="3" width="11.3984375" bestFit="1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31</v>
      </c>
      <c r="C1" t="s">
        <v>33</v>
      </c>
      <c r="D1" t="s">
        <v>84</v>
      </c>
      <c r="E1" t="s">
        <v>59</v>
      </c>
      <c r="F1" t="s">
        <v>31</v>
      </c>
      <c r="G1" t="s">
        <v>58</v>
      </c>
    </row>
    <row r="2" spans="2:7">
      <c r="B2" t="s">
        <v>46</v>
      </c>
      <c r="C2" s="5" t="s">
        <v>29</v>
      </c>
      <c r="D2" t="s">
        <v>232</v>
      </c>
      <c r="E2" t="s">
        <v>118</v>
      </c>
      <c r="F2" t="s">
        <v>204</v>
      </c>
      <c r="G2" t="s">
        <v>211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254</v>
      </c>
    </row>
    <row r="4" spans="2:7">
      <c r="B4">
        <v>201</v>
      </c>
      <c r="C4" s="12" t="s">
        <v>409</v>
      </c>
      <c r="D4" t="b">
        <v>1</v>
      </c>
      <c r="E4">
        <v>0.8</v>
      </c>
      <c r="F4">
        <v>15</v>
      </c>
      <c r="G4" s="12" t="s">
        <v>448</v>
      </c>
    </row>
    <row r="5" spans="2:7">
      <c r="B5">
        <v>204</v>
      </c>
      <c r="C5" s="12" t="s">
        <v>447</v>
      </c>
      <c r="D5" t="b">
        <v>1</v>
      </c>
      <c r="E5">
        <v>1.5</v>
      </c>
      <c r="F5">
        <v>30</v>
      </c>
      <c r="G5" s="12" t="s">
        <v>460</v>
      </c>
    </row>
    <row r="6" spans="2:7">
      <c r="B6">
        <v>205</v>
      </c>
      <c r="C6" s="12" t="s">
        <v>499</v>
      </c>
      <c r="D6" t="b">
        <v>1</v>
      </c>
      <c r="E6">
        <v>1.2</v>
      </c>
      <c r="F6">
        <v>30</v>
      </c>
      <c r="G6" s="12" t="s">
        <v>460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253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253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253</v>
      </c>
    </row>
    <row r="10" spans="2:7">
      <c r="B10">
        <v>401</v>
      </c>
      <c r="C10" s="4" t="s">
        <v>243</v>
      </c>
      <c r="D10" s="3" t="b">
        <v>1</v>
      </c>
      <c r="E10">
        <v>0.25</v>
      </c>
      <c r="F10">
        <v>25</v>
      </c>
      <c r="G10" t="s">
        <v>253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253</v>
      </c>
    </row>
    <row r="12" spans="2:7">
      <c r="B12">
        <v>403</v>
      </c>
      <c r="C12" s="14" t="s">
        <v>319</v>
      </c>
      <c r="D12" s="3" t="b">
        <v>0</v>
      </c>
      <c r="E12">
        <v>0.8</v>
      </c>
      <c r="F12">
        <v>25</v>
      </c>
      <c r="G12" t="s">
        <v>253</v>
      </c>
    </row>
    <row r="13" spans="2:7">
      <c r="B13">
        <v>404</v>
      </c>
      <c r="C13" s="14" t="s">
        <v>320</v>
      </c>
      <c r="D13" s="3" t="b">
        <v>1</v>
      </c>
      <c r="E13">
        <v>0.8</v>
      </c>
      <c r="F13">
        <v>25</v>
      </c>
      <c r="G13" t="s">
        <v>253</v>
      </c>
    </row>
    <row r="14" spans="2:7">
      <c r="B14">
        <v>999</v>
      </c>
      <c r="C14" s="19" t="s">
        <v>314</v>
      </c>
      <c r="D14" t="b">
        <v>1</v>
      </c>
      <c r="E14">
        <v>1</v>
      </c>
      <c r="F14">
        <v>25</v>
      </c>
      <c r="G14" s="17" t="s">
        <v>343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F1" zoomScaleNormal="100" zoomScaleSheetLayoutView="100" workbookViewId="0">
      <selection activeCell="H8" sqref="H8"/>
    </sheetView>
  </sheetViews>
  <sheetFormatPr defaultColWidth="8.8984375" defaultRowHeight="17.399999999999999"/>
  <cols>
    <col min="1" max="1" width="8.8984375" style="43"/>
    <col min="2" max="2" width="8.59765625" style="43" bestFit="1" customWidth="1"/>
    <col min="3" max="3" width="32.59765625" style="43" customWidth="1"/>
    <col min="4" max="4" width="35" style="43" customWidth="1"/>
    <col min="5" max="5" width="36.59765625" style="43" customWidth="1"/>
    <col min="6" max="6" width="34.09765625" style="43" customWidth="1"/>
    <col min="7" max="7" width="13.3984375" style="43" bestFit="1" customWidth="1"/>
    <col min="8" max="8" width="18.5" style="43" bestFit="1" customWidth="1"/>
    <col min="9" max="11" width="18.5" style="43" customWidth="1"/>
    <col min="12" max="12" width="35.59765625" style="43" bestFit="1" customWidth="1"/>
    <col min="13" max="13" width="17.8984375" style="43" bestFit="1" customWidth="1"/>
    <col min="14" max="14" width="17.8984375" style="43" customWidth="1"/>
    <col min="15" max="15" width="19.19921875" style="43" customWidth="1"/>
    <col min="16" max="16" width="31" style="43" customWidth="1"/>
    <col min="17" max="17" width="21.8984375" style="43" customWidth="1"/>
    <col min="18" max="18" width="20" style="43" customWidth="1"/>
    <col min="19" max="19" width="20.3984375" style="43" bestFit="1" customWidth="1"/>
    <col min="20" max="16384" width="8.8984375" style="43"/>
  </cols>
  <sheetData>
    <row r="1" spans="2:19">
      <c r="B1" s="43" t="s">
        <v>507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58</v>
      </c>
      <c r="M1" s="43" t="s">
        <v>33</v>
      </c>
    </row>
    <row r="2" spans="2:19">
      <c r="B2" s="63" t="s">
        <v>46</v>
      </c>
      <c r="C2" s="63" t="s">
        <v>49</v>
      </c>
      <c r="D2" s="63" t="s">
        <v>114</v>
      </c>
      <c r="E2" s="63" t="s">
        <v>394</v>
      </c>
      <c r="F2" s="63" t="s">
        <v>395</v>
      </c>
      <c r="G2" s="63" t="s">
        <v>187</v>
      </c>
      <c r="H2" s="63" t="s">
        <v>53</v>
      </c>
      <c r="I2" s="63" t="s">
        <v>56</v>
      </c>
      <c r="J2" s="63" t="s">
        <v>188</v>
      </c>
      <c r="K2" s="63" t="s">
        <v>7</v>
      </c>
      <c r="L2" s="63" t="s">
        <v>128</v>
      </c>
      <c r="M2" s="64" t="s">
        <v>250</v>
      </c>
      <c r="N2" s="64" t="s">
        <v>573</v>
      </c>
      <c r="O2" s="64" t="s">
        <v>574</v>
      </c>
      <c r="P2" s="65" t="s">
        <v>683</v>
      </c>
      <c r="Q2" s="65" t="s">
        <v>684</v>
      </c>
      <c r="R2" s="65" t="s">
        <v>685</v>
      </c>
      <c r="S2" s="65" t="s">
        <v>686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62" t="e">
        <f>MID(ItemTable[[#This Row],[ItemIconPath]],FIND("icon",ItemTable[[#This Row],[ItemIconPath]]),999)</f>
        <v>#VALUE!</v>
      </c>
      <c r="N3" s="62"/>
      <c r="O3" s="62" t="str">
        <f>SUBSTITUTE(PROPER(ItemTable[[#This Row],['#번역본]])," "," ")</f>
        <v/>
      </c>
      <c r="P3" s="62" t="e">
        <f>INDEX(LocaleTable[LocaleKR],MATCH(ItemTable[[#This Row],[Name]],LocaleTable[StringKeys],0))</f>
        <v>#N/A</v>
      </c>
      <c r="Q3" s="62" t="e">
        <f>INDEX(LocaleTable[LocaleKR],MATCH(ItemTable[[#This Row],[Desc]],LocaleTable[StringKeys],0))</f>
        <v>#N/A</v>
      </c>
      <c r="R3" s="62" t="e">
        <f>INDEX(LocaleTable[LocaleKR],MATCH(ItemTable[[#This Row],[PlusDesc]],LocaleTable[StringKeys],0))</f>
        <v>#N/A</v>
      </c>
      <c r="S3" s="62" t="e">
        <f>INDEX(LocaleTable[LocaleKR],MATCH(ItemTable[[#This Row],[MinusDesc]],LocaleTable[StringKeys],0))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62" t="e">
        <f>MID(ItemTable[[#This Row],[ItemIconPath]],FIND("icon",ItemTable[[#This Row],[ItemIconPath]]),999)</f>
        <v>#VALUE!</v>
      </c>
      <c r="N4" s="62"/>
      <c r="O4" s="62" t="str">
        <f>SUBSTITUTE(PROPER(ItemTable[[#This Row],['#번역본]])," "," ")</f>
        <v/>
      </c>
      <c r="P4" s="62" t="e">
        <f>INDEX(LocaleTable[LocaleKR],MATCH(ItemTable[[#This Row],[Name]],LocaleTable[StringKeys],0))</f>
        <v>#N/A</v>
      </c>
      <c r="Q4" s="62" t="e">
        <f>INDEX(LocaleTable[LocaleKR],MATCH(ItemTable[[#This Row],[Desc]],LocaleTable[StringKeys],0))</f>
        <v>#N/A</v>
      </c>
      <c r="R4" s="62" t="e">
        <f>INDEX(LocaleTable[LocaleKR],MATCH(ItemTable[[#This Row],[PlusDesc]],LocaleTable[StringKeys],0))</f>
        <v>#N/A</v>
      </c>
      <c r="S4" s="62" t="e">
        <f>INDEX(LocaleTable[LocaleKR],MATCH(ItemTable[[#This Row],[MinusDesc]],LocaleTable[StringKeys],0))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62" t="str">
        <f>MID(ItemTable[[#This Row],[ItemIconPath]],FIND("icon",ItemTable[[#This Row],[ItemIconPath]]),999)</f>
        <v>icon/item/coin.png</v>
      </c>
      <c r="N5" s="62"/>
      <c r="O5" s="62" t="str">
        <f>SUBSTITUTE(PROPER(ItemTable[[#This Row],['#번역본]])," "," ")</f>
        <v/>
      </c>
      <c r="P5" s="62" t="e">
        <f>INDEX(LocaleTable[LocaleKR],MATCH(ItemTable[[#This Row],[Name]],LocaleTable[StringKeys],0))</f>
        <v>#N/A</v>
      </c>
      <c r="Q5" s="62" t="e">
        <f>INDEX(LocaleTable[LocaleKR],MATCH(ItemTable[[#This Row],[Desc]],LocaleTable[StringKeys],0))</f>
        <v>#N/A</v>
      </c>
      <c r="R5" s="62" t="e">
        <f>INDEX(LocaleTable[LocaleKR],MATCH(ItemTable[[#This Row],[PlusDesc]],LocaleTable[StringKeys],0))</f>
        <v>#N/A</v>
      </c>
      <c r="S5" s="62" t="e">
        <f>INDEX(LocaleTable[LocaleKR],MATCH(ItemTable[[#This Row],[MinusDesc]],LocaleTable[StringKeys],0))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62" t="str">
        <f>MID(ItemTable[[#This Row],[ItemIconPath]],FIND("icon",ItemTable[[#This Row],[ItemIconPath]]),999)</f>
        <v>icon/item/coin.png</v>
      </c>
      <c r="N6" s="62"/>
      <c r="O6" s="62" t="str">
        <f>SUBSTITUTE(PROPER(ItemTable[[#This Row],['#번역본]])," "," ")</f>
        <v/>
      </c>
      <c r="P6" s="62" t="e">
        <f>INDEX(LocaleTable[LocaleKR],MATCH(ItemTable[[#This Row],[Name]],LocaleTable[StringKeys],0))</f>
        <v>#N/A</v>
      </c>
      <c r="Q6" s="62" t="e">
        <f>INDEX(LocaleTable[LocaleKR],MATCH(ItemTable[[#This Row],[Desc]],LocaleTable[StringKeys],0))</f>
        <v>#N/A</v>
      </c>
      <c r="R6" s="62" t="e">
        <f>INDEX(LocaleTable[LocaleKR],MATCH(ItemTable[[#This Row],[PlusDesc]],LocaleTable[StringKeys],0))</f>
        <v>#N/A</v>
      </c>
      <c r="S6" s="62" t="e">
        <f>INDEX(LocaleTable[LocaleKR],MATCH(ItemTable[[#This Row],[MinusDesc]],LocaleTable[StringKeys],0))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62" t="str">
        <f>MID(ItemTable[[#This Row],[ItemIconPath]],FIND("icon",ItemTable[[#This Row],[ItemIconPath]]),999)</f>
        <v>icon/item/coin.png</v>
      </c>
      <c r="N7" s="62"/>
      <c r="O7" s="62" t="str">
        <f>SUBSTITUTE(PROPER(ItemTable[[#This Row],['#번역본]])," "," ")</f>
        <v/>
      </c>
      <c r="P7" s="62" t="e">
        <f>INDEX(LocaleTable[LocaleKR],MATCH(ItemTable[[#This Row],[Name]],LocaleTable[StringKeys],0))</f>
        <v>#N/A</v>
      </c>
      <c r="Q7" s="62" t="e">
        <f>INDEX(LocaleTable[LocaleKR],MATCH(ItemTable[[#This Row],[Desc]],LocaleTable[StringKeys],0))</f>
        <v>#N/A</v>
      </c>
      <c r="R7" s="62" t="e">
        <f>INDEX(LocaleTable[LocaleKR],MATCH(ItemTable[[#This Row],[PlusDesc]],LocaleTable[StringKeys],0))</f>
        <v>#N/A</v>
      </c>
      <c r="S7" s="62" t="e">
        <f>INDEX(LocaleTable[LocaleKR],MATCH(ItemTable[[#This Row],[MinusDesc]],LocaleTable[StringKeys],0))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690</v>
      </c>
      <c r="D8" s="43" t="s">
        <v>691</v>
      </c>
      <c r="E8" s="43" t="s">
        <v>692</v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523</v>
      </c>
      <c r="M8" s="62" t="str">
        <f>MID(ItemTable[[#This Row],[ItemIconPath]],FIND("icon",ItemTable[[#This Row],[ItemIconPath]]),999)</f>
        <v>icon/item//Passive_Item/item_02.png</v>
      </c>
      <c r="N8" s="62" t="s">
        <v>559</v>
      </c>
      <c r="O8" s="62" t="str">
        <f>SUBSTITUTE(PROPER(ItemTable[[#This Row],['#번역본]])," "," ")</f>
        <v>Metal Unicorn Keyring</v>
      </c>
      <c r="P8" s="62" t="str">
        <f>INDEX(LocaleTable[LocaleKR],MATCH(ItemTable[[#This Row],[Name]],LocaleTable[StringKeys],0))</f>
        <v>메탈유니콘 키링</v>
      </c>
      <c r="Q8" s="62" t="str">
        <f>INDEX(LocaleTable[LocaleKR],MATCH(ItemTable[[#This Row],[Desc]],LocaleTable[StringKeys],0))</f>
        <v>배트에 달아놓으면 휘두를 때\n짤랑짤랑 소리가 납니다.</v>
      </c>
      <c r="R8" s="62" t="str">
        <f>INDEX(LocaleTable[LocaleKR],MATCH(ItemTable[[#This Row],[PlusDesc]],LocaleTable[StringKeys],0))</f>
        <v>플레이어의 공이\n적을 관통합니다.</v>
      </c>
      <c r="S8" s="62" t="e">
        <f>INDEX(LocaleTable[LocaleKR],MATCH(ItemTable[[#This Row],[MinusDesc]],LocaleTable[StringKeys],0))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693</v>
      </c>
      <c r="D9" s="43" t="s">
        <v>694</v>
      </c>
      <c r="E9" s="43" t="s">
        <v>695</v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524</v>
      </c>
      <c r="M9" s="62" t="str">
        <f>MID(ItemTable[[#This Row],[ItemIconPath]],FIND("icon",ItemTable[[#This Row],[ItemIconPath]]),999)</f>
        <v>icon/item/Passive_Item/item_04.png</v>
      </c>
      <c r="N9" s="62" t="s">
        <v>560</v>
      </c>
      <c r="O9" s="62" t="str">
        <f>SUBSTITUTE(PROPER(ItemTable[[#This Row],['#번역본]])," "," ")</f>
        <v>A Champion Hat</v>
      </c>
      <c r="P9" s="62" t="str">
        <f>INDEX(LocaleTable[LocaleKR],MATCH(ItemTable[[#This Row],[Name]],LocaleTable[StringKeys],0))</f>
        <v>챔피언 모자</v>
      </c>
      <c r="Q9" s="62" t="str">
        <f>INDEX(LocaleTable[LocaleKR],MATCH(ItemTable[[#This Row],[Desc]],LocaleTable[StringKeys],0))</f>
        <v>태초부터 시작되더라도 절망하지 않습니다.\n'자 이제 시작이야'</v>
      </c>
      <c r="R9" s="62" t="str">
        <f>INDEX(LocaleTable[LocaleKR],MATCH(ItemTable[[#This Row],[PlusDesc]],LocaleTable[StringKeys],0))</f>
        <v>공격범위 +20%</v>
      </c>
      <c r="S9" s="62" t="e">
        <f>INDEX(LocaleTable[LocaleKR],MATCH(ItemTable[[#This Row],[MinusDesc]],LocaleTable[StringKeys],0))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696</v>
      </c>
      <c r="D10" s="43" t="s">
        <v>697</v>
      </c>
      <c r="E10" s="43" t="s">
        <v>698</v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525</v>
      </c>
      <c r="M10" s="62" t="str">
        <f>MID(ItemTable[[#This Row],[ItemIconPath]],FIND("icon",ItemTable[[#This Row],[ItemIconPath]]),999)</f>
        <v>icon/item/Passive_Item/item_05.png</v>
      </c>
      <c r="N10" s="62" t="s">
        <v>561</v>
      </c>
      <c r="O10" s="62" t="str">
        <f>SUBSTITUTE(PROPER(ItemTable[[#This Row],['#번역본]])," "," ")</f>
        <v>Cool - Dog</v>
      </c>
      <c r="P10" s="62" t="str">
        <f>INDEX(LocaleTable[LocaleKR],MATCH(ItemTable[[#This Row],[Name]],LocaleTable[StringKeys],0))</f>
        <v>쿨 - 도그</v>
      </c>
      <c r="Q10" s="62" t="str">
        <f>INDEX(LocaleTable[LocaleKR],MATCH(ItemTable[[#This Row],[Desc]],LocaleTable[StringKeys],0))</f>
        <v>얼.죽.아 클럽의 새로운 유행입니다.</v>
      </c>
      <c r="R10" s="62" t="str">
        <f>INDEX(LocaleTable[LocaleKR],MATCH(ItemTable[[#This Row],[PlusDesc]],LocaleTable[StringKeys],0))</f>
        <v>차징속도 +20%</v>
      </c>
      <c r="S10" s="62" t="e">
        <f>INDEX(LocaleTable[LocaleKR],MATCH(ItemTable[[#This Row],[MinusDesc]],LocaleTable[StringKeys],0))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699</v>
      </c>
      <c r="D11" s="43" t="s">
        <v>700</v>
      </c>
      <c r="E11" s="43" t="s">
        <v>701</v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526</v>
      </c>
      <c r="M11" s="62" t="str">
        <f>MID(ItemTable[[#This Row],[ItemIconPath]],FIND("icon",ItemTable[[#This Row],[ItemIconPath]]),999)</f>
        <v>icon/item/Passive_Item/item_07.png</v>
      </c>
      <c r="N11" s="62" t="s">
        <v>562</v>
      </c>
      <c r="O11" s="62" t="str">
        <f>SUBSTITUTE(PROPER(ItemTable[[#This Row],['#번역본]])," "," ")</f>
        <v>Qt Powder</v>
      </c>
      <c r="P11" s="62" t="str">
        <f>INDEX(LocaleTable[LocaleKR],MATCH(ItemTable[[#This Row],[Name]],LocaleTable[StringKeys],0))</f>
        <v>QT 파우더</v>
      </c>
      <c r="Q11" s="62" t="str">
        <f>INDEX(LocaleTable[LocaleKR],MATCH(ItemTable[[#This Row],[Desc]],LocaleTable[StringKeys],0))</f>
        <v>배트 이외의 물건에 사용하지 마시오\nQT추출물 0.0006% 함유\nQT향 0.1%함유</v>
      </c>
      <c r="R11" s="62" t="str">
        <f>INDEX(LocaleTable[LocaleKR],MATCH(ItemTable[[#This Row],[PlusDesc]],LocaleTable[StringKeys],0))</f>
        <v>차징 타격 시 5초간\n공격력 +20%</v>
      </c>
      <c r="S11" s="62" t="e">
        <f>INDEX(LocaleTable[LocaleKR],MATCH(ItemTable[[#This Row],[MinusDesc]],LocaleTable[StringKeys],0))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702</v>
      </c>
      <c r="D12" s="44" t="s">
        <v>703</v>
      </c>
      <c r="E12" s="43" t="s">
        <v>704</v>
      </c>
      <c r="F12" s="44"/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527</v>
      </c>
      <c r="M12" s="62" t="str">
        <f>MID(ItemTable[[#This Row],[ItemIconPath]],FIND("icon",ItemTable[[#This Row],[ItemIconPath]]),999)</f>
        <v>icon/item/Passive_Item/item_11.png</v>
      </c>
      <c r="N12" s="62" t="s">
        <v>576</v>
      </c>
      <c r="O12" s="62" t="str">
        <f>SUBSTITUTE(PROPER(ItemTable[[#This Row],['#번역본]])," "," ")</f>
        <v>Red Hobbyhorse</v>
      </c>
      <c r="P12" s="62" t="str">
        <f>INDEX(LocaleTable[LocaleKR],MATCH(ItemTable[[#This Row],[Name]],LocaleTable[StringKeys],0))</f>
        <v>적토목마</v>
      </c>
      <c r="Q12" s="62" t="str">
        <f>INDEX(LocaleTable[LocaleKR],MATCH(ItemTable[[#This Row],[Desc]],LocaleTable[StringKeys],0))</f>
        <v>시크한 표정을 믿고 산책에 나갔다가는\n마라톤을 하게 될 수 있습니다.</v>
      </c>
      <c r="R12" s="62" t="str">
        <f>INDEX(LocaleTable[LocaleKR],MATCH(ItemTable[[#This Row],[PlusDesc]],LocaleTable[StringKeys],0))</f>
        <v>공격속도 +30%</v>
      </c>
      <c r="S12" s="62" t="e">
        <f>INDEX(LocaleTable[LocaleKR],MATCH(ItemTable[[#This Row],[MinusDesc]],LocaleTable[StringKeys],0))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705</v>
      </c>
      <c r="D13" s="43" t="s">
        <v>706</v>
      </c>
      <c r="E13" s="43" t="s">
        <v>707</v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528</v>
      </c>
      <c r="M13" s="62" t="str">
        <f>MID(ItemTable[[#This Row],[ItemIconPath]],FIND("icon",ItemTable[[#This Row],[ItemIconPath]]),999)</f>
        <v>icon/item/Passive_Item/item_15.png</v>
      </c>
      <c r="N13" s="62" t="s">
        <v>578</v>
      </c>
      <c r="O13" s="62" t="str">
        <f>SUBSTITUTE(PROPER(ItemTable[[#This Row],['#번역본]])," "," ")</f>
        <v>Rice_Ball</v>
      </c>
      <c r="P13" s="62" t="str">
        <f>INDEX(LocaleTable[LocaleKR],MATCH(ItemTable[[#This Row],[Name]],LocaleTable[StringKeys],0))</f>
        <v>삼각김곰</v>
      </c>
      <c r="Q13" s="62" t="str">
        <f>INDEX(LocaleTable[LocaleKR],MATCH(ItemTable[[#This Row],[Desc]],LocaleTable[StringKeys],0))</f>
        <v>대나무 향을 머금은 흰 밥이\n까만 김을 만나 완성된 환상적인 조합.</v>
      </c>
      <c r="R13" s="62" t="str">
        <f>INDEX(LocaleTable[LocaleKR],MATCH(ItemTable[[#This Row],[PlusDesc]],LocaleTable[StringKeys],0))</f>
        <v>최대 체력 +1</v>
      </c>
      <c r="S13" s="62" t="e">
        <f>INDEX(LocaleTable[LocaleKR],MATCH(ItemTable[[#This Row],[MinusDesc]],LocaleTable[StringKeys],0))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708</v>
      </c>
      <c r="D14" s="44" t="s">
        <v>709</v>
      </c>
      <c r="E14" s="44" t="s">
        <v>710</v>
      </c>
      <c r="F14" s="44"/>
      <c r="G14" s="43" t="s">
        <v>489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529</v>
      </c>
      <c r="M14" s="62" t="str">
        <f>MID(ItemTable[[#This Row],[ItemIconPath]],FIND("icon",ItemTable[[#This Row],[ItemIconPath]]),999)</f>
        <v>icon/item/Passive_Item/item_17.png</v>
      </c>
      <c r="N14" s="62" t="s">
        <v>563</v>
      </c>
      <c r="O14" s="62" t="str">
        <f>SUBSTITUTE(PROPER(ItemTable[[#This Row],['#번역본]])," "," ")</f>
        <v>Devil Bull</v>
      </c>
      <c r="P14" s="62" t="str">
        <f>INDEX(LocaleTable[LocaleKR],MATCH(ItemTable[[#This Row],[Name]],LocaleTable[StringKeys],0))</f>
        <v>데빌불</v>
      </c>
      <c r="Q14" s="62" t="str">
        <f>INDEX(LocaleTable[LocaleKR],MATCH(ItemTable[[#This Row],[Desc]],LocaleTable[StringKeys],0))</f>
        <v>데빌불, 숨겨진 악성을 펼쳐줘요.\n아직도 마계에서 불티나게 팔리고 있는 음료입니다.</v>
      </c>
      <c r="R14" s="62" t="str">
        <f>INDEX(LocaleTable[LocaleKR],MATCH(ItemTable[[#This Row],[PlusDesc]],LocaleTable[StringKeys],0))</f>
        <v>기절한 적을 공격할 때\n4초간 공격력 +30%</v>
      </c>
      <c r="S14" s="62" t="e">
        <f>INDEX(LocaleTable[LocaleKR],MATCH(ItemTable[[#This Row],[MinusDesc]],LocaleTable[StringKeys],0))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711</v>
      </c>
      <c r="D15" s="43" t="s">
        <v>712</v>
      </c>
      <c r="E15" s="43" t="s">
        <v>713</v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530</v>
      </c>
      <c r="M15" s="62" t="str">
        <f>MID(ItemTable[[#This Row],[ItemIconPath]],FIND("icon",ItemTable[[#This Row],[ItemIconPath]]),999)</f>
        <v>icon/item/Passive_Item/item_12.png</v>
      </c>
      <c r="N15" s="62" t="s">
        <v>580</v>
      </c>
      <c r="O15" s="62" t="str">
        <f>SUBSTITUTE(PROPER(ItemTable[[#This Row],['#번역본]])," "," ")</f>
        <v>The Boobytrap</v>
      </c>
      <c r="P15" s="62" t="str">
        <f>INDEX(LocaleTable[LocaleKR],MATCH(ItemTable[[#This Row],[Name]],LocaleTable[StringKeys],0))</f>
        <v>대인 지뢰</v>
      </c>
      <c r="Q15" s="62" t="str">
        <f>INDEX(LocaleTable[LocaleKR],MATCH(ItemTable[[#This Row],[Desc]],LocaleTable[StringKeys],0))</f>
        <v>고대에 멸종된 것으로 보이는 유물 입니다. 많은 시간이 지났지만 튼튼하고 고통스럽습니다.</v>
      </c>
      <c r="R15" s="62" t="str">
        <f>INDEX(LocaleTable[LocaleKR],MATCH(ItemTable[[#This Row],[PlusDesc]],LocaleTable[StringKeys],0))</f>
        <v>빈 하트 1개당 공격력 +15%</v>
      </c>
      <c r="S15" s="62" t="e">
        <f>INDEX(LocaleTable[LocaleKR],MATCH(ItemTable[[#This Row],[MinusDesc]],LocaleTable[StringKeys],0))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714</v>
      </c>
      <c r="D16" s="43" t="s">
        <v>715</v>
      </c>
      <c r="E16" s="43" t="s">
        <v>716</v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531</v>
      </c>
      <c r="M16" s="62" t="str">
        <f>MID(ItemTable[[#This Row],[ItemIconPath]],FIND("icon",ItemTable[[#This Row],[ItemIconPath]]),999)</f>
        <v>icon/item/Passive_Item/item_09.png</v>
      </c>
      <c r="N16" s="62" t="s">
        <v>582</v>
      </c>
      <c r="O16" s="62" t="str">
        <f>SUBSTITUTE(PROPER(ItemTable[[#This Row],['#번역본]])," "," ")</f>
        <v>Stone Mask</v>
      </c>
      <c r="P16" s="62" t="str">
        <f>INDEX(LocaleTable[LocaleKR],MATCH(ItemTable[[#This Row],[Name]],LocaleTable[StringKeys],0))</f>
        <v>돌가면</v>
      </c>
      <c r="Q16" s="62" t="str">
        <f>INDEX(LocaleTable[LocaleKR],MATCH(ItemTable[[#This Row],[Desc]],LocaleTable[StringKeys],0))</f>
        <v>꽤 무게가 나가는 돌가면.\n안쪽에 숨겨진 침들이 보이는데...\n위험하진 않겠죠?</v>
      </c>
      <c r="R16" s="62" t="str">
        <f>INDEX(LocaleTable[LocaleKR],MATCH(ItemTable[[#This Row],[PlusDesc]],LocaleTable[StringKeys],0))</f>
        <v>기절한 적을 공격할 때\n10%확률로 +1 회복</v>
      </c>
      <c r="S16" s="62" t="e">
        <f>INDEX(LocaleTable[LocaleKR],MATCH(ItemTable[[#This Row],[MinusDesc]],LocaleTable[StringKeys],0))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717</v>
      </c>
      <c r="D17" s="43" t="s">
        <v>718</v>
      </c>
      <c r="E17" s="43" t="s">
        <v>719</v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532</v>
      </c>
      <c r="M17" s="62" t="str">
        <f>MID(ItemTable[[#This Row],[ItemIconPath]],FIND("icon",ItemTable[[#This Row],[ItemIconPath]]),999)</f>
        <v>icon/item/Passive_Item/item_10.png</v>
      </c>
      <c r="N17" s="62" t="s">
        <v>583</v>
      </c>
      <c r="O17" s="62" t="str">
        <f>SUBSTITUTE(PROPER(ItemTable[[#This Row],['#번역본]])," "," ")</f>
        <v>A Fierce Piggy Bank</v>
      </c>
      <c r="P17" s="62" t="str">
        <f>INDEX(LocaleTable[LocaleKR],MATCH(ItemTable[[#This Row],[Name]],LocaleTable[StringKeys],0))</f>
        <v>사나운 돼지저금통</v>
      </c>
      <c r="Q17" s="62" t="str">
        <f>INDEX(LocaleTable[LocaleKR],MATCH(ItemTable[[#This Row],[Desc]],LocaleTable[StringKeys],0))</f>
        <v>자아를 가진 저금통입니다.\n숨겨진 돈을 잘 찾아내는 듯 합니다.\n잠깐, 제 지갑의 돈이 사라진 것 같습니다.</v>
      </c>
      <c r="R17" s="62" t="str">
        <f>INDEX(LocaleTable[LocaleKR],MATCH(ItemTable[[#This Row],[PlusDesc]],LocaleTable[StringKeys],0))</f>
        <v>골드획득량 +50%</v>
      </c>
      <c r="S17" s="62" t="e">
        <f>INDEX(LocaleTable[LocaleKR],MATCH(ItemTable[[#This Row],[MinusDesc]],LocaleTable[StringKeys],0))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720</v>
      </c>
      <c r="D18" s="43" t="s">
        <v>721</v>
      </c>
      <c r="E18" s="43" t="s">
        <v>722</v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533</v>
      </c>
      <c r="M18" s="62" t="str">
        <f>MID(ItemTable[[#This Row],[ItemIconPath]],FIND("icon",ItemTable[[#This Row],[ItemIconPath]]),999)</f>
        <v>icon/item/Passive_Item/item_16.png</v>
      </c>
      <c r="N18" s="62" t="s">
        <v>584</v>
      </c>
      <c r="O18" s="62" t="str">
        <f>SUBSTITUTE(PROPER(ItemTable[[#This Row],['#번역본]])," "," ")</f>
        <v>Something In The Holy Grail</v>
      </c>
      <c r="P18" s="62" t="str">
        <f>INDEX(LocaleTable[LocaleKR],MATCH(ItemTable[[#This Row],[Name]],LocaleTable[StringKeys],0))</f>
        <v>성배 속 무언가</v>
      </c>
      <c r="Q18" s="62" t="str">
        <f>INDEX(LocaleTable[LocaleKR],MATCH(ItemTable[[#This Row],[Desc]],LocaleTable[StringKeys],0))</f>
        <v>종교적인 용도로 보이는 컵입니다.\n잠깐, 방금 조금 움직인 것 같은데요?</v>
      </c>
      <c r="R18" s="62" t="str">
        <f>INDEX(LocaleTable[LocaleKR],MATCH(ItemTable[[#This Row],[PlusDesc]],LocaleTable[StringKeys],0))</f>
        <v>공 충돌횟수 +3</v>
      </c>
      <c r="S18" s="62" t="e">
        <f>INDEX(LocaleTable[LocaleKR],MATCH(ItemTable[[#This Row],[MinusDesc]],LocaleTable[StringKeys],0))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723</v>
      </c>
      <c r="D19" s="43" t="s">
        <v>724</v>
      </c>
      <c r="E19" s="43" t="s">
        <v>725</v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534</v>
      </c>
      <c r="M19" s="62" t="str">
        <f>MID(ItemTable[[#This Row],[ItemIconPath]],FIND("icon",ItemTable[[#This Row],[ItemIconPath]]),999)</f>
        <v>icon/item/Passive_Item/item_03.png</v>
      </c>
      <c r="N19" s="62" t="s">
        <v>564</v>
      </c>
      <c r="O19" s="62" t="str">
        <f>SUBSTITUTE(PROPER(ItemTable[[#This Row],['#번역본]])," "," ")</f>
        <v>Strange Candy</v>
      </c>
      <c r="P19" s="62" t="str">
        <f>INDEX(LocaleTable[LocaleKR],MATCH(ItemTable[[#This Row],[Name]],LocaleTable[StringKeys],0))</f>
        <v>이상한 사탕</v>
      </c>
      <c r="Q19" s="62" t="str">
        <f>INDEX(LocaleTable[LocaleKR],MATCH(ItemTable[[#This Row],[Desc]],LocaleTable[StringKeys],0))</f>
        <v>이벤트성으로 100만봉지\n중 한 개만 들어간 ■̛̲͙̩͎͖̲̐̐̂͐ͅ■͓̟̦̹͚̇̓́͛͠ͅ맛 사탕입니다.</v>
      </c>
      <c r="R19" s="62" t="str">
        <f>INDEX(LocaleTable[LocaleKR],MATCH(ItemTable[[#This Row],[PlusDesc]],LocaleTable[StringKeys],0))</f>
        <v>최대 체력 +2</v>
      </c>
      <c r="S19" s="62" t="e">
        <f>INDEX(LocaleTable[LocaleKR],MATCH(ItemTable[[#This Row],[MinusDesc]],LocaleTable[StringKeys],0))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726</v>
      </c>
      <c r="D20" s="43" t="s">
        <v>727</v>
      </c>
      <c r="E20" s="43" t="s">
        <v>728</v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535</v>
      </c>
      <c r="M20" s="62" t="str">
        <f>MID(ItemTable[[#This Row],[ItemIconPath]],FIND("icon",ItemTable[[#This Row],[ItemIconPath]]),999)</f>
        <v>icon/item/Passive_Item/item_18.png</v>
      </c>
      <c r="N20" s="62" t="s">
        <v>585</v>
      </c>
      <c r="O20" s="62" t="str">
        <f>SUBSTITUTE(PROPER(ItemTable[[#This Row],['#번역본]])," "," ")</f>
        <v>Kerberos Pitcher</v>
      </c>
      <c r="P20" s="62" t="str">
        <f>INDEX(LocaleTable[LocaleKR],MATCH(ItemTable[[#This Row],[Name]],LocaleTable[StringKeys],0))</f>
        <v>투수 케르베로스</v>
      </c>
      <c r="Q20" s="62" t="str">
        <f>INDEX(LocaleTable[LocaleKR],MATCH(ItemTable[[#This Row],[Desc]],LocaleTable[StringKeys],0))</f>
        <v>공을 좋아하는 개들입니다.\n자세히보니 한마리였네요…</v>
      </c>
      <c r="R20" s="62" t="str">
        <f>INDEX(LocaleTable[LocaleKR],MATCH(ItemTable[[#This Row],[PlusDesc]],LocaleTable[StringKeys],0))</f>
        <v>공격 시 33%확률로 공 3개 발사</v>
      </c>
      <c r="S20" s="62" t="e">
        <f>INDEX(LocaleTable[LocaleKR],MATCH(ItemTable[[#This Row],[MinusDesc]],LocaleTable[StringKeys],0))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729</v>
      </c>
      <c r="D21" s="43" t="s">
        <v>730</v>
      </c>
      <c r="E21" s="43" t="s">
        <v>731</v>
      </c>
      <c r="F21" s="43" t="s">
        <v>732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536</v>
      </c>
      <c r="M21" s="62" t="str">
        <f>MID(ItemTable[[#This Row],[ItemIconPath]],FIND("icon",ItemTable[[#This Row],[ItemIconPath]]),999)</f>
        <v>icon/item/Passive_Item/item_06.png</v>
      </c>
      <c r="N21" s="62" t="s">
        <v>565</v>
      </c>
      <c r="O21" s="62" t="str">
        <f>SUBSTITUTE(PROPER(ItemTable[[#This Row],['#번역본]])," "," ")</f>
        <v>A Bucket Of Cocoa</v>
      </c>
      <c r="P21" s="62" t="str">
        <f>INDEX(LocaleTable[LocaleKR],MATCH(ItemTable[[#This Row],[Name]],LocaleTable[StringKeys],0))</f>
        <v>코코아 한통</v>
      </c>
      <c r="Q21" s="62" t="str">
        <f>INDEX(LocaleTable[LocaleKR],MATCH(ItemTable[[#This Row],[Desc]],LocaleTable[StringKeys],0))</f>
        <v>온 몸이 녹는 듯 한 강력한 단맛입니다.\n끈적해지지 않게 조심하세요!</v>
      </c>
      <c r="R21" s="62" t="str">
        <f>INDEX(LocaleTable[LocaleKR],MATCH(ItemTable[[#This Row],[PlusDesc]],LocaleTable[StringKeys],0))</f>
        <v>일반 공격이\n차징 공격이 됩니다.</v>
      </c>
      <c r="S21" s="62" t="str">
        <f>INDEX(LocaleTable[LocaleKR],MATCH(ItemTable[[#This Row],[MinusDesc]],LocaleTable[StringKeys],0))</f>
        <v>공격속도 -20%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733</v>
      </c>
      <c r="D22" s="43" t="s">
        <v>734</v>
      </c>
      <c r="E22" s="43" t="s">
        <v>735</v>
      </c>
      <c r="F22" s="43" t="s">
        <v>736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537</v>
      </c>
      <c r="M22" s="62" t="str">
        <f>MID(ItemTable[[#This Row],[ItemIconPath]],FIND("icon",ItemTable[[#This Row],[ItemIconPath]]),999)</f>
        <v>icon/item/Passive_Item/item_08.png</v>
      </c>
      <c r="N22" s="62" t="s">
        <v>566</v>
      </c>
      <c r="O22" s="62" t="str">
        <f>SUBSTITUTE(PROPER(ItemTable[[#This Row],['#번역본]])," "," ")</f>
        <v>Sad Canrio</v>
      </c>
      <c r="P22" s="62" t="str">
        <f>INDEX(LocaleTable[LocaleKR],MATCH(ItemTable[[#This Row],[Name]],LocaleTable[StringKeys],0))</f>
        <v>슬픈 캔리오</v>
      </c>
      <c r="Q22" s="62" t="str">
        <f>INDEX(LocaleTable[LocaleKR],MATCH(ItemTable[[#This Row],[Desc]],LocaleTable[StringKeys],0))</f>
        <v>어째선지 계속해서 울고 있는 양초입니다.\n건드리고 싶지 않네요.</v>
      </c>
      <c r="R22" s="62" t="str">
        <f>INDEX(LocaleTable[LocaleKR],MATCH(ItemTable[[#This Row],[PlusDesc]],LocaleTable[StringKeys],0))</f>
        <v>타격 시마다 4초간\n공격속도 +15%\n(효과는 중첩될 수 있습니다.)</v>
      </c>
      <c r="S22" s="62" t="str">
        <f>INDEX(LocaleTable[LocaleKR],MATCH(ItemTable[[#This Row],[MinusDesc]],LocaleTable[StringKeys],0))</f>
        <v>공격속도 -30%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737</v>
      </c>
      <c r="D23" s="43" t="s">
        <v>738</v>
      </c>
      <c r="E23" s="43" t="s">
        <v>739</v>
      </c>
      <c r="F23" s="43" t="s">
        <v>740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538</v>
      </c>
      <c r="M23" s="62" t="str">
        <f>MID(ItemTable[[#This Row],[ItemIconPath]],FIND("icon",ItemTable[[#This Row],[ItemIconPath]]),999)</f>
        <v>icon/item/Passive_Item/item_14.png</v>
      </c>
      <c r="N23" s="62" t="s">
        <v>586</v>
      </c>
      <c r="O23" s="62" t="str">
        <f>SUBSTITUTE(PROPER(ItemTable[[#This Row],['#번역본]])," "," ")</f>
        <v>Grilled Green Frog</v>
      </c>
      <c r="P23" s="62" t="str">
        <f>INDEX(LocaleTable[LocaleKR],MATCH(ItemTable[[#This Row],[Name]],LocaleTable[StringKeys],0))</f>
        <v>청개굴 버섯구이</v>
      </c>
      <c r="Q23" s="62" t="str">
        <f>INDEX(LocaleTable[LocaleKR],MATCH(ItemTable[[#This Row],[Desc]],LocaleTable[StringKeys],0))</f>
        <v>바싹 구워도 여전히 미끌거립니다.\n시각적 거부감을 이겨내고 한입\n베어물면 무엇이든 반대로 하고 싶어집니다.</v>
      </c>
      <c r="R23" s="62" t="str">
        <f>INDEX(LocaleTable[LocaleKR],MATCH(ItemTable[[#This Row],[PlusDesc]],LocaleTable[StringKeys],0))</f>
        <v>공격력 +100%</v>
      </c>
      <c r="S23" s="62" t="str">
        <f>INDEX(LocaleTable[LocaleKR],MATCH(ItemTable[[#This Row],[MinusDesc]],LocaleTable[StringKeys],0))</f>
        <v>공격 방향이 반대가 됩니다.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741</v>
      </c>
      <c r="D24" s="43" t="s">
        <v>742</v>
      </c>
      <c r="E24" s="43" t="s">
        <v>743</v>
      </c>
      <c r="F24" s="43" t="s">
        <v>744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539</v>
      </c>
      <c r="M24" s="62" t="str">
        <f>MID(ItemTable[[#This Row],[ItemIconPath]],FIND("icon",ItemTable[[#This Row],[ItemIconPath]]),999)</f>
        <v>icon/item/Passive_Item/item_01.png</v>
      </c>
      <c r="N24" s="62" t="s">
        <v>567</v>
      </c>
      <c r="O24" s="62" t="str">
        <f>SUBSTITUTE(PROPER(ItemTable[[#This Row],['#번역본]])," "," ")</f>
        <v>Someone'S Diary</v>
      </c>
      <c r="P24" s="62" t="str">
        <f>INDEX(LocaleTable[LocaleKR],MATCH(ItemTable[[#This Row],[Name]],LocaleTable[StringKeys],0))</f>
        <v>누군가의 일기장</v>
      </c>
      <c r="Q24" s="62" t="str">
        <f>INDEX(LocaleTable[LocaleKR],MATCH(ItemTable[[#This Row],[Desc]],LocaleTable[StringKeys],0))</f>
        <v>낡은 추억들이 느껴집니다.\n3년 전 이 사람은...\n잠깐, 우리가 이걸봐도 괜찮은걸까요?</v>
      </c>
      <c r="R24" s="62" t="str">
        <f>INDEX(LocaleTable[LocaleKR],MATCH(ItemTable[[#This Row],[PlusDesc]],LocaleTable[StringKeys],0))</f>
        <v>공격력 +60%</v>
      </c>
      <c r="S24" s="62" t="str">
        <f>INDEX(LocaleTable[LocaleKR],MATCH(ItemTable[[#This Row],[MinusDesc]],LocaleTable[StringKeys],0))</f>
        <v>체력 -2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745</v>
      </c>
      <c r="D25" s="43" t="s">
        <v>746</v>
      </c>
      <c r="E25" s="43" t="s">
        <v>747</v>
      </c>
      <c r="F25" s="43" t="s">
        <v>748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540</v>
      </c>
      <c r="M25" s="62" t="str">
        <f>MID(ItemTable[[#This Row],[ItemIconPath]],FIND("icon",ItemTable[[#This Row],[ItemIconPath]]),999)</f>
        <v>icon/item/Passive_Item/item_13.png</v>
      </c>
      <c r="N25" s="62" t="s">
        <v>587</v>
      </c>
      <c r="O25" s="62" t="str">
        <f>SUBSTITUTE(PROPER(ItemTable[[#This Row],['#번역본]])," "," ")</f>
        <v>Praise The Sun</v>
      </c>
      <c r="P25" s="62" t="str">
        <f>INDEX(LocaleTable[LocaleKR],MATCH(ItemTable[[#This Row],[Name]],LocaleTable[StringKeys],0))</f>
        <v>행성 만세</v>
      </c>
      <c r="Q25" s="62" t="str">
        <f>INDEX(LocaleTable[LocaleKR],MATCH(ItemTable[[#This Row],[Desc]],LocaleTable[StringKeys],0))</f>
        <v>1. 태양의 방향으로 기립.\n2. 팔을 벌려 Y자로 선다.\n3. 태양을 바라보며 외친다.</v>
      </c>
      <c r="R25" s="62" t="str">
        <f>INDEX(LocaleTable[LocaleKR],MATCH(ItemTable[[#This Row],[PlusDesc]],LocaleTable[StringKeys],0))</f>
        <v>피격 시 공 8개 발사</v>
      </c>
      <c r="S25" s="62" t="str">
        <f>INDEX(LocaleTable[LocaleKR],MATCH(ItemTable[[#This Row],[MinusDesc]],LocaleTable[StringKeys],0))</f>
        <v>이동속도 -5%</v>
      </c>
    </row>
    <row r="26" spans="2:19">
      <c r="B26" s="43">
        <v>4005</v>
      </c>
      <c r="C26" s="43" t="s">
        <v>749</v>
      </c>
      <c r="D26" s="43" t="s">
        <v>750</v>
      </c>
      <c r="E26" s="43" t="s">
        <v>751</v>
      </c>
      <c r="F26" s="43" t="s">
        <v>752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545</v>
      </c>
      <c r="M26" s="62" t="str">
        <f>MID(ItemTable[[#This Row],[ItemIconPath]],FIND("icon",ItemTable[[#This Row],[ItemIconPath]]),999)</f>
        <v>icon/item/Passive_Item/item_20.png</v>
      </c>
      <c r="N26" s="62" t="s">
        <v>588</v>
      </c>
      <c r="O26" s="62" t="str">
        <f>SUBSTITUTE(PROPER(ItemTable[[#This Row],['#번역본]])," "," ")</f>
        <v>Dodge Cat</v>
      </c>
      <c r="P26" s="62" t="str">
        <f>INDEX(LocaleTable[LocaleKR],MATCH(ItemTable[[#This Row],[Name]],LocaleTable[StringKeys],0))</f>
        <v>회피 캣</v>
      </c>
      <c r="Q26" s="62" t="str">
        <f>INDEX(LocaleTable[LocaleKR],MATCH(ItemTable[[#This Row],[Desc]],LocaleTable[StringKeys],0))</f>
        <v>하지만 이렇게 간단하게 피했습니다.</v>
      </c>
      <c r="R26" s="62" t="str">
        <f>INDEX(LocaleTable[LocaleKR],MATCH(ItemTable[[#This Row],[PlusDesc]],LocaleTable[StringKeys],0))</f>
        <v>회피 시 공 4개 발사</v>
      </c>
      <c r="S26" s="62" t="str">
        <f>INDEX(LocaleTable[LocaleKR],MATCH(ItemTable[[#This Row],[MinusDesc]],LocaleTable[StringKeys],0))</f>
        <v>회피쿨타임 +50%</v>
      </c>
    </row>
    <row r="27" spans="2:19">
      <c r="B27" s="43">
        <v>4006</v>
      </c>
      <c r="C27" s="43" t="s">
        <v>753</v>
      </c>
      <c r="D27" s="43" t="s">
        <v>754</v>
      </c>
      <c r="E27" s="43" t="s">
        <v>755</v>
      </c>
      <c r="F27" s="43" t="s">
        <v>756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546</v>
      </c>
      <c r="M27" s="62" t="str">
        <f>MID(ItemTable[[#This Row],[ItemIconPath]],FIND("icon",ItemTable[[#This Row],[ItemIconPath]]),999)</f>
        <v>icon/item/Passive_Item/item_19.png</v>
      </c>
      <c r="N27" s="62" t="s">
        <v>568</v>
      </c>
      <c r="O27" s="62" t="str">
        <f>SUBSTITUTE(PROPER(ItemTable[[#This Row],['#번역본]])," "," ")</f>
        <v>An Adult'S Card</v>
      </c>
      <c r="P27" s="62" t="str">
        <f>INDEX(LocaleTable[LocaleKR],MATCH(ItemTable[[#This Row],[Name]],LocaleTable[StringKeys],0))</f>
        <v>어른의 카드</v>
      </c>
      <c r="Q27" s="62" t="str">
        <f>INDEX(LocaleTable[LocaleKR],MATCH(ItemTable[[#This Row],[Desc]],LocaleTable[StringKeys],0))</f>
        <v>그 리스크는 어렴풋하게는 이해하고 있습니다.\n사용할수록, 깎여나갑니다. 당신의 삶이, 시간이.</v>
      </c>
      <c r="R27" s="62" t="str">
        <f>INDEX(LocaleTable[LocaleKR],MATCH(ItemTable[[#This Row],[PlusDesc]],LocaleTable[StringKeys],0))</f>
        <v>공격범위 +50%</v>
      </c>
      <c r="S27" s="62" t="str">
        <f>INDEX(LocaleTable[LocaleKR],MATCH(ItemTable[[#This Row],[MinusDesc]],LocaleTable[StringKeys],0))</f>
        <v>공격속도 -20%, 공격 시 골드 -1</v>
      </c>
    </row>
    <row r="28" spans="2:19">
      <c r="B28" s="43">
        <v>10000</v>
      </c>
      <c r="C28" s="43" t="s">
        <v>757</v>
      </c>
      <c r="D28" s="43" t="s">
        <v>758</v>
      </c>
      <c r="E28" s="43" t="s">
        <v>759</v>
      </c>
      <c r="G28" s="43" t="s">
        <v>393</v>
      </c>
      <c r="H28" s="43">
        <v>1</v>
      </c>
      <c r="I28" s="43">
        <v>50</v>
      </c>
      <c r="J28" s="43">
        <v>100</v>
      </c>
      <c r="K28" s="43">
        <v>10000</v>
      </c>
      <c r="L28" s="43" t="s">
        <v>541</v>
      </c>
      <c r="M28" s="62" t="str">
        <f>MID(ItemTable[[#This Row],[ItemIconPath]],FIND("icon",ItemTable[[#This Row],[ItemIconPath]]),999)</f>
        <v>icon/item/Active_item/A_item_02.png</v>
      </c>
      <c r="N28" s="62" t="s">
        <v>569</v>
      </c>
      <c r="O28" s="62" t="str">
        <f>SUBSTITUTE(PROPER(ItemTable[[#This Row],['#번역본]])," "," ")</f>
        <v>Infinity Doughnut</v>
      </c>
      <c r="P28" s="62" t="str">
        <f>INDEX(LocaleTable[LocaleKR],MATCH(ItemTable[[#This Row],[Name]],LocaleTable[StringKeys],0))</f>
        <v>인피니티 도넛</v>
      </c>
      <c r="Q28" s="62" t="str">
        <f>INDEX(LocaleTable[LocaleKR],MATCH(ItemTable[[#This Row],[Desc]],LocaleTable[StringKeys],0))</f>
        <v>도넛에 구멍은 몇 개일까요? 적어도\n이 도넛은 무한한 구멍을 가졌습니다.</v>
      </c>
      <c r="R28" s="62" t="str">
        <f>INDEX(LocaleTable[LocaleKR],MATCH(ItemTable[[#This Row],[PlusDesc]],LocaleTable[StringKeys],0))</f>
        <v>기절한 적에게 순간이동하며 공격합니다.</v>
      </c>
      <c r="S28" s="62" t="e">
        <f>INDEX(LocaleTable[LocaleKR],MATCH(ItemTable[[#This Row],[MinusDesc]],LocaleTable[StringKeys],0))</f>
        <v>#N/A</v>
      </c>
    </row>
    <row r="29" spans="2:19">
      <c r="B29" s="43">
        <v>10001</v>
      </c>
      <c r="C29" s="43" t="s">
        <v>760</v>
      </c>
      <c r="D29" s="43" t="s">
        <v>761</v>
      </c>
      <c r="E29" s="43" t="s">
        <v>762</v>
      </c>
      <c r="G29" s="43" t="s">
        <v>393</v>
      </c>
      <c r="H29" s="43">
        <v>1</v>
      </c>
      <c r="I29" s="43">
        <v>50</v>
      </c>
      <c r="J29" s="43">
        <v>100</v>
      </c>
      <c r="K29" s="43">
        <v>10001</v>
      </c>
      <c r="L29" s="43" t="s">
        <v>542</v>
      </c>
      <c r="M29" s="62" t="str">
        <f>MID(ItemTable[[#This Row],[ItemIconPath]],FIND("icon",ItemTable[[#This Row],[ItemIconPath]]),999)</f>
        <v>icon/item/Active_item/A_item_03.png</v>
      </c>
      <c r="N29" s="62" t="s">
        <v>589</v>
      </c>
      <c r="O29" s="62" t="str">
        <f>SUBSTITUTE(PROPER(ItemTable[[#This Row],['#번역본]])," "," ")</f>
        <v>Ultra-Small Black Hole</v>
      </c>
      <c r="P29" s="62" t="str">
        <f>INDEX(LocaleTable[LocaleKR],MATCH(ItemTable[[#This Row],[Name]],LocaleTable[StringKeys],0))</f>
        <v>초소형 블랙홀</v>
      </c>
      <c r="Q29" s="62" t="str">
        <f>INDEX(LocaleTable[LocaleKR],MATCH(ItemTable[[#This Row],[Desc]],LocaleTable[StringKeys],0))</f>
        <v>공공장소에서 사용으로 인한\n피해는 책임지지 않습니다.</v>
      </c>
      <c r="R29" s="62" t="str">
        <f>INDEX(LocaleTable[LocaleKR],MATCH(ItemTable[[#This Row],[PlusDesc]],LocaleTable[StringKeys],0))</f>
        <v>주변 투사체를 흡수하여 발사합니다.\n(쿨타임 10초)</v>
      </c>
      <c r="S29" s="62" t="e">
        <f>INDEX(LocaleTable[LocaleKR],MATCH(ItemTable[[#This Row],[MinusDesc]],LocaleTable[StringKeys],0))</f>
        <v>#N/A</v>
      </c>
    </row>
    <row r="30" spans="2:19">
      <c r="B30" s="43">
        <v>10002</v>
      </c>
      <c r="C30" s="43" t="s">
        <v>763</v>
      </c>
      <c r="D30" s="43" t="s">
        <v>764</v>
      </c>
      <c r="E30" s="43" t="s">
        <v>765</v>
      </c>
      <c r="G30" s="43" t="s">
        <v>393</v>
      </c>
      <c r="H30" s="43">
        <v>1</v>
      </c>
      <c r="I30" s="43">
        <v>50</v>
      </c>
      <c r="J30" s="43">
        <v>100</v>
      </c>
      <c r="K30" s="43">
        <v>10002</v>
      </c>
      <c r="L30" s="43" t="s">
        <v>543</v>
      </c>
      <c r="M30" s="62" t="str">
        <f>MID(ItemTable[[#This Row],[ItemIconPath]],FIND("icon",ItemTable[[#This Row],[ItemIconPath]]),999)</f>
        <v>icon/item/Active_item/A_item_06.png</v>
      </c>
      <c r="N30" s="62" t="s">
        <v>570</v>
      </c>
      <c r="O30" s="62" t="str">
        <f>SUBSTITUTE(PROPER(ItemTable[[#This Row],['#번역본]])," "," ")</f>
        <v>Cyberware</v>
      </c>
      <c r="P30" s="62" t="str">
        <f>INDEX(LocaleTable[LocaleKR],MATCH(ItemTable[[#This Row],[Name]],LocaleTable[StringKeys],0))</f>
        <v>사이버웨어</v>
      </c>
      <c r="Q30" s="62" t="str">
        <f>INDEX(LocaleTable[LocaleKR],MATCH(ItemTable[[#This Row],[Desc]],LocaleTable[StringKeys],0))</f>
        <v>기초적인 임플란트입니다.\/마구 사용하다간 사이버 미치광이가 될 수 있습니다.</v>
      </c>
      <c r="R30" s="62" t="str">
        <f>INDEX(LocaleTable[LocaleKR],MATCH(ItemTable[[#This Row],[PlusDesc]],LocaleTable[StringKeys],0))</f>
        <v>6초간 주변 시간이 느려집니다.\n(쿨타임 12초)</v>
      </c>
      <c r="S30" s="62" t="e">
        <f>INDEX(LocaleTable[LocaleKR],MATCH(ItemTable[[#This Row],[MinusDesc]],LocaleTable[StringKeys],0))</f>
        <v>#N/A</v>
      </c>
    </row>
    <row r="31" spans="2:19">
      <c r="B31" s="43">
        <v>10003</v>
      </c>
      <c r="C31" s="43" t="s">
        <v>766</v>
      </c>
      <c r="D31" s="43" t="s">
        <v>767</v>
      </c>
      <c r="E31" s="43" t="s">
        <v>768</v>
      </c>
      <c r="G31" s="43" t="s">
        <v>393</v>
      </c>
      <c r="H31" s="43">
        <v>1</v>
      </c>
      <c r="I31" s="43">
        <v>50</v>
      </c>
      <c r="J31" s="43">
        <v>100</v>
      </c>
      <c r="K31" s="43">
        <v>10003</v>
      </c>
      <c r="L31" s="43" t="s">
        <v>544</v>
      </c>
      <c r="M31" s="62" t="str">
        <f>MID(ItemTable[[#This Row],[ItemIconPath]],FIND("icon",ItemTable[[#This Row],[ItemIconPath]]),999)</f>
        <v>icon/item/Active_item/A_item_01.png</v>
      </c>
      <c r="N31" s="62" t="s">
        <v>571</v>
      </c>
      <c r="O31" s="62" t="str">
        <f>SUBSTITUTE(PROPER(ItemTable[[#This Row],['#번역본]])," "," ")</f>
        <v>A Missile Backpack</v>
      </c>
      <c r="P31" s="62" t="str">
        <f>INDEX(LocaleTable[LocaleKR],MATCH(ItemTable[[#This Row],[Name]],LocaleTable[StringKeys],0))</f>
        <v>미사일 백팩</v>
      </c>
      <c r="Q31" s="62" t="str">
        <f>INDEX(LocaleTable[LocaleKR],MATCH(ItemTable[[#This Row],[Desc]],LocaleTable[StringKeys],0))</f>
        <v>앞만 보고 살아가는 당신에게 추천합니다.\n데일리룩으로 안성맞춤.</v>
      </c>
      <c r="R31" s="62" t="str">
        <f>INDEX(LocaleTable[LocaleKR],MATCH(ItemTable[[#This Row],[PlusDesc]],LocaleTable[StringKeys],0))</f>
        <v>커서 방향으로 돌진합니다.\n(쿨타임 8초)</v>
      </c>
      <c r="S31" s="62" t="e">
        <f>INDEX(LocaleTable[LocaleKR],MATCH(ItemTable[[#This Row],[MinusDesc]],LocaleTable[StringKeys],0))</f>
        <v>#N/A</v>
      </c>
    </row>
    <row r="32" spans="2:19">
      <c r="B32" s="43" t="s">
        <v>515</v>
      </c>
      <c r="C32" s="43" t="s">
        <v>769</v>
      </c>
      <c r="D32" s="43" t="s">
        <v>770</v>
      </c>
      <c r="E32" s="43" t="s">
        <v>771</v>
      </c>
      <c r="G32" s="43" t="s">
        <v>393</v>
      </c>
      <c r="H32" s="43">
        <v>1</v>
      </c>
      <c r="I32" s="43">
        <v>50</v>
      </c>
      <c r="J32" s="43">
        <v>100</v>
      </c>
      <c r="K32" s="43">
        <v>10004</v>
      </c>
      <c r="L32" s="43" t="s">
        <v>544</v>
      </c>
      <c r="M32" s="62" t="str">
        <f>MID(ItemTable[[#This Row],[ItemIconPath]],FIND("icon",ItemTable[[#This Row],[ItemIconPath]]),999)</f>
        <v>icon/item/Active_item/A_item_01.png</v>
      </c>
      <c r="N32" s="62" t="s">
        <v>572</v>
      </c>
      <c r="O32" s="62" t="str">
        <f>SUBSTITUTE(PROPER(ItemTable[[#This Row],['#번역본]])," "," ")</f>
        <v>Excalibat</v>
      </c>
      <c r="P32" s="62" t="str">
        <f>INDEX(LocaleTable[LocaleKR],MATCH(ItemTable[[#This Row],[Name]],LocaleTable[StringKeys],0))</f>
        <v>엑스칼리배트</v>
      </c>
      <c r="Q32" s="62" t="str">
        <f>INDEX(LocaleTable[LocaleKR],MATCH(ItemTable[[#This Row],[Desc]],LocaleTable[StringKeys],0))</f>
        <v>약속된 홈런의 배트!</v>
      </c>
      <c r="R32" s="62" t="str">
        <f>INDEX(LocaleTable[LocaleKR],MATCH(ItemTable[[#This Row],[PlusDesc]],LocaleTable[StringKeys],0))</f>
        <v>조준 방향으로 강력한 빔을 발사합니다.</v>
      </c>
      <c r="S32" s="62" t="e">
        <f>INDEX(LocaleTable[LocaleKR],MATCH(ItemTable[[#This Row],[MinusDesc]],LocaleTable[StringKeys],0))</f>
        <v>#N/A</v>
      </c>
    </row>
    <row r="33" spans="2:19">
      <c r="B33" s="43">
        <v>10005</v>
      </c>
      <c r="C33" s="43" t="s">
        <v>772</v>
      </c>
      <c r="D33" s="43" t="s">
        <v>773</v>
      </c>
      <c r="E33" s="43" t="s">
        <v>774</v>
      </c>
      <c r="G33" s="43" t="s">
        <v>393</v>
      </c>
      <c r="H33" s="43">
        <v>1</v>
      </c>
      <c r="I33" s="43">
        <v>50</v>
      </c>
      <c r="J33" s="43">
        <v>100</v>
      </c>
      <c r="K33" s="43">
        <v>10005</v>
      </c>
      <c r="L33" s="43" t="s">
        <v>547</v>
      </c>
      <c r="M33" s="62" t="str">
        <f>MID(ItemTable[[#This Row],[ItemIconPath]],FIND("icon",ItemTable[[#This Row],[ItemIconPath]]),999)</f>
        <v>icon/item/Active_item/A_item_07.png</v>
      </c>
      <c r="N33" s="62" t="s">
        <v>591</v>
      </c>
      <c r="O33" s="62" t="str">
        <f>SUBSTITUTE(PROPER(ItemTable[[#This Row],['#번역본]])," "," ")</f>
        <v>Ruyi Jingu Bat</v>
      </c>
      <c r="P33" s="62" t="str">
        <f>INDEX(LocaleTable[LocaleKR],MATCH(ItemTable[[#This Row],[Name]],LocaleTable[StringKeys],0))</f>
        <v>여의배트</v>
      </c>
      <c r="Q33" s="62" t="str">
        <f>INDEX(LocaleTable[LocaleKR],MATCH(ItemTable[[#This Row],[Desc]],LocaleTable[StringKeys],0))</f>
        <v>배트를 마음대로 늘릴 수 있습니다!</v>
      </c>
      <c r="R33" s="62" t="str">
        <f>INDEX(LocaleTable[LocaleKR],MATCH(ItemTable[[#This Row],[PlusDesc]],LocaleTable[StringKeys],0))</f>
        <v>10초간 공격범위 +100%\n(쿨타임 18초)</v>
      </c>
      <c r="S33" s="62" t="e">
        <f>INDEX(LocaleTable[LocaleKR],MATCH(ItemTable[[#This Row],[MinusDesc]],LocaleTable[StringKeys],0))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984375" defaultRowHeight="17.399999999999999"/>
  <cols>
    <col min="1" max="1" width="8.8984375" style="46"/>
    <col min="2" max="2" width="20" bestFit="1" customWidth="1"/>
    <col min="3" max="3" width="10.09765625" bestFit="1" customWidth="1"/>
    <col min="4" max="4" width="8.59765625" bestFit="1" customWidth="1"/>
    <col min="5" max="5" width="21.09765625" bestFit="1" customWidth="1"/>
    <col min="6" max="6" width="21.09765625" customWidth="1"/>
    <col min="7" max="7" width="22.5" customWidth="1"/>
    <col min="8" max="8" width="36" customWidth="1"/>
    <col min="9" max="9" width="21.59765625" customWidth="1"/>
    <col min="10" max="10" width="22.8984375" bestFit="1" customWidth="1"/>
    <col min="11" max="11" width="17.8984375" customWidth="1"/>
  </cols>
  <sheetData>
    <row r="1" spans="2:11">
      <c r="D1" t="s">
        <v>31</v>
      </c>
      <c r="E1" s="17" t="s">
        <v>352</v>
      </c>
      <c r="F1" s="17" t="s">
        <v>352</v>
      </c>
      <c r="G1" s="17" t="s">
        <v>354</v>
      </c>
      <c r="H1" t="s">
        <v>77</v>
      </c>
      <c r="I1" s="17" t="s">
        <v>368</v>
      </c>
      <c r="J1" t="s">
        <v>77</v>
      </c>
      <c r="K1" s="17" t="s">
        <v>354</v>
      </c>
    </row>
    <row r="2" spans="2:11">
      <c r="B2" s="5" t="s">
        <v>78</v>
      </c>
      <c r="C2" s="5" t="s">
        <v>80</v>
      </c>
      <c r="D2" t="s">
        <v>46</v>
      </c>
      <c r="E2" s="17" t="s">
        <v>377</v>
      </c>
      <c r="F2" s="17" t="s">
        <v>378</v>
      </c>
      <c r="G2" s="17" t="s">
        <v>355</v>
      </c>
      <c r="H2" s="17" t="s">
        <v>356</v>
      </c>
      <c r="I2" s="31" t="s">
        <v>358</v>
      </c>
      <c r="J2" s="17" t="s">
        <v>357</v>
      </c>
      <c r="K2" s="31" t="s">
        <v>373</v>
      </c>
    </row>
    <row r="3" spans="2:11">
      <c r="B3" s="20" t="str">
        <f>INDEX(ItemTable[Name],MATCH(ItemEffectTable[[#This Row],[Index]],ItemTable[ItemEffectDataId],0))</f>
        <v>Item_Name_MetalUnicornKeyring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375</v>
      </c>
      <c r="I3" s="17"/>
      <c r="J3" s="17" t="s">
        <v>374</v>
      </c>
    </row>
    <row r="4" spans="2:11">
      <c r="B4" s="20" t="str">
        <f>INDEX(ItemTable[Name],MATCH(ItemEffectTable[[#This Row],[Index]],ItemTable[ItemEffectDataId],0))</f>
        <v>Item_Name_AChampionHat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375</v>
      </c>
      <c r="J4" s="17" t="s">
        <v>374</v>
      </c>
    </row>
    <row r="5" spans="2:11">
      <c r="B5" s="20" t="str">
        <f>INDEX(ItemTable[Name],MATCH(ItemEffectTable[[#This Row],[Index]],ItemTable[ItemEffectDataId],0))</f>
        <v>Item_Name_Cool-Dog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375</v>
      </c>
      <c r="I5" s="17"/>
      <c r="J5" s="17" t="s">
        <v>374</v>
      </c>
    </row>
    <row r="6" spans="2:11">
      <c r="B6" s="20" t="str">
        <f>INDEX(ItemTable[Name],MATCH(ItemEffectTable[[#This Row],[Index]],ItemTable[ItemEffectDataId],0))</f>
        <v>Item_Name_QtPowder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423</v>
      </c>
      <c r="J6" s="17" t="s">
        <v>374</v>
      </c>
    </row>
    <row r="7" spans="2:11">
      <c r="B7" s="20" t="str">
        <f>INDEX(ItemTable[Name],MATCH(ItemEffectTable[[#This Row],[Index]],ItemTable[ItemEffectDataId],0))</f>
        <v>Item_Name_RedHobbyhorse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375</v>
      </c>
      <c r="J7" s="17" t="s">
        <v>374</v>
      </c>
    </row>
    <row r="8" spans="2:11">
      <c r="B8" s="20" t="str">
        <f>INDEX(ItemTable[Name],MATCH(ItemEffectTable[[#This Row],[Index]],ItemTable[ItemEffectDataId],0))</f>
        <v>Item_Name_Rice_Ball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375</v>
      </c>
      <c r="J8" s="17" t="s">
        <v>374</v>
      </c>
    </row>
    <row r="9" spans="2:11">
      <c r="B9" s="20" t="str">
        <f>INDEX(ItemTable[Name],MATCH(ItemEffectTable[[#This Row],[Index]],ItemTable[ItemEffectDataId],0))</f>
        <v>Item_Name_DevilBull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404</v>
      </c>
      <c r="J9" s="17" t="s">
        <v>374</v>
      </c>
    </row>
    <row r="10" spans="2:11">
      <c r="B10" s="20" t="str">
        <f>INDEX(ItemTable[Name],MATCH(ItemEffectTable[[#This Row],[Index]],ItemTable[ItemEffectDataId],0))</f>
        <v>Item_Name_TheBoobytrap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490</v>
      </c>
      <c r="J10" s="17" t="s">
        <v>374</v>
      </c>
    </row>
    <row r="11" spans="2:11">
      <c r="B11" s="20" t="str">
        <f>INDEX(ItemTable[Name],MATCH(ItemEffectTable[[#This Row],[Index]],ItemTable[ItemEffectDataId],0))</f>
        <v>Item_Name_StoneMask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404</v>
      </c>
      <c r="J11" s="17" t="s">
        <v>493</v>
      </c>
      <c r="K11">
        <v>1000</v>
      </c>
    </row>
    <row r="12" spans="2:11">
      <c r="B12" s="20" t="str">
        <f>INDEX(ItemTable[Name],MATCH(ItemEffectTable[[#This Row],[Index]],ItemTable[ItemEffectDataId],0))</f>
        <v>Item_Name_AFiercePiggyBank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375</v>
      </c>
      <c r="J12" s="17" t="s">
        <v>374</v>
      </c>
    </row>
    <row r="13" spans="2:11">
      <c r="B13" s="20" t="str">
        <f>INDEX(ItemTable[Name],MATCH(ItemEffectTable[[#This Row],[Index]],ItemTable[ItemEffectDataId],0))</f>
        <v>Item_Name_SomethingInTheHolyGrail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375</v>
      </c>
      <c r="J13" s="17" t="s">
        <v>374</v>
      </c>
    </row>
    <row r="14" spans="2:11">
      <c r="B14" s="20" t="str">
        <f>INDEX(ItemTable[Name],MATCH(ItemEffectTable[[#This Row],[Index]],ItemTable[ItemEffectDataId],0))</f>
        <v>Item_Name_StrangeCandy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375</v>
      </c>
      <c r="J14" s="17" t="s">
        <v>374</v>
      </c>
    </row>
    <row r="15" spans="2:11">
      <c r="B15" s="20" t="str">
        <f>INDEX(ItemTable[Name],MATCH(ItemEffectTable[[#This Row],[Index]],ItemTable[ItemEffectDataId],0))</f>
        <v>Item_Name_KerberosPitcher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391</v>
      </c>
      <c r="J15" s="17" t="s">
        <v>493</v>
      </c>
      <c r="K15">
        <v>3333</v>
      </c>
    </row>
    <row r="16" spans="2:11">
      <c r="B16" s="20" t="str">
        <f>INDEX(ItemTable[Name],MATCH(ItemEffectTable[[#This Row],[Index]],ItemTable[ItemEffectDataId],0))</f>
        <v>Item_Name_ABucketOfCocoa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375</v>
      </c>
      <c r="J16" s="17" t="s">
        <v>374</v>
      </c>
    </row>
    <row r="17" spans="2:11">
      <c r="B17" s="20" t="str">
        <f>INDEX(ItemTable[Name],MATCH(ItemEffectTable[[#This Row],[Index]],ItemTable[ItemEffectDataId],0))</f>
        <v>Item_Name_SadCanrio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425</v>
      </c>
      <c r="J17" s="17" t="s">
        <v>374</v>
      </c>
    </row>
    <row r="18" spans="2:11">
      <c r="B18" s="20" t="str">
        <f>INDEX(ItemTable[Name],MATCH(ItemEffectTable[[#This Row],[Index]],ItemTable[ItemEffectDataId],0))</f>
        <v>Item_Name_SadCanrio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375</v>
      </c>
      <c r="J18" s="17" t="s">
        <v>374</v>
      </c>
    </row>
    <row r="19" spans="2:11">
      <c r="B19" s="20" t="str">
        <f>INDEX(ItemTable[Name],MATCH(ItemEffectTable[[#This Row],[Index]],ItemTable[ItemEffectDataId],0))</f>
        <v>Item_Name_GrilledGreenFrog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375</v>
      </c>
      <c r="J19" s="17" t="s">
        <v>374</v>
      </c>
    </row>
    <row r="20" spans="2:11">
      <c r="B20" s="20" t="str">
        <f>INDEX(ItemTable[Name],MATCH(ItemEffectTable[[#This Row],[Index]],ItemTable[ItemEffectDataId],0))</f>
        <v>Item_Name_Someone'SDiary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375</v>
      </c>
      <c r="J20" s="17" t="s">
        <v>374</v>
      </c>
    </row>
    <row r="21" spans="2:11">
      <c r="B21" s="20" t="str">
        <f>INDEX(ItemTable[Name],MATCH(ItemEffectTable[[#This Row],[Index]],ItemTable[ItemEffectDataId],0))</f>
        <v>Item_Name_PraiseTheSun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516</v>
      </c>
      <c r="J21" s="17" t="s">
        <v>374</v>
      </c>
    </row>
    <row r="22" spans="2:11">
      <c r="B22" s="20" t="str">
        <f>INDEX(ItemTable[Name],MATCH(ItemEffectTable[[#This Row],[Index]],ItemTable[ItemEffectDataId],0))</f>
        <v>Item_Name_PraiseTheSun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375</v>
      </c>
      <c r="J22" s="17" t="s">
        <v>374</v>
      </c>
    </row>
    <row r="23" spans="2:11">
      <c r="B23" s="20" t="str">
        <f>INDEX(ItemTable[Name],MATCH(ItemEffectTable[[#This Row],[Index]],ItemTable[ItemEffectDataId],0))</f>
        <v>Item_Name_DodgeCat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454</v>
      </c>
      <c r="J23" s="17" t="s">
        <v>374</v>
      </c>
    </row>
    <row r="24" spans="2:11">
      <c r="B24" s="20" t="str">
        <f>INDEX(ItemTable[Name],MATCH(ItemEffectTable[[#This Row],[Index]],ItemTable[ItemEffectDataId],0))</f>
        <v>Item_Name_DodgeCat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375</v>
      </c>
      <c r="J24" s="17" t="s">
        <v>374</v>
      </c>
    </row>
    <row r="25" spans="2:11">
      <c r="B25" s="20" t="str">
        <f>INDEX(ItemTable[Name],MATCH(ItemEffectTable[[#This Row],[Index]],ItemTable[ItemEffectDataId],0))</f>
        <v>Item_Name_AnAdult'SCard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375</v>
      </c>
      <c r="I25" s="40"/>
      <c r="J25" s="17" t="s">
        <v>374</v>
      </c>
      <c r="K25" s="40"/>
    </row>
    <row r="26" spans="2:11">
      <c r="B26" s="47" t="str">
        <f>INDEX(ItemTable[Name],MATCH(ItemEffectTable[[#This Row],[Index]],ItemTable[ItemEffectDataId],0))</f>
        <v>Item_Name_AnAdult'SCard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391</v>
      </c>
      <c r="I26" s="40"/>
      <c r="J26" s="17" t="s">
        <v>374</v>
      </c>
      <c r="K26" s="40"/>
    </row>
    <row r="27" spans="2:11">
      <c r="B27" s="20" t="str">
        <f>INDEX(ItemTable[Name],MATCH(ItemEffectTable[[#This Row],[Index]],ItemTable[ItemEffectDataId],0))</f>
        <v>Item_Name_InfinityDoughnut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381</v>
      </c>
      <c r="I27" s="17"/>
      <c r="J27" s="17" t="s">
        <v>374</v>
      </c>
    </row>
    <row r="28" spans="2:11">
      <c r="B28" s="20" t="str">
        <f>INDEX(ItemTable[Name],MATCH(ItemEffectTable[[#This Row],[Index]],ItemTable[ItemEffectDataId],0))</f>
        <v>Item_Name_Ultra-SmallBlackHole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381</v>
      </c>
      <c r="I28" s="17" t="s">
        <v>387</v>
      </c>
      <c r="J28" s="17" t="s">
        <v>386</v>
      </c>
      <c r="K28" s="12">
        <v>6</v>
      </c>
    </row>
    <row r="29" spans="2:11">
      <c r="B29" s="20" t="str">
        <f>INDEX(ItemTable[Name],MATCH(ItemEffectTable[[#This Row],[Index]],ItemTable[ItemEffectDataId],0))</f>
        <v>Item_Name_Cyberware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381</v>
      </c>
      <c r="J29" s="17" t="s">
        <v>374</v>
      </c>
    </row>
    <row r="30" spans="2:11">
      <c r="B30" s="20" t="str">
        <f>INDEX(ItemTable[Name],MATCH(ItemEffectTable[[#This Row],[Index]],ItemTable[ItemEffectDataId],0))</f>
        <v>Item_Name_AMissileBackpack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381</v>
      </c>
      <c r="J30" s="17" t="s">
        <v>374</v>
      </c>
    </row>
    <row r="31" spans="2:11">
      <c r="B31" s="20" t="str">
        <f>INDEX(ItemTable[Name],MATCH(ItemEffectTable[[#This Row],[Index]],ItemTable[ItemEffectDataId],0))</f>
        <v>Item_Name_Excalibat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381</v>
      </c>
      <c r="J31" s="17" t="s">
        <v>374</v>
      </c>
    </row>
    <row r="32" spans="2:11">
      <c r="B32" s="20" t="str">
        <f>INDEX(ItemTable[Name],MATCH(ItemEffectTable[[#This Row],[Index]],ItemTable[ItemEffectDataId],0))</f>
        <v>Item_Name_RuyiJinguBat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381</v>
      </c>
      <c r="J32" s="17" t="s">
        <v>374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984375" defaultRowHeight="17.399999999999999"/>
  <cols>
    <col min="2" max="2" width="17.09765625" customWidth="1"/>
    <col min="3" max="3" width="8.59765625" customWidth="1"/>
    <col min="4" max="4" width="21.09765625" bestFit="1" customWidth="1"/>
    <col min="5" max="5" width="23" customWidth="1"/>
    <col min="6" max="6" width="22" customWidth="1"/>
    <col min="7" max="7" width="13.5" customWidth="1"/>
    <col min="8" max="8" width="27.19921875" customWidth="1"/>
    <col min="9" max="9" width="21.59765625" customWidth="1"/>
    <col min="10" max="10" width="6" customWidth="1"/>
  </cols>
  <sheetData>
    <row r="1" spans="2:12">
      <c r="B1" t="s">
        <v>31</v>
      </c>
      <c r="C1" t="s">
        <v>31</v>
      </c>
      <c r="D1" t="s">
        <v>77</v>
      </c>
      <c r="E1" s="17" t="s">
        <v>368</v>
      </c>
      <c r="F1" s="17" t="s">
        <v>370</v>
      </c>
      <c r="G1" s="17" t="s">
        <v>363</v>
      </c>
      <c r="H1" s="17"/>
      <c r="I1" s="17"/>
    </row>
    <row r="2" spans="2:12">
      <c r="B2" s="37" t="s">
        <v>494</v>
      </c>
      <c r="C2" t="s">
        <v>46</v>
      </c>
      <c r="D2" s="17" t="s">
        <v>359</v>
      </c>
      <c r="E2" s="17" t="s">
        <v>369</v>
      </c>
      <c r="F2" s="1" t="s">
        <v>4</v>
      </c>
      <c r="G2" s="31" t="s">
        <v>371</v>
      </c>
      <c r="H2" s="37" t="s">
        <v>689</v>
      </c>
      <c r="I2" s="35" t="s">
        <v>687</v>
      </c>
      <c r="J2" s="35" t="s">
        <v>688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Item_Name_MetalUnicornKeyring</v>
      </c>
      <c r="C3">
        <v>7000</v>
      </c>
      <c r="D3" s="17" t="s">
        <v>125</v>
      </c>
      <c r="E3" s="17">
        <v>1</v>
      </c>
      <c r="F3" s="12" t="s">
        <v>456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Item_Name_AChampionHat</v>
      </c>
      <c r="C4" s="43">
        <v>7001</v>
      </c>
      <c r="D4" s="55" t="s">
        <v>219</v>
      </c>
      <c r="E4" s="55">
        <v>0.5</v>
      </c>
      <c r="F4" s="43" t="s">
        <v>550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62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Item_Name_Cool-Dog</v>
      </c>
      <c r="C5" s="43">
        <v>7002</v>
      </c>
      <c r="D5" s="43" t="s">
        <v>383</v>
      </c>
      <c r="E5" s="55">
        <v>0.5</v>
      </c>
      <c r="F5" s="43" t="s">
        <v>247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62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Item_Name_QtPowder</v>
      </c>
      <c r="C6" s="43">
        <v>7003</v>
      </c>
      <c r="D6" s="55" t="s">
        <v>422</v>
      </c>
      <c r="E6" s="43">
        <v>0.2</v>
      </c>
      <c r="F6" s="43" t="s">
        <v>376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62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Item_Name_RedHobbyhorse</v>
      </c>
      <c r="C7" s="43">
        <v>7004</v>
      </c>
      <c r="D7" s="55" t="s">
        <v>148</v>
      </c>
      <c r="E7" s="43">
        <v>0.7</v>
      </c>
      <c r="F7" s="43" t="s">
        <v>247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62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Item_Name_Rice_Ball</v>
      </c>
      <c r="C8" s="43">
        <v>7005</v>
      </c>
      <c r="D8" s="55" t="s">
        <v>37</v>
      </c>
      <c r="E8" s="43">
        <v>25</v>
      </c>
      <c r="F8" s="43" t="s">
        <v>376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62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Item_Name_DevilBull</v>
      </c>
      <c r="C9" s="43">
        <v>8000</v>
      </c>
      <c r="D9" s="55" t="s">
        <v>220</v>
      </c>
      <c r="E9" s="43">
        <v>0.4</v>
      </c>
      <c r="F9" s="43" t="s">
        <v>376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6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Item_Name_TheBoobytrap</v>
      </c>
      <c r="C10" s="43">
        <v>8001</v>
      </c>
      <c r="D10" s="55" t="s">
        <v>220</v>
      </c>
      <c r="E10" s="43" t="s">
        <v>444</v>
      </c>
      <c r="F10" s="43" t="s">
        <v>376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62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Item_Name_AFiercePiggyBank</v>
      </c>
      <c r="C11" s="43">
        <v>8003</v>
      </c>
      <c r="D11" s="43" t="s">
        <v>185</v>
      </c>
      <c r="E11" s="43">
        <v>0.5</v>
      </c>
      <c r="F11" s="43" t="s">
        <v>376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62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Item_Name_SomethingInTheHolyGrail</v>
      </c>
      <c r="C12" s="43">
        <v>8004</v>
      </c>
      <c r="D12" s="55" t="s">
        <v>451</v>
      </c>
      <c r="E12" s="43">
        <v>3</v>
      </c>
      <c r="F12" s="43" t="s">
        <v>376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62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Item_Name_StrangeCandy</v>
      </c>
      <c r="C13" s="43">
        <v>8005</v>
      </c>
      <c r="D13" s="55" t="s">
        <v>461</v>
      </c>
      <c r="E13" s="43">
        <v>50</v>
      </c>
      <c r="F13" s="43" t="s">
        <v>376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62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Item_Name_ABucketOfCocoa</v>
      </c>
      <c r="C14" s="43">
        <v>9000</v>
      </c>
      <c r="D14" s="55" t="s">
        <v>148</v>
      </c>
      <c r="E14" s="43">
        <v>1.2</v>
      </c>
      <c r="F14" s="43" t="s">
        <v>247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62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Item_Name_ABucketOfCocoa</v>
      </c>
      <c r="C15" s="43">
        <v>9000</v>
      </c>
      <c r="D15" s="55" t="s">
        <v>239</v>
      </c>
      <c r="E15" s="43">
        <v>0</v>
      </c>
      <c r="F15" s="43" t="s">
        <v>247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62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Item_Name_SadCanrio</v>
      </c>
      <c r="C16" s="43">
        <v>9001</v>
      </c>
      <c r="D16" s="55" t="s">
        <v>426</v>
      </c>
      <c r="E16" s="43">
        <v>0.85</v>
      </c>
      <c r="F16" s="43" t="s">
        <v>247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62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Item_Name_SadCanrio</v>
      </c>
      <c r="C17" s="43">
        <v>9101</v>
      </c>
      <c r="D17" s="55" t="s">
        <v>426</v>
      </c>
      <c r="E17" s="43">
        <v>1.3</v>
      </c>
      <c r="F17" s="43" t="s">
        <v>247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62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Item_Name_GrilledGreenFrog</v>
      </c>
      <c r="C18" s="43">
        <v>9002</v>
      </c>
      <c r="D18" s="43" t="s">
        <v>220</v>
      </c>
      <c r="E18" s="43">
        <v>1</v>
      </c>
      <c r="F18" s="43" t="s">
        <v>376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62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62" t="str">
        <f>IFERROR(INDEX(ItemEffectTable['#이름값],MATCH(ItemEffectTable23[[#This Row],[Index]],ItemEffectTable[Index],0)),INDEX(ItemEffectTable['#이름값],MATCH(ItemEffectTable23[[#This Row],[Index]],ItemEffectTable[ApplyBuffId],0)))</f>
        <v>Item_Name_Someone'SDiary</v>
      </c>
      <c r="C19" s="43">
        <v>9003</v>
      </c>
      <c r="D19" s="55" t="s">
        <v>422</v>
      </c>
      <c r="E19" s="43">
        <v>0.6</v>
      </c>
      <c r="F19" s="43" t="s">
        <v>376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62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Item_Name_PraiseTheSun</v>
      </c>
      <c r="C20" s="17">
        <v>9104</v>
      </c>
      <c r="D20" s="12" t="s">
        <v>502</v>
      </c>
      <c r="E20">
        <v>0.95</v>
      </c>
      <c r="F20" s="12" t="s">
        <v>449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Item_Name_DodgeCat</v>
      </c>
      <c r="C21" s="17">
        <v>9105</v>
      </c>
      <c r="D21" s="12" t="s">
        <v>459</v>
      </c>
      <c r="E21">
        <v>1.5</v>
      </c>
      <c r="F21" s="12" t="s">
        <v>449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Item_Name_AnAdult'SCard</v>
      </c>
      <c r="C22" s="17">
        <v>9106</v>
      </c>
      <c r="D22" s="9" t="s">
        <v>219</v>
      </c>
      <c r="E22">
        <v>1.75</v>
      </c>
      <c r="F22" s="12" t="s">
        <v>550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Item_Name_AnAdult'SCard</v>
      </c>
      <c r="C23" s="17">
        <v>9106</v>
      </c>
      <c r="D23" s="9" t="s">
        <v>148</v>
      </c>
      <c r="E23">
        <v>1.2</v>
      </c>
      <c r="F23" t="s">
        <v>247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Item_Name_Cyberware</v>
      </c>
      <c r="C24">
        <v>10002</v>
      </c>
      <c r="D24" t="s">
        <v>0</v>
      </c>
      <c r="E24">
        <v>2</v>
      </c>
      <c r="F24" t="s">
        <v>247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Item_Name_Cyberware</v>
      </c>
      <c r="C25">
        <v>10002</v>
      </c>
      <c r="D25" t="s">
        <v>16</v>
      </c>
      <c r="E25">
        <v>0.8</v>
      </c>
      <c r="F25" t="s">
        <v>247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Item_Name_Cyberware</v>
      </c>
      <c r="C26">
        <v>10002</v>
      </c>
      <c r="D26" t="s">
        <v>157</v>
      </c>
      <c r="E26">
        <v>2</v>
      </c>
      <c r="F26" t="s">
        <v>247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Item_Name_Cyberware</v>
      </c>
      <c r="C27">
        <v>10002</v>
      </c>
      <c r="D27" t="s">
        <v>148</v>
      </c>
      <c r="E27">
        <v>0.5</v>
      </c>
      <c r="F27" t="s">
        <v>247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Item_Name_Cyberware</v>
      </c>
      <c r="C28">
        <v>10002</v>
      </c>
      <c r="D28" t="s">
        <v>17</v>
      </c>
      <c r="E28">
        <v>2</v>
      </c>
      <c r="F28" t="s">
        <v>247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Item_Name_Excalibat</v>
      </c>
      <c r="C29">
        <v>10004</v>
      </c>
      <c r="D29" t="s">
        <v>0</v>
      </c>
      <c r="E29">
        <v>0.5</v>
      </c>
      <c r="F29" t="s">
        <v>247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Item_Name_RuyiJinguBat</v>
      </c>
      <c r="C30">
        <v>10005</v>
      </c>
      <c r="D30" s="12" t="s">
        <v>520</v>
      </c>
      <c r="E30">
        <v>2.5</v>
      </c>
      <c r="F30" s="12" t="s">
        <v>550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984375" defaultRowHeight="17.399999999999999"/>
  <cols>
    <col min="1" max="1" width="8.8984375" style="45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</cols>
  <sheetData>
    <row r="1" spans="1:12">
      <c r="B1" t="s">
        <v>31</v>
      </c>
      <c r="D1" t="s">
        <v>77</v>
      </c>
      <c r="E1" s="17" t="s">
        <v>354</v>
      </c>
      <c r="F1" s="17"/>
      <c r="G1" s="17" t="s">
        <v>363</v>
      </c>
      <c r="H1" s="17"/>
      <c r="I1" s="17" t="s">
        <v>363</v>
      </c>
      <c r="J1" s="17"/>
      <c r="K1" s="17" t="s">
        <v>363</v>
      </c>
    </row>
    <row r="2" spans="1:12">
      <c r="B2" t="s">
        <v>46</v>
      </c>
      <c r="C2" s="37" t="s">
        <v>407</v>
      </c>
      <c r="D2" s="17" t="s">
        <v>384</v>
      </c>
      <c r="E2" s="17" t="s">
        <v>360</v>
      </c>
      <c r="F2" s="35" t="s">
        <v>397</v>
      </c>
      <c r="G2" s="31" t="s">
        <v>361</v>
      </c>
      <c r="H2" s="35" t="s">
        <v>398</v>
      </c>
      <c r="I2" s="31" t="s">
        <v>362</v>
      </c>
      <c r="J2" s="35" t="s">
        <v>399</v>
      </c>
      <c r="K2" s="31" t="s">
        <v>413</v>
      </c>
      <c r="L2" s="35" t="s">
        <v>412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Item_Name_Rice_Ball</v>
      </c>
      <c r="D3" s="17" t="s">
        <v>488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Item_Name_StoneMask</v>
      </c>
      <c r="D4" s="17" t="s">
        <v>488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Item_Name_StrangeCandy</v>
      </c>
      <c r="D5" s="17" t="s">
        <v>488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Item_Name_KerberosPitcher</v>
      </c>
      <c r="D6" s="17" t="s">
        <v>392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Item_Name_PraiseTheSun</v>
      </c>
      <c r="D7" s="17" t="s">
        <v>392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Item_Name_DodgeCat</v>
      </c>
      <c r="D8" s="17" t="s">
        <v>392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Item_Name_GrilledGreenFrog</v>
      </c>
      <c r="D9" s="17" t="s">
        <v>379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Item_Name_Someone'SDiary</v>
      </c>
      <c r="D10" s="17" t="s">
        <v>488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50" customFormat="1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Item_Name_AnAdult'SCard</v>
      </c>
      <c r="D11" s="52" t="s">
        <v>522</v>
      </c>
      <c r="E11" s="53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Item_Name_InfinityDoughnut</v>
      </c>
      <c r="D12" s="17" t="s">
        <v>364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Item_Name_Ultra-SmallBlackHole</v>
      </c>
      <c r="D13" s="17" t="s">
        <v>385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Item_Name_Cyberware</v>
      </c>
      <c r="D14" s="17" t="s">
        <v>380</v>
      </c>
      <c r="E14">
        <v>0.5</v>
      </c>
      <c r="F14" s="15" t="s">
        <v>400</v>
      </c>
      <c r="G14">
        <v>3</v>
      </c>
      <c r="H14" s="15" t="s">
        <v>506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Item_Name_AMissileBackpack</v>
      </c>
      <c r="D15" s="17" t="s">
        <v>390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517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511</v>
      </c>
      <c r="E16" s="21">
        <v>70</v>
      </c>
      <c r="F16" s="23" t="s">
        <v>512</v>
      </c>
      <c r="G16" s="21">
        <v>5</v>
      </c>
      <c r="H16" s="23" t="s">
        <v>513</v>
      </c>
      <c r="I16" s="21">
        <v>18</v>
      </c>
      <c r="J16" s="23" t="s">
        <v>514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26" sqref="D26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70</v>
      </c>
      <c r="D2" s="5" t="s">
        <v>71</v>
      </c>
      <c r="E2" t="s">
        <v>149</v>
      </c>
      <c r="F2" t="s">
        <v>150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223</v>
      </c>
      <c r="E3" t="s">
        <v>38</v>
      </c>
      <c r="F3" t="s">
        <v>175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200</v>
      </c>
      <c r="F4" t="s">
        <v>260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223</v>
      </c>
      <c r="E5" t="s">
        <v>38</v>
      </c>
      <c r="F5" t="s">
        <v>259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199</v>
      </c>
      <c r="E6" t="s">
        <v>133</v>
      </c>
      <c r="F6" t="s">
        <v>123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224</v>
      </c>
      <c r="E7" t="s">
        <v>207</v>
      </c>
      <c r="F7" t="s">
        <v>262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223</v>
      </c>
      <c r="E8" t="s">
        <v>38</v>
      </c>
      <c r="F8" t="s">
        <v>261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224</v>
      </c>
      <c r="E9" t="s">
        <v>207</v>
      </c>
      <c r="F9" t="s">
        <v>180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8"/>
  <sheetViews>
    <sheetView zoomScaleNormal="100" zoomScaleSheetLayoutView="100" workbookViewId="0">
      <selection activeCell="C12" sqref="C12"/>
    </sheetView>
  </sheetViews>
  <sheetFormatPr defaultColWidth="8.8984375" defaultRowHeight="17.399999999999999"/>
  <cols>
    <col min="1" max="1" width="7.5" customWidth="1"/>
    <col min="2" max="2" width="32.69921875" customWidth="1"/>
    <col min="3" max="3" width="65" style="9" customWidth="1"/>
    <col min="4" max="4" width="62.19921875" customWidth="1"/>
    <col min="5" max="5" width="13.69921875" customWidth="1"/>
    <col min="6" max="8" width="12.3984375" bestFit="1" customWidth="1"/>
    <col min="9" max="9" width="34.19921875" customWidth="1"/>
  </cols>
  <sheetData>
    <row r="1" spans="2:9">
      <c r="B1" t="s">
        <v>35</v>
      </c>
      <c r="C1" s="9" t="s">
        <v>47</v>
      </c>
      <c r="D1" t="s">
        <v>47</v>
      </c>
      <c r="E1" t="s">
        <v>276</v>
      </c>
      <c r="F1" t="s">
        <v>276</v>
      </c>
      <c r="G1" t="s">
        <v>276</v>
      </c>
      <c r="H1" t="s">
        <v>276</v>
      </c>
      <c r="I1" t="s">
        <v>276</v>
      </c>
    </row>
    <row r="2" spans="2:9">
      <c r="B2" s="12" t="s">
        <v>775</v>
      </c>
      <c r="C2" s="9" t="s">
        <v>190</v>
      </c>
      <c r="D2" t="s">
        <v>189</v>
      </c>
      <c r="E2" s="37" t="s">
        <v>616</v>
      </c>
      <c r="F2" s="37" t="s">
        <v>617</v>
      </c>
      <c r="G2" s="37" t="s">
        <v>618</v>
      </c>
      <c r="H2" s="37" t="s">
        <v>619</v>
      </c>
      <c r="I2" s="37" t="s">
        <v>662</v>
      </c>
    </row>
    <row r="3" spans="2:9">
      <c r="B3" t="str">
        <f>LocaleTable[[#This Row],['#인덱스제너레이터]]</f>
        <v>UI_Title_Button_Start</v>
      </c>
      <c r="C3" s="55" t="s">
        <v>650</v>
      </c>
      <c r="D3" s="43" t="s">
        <v>643</v>
      </c>
      <c r="E3" s="15" t="s">
        <v>621</v>
      </c>
      <c r="F3" s="15" t="s">
        <v>655</v>
      </c>
      <c r="G3" s="15" t="s">
        <v>647</v>
      </c>
      <c r="H3" s="15" t="s">
        <v>644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5" t="s">
        <v>651</v>
      </c>
      <c r="D4" s="43" t="s">
        <v>645</v>
      </c>
      <c r="E4" s="15" t="s">
        <v>621</v>
      </c>
      <c r="F4" s="15" t="s">
        <v>655</v>
      </c>
      <c r="G4" s="15" t="s">
        <v>647</v>
      </c>
      <c r="H4" s="15" t="s">
        <v>646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5" t="s">
        <v>661</v>
      </c>
      <c r="D5" s="43" t="s">
        <v>659</v>
      </c>
      <c r="E5" s="15" t="s">
        <v>621</v>
      </c>
      <c r="F5" s="15" t="s">
        <v>655</v>
      </c>
      <c r="G5" s="15" t="s">
        <v>647</v>
      </c>
      <c r="H5" s="15" t="s">
        <v>660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5" t="s">
        <v>652</v>
      </c>
      <c r="D6" s="43" t="s">
        <v>648</v>
      </c>
      <c r="E6" s="15" t="s">
        <v>621</v>
      </c>
      <c r="F6" s="15" t="s">
        <v>655</v>
      </c>
      <c r="G6" s="61" t="s">
        <v>647</v>
      </c>
      <c r="H6" s="15" t="s">
        <v>649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5" t="s">
        <v>656</v>
      </c>
      <c r="D7" s="43" t="s">
        <v>657</v>
      </c>
      <c r="E7" s="15" t="s">
        <v>621</v>
      </c>
      <c r="F7" s="15" t="s">
        <v>653</v>
      </c>
      <c r="G7" s="15" t="s">
        <v>654</v>
      </c>
      <c r="H7" s="15" t="s">
        <v>658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5" t="s">
        <v>636</v>
      </c>
      <c r="D8" s="43" t="s">
        <v>622</v>
      </c>
      <c r="E8" s="15" t="s">
        <v>621</v>
      </c>
      <c r="F8" s="15" t="s">
        <v>653</v>
      </c>
      <c r="G8" s="15" t="s">
        <v>654</v>
      </c>
      <c r="H8" s="15" t="s">
        <v>623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5" t="s">
        <v>637</v>
      </c>
      <c r="D9" s="43" t="s">
        <v>625</v>
      </c>
      <c r="E9" s="20" t="s">
        <v>621</v>
      </c>
      <c r="F9" s="15" t="s">
        <v>653</v>
      </c>
      <c r="G9" s="20" t="s">
        <v>624</v>
      </c>
      <c r="H9" s="15" t="s">
        <v>626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5" t="s">
        <v>638</v>
      </c>
      <c r="D10" s="43" t="s">
        <v>632</v>
      </c>
      <c r="E10" s="20" t="s">
        <v>621</v>
      </c>
      <c r="F10" s="15" t="s">
        <v>653</v>
      </c>
      <c r="G10" s="20" t="s">
        <v>624</v>
      </c>
      <c r="H10" s="15" t="s">
        <v>633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5" t="s">
        <v>639</v>
      </c>
      <c r="D11" s="43" t="s">
        <v>629</v>
      </c>
      <c r="E11" s="15" t="s">
        <v>621</v>
      </c>
      <c r="F11" s="15" t="s">
        <v>653</v>
      </c>
      <c r="G11" s="15" t="s">
        <v>624</v>
      </c>
      <c r="H11" s="15" t="s">
        <v>630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5" t="s">
        <v>641</v>
      </c>
      <c r="D12" s="43" t="s">
        <v>627</v>
      </c>
      <c r="E12" s="15" t="s">
        <v>621</v>
      </c>
      <c r="F12" s="15" t="s">
        <v>653</v>
      </c>
      <c r="G12" s="15" t="s">
        <v>624</v>
      </c>
      <c r="H12" s="15" t="s">
        <v>628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5" t="s">
        <v>640</v>
      </c>
      <c r="D13" s="43" t="s">
        <v>634</v>
      </c>
      <c r="E13" s="15" t="s">
        <v>621</v>
      </c>
      <c r="F13" s="15" t="s">
        <v>653</v>
      </c>
      <c r="G13" s="15" t="s">
        <v>624</v>
      </c>
      <c r="H13" s="15" t="s">
        <v>635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5" t="s">
        <v>642</v>
      </c>
      <c r="D14" s="43" t="s">
        <v>185</v>
      </c>
      <c r="E14" s="15" t="s">
        <v>621</v>
      </c>
      <c r="F14" s="15" t="s">
        <v>653</v>
      </c>
      <c r="G14" s="15" t="s">
        <v>624</v>
      </c>
      <c r="H14" s="15" t="s">
        <v>631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Item_Name_MetalUnicornKeyring</v>
      </c>
      <c r="C15" s="55" t="s">
        <v>240</v>
      </c>
      <c r="D15" s="43" t="s">
        <v>559</v>
      </c>
      <c r="E15" s="15" t="s">
        <v>615</v>
      </c>
      <c r="F15" s="15" t="s">
        <v>367</v>
      </c>
      <c r="G15" s="20" t="s">
        <v>592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Item_Name_MetalUnicornKeyring</v>
      </c>
    </row>
    <row r="16" spans="2:9">
      <c r="B16" t="str">
        <f>LocaleTable[[#This Row],['#인덱스제너레이터]]</f>
        <v>Item_Name_AChampionHat</v>
      </c>
      <c r="C16" s="55" t="s">
        <v>109</v>
      </c>
      <c r="D16" s="43" t="s">
        <v>663</v>
      </c>
      <c r="E16" s="15" t="s">
        <v>615</v>
      </c>
      <c r="F16" s="15" t="s">
        <v>367</v>
      </c>
      <c r="G16" s="20" t="s">
        <v>593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Item_Name_AChampionHat</v>
      </c>
    </row>
    <row r="17" spans="2:9">
      <c r="B17" t="str">
        <f>LocaleTable[[#This Row],['#인덱스제너레이터]]</f>
        <v>Item_Name_Cool-Dog</v>
      </c>
      <c r="C17" s="55" t="s">
        <v>112</v>
      </c>
      <c r="D17" s="43" t="s">
        <v>561</v>
      </c>
      <c r="E17" s="15" t="s">
        <v>615</v>
      </c>
      <c r="F17" s="15" t="s">
        <v>367</v>
      </c>
      <c r="G17" s="20" t="s">
        <v>594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Item_Name_Cool-Dog</v>
      </c>
    </row>
    <row r="18" spans="2:9">
      <c r="B18" t="str">
        <f>LocaleTable[[#This Row],['#인덱스제너레이터]]</f>
        <v>Item_Name_QtPowder</v>
      </c>
      <c r="C18" s="55" t="s">
        <v>111</v>
      </c>
      <c r="D18" s="43" t="s">
        <v>664</v>
      </c>
      <c r="E18" s="15" t="s">
        <v>615</v>
      </c>
      <c r="F18" s="15" t="s">
        <v>367</v>
      </c>
      <c r="G18" s="20" t="s">
        <v>595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Item_Name_QtPowder</v>
      </c>
    </row>
    <row r="19" spans="2:9">
      <c r="B19" t="str">
        <f>LocaleTable[[#This Row],['#인덱스제너레이터]]</f>
        <v>Item_Name_RedHobbyhorse</v>
      </c>
      <c r="C19" s="55" t="s">
        <v>107</v>
      </c>
      <c r="D19" s="43" t="s">
        <v>575</v>
      </c>
      <c r="E19" s="15" t="s">
        <v>615</v>
      </c>
      <c r="F19" s="15" t="s">
        <v>367</v>
      </c>
      <c r="G19" s="20" t="s">
        <v>596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Item_Name_RedHobbyhorse</v>
      </c>
    </row>
    <row r="20" spans="2:9">
      <c r="B20" t="str">
        <f>LocaleTable[[#This Row],['#인덱스제너레이터]]</f>
        <v>Item_Name_Rice_Ball</v>
      </c>
      <c r="C20" s="55" t="s">
        <v>113</v>
      </c>
      <c r="D20" s="43" t="s">
        <v>676</v>
      </c>
      <c r="E20" s="15" t="s">
        <v>615</v>
      </c>
      <c r="F20" s="15" t="s">
        <v>367</v>
      </c>
      <c r="G20" s="20" t="s">
        <v>577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Item_Name_Rice_Ball</v>
      </c>
    </row>
    <row r="21" spans="2:9">
      <c r="B21" t="str">
        <f>LocaleTable[[#This Row],['#인덱스제너레이터]]</f>
        <v>Item_Name_DevilBull</v>
      </c>
      <c r="C21" s="55" t="s">
        <v>41</v>
      </c>
      <c r="D21" s="43" t="s">
        <v>563</v>
      </c>
      <c r="E21" s="15" t="s">
        <v>615</v>
      </c>
      <c r="F21" s="15" t="s">
        <v>367</v>
      </c>
      <c r="G21" s="20" t="s">
        <v>597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Item_Name_DevilBull</v>
      </c>
    </row>
    <row r="22" spans="2:9">
      <c r="B22" t="str">
        <f>LocaleTable[[#This Row],['#인덱스제너레이터]]</f>
        <v>Item_Name_TheBoobytrap</v>
      </c>
      <c r="C22" s="55" t="s">
        <v>265</v>
      </c>
      <c r="D22" s="43" t="s">
        <v>579</v>
      </c>
      <c r="E22" s="15" t="s">
        <v>615</v>
      </c>
      <c r="F22" s="15" t="s">
        <v>367</v>
      </c>
      <c r="G22" s="20" t="s">
        <v>598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Item_Name_TheBoobytrap</v>
      </c>
    </row>
    <row r="23" spans="2:9">
      <c r="B23" t="str">
        <f>LocaleTable[[#This Row],['#인덱스제너레이터]]</f>
        <v>Item_Name_StoneMask</v>
      </c>
      <c r="C23" s="55" t="s">
        <v>43</v>
      </c>
      <c r="D23" s="43" t="s">
        <v>581</v>
      </c>
      <c r="E23" s="15" t="s">
        <v>615</v>
      </c>
      <c r="F23" s="15" t="s">
        <v>367</v>
      </c>
      <c r="G23" s="20" t="s">
        <v>599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Item_Name_StoneMask</v>
      </c>
    </row>
    <row r="24" spans="2:9">
      <c r="B24" t="str">
        <f>LocaleTable[[#This Row],['#인덱스제너레이터]]</f>
        <v>Item_Name_AFiercePiggyBank</v>
      </c>
      <c r="C24" s="55" t="s">
        <v>237</v>
      </c>
      <c r="D24" s="43" t="s">
        <v>665</v>
      </c>
      <c r="E24" s="15" t="s">
        <v>615</v>
      </c>
      <c r="F24" s="15" t="s">
        <v>367</v>
      </c>
      <c r="G24" s="20" t="s">
        <v>600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Item_Name_AFiercePiggyBank</v>
      </c>
    </row>
    <row r="25" spans="2:9">
      <c r="B25" t="str">
        <f>LocaleTable[[#This Row],['#인덱스제너레이터]]</f>
        <v>Item_Name_SomethingInTheHolyGrail</v>
      </c>
      <c r="C25" s="55" t="s">
        <v>249</v>
      </c>
      <c r="D25" s="43" t="s">
        <v>666</v>
      </c>
      <c r="E25" s="15" t="s">
        <v>615</v>
      </c>
      <c r="F25" s="15" t="s">
        <v>367</v>
      </c>
      <c r="G25" s="20" t="s">
        <v>601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Item_Name_SomethingInTheHolyGrail</v>
      </c>
    </row>
    <row r="26" spans="2:9">
      <c r="B26" t="str">
        <f>LocaleTable[[#This Row],['#인덱스제너레이터]]</f>
        <v>Item_Name_StrangeCandy</v>
      </c>
      <c r="C26" s="55" t="s">
        <v>115</v>
      </c>
      <c r="D26" s="43" t="s">
        <v>667</v>
      </c>
      <c r="E26" s="15" t="s">
        <v>615</v>
      </c>
      <c r="F26" s="15" t="s">
        <v>367</v>
      </c>
      <c r="G26" s="20" t="s">
        <v>602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Item_Name_StrangeCandy</v>
      </c>
    </row>
    <row r="27" spans="2:9">
      <c r="B27" t="str">
        <f>LocaleTable[[#This Row],['#인덱스제너레이터]]</f>
        <v>Item_Name_KerberosPitcher</v>
      </c>
      <c r="C27" s="56" t="s">
        <v>405</v>
      </c>
      <c r="D27" s="43" t="s">
        <v>668</v>
      </c>
      <c r="E27" s="15" t="s">
        <v>615</v>
      </c>
      <c r="F27" s="15" t="s">
        <v>367</v>
      </c>
      <c r="G27" s="20" t="s">
        <v>603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Item_Name_KerberosPitcher</v>
      </c>
    </row>
    <row r="28" spans="2:9">
      <c r="B28" t="str">
        <f>LocaleTable[[#This Row],['#인덱스제너레이터]]</f>
        <v>Item_Name_ABucketOfCocoa</v>
      </c>
      <c r="C28" s="55" t="s">
        <v>110</v>
      </c>
      <c r="D28" s="43" t="s">
        <v>669</v>
      </c>
      <c r="E28" s="15" t="s">
        <v>615</v>
      </c>
      <c r="F28" s="15" t="s">
        <v>367</v>
      </c>
      <c r="G28" s="20" t="s">
        <v>604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Item_Name_ABucketOfCocoa</v>
      </c>
    </row>
    <row r="29" spans="2:9">
      <c r="B29" t="str">
        <f>LocaleTable[[#This Row],['#인덱스제너레이터]]</f>
        <v>Item_Name_SadCanrio</v>
      </c>
      <c r="C29" s="55" t="s">
        <v>106</v>
      </c>
      <c r="D29" s="43" t="s">
        <v>566</v>
      </c>
      <c r="E29" s="15" t="s">
        <v>615</v>
      </c>
      <c r="F29" s="15" t="s">
        <v>367</v>
      </c>
      <c r="G29" s="20" t="s">
        <v>605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Item_Name_SadCanrio</v>
      </c>
    </row>
    <row r="30" spans="2:9">
      <c r="B30" t="str">
        <f>LocaleTable[[#This Row],['#인덱스제너레이터]]</f>
        <v>Item_Name_GrilledGreenFrog</v>
      </c>
      <c r="C30" s="55" t="s">
        <v>246</v>
      </c>
      <c r="D30" s="43" t="s">
        <v>670</v>
      </c>
      <c r="E30" s="15" t="s">
        <v>615</v>
      </c>
      <c r="F30" s="15" t="s">
        <v>367</v>
      </c>
      <c r="G30" s="20" t="s">
        <v>606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Item_Name_GrilledGreenFrog</v>
      </c>
    </row>
    <row r="31" spans="2:9">
      <c r="B31" t="str">
        <f>LocaleTable[[#This Row],['#인덱스제너레이터]]</f>
        <v>Item_Name_Someone'SDiary</v>
      </c>
      <c r="C31" s="55" t="s">
        <v>238</v>
      </c>
      <c r="D31" s="43" t="s">
        <v>677</v>
      </c>
      <c r="E31" s="15" t="s">
        <v>615</v>
      </c>
      <c r="F31" s="15" t="s">
        <v>367</v>
      </c>
      <c r="G31" s="20" t="s">
        <v>607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Item_Name_Someone'SDiary</v>
      </c>
    </row>
    <row r="32" spans="2:9">
      <c r="B32" t="str">
        <f>LocaleTable[[#This Row],['#인덱스제너레이터]]</f>
        <v>Item_Name_PraiseTheSun</v>
      </c>
      <c r="C32" s="55" t="s">
        <v>410</v>
      </c>
      <c r="D32" s="43" t="s">
        <v>671</v>
      </c>
      <c r="E32" s="15" t="s">
        <v>615</v>
      </c>
      <c r="F32" s="15" t="s">
        <v>367</v>
      </c>
      <c r="G32" s="20" t="s">
        <v>608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Item_Name_PraiseTheSun</v>
      </c>
    </row>
    <row r="33" spans="2:9">
      <c r="B33" t="str">
        <f>LocaleTable[[#This Row],['#인덱스제너레이터]]</f>
        <v>Item_Name_DodgeCat</v>
      </c>
      <c r="C33" s="55" t="s">
        <v>499</v>
      </c>
      <c r="D33" s="43" t="s">
        <v>672</v>
      </c>
      <c r="E33" s="15" t="s">
        <v>615</v>
      </c>
      <c r="F33" s="15" t="s">
        <v>367</v>
      </c>
      <c r="G33" s="20" t="s">
        <v>609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Item_Name_DodgeCat</v>
      </c>
    </row>
    <row r="34" spans="2:9">
      <c r="B34" t="str">
        <f>LocaleTable[[#This Row],['#인덱스제너레이터]]</f>
        <v>Item_Name_AnAdult'SCard</v>
      </c>
      <c r="C34" s="55" t="s">
        <v>504</v>
      </c>
      <c r="D34" s="43" t="s">
        <v>678</v>
      </c>
      <c r="E34" s="15" t="s">
        <v>615</v>
      </c>
      <c r="F34" s="15" t="s">
        <v>367</v>
      </c>
      <c r="G34" s="20" t="s">
        <v>610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Item_Name_AnAdult'SCard</v>
      </c>
    </row>
    <row r="35" spans="2:9">
      <c r="B35" t="str">
        <f>LocaleTable[[#This Row],['#인덱스제너레이터]]</f>
        <v>Item_Name_InfinityDoughnut</v>
      </c>
      <c r="C35" s="55" t="s">
        <v>401</v>
      </c>
      <c r="D35" s="43" t="s">
        <v>673</v>
      </c>
      <c r="E35" s="15" t="s">
        <v>615</v>
      </c>
      <c r="F35" s="15" t="s">
        <v>367</v>
      </c>
      <c r="G35" s="20" t="s">
        <v>611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Item_Name_InfinityDoughnut</v>
      </c>
    </row>
    <row r="36" spans="2:9">
      <c r="B36" t="str">
        <f>LocaleTable[[#This Row],['#인덱스제너레이터]]</f>
        <v>Item_Name_Ultra-SmallBlackHole</v>
      </c>
      <c r="C36" s="56" t="s">
        <v>415</v>
      </c>
      <c r="D36" s="43" t="s">
        <v>674</v>
      </c>
      <c r="E36" s="15" t="s">
        <v>615</v>
      </c>
      <c r="F36" s="15" t="s">
        <v>367</v>
      </c>
      <c r="G36" s="20" t="s">
        <v>612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Item_Name_Ultra-SmallBlackHole</v>
      </c>
    </row>
    <row r="37" spans="2:9">
      <c r="B37" t="str">
        <f>LocaleTable[[#This Row],['#인덱스제너레이터]]</f>
        <v>Item_Name_Cyberware</v>
      </c>
      <c r="C37" s="56" t="s">
        <v>556</v>
      </c>
      <c r="D37" s="43" t="s">
        <v>570</v>
      </c>
      <c r="E37" s="15" t="s">
        <v>615</v>
      </c>
      <c r="F37" s="15" t="s">
        <v>367</v>
      </c>
      <c r="G37" s="20" t="s">
        <v>570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Item_Name_Cyberware</v>
      </c>
    </row>
    <row r="38" spans="2:9">
      <c r="B38" t="str">
        <f>LocaleTable[[#This Row],['#인덱스제너레이터]]</f>
        <v>Item_Name_AMissileBackpack</v>
      </c>
      <c r="C38" s="56" t="s">
        <v>403</v>
      </c>
      <c r="D38" s="43" t="s">
        <v>675</v>
      </c>
      <c r="E38" s="15" t="s">
        <v>615</v>
      </c>
      <c r="F38" s="15" t="s">
        <v>367</v>
      </c>
      <c r="G38" s="20" t="s">
        <v>613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Item_Name_AMissileBackpack</v>
      </c>
    </row>
    <row r="39" spans="2:9">
      <c r="B39" t="str">
        <f>LocaleTable[[#This Row],['#인덱스제너레이터]]</f>
        <v>Item_Name_Excalibat</v>
      </c>
      <c r="C39" s="55" t="s">
        <v>508</v>
      </c>
      <c r="D39" s="43" t="s">
        <v>572</v>
      </c>
      <c r="E39" s="15" t="s">
        <v>615</v>
      </c>
      <c r="F39" s="15" t="s">
        <v>367</v>
      </c>
      <c r="G39" s="20" t="s">
        <v>572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Item_Name_Excalibat</v>
      </c>
    </row>
    <row r="40" spans="2:9">
      <c r="B40" t="str">
        <f>LocaleTable[[#This Row],['#인덱스제너레이터]]</f>
        <v>Item_Name_RuyiJinguBat</v>
      </c>
      <c r="C40" s="55" t="s">
        <v>518</v>
      </c>
      <c r="D40" s="43" t="s">
        <v>590</v>
      </c>
      <c r="E40" s="15" t="s">
        <v>615</v>
      </c>
      <c r="F40" s="15" t="s">
        <v>367</v>
      </c>
      <c r="G40" s="20" t="s">
        <v>614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Item_Name_RuyiJinguBat</v>
      </c>
    </row>
    <row r="41" spans="2:9">
      <c r="B41" t="str">
        <f>LocaleTable[[#This Row],['#인덱스제너레이터]]</f>
        <v>Item_Desc_MetalUnicornKeyring</v>
      </c>
      <c r="C41" s="55" t="s">
        <v>452</v>
      </c>
      <c r="D41" s="43" t="s">
        <v>679</v>
      </c>
      <c r="E41" s="15" t="s">
        <v>615</v>
      </c>
      <c r="F41" s="15" t="s">
        <v>620</v>
      </c>
      <c r="G41" s="20" t="s">
        <v>592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Item_Desc_MetalUnicornKeyring</v>
      </c>
    </row>
    <row r="42" spans="2:9">
      <c r="B42" t="str">
        <f>LocaleTable[[#This Row],['#인덱스제너레이터]]</f>
        <v>Item_Desc_AChampionHat</v>
      </c>
      <c r="C42" s="56" t="s">
        <v>272</v>
      </c>
      <c r="D42" s="43" t="s">
        <v>679</v>
      </c>
      <c r="E42" s="15" t="s">
        <v>615</v>
      </c>
      <c r="F42" s="15" t="s">
        <v>620</v>
      </c>
      <c r="G42" s="20" t="s">
        <v>593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Item_Desc_AChampionHat</v>
      </c>
    </row>
    <row r="43" spans="2:9">
      <c r="B43" t="str">
        <f>LocaleTable[[#This Row],['#인덱스제너레이터]]</f>
        <v>Item_Desc_Cool-Dog</v>
      </c>
      <c r="C43" s="56" t="s">
        <v>263</v>
      </c>
      <c r="D43" s="43" t="s">
        <v>679</v>
      </c>
      <c r="E43" s="15" t="s">
        <v>615</v>
      </c>
      <c r="F43" s="15" t="s">
        <v>620</v>
      </c>
      <c r="G43" s="20" t="s">
        <v>594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Item_Desc_Cool-Dog</v>
      </c>
    </row>
    <row r="44" spans="2:9" ht="34.799999999999997">
      <c r="B44" t="str">
        <f>LocaleTable[[#This Row],['#인덱스제너레이터]]</f>
        <v>Item_Desc_QtPowder</v>
      </c>
      <c r="C44" s="55" t="s">
        <v>264</v>
      </c>
      <c r="D44" s="43" t="s">
        <v>679</v>
      </c>
      <c r="E44" s="15" t="s">
        <v>615</v>
      </c>
      <c r="F44" s="15" t="s">
        <v>620</v>
      </c>
      <c r="G44" s="20" t="s">
        <v>595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Item_Desc_QtPowder</v>
      </c>
    </row>
    <row r="45" spans="2:9">
      <c r="B45" t="str">
        <f>LocaleTable[[#This Row],['#인덱스제너레이터]]</f>
        <v>Item_Desc_RedHobbyhorse</v>
      </c>
      <c r="C45" s="57" t="s">
        <v>417</v>
      </c>
      <c r="D45" s="43" t="s">
        <v>679</v>
      </c>
      <c r="E45" s="15" t="s">
        <v>615</v>
      </c>
      <c r="F45" s="15" t="s">
        <v>620</v>
      </c>
      <c r="G45" s="20" t="s">
        <v>596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Item_Desc_RedHobbyhorse</v>
      </c>
    </row>
    <row r="46" spans="2:9">
      <c r="B46" t="str">
        <f>LocaleTable[[#This Row],['#인덱스제너레이터]]</f>
        <v>Item_Desc_Rice_Ball</v>
      </c>
      <c r="C46" s="55" t="s">
        <v>271</v>
      </c>
      <c r="D46" s="43" t="s">
        <v>679</v>
      </c>
      <c r="E46" s="15" t="s">
        <v>615</v>
      </c>
      <c r="F46" s="15" t="s">
        <v>620</v>
      </c>
      <c r="G46" s="20" t="s">
        <v>577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Item_Desc_Rice_Ball</v>
      </c>
    </row>
    <row r="47" spans="2:9" ht="34.799999999999997">
      <c r="B47" t="str">
        <f>LocaleTable[[#This Row],['#인덱스제너레이터]]</f>
        <v>Item_Desc_DevilBull</v>
      </c>
      <c r="C47" s="57" t="s">
        <v>275</v>
      </c>
      <c r="D47" s="43" t="s">
        <v>679</v>
      </c>
      <c r="E47" s="15" t="s">
        <v>615</v>
      </c>
      <c r="F47" s="15" t="s">
        <v>620</v>
      </c>
      <c r="G47" s="20" t="s">
        <v>597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Item_Desc_DevilBull</v>
      </c>
    </row>
    <row r="48" spans="2:9" ht="34.799999999999997">
      <c r="B48" t="str">
        <f>LocaleTable[[#This Row],['#인덱스제너레이터]]</f>
        <v>Item_Desc_TheBoobytrap</v>
      </c>
      <c r="C48" s="56" t="s">
        <v>274</v>
      </c>
      <c r="D48" s="43" t="s">
        <v>679</v>
      </c>
      <c r="E48" s="15" t="s">
        <v>615</v>
      </c>
      <c r="F48" s="15" t="s">
        <v>620</v>
      </c>
      <c r="G48" s="20" t="s">
        <v>598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Item_Desc_TheBoobytrap</v>
      </c>
    </row>
    <row r="49" spans="2:9" ht="34.799999999999997">
      <c r="B49" t="str">
        <f>LocaleTable[[#This Row],['#인덱스제너레이터]]</f>
        <v>Item_Desc_StoneMask</v>
      </c>
      <c r="C49" s="56" t="s">
        <v>418</v>
      </c>
      <c r="D49" s="43" t="s">
        <v>679</v>
      </c>
      <c r="E49" s="15" t="s">
        <v>615</v>
      </c>
      <c r="F49" s="15" t="s">
        <v>620</v>
      </c>
      <c r="G49" s="20" t="s">
        <v>599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Item_Desc_StoneMask</v>
      </c>
    </row>
    <row r="50" spans="2:9" ht="34.799999999999997">
      <c r="B50" t="str">
        <f>LocaleTable[[#This Row],['#인덱스제너레이터]]</f>
        <v>Item_Desc_AFiercePiggyBank</v>
      </c>
      <c r="C50" s="56" t="s">
        <v>266</v>
      </c>
      <c r="D50" s="43" t="s">
        <v>679</v>
      </c>
      <c r="E50" s="15" t="s">
        <v>615</v>
      </c>
      <c r="F50" s="15" t="s">
        <v>620</v>
      </c>
      <c r="G50" s="20" t="s">
        <v>600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Item_Desc_AFiercePiggyBank</v>
      </c>
    </row>
    <row r="51" spans="2:9">
      <c r="B51" t="str">
        <f>LocaleTable[[#This Row],['#인덱스제너레이터]]</f>
        <v>Item_Desc_SomethingInTheHolyGrail</v>
      </c>
      <c r="C51" s="56" t="s">
        <v>268</v>
      </c>
      <c r="D51" s="43" t="s">
        <v>679</v>
      </c>
      <c r="E51" s="15" t="s">
        <v>615</v>
      </c>
      <c r="F51" s="15" t="s">
        <v>620</v>
      </c>
      <c r="G51" s="20" t="s">
        <v>601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Item_Desc_SomethingInTheHolyGrail</v>
      </c>
    </row>
    <row r="52" spans="2:9">
      <c r="B52" t="str">
        <f>LocaleTable[[#This Row],['#인덱스제너레이터]]</f>
        <v>Item_Desc_StrangeCandy</v>
      </c>
      <c r="C52" s="56" t="s">
        <v>682</v>
      </c>
      <c r="D52" s="43" t="s">
        <v>679</v>
      </c>
      <c r="E52" s="15" t="s">
        <v>615</v>
      </c>
      <c r="F52" s="15" t="s">
        <v>620</v>
      </c>
      <c r="G52" s="20" t="s">
        <v>602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Item_Desc_StrangeCandy</v>
      </c>
    </row>
    <row r="53" spans="2:9">
      <c r="B53" t="str">
        <f>LocaleTable[[#This Row],['#인덱스제너레이터]]</f>
        <v>Item_Desc_KerberosPitcher</v>
      </c>
      <c r="C53" s="56" t="s">
        <v>406</v>
      </c>
      <c r="D53" s="43" t="s">
        <v>679</v>
      </c>
      <c r="E53" s="15" t="s">
        <v>615</v>
      </c>
      <c r="F53" s="15" t="s">
        <v>620</v>
      </c>
      <c r="G53" s="20" t="s">
        <v>603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Item_Desc_KerberosPitcher</v>
      </c>
    </row>
    <row r="54" spans="2:9">
      <c r="B54" t="str">
        <f>LocaleTable[[#This Row],['#인덱스제너레이터]]</f>
        <v>Item_Desc_ABucketOfCocoa</v>
      </c>
      <c r="C54" s="55" t="s">
        <v>270</v>
      </c>
      <c r="D54" s="43" t="s">
        <v>679</v>
      </c>
      <c r="E54" s="15" t="s">
        <v>615</v>
      </c>
      <c r="F54" s="15" t="s">
        <v>620</v>
      </c>
      <c r="G54" s="20" t="s">
        <v>604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Item_Desc_ABucketOfCocoa</v>
      </c>
    </row>
    <row r="55" spans="2:9">
      <c r="B55" t="str">
        <f>LocaleTable[[#This Row],['#인덱스제너레이터]]</f>
        <v>Item_Desc_SadCanrio</v>
      </c>
      <c r="C55" s="55" t="s">
        <v>421</v>
      </c>
      <c r="D55" s="43" t="s">
        <v>679</v>
      </c>
      <c r="E55" s="15" t="s">
        <v>615</v>
      </c>
      <c r="F55" s="15" t="s">
        <v>620</v>
      </c>
      <c r="G55" s="20" t="s">
        <v>605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Item_Desc_SadCanrio</v>
      </c>
    </row>
    <row r="56" spans="2:9" ht="34.799999999999997">
      <c r="B56" t="str">
        <f>LocaleTable[[#This Row],['#인덱스제너레이터]]</f>
        <v>Item_Desc_GrilledGreenFrog</v>
      </c>
      <c r="C56" s="56" t="s">
        <v>269</v>
      </c>
      <c r="D56" s="43" t="s">
        <v>679</v>
      </c>
      <c r="E56" s="15" t="s">
        <v>615</v>
      </c>
      <c r="F56" s="15" t="s">
        <v>620</v>
      </c>
      <c r="G56" s="20" t="s">
        <v>606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Item_Desc_GrilledGreenFrog</v>
      </c>
    </row>
    <row r="57" spans="2:9" ht="34.799999999999997">
      <c r="B57" t="str">
        <f>LocaleTable[[#This Row],['#인덱스제너레이터]]</f>
        <v>Item_Desc_Someone'SDiary</v>
      </c>
      <c r="C57" s="55" t="s">
        <v>267</v>
      </c>
      <c r="D57" s="43" t="s">
        <v>679</v>
      </c>
      <c r="E57" s="15" t="s">
        <v>615</v>
      </c>
      <c r="F57" s="15" t="s">
        <v>620</v>
      </c>
      <c r="G57" s="20" t="s">
        <v>607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Item_Desc_Someone'SDiary</v>
      </c>
    </row>
    <row r="58" spans="2:9" ht="34.799999999999997">
      <c r="B58" t="str">
        <f>LocaleTable[[#This Row],['#인덱스제너레이터]]</f>
        <v>Item_Desc_PraiseTheSun</v>
      </c>
      <c r="C58" s="55" t="s">
        <v>273</v>
      </c>
      <c r="D58" s="43" t="s">
        <v>679</v>
      </c>
      <c r="E58" s="15" t="s">
        <v>615</v>
      </c>
      <c r="F58" s="15" t="s">
        <v>620</v>
      </c>
      <c r="G58" s="20" t="s">
        <v>608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Item_Desc_PraiseTheSun</v>
      </c>
    </row>
    <row r="59" spans="2:9">
      <c r="B59" t="str">
        <f>LocaleTable[[#This Row],['#인덱스제너레이터]]</f>
        <v>Item_Desc_DodgeCat</v>
      </c>
      <c r="C59" s="55" t="s">
        <v>500</v>
      </c>
      <c r="D59" s="43" t="s">
        <v>679</v>
      </c>
      <c r="E59" s="15" t="s">
        <v>615</v>
      </c>
      <c r="F59" s="15" t="s">
        <v>620</v>
      </c>
      <c r="G59" s="20" t="s">
        <v>609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Item_Desc_DodgeCat</v>
      </c>
    </row>
    <row r="60" spans="2:9" ht="34.799999999999997">
      <c r="B60" t="str">
        <f>LocaleTable[[#This Row],['#인덱스제너레이터]]</f>
        <v>Item_Desc_AnAdult'SCard</v>
      </c>
      <c r="C60" s="55" t="s">
        <v>505</v>
      </c>
      <c r="D60" s="43" t="s">
        <v>679</v>
      </c>
      <c r="E60" s="15" t="s">
        <v>615</v>
      </c>
      <c r="F60" s="15" t="s">
        <v>620</v>
      </c>
      <c r="G60" s="20" t="s">
        <v>610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Item_Desc_AnAdult'SCard</v>
      </c>
    </row>
    <row r="61" spans="2:9">
      <c r="B61" t="str">
        <f>LocaleTable[[#This Row],['#인덱스제너레이터]]</f>
        <v>Item_Desc_InfinityDoughnut</v>
      </c>
      <c r="C61" s="55" t="s">
        <v>429</v>
      </c>
      <c r="D61" s="43" t="s">
        <v>679</v>
      </c>
      <c r="E61" s="15" t="s">
        <v>615</v>
      </c>
      <c r="F61" s="15" t="s">
        <v>620</v>
      </c>
      <c r="G61" s="20" t="s">
        <v>611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Item_Desc_InfinityDoughnut</v>
      </c>
    </row>
    <row r="62" spans="2:9">
      <c r="B62" t="str">
        <f>LocaleTable[[#This Row],['#인덱스제너레이터]]</f>
        <v>Item_Desc_Ultra-SmallBlackHole</v>
      </c>
      <c r="C62" s="56" t="s">
        <v>419</v>
      </c>
      <c r="D62" s="43" t="s">
        <v>679</v>
      </c>
      <c r="E62" s="15" t="s">
        <v>615</v>
      </c>
      <c r="F62" s="15" t="s">
        <v>620</v>
      </c>
      <c r="G62" s="20" t="s">
        <v>612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Item_Desc_Ultra-SmallBlackHole</v>
      </c>
    </row>
    <row r="63" spans="2:9" ht="34.799999999999997">
      <c r="B63" t="str">
        <f>LocaleTable[[#This Row],['#인덱스제너레이터]]</f>
        <v>Item_Desc_Cyberware</v>
      </c>
      <c r="C63" s="56" t="s">
        <v>557</v>
      </c>
      <c r="D63" s="43" t="s">
        <v>679</v>
      </c>
      <c r="E63" s="15" t="s">
        <v>615</v>
      </c>
      <c r="F63" s="15" t="s">
        <v>620</v>
      </c>
      <c r="G63" s="20" t="s">
        <v>570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Item_Desc_Cyberware</v>
      </c>
    </row>
    <row r="64" spans="2:9">
      <c r="B64" t="str">
        <f>LocaleTable[[#This Row],['#인덱스제너레이터]]</f>
        <v>Item_Desc_AMissileBackpack</v>
      </c>
      <c r="C64" s="56" t="s">
        <v>416</v>
      </c>
      <c r="D64" s="43" t="s">
        <v>679</v>
      </c>
      <c r="E64" s="15" t="s">
        <v>615</v>
      </c>
      <c r="F64" s="15" t="s">
        <v>620</v>
      </c>
      <c r="G64" s="20" t="s">
        <v>613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Item_Desc_AMissileBackpack</v>
      </c>
    </row>
    <row r="65" spans="2:9">
      <c r="B65" t="str">
        <f>LocaleTable[[#This Row],['#인덱스제너레이터]]</f>
        <v>Item_Desc_Excalibat</v>
      </c>
      <c r="C65" s="55" t="s">
        <v>509</v>
      </c>
      <c r="D65" s="43" t="s">
        <v>679</v>
      </c>
      <c r="E65" s="15" t="s">
        <v>615</v>
      </c>
      <c r="F65" s="15" t="s">
        <v>620</v>
      </c>
      <c r="G65" s="20" t="s">
        <v>572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Item_Desc_Excalibat</v>
      </c>
    </row>
    <row r="66" spans="2:9">
      <c r="B66" t="str">
        <f>LocaleTable[[#This Row],['#인덱스제너레이터]]</f>
        <v>Item_Desc_RuyiJinguBat</v>
      </c>
      <c r="C66" s="55" t="s">
        <v>519</v>
      </c>
      <c r="D66" s="43" t="s">
        <v>679</v>
      </c>
      <c r="E66" s="15" t="s">
        <v>615</v>
      </c>
      <c r="F66" s="15" t="s">
        <v>620</v>
      </c>
      <c r="G66" s="20" t="s">
        <v>614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Item_Desc_RuyiJinguBat</v>
      </c>
    </row>
    <row r="67" spans="2:9">
      <c r="B67" t="str">
        <f>LocaleTable[[#This Row],['#인덱스제너레이터]]</f>
        <v>Item_PlusDesc_MetalUnicornKeyring</v>
      </c>
      <c r="C67" s="56" t="s">
        <v>457</v>
      </c>
      <c r="D67" s="43" t="s">
        <v>680</v>
      </c>
      <c r="E67" s="15" t="s">
        <v>615</v>
      </c>
      <c r="F67" s="15" t="s">
        <v>394</v>
      </c>
      <c r="G67" s="20" t="s">
        <v>592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Item_PlusDesc_MetalUnicornKeyring</v>
      </c>
    </row>
    <row r="68" spans="2:9">
      <c r="B68" t="str">
        <f>LocaleTable[[#This Row],['#인덱스제너레이터]]</f>
        <v>Item_PlusDesc_AChampionHat</v>
      </c>
      <c r="C68" s="55" t="s">
        <v>252</v>
      </c>
      <c r="D68" s="43" t="s">
        <v>680</v>
      </c>
      <c r="E68" s="15" t="s">
        <v>615</v>
      </c>
      <c r="F68" s="15" t="s">
        <v>394</v>
      </c>
      <c r="G68" s="20" t="s">
        <v>593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Item_PlusDesc_AChampionHat</v>
      </c>
    </row>
    <row r="69" spans="2:9">
      <c r="B69" t="str">
        <f>LocaleTable[[#This Row],['#인덱스제너레이터]]</f>
        <v>Item_PlusDesc_Cool-Dog</v>
      </c>
      <c r="C69" s="55" t="s">
        <v>248</v>
      </c>
      <c r="D69" s="43" t="s">
        <v>680</v>
      </c>
      <c r="E69" s="15" t="s">
        <v>615</v>
      </c>
      <c r="F69" s="15" t="s">
        <v>394</v>
      </c>
      <c r="G69" s="20" t="s">
        <v>594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Item_PlusDesc_Cool-Dog</v>
      </c>
    </row>
    <row r="70" spans="2:9">
      <c r="B70" t="str">
        <f>LocaleTable[[#This Row],['#인덱스제너레이터]]</f>
        <v>Item_PlusDesc_QtPowder</v>
      </c>
      <c r="C70" s="55" t="s">
        <v>453</v>
      </c>
      <c r="D70" s="43" t="s">
        <v>680</v>
      </c>
      <c r="E70" s="15" t="s">
        <v>615</v>
      </c>
      <c r="F70" s="15" t="s">
        <v>394</v>
      </c>
      <c r="G70" s="20" t="s">
        <v>595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Item_PlusDesc_QtPowder</v>
      </c>
    </row>
    <row r="71" spans="2:9">
      <c r="B71" t="str">
        <f>LocaleTable[[#This Row],['#인덱스제너레이터]]</f>
        <v>Item_PlusDesc_RedHobbyhorse</v>
      </c>
      <c r="C71" s="55" t="s">
        <v>396</v>
      </c>
      <c r="D71" s="43" t="s">
        <v>680</v>
      </c>
      <c r="E71" s="15" t="s">
        <v>615</v>
      </c>
      <c r="F71" s="15" t="s">
        <v>394</v>
      </c>
      <c r="G71" s="20" t="s">
        <v>596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Item_PlusDesc_RedHobbyhorse</v>
      </c>
    </row>
    <row r="72" spans="2:9">
      <c r="B72" t="str">
        <f>LocaleTable[[#This Row],['#인덱스제너레이터]]</f>
        <v>Item_PlusDesc_Rice_Ball</v>
      </c>
      <c r="C72" s="55" t="s">
        <v>491</v>
      </c>
      <c r="D72" s="43" t="s">
        <v>680</v>
      </c>
      <c r="E72" s="15" t="s">
        <v>615</v>
      </c>
      <c r="F72" s="15" t="s">
        <v>394</v>
      </c>
      <c r="G72" s="20" t="s">
        <v>577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Item_PlusDesc_Rice_Ball</v>
      </c>
    </row>
    <row r="73" spans="2:9">
      <c r="B73" t="str">
        <f>LocaleTable[[#This Row],['#인덱스제너레이터]]</f>
        <v>Item_PlusDesc_DevilBull</v>
      </c>
      <c r="C73" s="57" t="s">
        <v>495</v>
      </c>
      <c r="D73" s="43" t="s">
        <v>680</v>
      </c>
      <c r="E73" s="15" t="s">
        <v>615</v>
      </c>
      <c r="F73" s="15" t="s">
        <v>394</v>
      </c>
      <c r="G73" s="20" t="s">
        <v>597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Item_PlusDesc_DevilBull</v>
      </c>
    </row>
    <row r="74" spans="2:9">
      <c r="B74" t="str">
        <f>LocaleTable[[#This Row],['#인덱스제너레이터]]</f>
        <v>Item_PlusDesc_TheBoobytrap</v>
      </c>
      <c r="C74" s="55" t="s">
        <v>445</v>
      </c>
      <c r="D74" s="43" t="s">
        <v>680</v>
      </c>
      <c r="E74" s="15" t="s">
        <v>615</v>
      </c>
      <c r="F74" s="15" t="s">
        <v>394</v>
      </c>
      <c r="G74" s="20" t="s">
        <v>598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Item_PlusDesc_TheBoobytrap</v>
      </c>
    </row>
    <row r="75" spans="2:9">
      <c r="B75" t="str">
        <f>LocaleTable[[#This Row],['#인덱스제너레이터]]</f>
        <v>Item_PlusDesc_StoneMask</v>
      </c>
      <c r="C75" s="55" t="s">
        <v>497</v>
      </c>
      <c r="D75" s="43" t="s">
        <v>680</v>
      </c>
      <c r="E75" s="15" t="s">
        <v>615</v>
      </c>
      <c r="F75" s="15" t="s">
        <v>394</v>
      </c>
      <c r="G75" s="20" t="s">
        <v>599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Item_PlusDesc_StoneMask</v>
      </c>
    </row>
    <row r="76" spans="2:9">
      <c r="B76" t="str">
        <f>LocaleTable[[#This Row],['#인덱스제너레이터]]</f>
        <v>Item_PlusDesc_AFiercePiggyBank</v>
      </c>
      <c r="C76" s="55" t="s">
        <v>414</v>
      </c>
      <c r="D76" s="43" t="s">
        <v>680</v>
      </c>
      <c r="E76" s="15" t="s">
        <v>615</v>
      </c>
      <c r="F76" s="15" t="s">
        <v>394</v>
      </c>
      <c r="G76" s="20" t="s">
        <v>600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Item_PlusDesc_AFiercePiggyBank</v>
      </c>
    </row>
    <row r="77" spans="2:9">
      <c r="B77" t="str">
        <f>LocaleTable[[#This Row],['#인덱스제너레이터]]</f>
        <v>Item_PlusDesc_SomethingInTheHolyGrail</v>
      </c>
      <c r="C77" s="55" t="s">
        <v>424</v>
      </c>
      <c r="D77" s="43" t="s">
        <v>680</v>
      </c>
      <c r="E77" s="15" t="s">
        <v>615</v>
      </c>
      <c r="F77" s="15" t="s">
        <v>394</v>
      </c>
      <c r="G77" s="20" t="s">
        <v>601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Item_PlusDesc_SomethingInTheHolyGrail</v>
      </c>
    </row>
    <row r="78" spans="2:9">
      <c r="B78" t="str">
        <f>LocaleTable[[#This Row],['#인덱스제너레이터]]</f>
        <v>Item_PlusDesc_StrangeCandy</v>
      </c>
      <c r="C78" s="55" t="s">
        <v>492</v>
      </c>
      <c r="D78" s="43" t="s">
        <v>680</v>
      </c>
      <c r="E78" s="15" t="s">
        <v>615</v>
      </c>
      <c r="F78" s="15" t="s">
        <v>394</v>
      </c>
      <c r="G78" s="20" t="s">
        <v>602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Item_PlusDesc_StrangeCandy</v>
      </c>
    </row>
    <row r="79" spans="2:9">
      <c r="B79" t="str">
        <f>LocaleTable[[#This Row],['#인덱스제너레이터]]</f>
        <v>Item_PlusDesc_KerberosPitcher</v>
      </c>
      <c r="C79" s="56" t="s">
        <v>496</v>
      </c>
      <c r="D79" s="43" t="s">
        <v>680</v>
      </c>
      <c r="E79" s="15" t="s">
        <v>615</v>
      </c>
      <c r="F79" s="15" t="s">
        <v>394</v>
      </c>
      <c r="G79" s="20" t="s">
        <v>603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Item_PlusDesc_KerberosPitcher</v>
      </c>
    </row>
    <row r="80" spans="2:9">
      <c r="B80" t="str">
        <f>LocaleTable[[#This Row],['#인덱스제너레이터]]</f>
        <v>Item_PlusDesc_ABucketOfCocoa</v>
      </c>
      <c r="C80" s="55" t="s">
        <v>463</v>
      </c>
      <c r="D80" s="43" t="s">
        <v>680</v>
      </c>
      <c r="E80" s="15" t="s">
        <v>615</v>
      </c>
      <c r="F80" s="15" t="s">
        <v>394</v>
      </c>
      <c r="G80" s="20" t="s">
        <v>604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Item_PlusDesc_ABucketOfCocoa</v>
      </c>
    </row>
    <row r="81" spans="2:9">
      <c r="B81" t="str">
        <f>LocaleTable[[#This Row],['#인덱스제너레이터]]</f>
        <v>Item_PlusDesc_SadCanrio</v>
      </c>
      <c r="C81" s="55" t="s">
        <v>450</v>
      </c>
      <c r="D81" s="43" t="s">
        <v>680</v>
      </c>
      <c r="E81" s="15" t="s">
        <v>615</v>
      </c>
      <c r="F81" s="15" t="s">
        <v>394</v>
      </c>
      <c r="G81" s="20" t="s">
        <v>605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Item_PlusDesc_SadCanrio</v>
      </c>
    </row>
    <row r="82" spans="2:9">
      <c r="B82" t="str">
        <f>LocaleTable[[#This Row],['#인덱스제너레이터]]</f>
        <v>Item_PlusDesc_GrilledGreenFrog</v>
      </c>
      <c r="C82" s="55" t="s">
        <v>341</v>
      </c>
      <c r="D82" s="43" t="s">
        <v>680</v>
      </c>
      <c r="E82" s="15" t="s">
        <v>615</v>
      </c>
      <c r="F82" s="15" t="s">
        <v>394</v>
      </c>
      <c r="G82" s="20" t="s">
        <v>606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Item_PlusDesc_GrilledGreenFrog</v>
      </c>
    </row>
    <row r="83" spans="2:9">
      <c r="B83" t="str">
        <f>LocaleTable[[#This Row],['#인덱스제너레이터]]</f>
        <v>Item_PlusDesc_Someone'SDiary</v>
      </c>
      <c r="C83" s="55" t="s">
        <v>428</v>
      </c>
      <c r="D83" s="43" t="s">
        <v>680</v>
      </c>
      <c r="E83" s="15" t="s">
        <v>615</v>
      </c>
      <c r="F83" s="15" t="s">
        <v>394</v>
      </c>
      <c r="G83" s="20" t="s">
        <v>607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Item_PlusDesc_Someone'SDiary</v>
      </c>
    </row>
    <row r="84" spans="2:9">
      <c r="B84" t="str">
        <f>LocaleTable[[#This Row],['#인덱스제너레이터]]</f>
        <v>Item_PlusDesc_PraiseTheSun</v>
      </c>
      <c r="C84" s="55" t="s">
        <v>501</v>
      </c>
      <c r="D84" s="43" t="s">
        <v>680</v>
      </c>
      <c r="E84" s="15" t="s">
        <v>615</v>
      </c>
      <c r="F84" s="15" t="s">
        <v>394</v>
      </c>
      <c r="G84" s="20" t="s">
        <v>608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Item_PlusDesc_PraiseTheSun</v>
      </c>
    </row>
    <row r="85" spans="2:9">
      <c r="B85" t="str">
        <f>LocaleTable[[#This Row],['#인덱스제너레이터]]</f>
        <v>Item_PlusDesc_DodgeCat</v>
      </c>
      <c r="C85" s="55" t="s">
        <v>455</v>
      </c>
      <c r="D85" s="43" t="s">
        <v>680</v>
      </c>
      <c r="E85" s="15" t="s">
        <v>615</v>
      </c>
      <c r="F85" s="15" t="s">
        <v>394</v>
      </c>
      <c r="G85" s="20" t="s">
        <v>609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Item_PlusDesc_DodgeCat</v>
      </c>
    </row>
    <row r="86" spans="2:9">
      <c r="B86" t="str">
        <f>LocaleTable[[#This Row],['#인덱스제너레이터]]</f>
        <v>Item_PlusDesc_AnAdult'SCard</v>
      </c>
      <c r="C86" s="55" t="s">
        <v>554</v>
      </c>
      <c r="D86" s="43" t="s">
        <v>680</v>
      </c>
      <c r="E86" s="15" t="s">
        <v>615</v>
      </c>
      <c r="F86" s="15" t="s">
        <v>394</v>
      </c>
      <c r="G86" s="20" t="s">
        <v>610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Item_PlusDesc_AnAdult'SCard</v>
      </c>
    </row>
    <row r="87" spans="2:9">
      <c r="B87" t="str">
        <f>LocaleTable[[#This Row],['#인덱스제너레이터]]</f>
        <v>Item_PlusDesc_InfinityDoughnut</v>
      </c>
      <c r="C87" s="56" t="s">
        <v>402</v>
      </c>
      <c r="D87" s="43" t="s">
        <v>680</v>
      </c>
      <c r="E87" s="15" t="s">
        <v>615</v>
      </c>
      <c r="F87" s="15" t="s">
        <v>394</v>
      </c>
      <c r="G87" s="20" t="s">
        <v>611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Item_PlusDesc_InfinityDoughnut</v>
      </c>
    </row>
    <row r="88" spans="2:9">
      <c r="B88" t="str">
        <f>LocaleTable[[#This Row],['#인덱스제너레이터]]</f>
        <v>Item_PlusDesc_Ultra-SmallBlackHole</v>
      </c>
      <c r="C88" s="56" t="s">
        <v>553</v>
      </c>
      <c r="D88" s="43" t="s">
        <v>680</v>
      </c>
      <c r="E88" s="15" t="s">
        <v>615</v>
      </c>
      <c r="F88" s="15" t="s">
        <v>394</v>
      </c>
      <c r="G88" s="20" t="s">
        <v>612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Item_PlusDesc_Ultra-SmallBlackHole</v>
      </c>
    </row>
    <row r="89" spans="2:9">
      <c r="B89" t="str">
        <f>LocaleTable[[#This Row],['#인덱스제너레이터]]</f>
        <v>Item_PlusDesc_Cyberware</v>
      </c>
      <c r="C89" s="56" t="s">
        <v>558</v>
      </c>
      <c r="D89" s="43" t="s">
        <v>680</v>
      </c>
      <c r="E89" s="15" t="s">
        <v>615</v>
      </c>
      <c r="F89" s="15" t="s">
        <v>394</v>
      </c>
      <c r="G89" s="20" t="s">
        <v>570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Item_PlusDesc_Cyberware</v>
      </c>
    </row>
    <row r="90" spans="2:9">
      <c r="B90" t="str">
        <f>LocaleTable[[#This Row],['#인덱스제너레이터]]</f>
        <v>Item_PlusDesc_AMissileBackpack</v>
      </c>
      <c r="C90" s="56" t="s">
        <v>551</v>
      </c>
      <c r="D90" s="43" t="s">
        <v>680</v>
      </c>
      <c r="E90" s="15" t="s">
        <v>615</v>
      </c>
      <c r="F90" s="15" t="s">
        <v>394</v>
      </c>
      <c r="G90" s="20" t="s">
        <v>613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Item_PlusDesc_AMissileBackpack</v>
      </c>
    </row>
    <row r="91" spans="2:9">
      <c r="B91" t="str">
        <f>LocaleTable[[#This Row],['#인덱스제너레이터]]</f>
        <v>Item_PlusDesc_Excalibat</v>
      </c>
      <c r="C91" s="55" t="s">
        <v>510</v>
      </c>
      <c r="D91" s="43" t="s">
        <v>680</v>
      </c>
      <c r="E91" s="15" t="s">
        <v>615</v>
      </c>
      <c r="F91" s="15" t="s">
        <v>394</v>
      </c>
      <c r="G91" s="20" t="s">
        <v>572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Item_PlusDesc_Excalibat</v>
      </c>
    </row>
    <row r="92" spans="2:9">
      <c r="B92" t="str">
        <f>LocaleTable[[#This Row],['#인덱스제너레이터]]</f>
        <v>Item_PlusDesc_RuyiJinguBat</v>
      </c>
      <c r="C92" s="55" t="s">
        <v>552</v>
      </c>
      <c r="D92" s="43" t="s">
        <v>680</v>
      </c>
      <c r="E92" s="15" t="s">
        <v>615</v>
      </c>
      <c r="F92" s="15" t="s">
        <v>394</v>
      </c>
      <c r="G92" s="20" t="s">
        <v>614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Item_PlusDesc_RuyiJinguBat</v>
      </c>
    </row>
    <row r="93" spans="2:9">
      <c r="B93" t="str">
        <f>LocaleTable[[#This Row],['#인덱스제너레이터]]</f>
        <v>Item_MinusDesc_MetalUnicornKeyring</v>
      </c>
      <c r="C93" s="58"/>
      <c r="D93" s="12"/>
      <c r="E93" s="15" t="s">
        <v>615</v>
      </c>
      <c r="F93" s="15" t="s">
        <v>395</v>
      </c>
      <c r="G93" s="20" t="s">
        <v>592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Item_MinusDesc_MetalUnicornKeyring</v>
      </c>
    </row>
    <row r="94" spans="2:9">
      <c r="B94" t="str">
        <f>LocaleTable[[#This Row],['#인덱스제너레이터]]</f>
        <v>Item_MinusDesc_AChampionHat</v>
      </c>
      <c r="C94" s="55"/>
      <c r="D94" s="12"/>
      <c r="E94" s="15" t="s">
        <v>615</v>
      </c>
      <c r="F94" s="15" t="s">
        <v>395</v>
      </c>
      <c r="G94" s="20" t="s">
        <v>593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Item_MinusDesc_AChampionHat</v>
      </c>
    </row>
    <row r="95" spans="2:9">
      <c r="B95" t="str">
        <f>LocaleTable[[#This Row],['#인덱스제너레이터]]</f>
        <v>Item_MinusDesc_Cool-Dog</v>
      </c>
      <c r="C95" s="55"/>
      <c r="D95" s="12"/>
      <c r="E95" s="15" t="s">
        <v>615</v>
      </c>
      <c r="F95" s="15" t="s">
        <v>395</v>
      </c>
      <c r="G95" s="20" t="s">
        <v>594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Item_MinusDesc_Cool-Dog</v>
      </c>
    </row>
    <row r="96" spans="2:9">
      <c r="B96" t="str">
        <f>LocaleTable[[#This Row],['#인덱스제너레이터]]</f>
        <v>Item_MinusDesc_QtPowder</v>
      </c>
      <c r="C96" s="55"/>
      <c r="D96" s="12"/>
      <c r="E96" s="15" t="s">
        <v>615</v>
      </c>
      <c r="F96" s="15" t="s">
        <v>395</v>
      </c>
      <c r="G96" s="20" t="s">
        <v>595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Item_MinusDesc_QtPowder</v>
      </c>
    </row>
    <row r="97" spans="2:9">
      <c r="B97" t="str">
        <f>LocaleTable[[#This Row],['#인덱스제너레이터]]</f>
        <v>Item_MinusDesc_RedHobbyhorse</v>
      </c>
      <c r="C97" s="57"/>
      <c r="D97" s="12"/>
      <c r="E97" s="15" t="s">
        <v>615</v>
      </c>
      <c r="F97" s="15" t="s">
        <v>395</v>
      </c>
      <c r="G97" s="20" t="s">
        <v>596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Item_MinusDesc_RedHobbyhorse</v>
      </c>
    </row>
    <row r="98" spans="2:9">
      <c r="B98" t="str">
        <f>LocaleTable[[#This Row],['#인덱스제너레이터]]</f>
        <v>Item_MinusDesc_Rice_Ball</v>
      </c>
      <c r="C98" s="59"/>
      <c r="D98" s="12"/>
      <c r="E98" s="15" t="s">
        <v>615</v>
      </c>
      <c r="F98" s="15" t="s">
        <v>395</v>
      </c>
      <c r="G98" s="20" t="s">
        <v>577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Item_MinusDesc_Rice_Ball</v>
      </c>
    </row>
    <row r="99" spans="2:9">
      <c r="B99" t="str">
        <f>LocaleTable[[#This Row],['#인덱스제너레이터]]</f>
        <v>Item_MinusDesc_DevilBull</v>
      </c>
      <c r="C99" s="57"/>
      <c r="D99" s="12"/>
      <c r="E99" s="15" t="s">
        <v>615</v>
      </c>
      <c r="F99" s="15" t="s">
        <v>395</v>
      </c>
      <c r="G99" s="20" t="s">
        <v>597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Item_MinusDesc_DevilBull</v>
      </c>
    </row>
    <row r="100" spans="2:9">
      <c r="B100" t="str">
        <f>LocaleTable[[#This Row],['#인덱스제너레이터]]</f>
        <v>Item_MinusDesc_TheBoobytrap</v>
      </c>
      <c r="C100" s="55"/>
      <c r="D100" s="12"/>
      <c r="E100" s="15" t="s">
        <v>615</v>
      </c>
      <c r="F100" s="15" t="s">
        <v>395</v>
      </c>
      <c r="G100" s="20" t="s">
        <v>598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Item_MinusDesc_TheBoobytrap</v>
      </c>
    </row>
    <row r="101" spans="2:9">
      <c r="B101" t="str">
        <f>LocaleTable[[#This Row],['#인덱스제너레이터]]</f>
        <v>Item_MinusDesc_StoneMask</v>
      </c>
      <c r="C101" s="55"/>
      <c r="D101" s="12"/>
      <c r="E101" s="15" t="s">
        <v>615</v>
      </c>
      <c r="F101" s="15" t="s">
        <v>395</v>
      </c>
      <c r="G101" s="20" t="s">
        <v>599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Item_MinusDesc_StoneMask</v>
      </c>
    </row>
    <row r="102" spans="2:9">
      <c r="B102" t="str">
        <f>LocaleTable[[#This Row],['#인덱스제너레이터]]</f>
        <v>Item_MinusDesc_AFiercePiggyBank</v>
      </c>
      <c r="C102" s="55"/>
      <c r="D102" s="12"/>
      <c r="E102" s="15" t="s">
        <v>615</v>
      </c>
      <c r="F102" s="15" t="s">
        <v>395</v>
      </c>
      <c r="G102" s="20" t="s">
        <v>600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Item_MinusDesc_AFiercePiggyBank</v>
      </c>
    </row>
    <row r="103" spans="2:9">
      <c r="B103" t="str">
        <f>LocaleTable[[#This Row],['#인덱스제너레이터]]</f>
        <v>Item_MinusDesc_SomethingInTheHolyGrail</v>
      </c>
      <c r="C103" s="55"/>
      <c r="D103" s="12"/>
      <c r="E103" s="15" t="s">
        <v>615</v>
      </c>
      <c r="F103" s="15" t="s">
        <v>395</v>
      </c>
      <c r="G103" s="20" t="s">
        <v>601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Item_MinusDesc_SomethingInTheHolyGrail</v>
      </c>
    </row>
    <row r="104" spans="2:9">
      <c r="B104" t="str">
        <f>LocaleTable[[#This Row],['#인덱스제너레이터]]</f>
        <v>Item_MinusDesc_StrangeCandy</v>
      </c>
      <c r="C104" s="59"/>
      <c r="D104" s="12"/>
      <c r="E104" s="15" t="s">
        <v>615</v>
      </c>
      <c r="F104" s="15" t="s">
        <v>395</v>
      </c>
      <c r="G104" s="20" t="s">
        <v>602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Item_MinusDesc_StrangeCandy</v>
      </c>
    </row>
    <row r="105" spans="2:9">
      <c r="B105" t="str">
        <f>LocaleTable[[#This Row],['#인덱스제너레이터]]</f>
        <v>Item_MinusDesc_KerberosPitcher</v>
      </c>
      <c r="C105" s="56"/>
      <c r="D105" s="12"/>
      <c r="E105" s="15" t="s">
        <v>615</v>
      </c>
      <c r="F105" s="15" t="s">
        <v>395</v>
      </c>
      <c r="G105" s="20" t="s">
        <v>603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Item_MinusDesc_KerberosPitcher</v>
      </c>
    </row>
    <row r="106" spans="2:9">
      <c r="B106" t="str">
        <f>LocaleTable[[#This Row],['#인덱스제너레이터]]</f>
        <v>Item_MinusDesc_ABucketOfCocoa</v>
      </c>
      <c r="C106" s="55" t="s">
        <v>462</v>
      </c>
      <c r="D106" s="12" t="s">
        <v>681</v>
      </c>
      <c r="E106" s="15" t="s">
        <v>615</v>
      </c>
      <c r="F106" s="15" t="s">
        <v>395</v>
      </c>
      <c r="G106" s="20" t="s">
        <v>604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Item_MinusDesc_ABucketOfCocoa</v>
      </c>
    </row>
    <row r="107" spans="2:9">
      <c r="B107" t="str">
        <f>LocaleTable[[#This Row],['#인덱스제너레이터]]</f>
        <v>Item_MinusDesc_SadCanrio</v>
      </c>
      <c r="C107" s="55" t="s">
        <v>420</v>
      </c>
      <c r="D107" s="12" t="s">
        <v>681</v>
      </c>
      <c r="E107" s="15" t="s">
        <v>615</v>
      </c>
      <c r="F107" s="15" t="s">
        <v>395</v>
      </c>
      <c r="G107" s="20" t="s">
        <v>605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Item_MinusDesc_SadCanrio</v>
      </c>
    </row>
    <row r="108" spans="2:9">
      <c r="B108" t="str">
        <f>LocaleTable[[#This Row],['#인덱스제너레이터]]</f>
        <v>Item_MinusDesc_GrilledGreenFrog</v>
      </c>
      <c r="C108" s="55" t="s">
        <v>170</v>
      </c>
      <c r="D108" s="43" t="s">
        <v>681</v>
      </c>
      <c r="E108" s="15" t="s">
        <v>615</v>
      </c>
      <c r="F108" s="15" t="s">
        <v>395</v>
      </c>
      <c r="G108" s="20" t="s">
        <v>606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Item_MinusDesc_GrilledGreenFrog</v>
      </c>
    </row>
    <row r="109" spans="2:9">
      <c r="B109" t="str">
        <f>LocaleTable[[#This Row],['#인덱스제너레이터]]</f>
        <v>Item_MinusDesc_Someone'SDiary</v>
      </c>
      <c r="C109" s="55" t="s">
        <v>427</v>
      </c>
      <c r="D109" s="43" t="s">
        <v>681</v>
      </c>
      <c r="E109" s="15" t="s">
        <v>615</v>
      </c>
      <c r="F109" s="15" t="s">
        <v>395</v>
      </c>
      <c r="G109" s="20" t="s">
        <v>607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Item_MinusDesc_Someone'SDiary</v>
      </c>
    </row>
    <row r="110" spans="2:9">
      <c r="B110" t="str">
        <f>LocaleTable[[#This Row],['#인덱스제너레이터]]</f>
        <v>Item_MinusDesc_PraiseTheSun</v>
      </c>
      <c r="C110" s="55" t="s">
        <v>549</v>
      </c>
      <c r="D110" s="43" t="s">
        <v>681</v>
      </c>
      <c r="E110" s="15" t="s">
        <v>615</v>
      </c>
      <c r="F110" s="15" t="s">
        <v>395</v>
      </c>
      <c r="G110" s="20" t="s">
        <v>608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Item_MinusDesc_PraiseTheSun</v>
      </c>
    </row>
    <row r="111" spans="2:9">
      <c r="B111" t="str">
        <f>LocaleTable[[#This Row],['#인덱스제너레이터]]</f>
        <v>Item_MinusDesc_DodgeCat</v>
      </c>
      <c r="C111" s="55" t="s">
        <v>503</v>
      </c>
      <c r="D111" s="43" t="s">
        <v>681</v>
      </c>
      <c r="E111" s="15" t="s">
        <v>615</v>
      </c>
      <c r="F111" s="15" t="s">
        <v>395</v>
      </c>
      <c r="G111" s="20" t="s">
        <v>609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Item_MinusDesc_DodgeCat</v>
      </c>
    </row>
    <row r="112" spans="2:9">
      <c r="B112" t="str">
        <f>LocaleTable[[#This Row],['#인덱스제너레이터]]</f>
        <v>Item_MinusDesc_AnAdult'SCard</v>
      </c>
      <c r="C112" s="55" t="s">
        <v>555</v>
      </c>
      <c r="D112" s="43" t="s">
        <v>681</v>
      </c>
      <c r="E112" s="15" t="s">
        <v>615</v>
      </c>
      <c r="F112" s="15" t="s">
        <v>395</v>
      </c>
      <c r="G112" s="20" t="s">
        <v>610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Item_MinusDesc_AnAdult'SCard</v>
      </c>
    </row>
    <row r="113" spans="2:9">
      <c r="B113" t="str">
        <f>LocaleTable[[#This Row],['#인덱스제너레이터]]</f>
        <v>Item_MinusDesc_InfinityDoughnut</v>
      </c>
      <c r="C113" s="55"/>
      <c r="D113" s="43"/>
      <c r="E113" s="15" t="s">
        <v>615</v>
      </c>
      <c r="F113" s="15" t="s">
        <v>395</v>
      </c>
      <c r="G113" s="20" t="s">
        <v>611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Item_MinusDesc_InfinityDoughnut</v>
      </c>
    </row>
    <row r="114" spans="2:9">
      <c r="B114" t="str">
        <f>LocaleTable[[#This Row],['#인덱스제너레이터]]</f>
        <v>Item_MinusDesc_Ultra-SmallBlackHole</v>
      </c>
      <c r="C114" s="55"/>
      <c r="D114" s="43"/>
      <c r="E114" s="15" t="s">
        <v>615</v>
      </c>
      <c r="F114" s="15" t="s">
        <v>395</v>
      </c>
      <c r="G114" s="20" t="s">
        <v>612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Item_MinusDesc_Ultra-SmallBlackHole</v>
      </c>
    </row>
    <row r="115" spans="2:9">
      <c r="B115" t="str">
        <f>LocaleTable[[#This Row],['#인덱스제너레이터]]</f>
        <v>Item_MinusDesc_Cyberware</v>
      </c>
      <c r="C115" s="60"/>
      <c r="D115" s="12"/>
      <c r="E115" s="15" t="s">
        <v>615</v>
      </c>
      <c r="F115" s="15" t="s">
        <v>395</v>
      </c>
      <c r="G115" s="20" t="s">
        <v>570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Item_MinusDesc_Cyberware</v>
      </c>
    </row>
    <row r="116" spans="2:9">
      <c r="B116" t="str">
        <f>LocaleTable[[#This Row],['#인덱스제너레이터]]</f>
        <v>Item_MinusDesc_AMissileBackpack</v>
      </c>
      <c r="C116" s="60"/>
      <c r="D116" s="12"/>
      <c r="E116" s="15" t="s">
        <v>615</v>
      </c>
      <c r="F116" s="15" t="s">
        <v>395</v>
      </c>
      <c r="G116" s="20" t="s">
        <v>613</v>
      </c>
      <c r="H116" s="20"/>
      <c r="I1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Item_MinusDesc_AMissileBackpack</v>
      </c>
    </row>
    <row r="117" spans="2:9">
      <c r="B117" t="str">
        <f>LocaleTable[[#This Row],['#인덱스제너레이터]]</f>
        <v>Item_MinusDesc_Excalibat</v>
      </c>
      <c r="C117" s="59"/>
      <c r="D117" s="12"/>
      <c r="E117" s="15" t="s">
        <v>615</v>
      </c>
      <c r="F117" s="15" t="s">
        <v>395</v>
      </c>
      <c r="G117" s="20" t="s">
        <v>572</v>
      </c>
      <c r="H117" s="20"/>
      <c r="I1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Item_MinusDesc_Excalibat</v>
      </c>
    </row>
    <row r="118" spans="2:9">
      <c r="B118" t="str">
        <f>LocaleTable[[#This Row],['#인덱스제너레이터]]</f>
        <v>Item_MinusDesc_RuyiJinguBat</v>
      </c>
      <c r="C118" s="58"/>
      <c r="D118" s="12"/>
      <c r="E118" s="15" t="s">
        <v>615</v>
      </c>
      <c r="F118" s="15" t="s">
        <v>395</v>
      </c>
      <c r="G118" s="20" t="s">
        <v>614</v>
      </c>
      <c r="H118" s="20"/>
      <c r="I1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Item_MinusDesc_RuyiJinguBat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2023-10-11T14:13:32Z</dcterms:modified>
  <cp:version>1200.0100.01</cp:version>
</cp:coreProperties>
</file>