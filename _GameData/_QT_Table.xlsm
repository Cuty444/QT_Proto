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3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/_GameData/"/>
    </mc:Choice>
  </mc:AlternateContent>
  <xr:revisionPtr revIDLastSave="0" documentId="13_ncr:1_{5F0EDF2F-5E64-F949-AF9F-A092E1097A95}" xr6:coauthVersionLast="47" xr6:coauthVersionMax="47" xr10:uidLastSave="{00000000-0000-0000-0000-000000000000}"/>
  <bookViews>
    <workbookView xWindow="-20" yWindow="880" windowWidth="36000" windowHeight="22500" firstSheet="11" activeTab="14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5" i="14" l="1"/>
  <c r="C25" i="14"/>
  <c r="Q33" i="13"/>
  <c r="S33" i="13" s="1"/>
  <c r="M32" i="13"/>
  <c r="Q32" i="13"/>
  <c r="S32" i="13" s="1"/>
  <c r="M27" i="13"/>
  <c r="K27" i="13" a="1"/>
  <c r="K27" i="13" s="1"/>
  <c r="I27" i="13" a="1"/>
  <c r="I27" i="13" s="1"/>
  <c r="Q27" i="13"/>
  <c r="S27" i="13" s="1"/>
  <c r="M26" i="13"/>
  <c r="K26" i="13" a="1"/>
  <c r="K26" i="13" s="1"/>
  <c r="I26" i="13" a="1"/>
  <c r="I26" i="13" s="1"/>
  <c r="Q26" i="13"/>
  <c r="S26" i="13" s="1"/>
  <c r="M9" i="2"/>
  <c r="L9" i="2"/>
  <c r="K14" i="2"/>
  <c r="K15" i="2"/>
  <c r="K13" i="2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M28" i="13"/>
  <c r="M29" i="13"/>
  <c r="M30" i="13"/>
  <c r="M31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31" i="13"/>
  <c r="S31" i="13" s="1"/>
  <c r="Q30" i="13"/>
  <c r="S30" i="13" s="1"/>
  <c r="Q29" i="13"/>
  <c r="S29" i="13" s="1"/>
  <c r="S28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W3" i="6"/>
  <c r="O7" i="3" s="1" a="1"/>
  <c r="O7" i="3" s="1"/>
  <c r="V3" i="6"/>
  <c r="U3" i="6"/>
  <c r="T3" i="6"/>
  <c r="S3" i="6"/>
  <c r="R3" i="6"/>
  <c r="Q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 s="1"/>
  <c r="J7" i="3"/>
  <c r="D7" i="2"/>
  <c r="G35" i="2" l="1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10" i="3" s="1"/>
  <c r="P10" i="3" s="1"/>
  <c r="O9" i="3" a="1"/>
  <c r="O9" i="3" s="1"/>
  <c r="P9" i="3" s="1"/>
  <c r="O8" i="3" a="1"/>
  <c r="O8" i="3" s="1"/>
  <c r="P8" i="3" s="1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M13" i="2" l="1"/>
  <c r="M14" i="2"/>
  <c r="L14" i="2"/>
  <c r="L15" i="2"/>
  <c r="L13" i="2"/>
  <c r="S7" i="3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M16" i="2" l="1"/>
  <c r="M19" i="2" s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C4" i="14" l="1"/>
  <c r="M18" i="2"/>
  <c r="B5" i="14"/>
  <c r="B5" i="19" s="1"/>
  <c r="B6" i="14"/>
  <c r="B6" i="19" s="1"/>
  <c r="B7" i="14"/>
  <c r="B7" i="19" s="1"/>
  <c r="C5" i="14"/>
  <c r="B3" i="14"/>
  <c r="B3" i="19" s="1"/>
  <c r="B4" i="14"/>
  <c r="B4" i="19" s="1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B20" i="13" s="1" a="1"/>
  <c r="B20" i="13" s="1"/>
  <c r="K19" i="13" l="1" a="1"/>
  <c r="K19" i="13" s="1"/>
  <c r="C14" i="14" s="1"/>
  <c r="K20" i="13" a="1"/>
  <c r="K20" i="13" s="1"/>
  <c r="C32" i="14" s="1"/>
  <c r="B9" i="14"/>
  <c r="B9" i="19" s="1"/>
  <c r="C10" i="14"/>
  <c r="C12" i="14"/>
  <c r="C8" i="14"/>
  <c r="B11" i="14"/>
  <c r="C4" i="20" s="1"/>
  <c r="C9" i="14"/>
  <c r="C13" i="14"/>
  <c r="B12" i="14"/>
  <c r="B11" i="19" s="1"/>
  <c r="B13" i="14"/>
  <c r="B12" i="19" s="1"/>
  <c r="B10" i="14"/>
  <c r="B10" i="19" s="1"/>
  <c r="C11" i="14"/>
  <c r="B8" i="14"/>
  <c r="B32" i="14" l="1"/>
  <c r="C21" i="14"/>
  <c r="B31" i="14"/>
  <c r="C31" i="14"/>
  <c r="B8" i="19"/>
  <c r="C3" i="20"/>
  <c r="C26" i="14"/>
  <c r="B26" i="14"/>
  <c r="C11" i="20" s="1"/>
  <c r="B27" i="14"/>
  <c r="C12" i="20" s="1"/>
  <c r="B28" i="14"/>
  <c r="C13" i="20" s="1"/>
  <c r="B22" i="14"/>
  <c r="B20" i="19" s="1"/>
  <c r="B23" i="14"/>
  <c r="C8" i="20" s="1"/>
  <c r="B24" i="14"/>
  <c r="B21" i="19" s="1"/>
  <c r="C22" i="14"/>
  <c r="B21" i="14"/>
  <c r="C7" i="20" s="1"/>
  <c r="C18" i="14"/>
  <c r="B18" i="14"/>
  <c r="B17" i="19" s="1"/>
  <c r="B14" i="14"/>
  <c r="C24" i="14"/>
  <c r="B29" i="14"/>
  <c r="C15" i="14"/>
  <c r="B15" i="14"/>
  <c r="C6" i="20" s="1"/>
  <c r="C27" i="14"/>
  <c r="B16" i="14"/>
  <c r="B19" i="14"/>
  <c r="C20" i="14"/>
  <c r="C28" i="14"/>
  <c r="B17" i="14"/>
  <c r="B16" i="19" s="1"/>
  <c r="C19" i="14"/>
  <c r="C29" i="14"/>
  <c r="C23" i="14"/>
  <c r="B20" i="14"/>
  <c r="C16" i="14"/>
  <c r="B30" i="14"/>
  <c r="C15" i="20" s="1"/>
  <c r="C17" i="14"/>
  <c r="C30" i="14"/>
  <c r="B31" i="19" l="1"/>
  <c r="B30" i="19"/>
  <c r="C16" i="20"/>
  <c r="B29" i="19"/>
  <c r="B18" i="19"/>
  <c r="C9" i="20"/>
  <c r="B19" i="19"/>
  <c r="C10" i="20"/>
  <c r="B24" i="19"/>
  <c r="C14" i="20"/>
  <c r="B23" i="19"/>
  <c r="B22" i="19"/>
  <c r="B13" i="19"/>
  <c r="C5" i="20"/>
  <c r="B26" i="19"/>
  <c r="B27" i="19"/>
  <c r="B28" i="19"/>
  <c r="B25" i="19"/>
  <c r="B14" i="19"/>
  <c r="B15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<sst xmlns="http://schemas.openxmlformats.org/spreadsheetml/2006/main" count="1266" uniqueCount="690">
  <si>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</si>
  <si>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</si>
  <si>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</si>
  <si>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</si>
  <si>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</si>
  <si>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</si>
  <si>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</si>
  <si>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</si>
  <si>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</si>
  <si>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</si>
  <si>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</si>
  <si>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</si>
  <si>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</si>
  <si>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</si>
  <si>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</si>
  <si>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</si>
  <si>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</si>
  <si>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</si>
  <si>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이동하지 않을 때 시간이 멈춤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</si>
  <si>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</si>
  <si>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</si>
  <si>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</si>
  <si>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</si>
  <si>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</si>
  <si>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</si>
  <si>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</si>
  <si>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</si>
  <si>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</si>
  <si>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</si>
  <si>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</si>
  <si>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</si>
  <si>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</si>
  <si>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</si>
  <si>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</si>
  <si>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</si>
  <si>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</si>
  <si>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</si>
  <si>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</si>
  <si>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</si>
  <si>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</si>
  <si>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</si>
  <si>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</si>
  <si>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</si>
  <si>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</si>
  <si>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</si>
  <si>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</si>
  <si>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</si>
  <si>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</si>
  <si>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</si>
  <si>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</si>
  <si>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</si>
  <si>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</si>
  <si>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</si>
  <si>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</si>
  <si>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</si>
  <si>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</si>
  <si>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</si>
  <si>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</si>
  <si>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</si>
  <si>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</si>
  <si>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</si>
  <si>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</si>
  <si>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</si>
  <si>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</si>
  <si>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</si>
  <si>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</si>
  <si>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</si>
  <si>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</si>
  <si>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</si>
  <si>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</si>
  <si>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</si>
  <si>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</si>
  <si>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</si>
  <si>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</si>
  <si>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</si>
  <si>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</si>
  <si>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</si>
  <si>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</si>
  <si>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</si>
  <si>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</si>
  <si>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</si>
  <si>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</si>
  <si>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</si>
  <si>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</si>
  <si>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</si>
  <si>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</si>
  <si>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</si>
  <si>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</si>
  <si>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</si>
  <si>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</si>
  <si>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</si>
  <si>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</si>
  <si>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</si>
  <si>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</si>
  <si>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</si>
  <si>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</si>
  <si>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</si>
  <si>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</si>
  <si>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</si>
  <si>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</si>
  <si>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</si>
  <si>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</si>
  <si>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</si>
  <si>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</si>
  <si>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</si>
  <si>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</si>
  <si>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</si>
  <si>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</si>
  <si>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</si>
  <si>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</si>
  <si>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</si>
  <si>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</si>
  <si>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</si>
  <si>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</si>
  <si>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</si>
  <si>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</si>
  <si>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</si>
  <si>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</si>
  <si>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</si>
  <si>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</si>
  <si>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</si>
  <si>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</si>
  <si>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</si>
  <si>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</si>
  <si>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</si>
  <si>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</si>
  <si>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</si>
  <si>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</si>
  <si>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</si>
  <si>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</si>
  <si>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</si>
  <si>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</si>
  <si>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</si>
  <si>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</si>
  <si>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</si>
  <si>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</si>
  <si>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</si>
  <si>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</si>
  <si>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</si>
  <si>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</si>
  <si>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</si>
  <si>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</si>
  <si>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</si>
  <si>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</si>
  <si>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</si>
  <si>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</si>
  <si>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</si>
  <si>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</si>
  <si>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</si>
  <si>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</si>
  <si>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</si>
  <si>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</si>
  <si>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</si>
  <si>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</si>
  <si>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</si>
  <si>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</si>
  <si>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</si>
  <si>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</si>
  <si>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</si>
  <si>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</si>
  <si>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</si>
  <si>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</si>
  <si>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</si>
  <si>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</si>
  <si>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</si>
  <si>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</si>
  <si>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</si>
  <si>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</si>
  <si>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</si>
  <si>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</si>
  <si>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</si>
  <si>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</si>
  <si>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</si>
  <si>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</si>
  <si>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</si>
  <si>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</si>
  <si>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</si>
  <si>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</si>
  <si>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</si>
  <si>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</si>
  <si>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</si>
  <si>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</si>
  <si>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</si>
  <si>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</si>
  <si>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</si>
  <si>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</si>
  <si>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</si>
  <si>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</si>
  <si>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</si>
  <si>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</si>
  <si>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</si>
  <si>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</si>
  <si>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</si>
  <si>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</si>
  <si>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</si>
  <si>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</si>
  <si>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</si>
  <si>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</si>
  <si>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</si>
  <si>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</si>
  <si>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</si>
  <si>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</si>
  <si>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</si>
  <si>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</si>
  <si>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</si>
  <si>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</si>
  <si>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</si>
  <si>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</si>
  <si>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</si>
  <si>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</si>
  <si>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</si>
  <si>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</si>
  <si>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</si>
  <si>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</si>
  <si>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</si>
  <si>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</si>
  <si>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</si>
  <si>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</si>
  <si>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</si>
  <si>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</si>
  <si>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</si>
  <si>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</si>
  <si>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</si>
  <si>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</si>
  <si>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</si>
  <si>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</si>
  <si>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</si>
  <si>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</si>
  <si>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</si>
  <si>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</si>
  <si>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</si>
  <si>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</si>
  <si>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</si>
  <si>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</si>
  <si>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</si>
  <si>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</si>
  <si>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</si>
  <si>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</si>
  <si>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</si>
  <si>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</si>
  <si>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</si>
  <si>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</si>
  <si>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</si>
  <si>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</si>
  <si>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</si>
  <si>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</si>
  <si>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</si>
  <si>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</si>
  <si>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</si>
  <si>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</si>
  <si>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</si>
  <si>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</si>
  <si>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</si>
  <si>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</si>
  <si>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</si>
  <si>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</si>
  <si>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</si>
  <si>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</si>
  <si>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</si>
  <si>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</si>
  <si>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</si>
  <si>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</si>
  <si>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</si>
  <si>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</si>
  <si>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</si>
  <si>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</si>
  <si>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</si>
  <si>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</si>
  <si>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</si>
  <si>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</si>
  <si>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</si>
  <si>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</si>
  <si>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</si>
  <si>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</si>
  <si>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</si>
  <si>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</si>
  <si>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</si>
  <si>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</si>
  <si>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</si>
  <si>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</si>
  <si>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</si>
  <si>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</si>
  <si>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</si>
  <si>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</si>
  <si>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</si>
  <si>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</si>
  <si>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</si>
  <si>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</si>
  <si>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</si>
  <si>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</si>
  <si>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</si>
  <si>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</si>
  <si>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</si>
  <si>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</si>
  <si>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</si>
  <si>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</si>
  <si>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</si>
  <si>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</si>
  <si>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</si>
  <si>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</si>
  <si>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</si>
  <si>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</si>
  <si>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</si>
  <si>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</si>
  <si>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</si>
  <si>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</si>
  <si>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</si>
  <si>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</si>
  <si>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</si>
  <si>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</si>
  <si>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</si>
  <si>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</si>
  <si>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</si>
  <si>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</si>
  <si>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</si>
  <si>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</si>
  <si>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</si>
  <si>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</si>
  <si>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</si>
  <si>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</si>
  <si>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</si>
  <si>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</si>
  <si>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</si>
  <si>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</si>
  <si>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</si>
  <si>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</si>
  <si>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</si>
  <si>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</si>
  <si>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</si>
  <si>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</si>
  <si>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</si>
  <si>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</si>
  <si>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</si>
  <si>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</si>
  <si>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</si>
  <si>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</si>
  <si>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</si>
  <si>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</si>
  <si>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</si>
  <si>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</si>
  <si>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</si>
  <si>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</si>
  <si>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</si>
  <si>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</si>
  <si>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</si>
  <si>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</si>
  <si>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</si>
  <si>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</si>
  <si>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</si>
  <si>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</si>
  <si>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</si>
  <si>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</si>
  <si>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</si>
  <si>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</si>
  <si>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</si>
  <si>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</si>
  <si>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</si>
  <si>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</si>
  <si>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</si>
  <si>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</si>
  <si>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</si>
  <si>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</si>
  <si>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</si>
  <si>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</si>
  <si>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</si>
  <si>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</si>
  <si>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</si>
  <si>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7" type="noConversion"/>
  </si>
  <si>
    <t>배트 이외의 물건에 사용하지 마시오\nQT추출물 0.0006% 함유\nQT향 0.1%함유</t>
    <phoneticPr fontId="7" type="noConversion"/>
  </si>
  <si>
    <t>가끔 열쇠를 먹어버립니다.\n귀중품 관리에 주의하십시오.</t>
    <phoneticPr fontId="7" type="noConversion"/>
  </si>
  <si>
    <t>대인 지뢰</t>
    <phoneticPr fontId="7" type="noConversion"/>
  </si>
  <si>
    <t>자아를 가진 저금통입니다.\n숨겨진 돈을 잘 찾아내는 듯 합니다.\n잠깐, 제 지갑의 돈이 사라진 것 같습니다.</t>
    <phoneticPr fontId="7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</si>
  <si>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7" type="noConversion"/>
  </si>
  <si>
    <t>어째선지 계속해서 울고 있는 양초입니다.</t>
    <phoneticPr fontId="7" type="noConversion"/>
  </si>
  <si>
    <t>낡은 추억들이 느껴집니다.\n3년 전 이 사람은...\n잠깐, 우리가 이걸봐도 괜찮은걸까요?</t>
    <phoneticPr fontId="7" type="noConversion"/>
  </si>
  <si>
    <t>종교적인 용도로 보이는 컵입니다.\n잠깐, 방금 조금 움직인 것 같은데요?</t>
    <phoneticPr fontId="7" type="noConversion"/>
  </si>
  <si>
    <t>공 충돌횟수당 공격력 +20%</t>
    <phoneticPr fontId="7" type="noConversion"/>
  </si>
  <si>
    <t>차징샷이 적을 관통합니다.</t>
    <phoneticPr fontId="7" type="noConversion"/>
  </si>
  <si>
    <t>바싹 구워도 여전히 미끌거립니다.\n시각적 거부감을 이겨내고 한입\n베어물면 무엇이든 반대로 하고 싶어집니다.</t>
    <phoneticPr fontId="7" type="noConversion"/>
  </si>
  <si>
    <t>온 몸이 녹는 듯 한 강력한 단맛입니다.\n끈적해지지 않게 조심하세요!</t>
    <phoneticPr fontId="7" type="noConversion"/>
  </si>
  <si>
    <t>꽤 무게가 나가는 돌가면.\n이걸 쓰고도 단련을 하면 꽤 오래 살 수 있을 것 같은 느낌이 듭니다.</t>
    <phoneticPr fontId="7" type="noConversion"/>
  </si>
  <si>
    <t>대나무 향을 머금은 흰 밥이\n까만 김을 만나 완성된 환상적인 조합.</t>
    <phoneticPr fontId="7" type="noConversion"/>
  </si>
  <si>
    <t>#2</t>
  </si>
  <si>
    <t>#3</t>
  </si>
  <si>
    <t>#4</t>
  </si>
  <si>
    <t>태초부터 시작되더라도 절망하지 않습니다.\n'자 이제 시작이야'</t>
    <phoneticPr fontId="7" type="noConversion"/>
  </si>
  <si>
    <t>1. 태양의 방향으로 기립.\n2. 팔을 벌려 Y자로 선다.\n3. 태양을 바라보며 외친다.</t>
    <phoneticPr fontId="7" type="noConversion"/>
  </si>
  <si>
    <t>고대에 멸종된 것으로 보이는 유물 입니다. 많은 시간이 지났지만 튼튼하고 고통스럽습니다.</t>
    <phoneticPr fontId="7" type="noConversion"/>
  </si>
  <si>
    <t>데빌불, 숨겨진 악성을 펼쳐줘요.\n아직도 마계에서 불티나게 팔리고 있는 음료입니다.</t>
    <phoneticPr fontId="7" type="noConversion"/>
  </si>
  <si>
    <t>#</t>
    <phoneticPr fontId="7" type="noConversion"/>
  </si>
  <si>
    <t>bat</t>
    <phoneticPr fontId="7" type="noConversion"/>
  </si>
  <si>
    <t>Slime_Elite</t>
    <phoneticPr fontId="7" type="noConversion"/>
  </si>
  <si>
    <t>Slime</t>
    <phoneticPr fontId="7" type="noConversion"/>
  </si>
  <si>
    <t>8방향 발사</t>
  </si>
  <si>
    <t>8방향 발사</t>
    <phoneticPr fontId="7" type="noConversion"/>
  </si>
  <si>
    <t>Flow</t>
    <phoneticPr fontId="7" type="noConversion"/>
  </si>
  <si>
    <t>Flow_Elite</t>
    <phoneticPr fontId="7" type="noConversion"/>
  </si>
  <si>
    <t>기관총난사</t>
    <phoneticPr fontId="7" type="noConversion"/>
  </si>
  <si>
    <t>기관총 난사 -20도</t>
  </si>
  <si>
    <t>기관총 난사 -30도</t>
  </si>
  <si>
    <t>기관총 난사 5도</t>
    <phoneticPr fontId="7" type="noConversion"/>
  </si>
  <si>
    <t>기관총 난사 10도</t>
    <phoneticPr fontId="7" type="noConversion"/>
  </si>
  <si>
    <t>기관총 난사 15도</t>
    <phoneticPr fontId="7" type="noConversion"/>
  </si>
  <si>
    <t>기관총 난사 20도</t>
    <phoneticPr fontId="7" type="noConversion"/>
  </si>
  <si>
    <t>기관총 난사 25도</t>
    <phoneticPr fontId="7" type="noConversion"/>
  </si>
  <si>
    <t>기관총 난사 30도</t>
    <phoneticPr fontId="7" type="noConversion"/>
  </si>
  <si>
    <t>기관총 난사 35도</t>
    <phoneticPr fontId="7" type="noConversion"/>
  </si>
  <si>
    <t>기관총 난사 40도</t>
    <phoneticPr fontId="7" type="noConversion"/>
  </si>
  <si>
    <t>기관총 난사 -5도</t>
    <phoneticPr fontId="7" type="noConversion"/>
  </si>
  <si>
    <t>기관총 난사 -10도</t>
    <phoneticPr fontId="7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</si>
  <si>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</si>
  <si>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</si>
  <si>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</si>
  <si>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</si>
  <si>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7" type="noConversion"/>
  </si>
  <si>
    <t>Earring_Elite</t>
    <phoneticPr fontId="7" type="noConversion"/>
  </si>
  <si>
    <t>Catcher_Elite</t>
    <phoneticPr fontId="7" type="noConversion"/>
  </si>
  <si>
    <t>Catcher</t>
    <phoneticPr fontId="7" type="noConversion"/>
  </si>
  <si>
    <t>폐기</t>
    <phoneticPr fontId="7" type="noConversion"/>
  </si>
  <si>
    <t>(엘리트)박쥐??</t>
    <phoneticPr fontId="7" type="noConversion"/>
  </si>
  <si>
    <t>Ghost</t>
    <phoneticPr fontId="7" type="noConversion"/>
  </si>
  <si>
    <t>World</t>
    <phoneticPr fontId="7" type="noConversion"/>
  </si>
  <si>
    <t>Target</t>
    <phoneticPr fontId="7" type="noConversion"/>
  </si>
  <si>
    <t>듀라한 내려찍기</t>
    <phoneticPr fontId="7" type="noConversion"/>
  </si>
  <si>
    <t>듀라한 착지</t>
    <phoneticPr fontId="7" type="noConversion"/>
  </si>
  <si>
    <t>듀라한 던지기</t>
    <phoneticPr fontId="7" type="noConversion"/>
  </si>
  <si>
    <t>듀라한 공 던지기</t>
    <phoneticPr fontId="7" type="noConversion"/>
  </si>
  <si>
    <t>듀라한 공</t>
    <phoneticPr fontId="7" type="noConversion"/>
  </si>
  <si>
    <t>Ghost_대각뿌리기</t>
    <phoneticPr fontId="7" type="noConversion"/>
  </si>
  <si>
    <t>catcher_3발 발사</t>
    <phoneticPr fontId="7" type="noConversion"/>
  </si>
  <si>
    <t>earring_한발쏘기</t>
    <phoneticPr fontId="7" type="noConversion"/>
  </si>
  <si>
    <t>정방향 발사</t>
    <phoneticPr fontId="7" type="noConversion"/>
  </si>
  <si>
    <t>적 공격3</t>
    <phoneticPr fontId="7" type="noConversion"/>
  </si>
  <si>
    <t>적 공격3 튕김</t>
    <phoneticPr fontId="7" type="noConversion"/>
  </si>
  <si>
    <t>slime_상하좌우뿌리기</t>
    <phoneticPr fontId="7" type="noConversion"/>
  </si>
  <si>
    <t>E_slime_8발 방사 3회</t>
    <phoneticPr fontId="7" type="noConversion"/>
  </si>
  <si>
    <t>E_slime_8발 방사 4회</t>
  </si>
  <si>
    <t>E_slime_8발 방사 5회</t>
  </si>
  <si>
    <t>E_catcher_샷건 3연발</t>
    <phoneticPr fontId="7" type="noConversion"/>
  </si>
  <si>
    <t>E_earring_정방향 발사 튕김 3발</t>
    <phoneticPr fontId="7" type="noConversion"/>
  </si>
  <si>
    <t>E_earring_정방향 발사 튕김 4발</t>
  </si>
  <si>
    <t>E_earring_정방향 발사 튕김 5발</t>
  </si>
  <si>
    <t>#공격 프로세스 총합</t>
    <phoneticPr fontId="7" type="noConversion"/>
  </si>
  <si>
    <t>일반</t>
    <phoneticPr fontId="7" type="noConversion"/>
  </si>
  <si>
    <t>정예</t>
    <phoneticPr fontId="7" type="noConversion"/>
  </si>
  <si>
    <t>스테이지</t>
    <phoneticPr fontId="7" type="noConversion"/>
  </si>
  <si>
    <t>박쥐</t>
    <phoneticPr fontId="7" type="noConversion"/>
  </si>
  <si>
    <t>스테이지별 골드 획득기대값</t>
    <phoneticPr fontId="7" type="noConversion"/>
  </si>
  <si>
    <t>개체별 골드 획득</t>
    <phoneticPr fontId="7" type="noConversion"/>
  </si>
  <si>
    <t>열1</t>
    <phoneticPr fontId="7" type="noConversion"/>
  </si>
  <si>
    <t>MIN</t>
    <phoneticPr fontId="7" type="noConversion"/>
  </si>
  <si>
    <t>MAX</t>
    <phoneticPr fontId="7" type="noConversion"/>
  </si>
  <si>
    <t>요약</t>
  </si>
  <si>
    <t>방 평균 골드</t>
    <phoneticPr fontId="7" type="noConversion"/>
  </si>
  <si>
    <t>공격력 +100%</t>
    <phoneticPr fontId="7" type="noConversion"/>
  </si>
  <si>
    <t>#체크</t>
    <phoneticPr fontId="7" type="noConversion"/>
  </si>
  <si>
    <t>이동속도 +6</t>
    <phoneticPr fontId="7" type="noConversion"/>
  </si>
  <si>
    <t>변화된 이동속도 1당 공격력 +3%</t>
    <phoneticPr fontId="7" type="noConversion"/>
  </si>
  <si>
    <t>공격력 +10%\n이동속도 +5\n공격속도 +0.1초</t>
    <phoneticPr fontId="7" type="noConversion"/>
  </si>
  <si>
    <t>flow_기관총난사</t>
    <phoneticPr fontId="7" type="noConversion"/>
  </si>
  <si>
    <t>#예외처리</t>
    <phoneticPr fontId="7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</si>
  <si>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7" type="noConversion"/>
  </si>
  <si>
    <t>시크한 표정이 매력적입니다.\n세 나라 이야기의 붉은 목마 입니다.</t>
    <phoneticPr fontId="7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</si>
  <si>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7" type="noConversion"/>
  </si>
  <si>
    <t>Prefabs/DullahanProjectile.prefab</t>
    <phoneticPr fontId="7" type="noConversion"/>
  </si>
  <si>
    <t>AgroRange</t>
    <phoneticPr fontId="7" type="noConversion"/>
  </si>
  <si>
    <t>공용_선택지</t>
    <phoneticPr fontId="7" type="noConversion"/>
  </si>
  <si>
    <t>1층_아이템보상</t>
    <phoneticPr fontId="7" type="noConversion"/>
  </si>
  <si>
    <t>1층_Hp상점_슬롯</t>
    <phoneticPr fontId="7" type="noConversion"/>
  </si>
  <si>
    <t>공용_골드상점_슬롯</t>
    <phoneticPr fontId="7" type="noConversion"/>
  </si>
  <si>
    <t>공용_시작방</t>
    <phoneticPr fontId="7" type="noConversion"/>
  </si>
  <si>
    <t>16방향 발사</t>
  </si>
  <si>
    <t>16방향 발사</t>
    <phoneticPr fontId="7" type="noConversion"/>
  </si>
  <si>
    <t>int</t>
    <phoneticPr fontId="7" type="noConversion"/>
  </si>
  <si>
    <t>BodyContactDmg</t>
    <phoneticPr fontId="7" type="noConversion"/>
  </si>
  <si>
    <t>float</t>
    <phoneticPr fontId="7" type="noConversion"/>
  </si>
  <si>
    <t>CoolTime</t>
    <phoneticPr fontId="7" type="noConversion"/>
  </si>
  <si>
    <t>TriggerType</t>
    <phoneticPr fontId="7" type="noConversion"/>
  </si>
  <si>
    <t>Condition</t>
    <phoneticPr fontId="7" type="noConversion"/>
  </si>
  <si>
    <t>ConditionTarget</t>
    <phoneticPr fontId="7" type="noConversion"/>
  </si>
  <si>
    <t>ApplyStat</t>
    <phoneticPr fontId="7" type="noConversion"/>
  </si>
  <si>
    <t>Param1</t>
    <phoneticPr fontId="7" type="noConversion"/>
  </si>
  <si>
    <t>Param2</t>
    <phoneticPr fontId="17" type="noConversion"/>
  </si>
  <si>
    <t>Param3</t>
    <phoneticPr fontId="17" type="noConversion"/>
  </si>
  <si>
    <t>float</t>
    <phoneticPr fontId="17" type="noConversion"/>
  </si>
  <si>
    <t>Teleport</t>
    <phoneticPr fontId="7" type="noConversion"/>
  </si>
  <si>
    <t>Prefabs/Enemy/Enemy_bat.prefab</t>
    <phoneticPr fontId="7" type="noConversion"/>
  </si>
  <si>
    <t>Prefabs/Enemy/Enemy_pitcher.prefab</t>
    <phoneticPr fontId="7" type="noConversion"/>
  </si>
  <si>
    <t>Name</t>
    <phoneticPr fontId="7" type="noConversion"/>
  </si>
  <si>
    <t>string</t>
    <phoneticPr fontId="7" type="noConversion"/>
  </si>
  <si>
    <t>ApplyValue</t>
    <phoneticPr fontId="7" type="noConversion"/>
  </si>
  <si>
    <t>enum</t>
    <phoneticPr fontId="17" type="noConversion"/>
  </si>
  <si>
    <t>Duration</t>
    <phoneticPr fontId="17" type="noConversion"/>
  </si>
  <si>
    <t>MoveTargetUpdatePeroid</t>
    <phoneticPr fontId="7" type="noConversion"/>
  </si>
  <si>
    <t>ConditionValue</t>
    <phoneticPr fontId="7" type="noConversion"/>
  </si>
  <si>
    <t>None</t>
    <phoneticPr fontId="7" type="noConversion"/>
  </si>
  <si>
    <t>Equip</t>
    <phoneticPr fontId="7" type="noConversion"/>
  </si>
  <si>
    <t>Addition</t>
  </si>
  <si>
    <t>ApplyBuffId</t>
    <phoneticPr fontId="7" type="noConversion"/>
  </si>
  <si>
    <t>ApplySpecialEffectId</t>
    <phoneticPr fontId="7" type="noConversion"/>
  </si>
  <si>
    <t>ReverseAtkDir</t>
    <phoneticPr fontId="17" type="noConversion"/>
  </si>
  <si>
    <t>TimeScale</t>
    <phoneticPr fontId="17" type="noConversion"/>
  </si>
  <si>
    <t>OnActiveKey</t>
    <phoneticPr fontId="7" type="noConversion"/>
  </si>
  <si>
    <t>AfterIdleSec</t>
    <phoneticPr fontId="7" type="noConversion"/>
  </si>
  <si>
    <t>ChargeTime</t>
    <phoneticPr fontId="17" type="noConversion"/>
  </si>
  <si>
    <t>EffectType</t>
    <phoneticPr fontId="7" type="noConversion"/>
  </si>
  <si>
    <t>Absorb</t>
    <phoneticPr fontId="17" type="noConversion"/>
  </si>
  <si>
    <t>ProjectileInRange</t>
    <phoneticPr fontId="7" type="noConversion"/>
  </si>
  <si>
    <t>Player</t>
    <phoneticPr fontId="7" type="noConversion"/>
  </si>
  <si>
    <t>DodgeCooldown</t>
    <phoneticPr fontId="7" type="noConversion"/>
  </si>
  <si>
    <t>SwingCooldown</t>
    <phoneticPr fontId="7" type="noConversion"/>
  </si>
  <si>
    <t>Charge</t>
    <phoneticPr fontId="17" type="noConversion"/>
  </si>
  <si>
    <t>OnSwing</t>
    <phoneticPr fontId="7" type="noConversion"/>
  </si>
  <si>
    <t>Shoot</t>
    <phoneticPr fontId="17" type="noConversion"/>
  </si>
  <si>
    <t>Active</t>
    <phoneticPr fontId="7" type="noConversion"/>
  </si>
  <si>
    <t>PlusDesc</t>
    <phoneticPr fontId="7" type="noConversion"/>
  </si>
  <si>
    <t>MinusDesc</t>
    <phoneticPr fontId="7" type="noConversion"/>
  </si>
  <si>
    <t>공격속도 +30%</t>
    <phoneticPr fontId="7" type="noConversion"/>
  </si>
  <si>
    <t>#설명</t>
    <phoneticPr fontId="17" type="noConversion"/>
  </si>
  <si>
    <t>#Param1설명</t>
    <phoneticPr fontId="17" type="noConversion"/>
  </si>
  <si>
    <t>#Param2설명</t>
  </si>
  <si>
    <t>#Param3설명</t>
    <phoneticPr fontId="17" type="noConversion"/>
  </si>
  <si>
    <t>시간 배율</t>
    <phoneticPr fontId="17" type="noConversion"/>
  </si>
  <si>
    <t>공격속도 30% 상승</t>
    <phoneticPr fontId="17" type="noConversion"/>
  </si>
  <si>
    <t>공격범위 20% 상승</t>
    <phoneticPr fontId="17" type="noConversion"/>
  </si>
  <si>
    <t>hp 1칸 증가</t>
    <phoneticPr fontId="17" type="noConversion"/>
  </si>
  <si>
    <t>#폐기여부</t>
    <phoneticPr fontId="17" type="noConversion"/>
  </si>
  <si>
    <t>hp 감소량만큼 피해량 증가</t>
    <phoneticPr fontId="17" type="noConversion"/>
  </si>
  <si>
    <t>골드 획득량 50% 증가</t>
    <phoneticPr fontId="17" type="noConversion"/>
  </si>
  <si>
    <t>피해량 100% 증가</t>
    <phoneticPr fontId="17" type="noConversion"/>
  </si>
  <si>
    <t>인피니티 도넛</t>
    <phoneticPr fontId="7" type="noConversion"/>
  </si>
  <si>
    <t>기절한 적에게 순간이동하며 공격합니다.</t>
    <phoneticPr fontId="7" type="noConversion"/>
  </si>
  <si>
    <t>미사일 백팩</t>
    <phoneticPr fontId="7" type="noConversion"/>
  </si>
  <si>
    <t>OnAttackStunEnemy</t>
    <phoneticPr fontId="7" type="noConversion"/>
  </si>
  <si>
    <t>투수 케르베로스</t>
    <phoneticPr fontId="7" type="noConversion"/>
  </si>
  <si>
    <t>공을 좋아하는 개들입니다.\n자세히보니 한마리였네요…</t>
    <phoneticPr fontId="7" type="noConversion"/>
  </si>
  <si>
    <t>#명칭</t>
    <phoneticPr fontId="17" type="noConversion"/>
  </si>
  <si>
    <t>케르베로스 아이템 효과</t>
    <phoneticPr fontId="7" type="noConversion"/>
  </si>
  <si>
    <t>케르베로스 아이템 투사체</t>
    <phoneticPr fontId="7" type="noConversion"/>
  </si>
  <si>
    <t>커서 방향으로 돌진합니다.</t>
    <phoneticPr fontId="7" type="noConversion"/>
  </si>
  <si>
    <t>행성 만세</t>
    <phoneticPr fontId="7" type="noConversion"/>
  </si>
  <si>
    <t>ChargeMovementSpd</t>
    <phoneticPr fontId="7" type="noConversion"/>
  </si>
  <si>
    <t>#Param3설명3</t>
  </si>
  <si>
    <t>Param4</t>
    <phoneticPr fontId="17" type="noConversion"/>
  </si>
  <si>
    <t>icon/item/A_item_01.png</t>
    <phoneticPr fontId="7" type="noConversion"/>
  </si>
  <si>
    <t>icon/item/A_item_02.png</t>
    <phoneticPr fontId="7" type="noConversion"/>
  </si>
  <si>
    <t>icon/item/A_item_03.png</t>
    <phoneticPr fontId="7" type="noConversion"/>
  </si>
  <si>
    <t>골드획득량 +50%</t>
    <phoneticPr fontId="7" type="noConversion"/>
  </si>
  <si>
    <t>주변 투사체를 흡수하여\n3초 뒤 모두 발사합니다</t>
    <phoneticPr fontId="7" type="noConversion"/>
  </si>
  <si>
    <t>icon/item/item_18.png</t>
    <phoneticPr fontId="7" type="noConversion"/>
  </si>
  <si>
    <t>초소형 블랙홀</t>
    <phoneticPr fontId="7" type="noConversion"/>
  </si>
  <si>
    <t>신경 부스터</t>
    <phoneticPr fontId="7" type="noConversion"/>
  </si>
  <si>
    <t>앞만 보고 살아가는 당신에게 추천합니다.\n데일리룩으로 안성맞춤.</t>
    <phoneticPr fontId="7" type="noConversion"/>
  </si>
  <si>
    <t>기초적인 임플란트입니다.\n하루 3회 이상 음용할 경우\n사이버 미치광이가 될 수 있습니다.</t>
    <phoneticPr fontId="7" type="noConversion"/>
  </si>
  <si>
    <t>시크한 표정을 믿고 산책에 나갔다가는\n마라톤을 하게 될 수 있습니다.</t>
    <phoneticPr fontId="7" type="noConversion"/>
  </si>
  <si>
    <t>꽤 무게가 나가는 돌가면.\n안쪽에 숨겨진 침들이 보이는데...\n위험하진 않겠죠?</t>
    <phoneticPr fontId="7" type="noConversion"/>
  </si>
  <si>
    <t>공공장소에서 사용으로 인한\n피해는 책임지지 않습니다.</t>
    <phoneticPr fontId="7" type="noConversion"/>
  </si>
  <si>
    <t>공격속도 -30%</t>
    <phoneticPr fontId="7" type="noConversion"/>
  </si>
  <si>
    <t>어째선지 계속해서 울고 있는 양초입니다.\n건드리고 싶지 않네요.</t>
    <phoneticPr fontId="7" type="noConversion"/>
  </si>
  <si>
    <t>AtkDmgPer</t>
    <phoneticPr fontId="17" type="noConversion"/>
  </si>
  <si>
    <t>OnParry</t>
    <phoneticPr fontId="7" type="noConversion"/>
  </si>
  <si>
    <t>공 충돌횟수 +3</t>
    <phoneticPr fontId="7" type="noConversion"/>
  </si>
  <si>
    <t>충돌 횟수 3회 증가</t>
    <phoneticPr fontId="17" type="noConversion"/>
  </si>
  <si>
    <r>
      <t>이벤트성으로 100만봉지\n중 한 개만 들어간 ■</t>
    </r>
    <r>
      <rPr>
        <sz val="11"/>
        <color rgb="FFFF0000"/>
        <rFont val="Courier New"/>
        <family val="3"/>
      </rPr>
      <t>̛̲͙̩͎͖̲̐̐̂͐ͅ</t>
    </r>
    <r>
      <rPr>
        <sz val="11"/>
        <color rgb="FFFF0000"/>
        <rFont val="Segoe UI Symbol"/>
        <family val="3"/>
      </rPr>
      <t>■</t>
    </r>
    <r>
      <rPr>
        <sz val="11"/>
        <color rgb="FFFF0000"/>
        <rFont val="Courier New"/>
        <family val="3"/>
      </rPr>
      <t>͓̟̦̹͚̇̓́͛͠ͅ</t>
    </r>
    <r>
      <rPr>
        <sz val="11"/>
        <color rgb="FFFF0000"/>
        <rFont val="맑은 고딕"/>
        <family val="3"/>
        <charset val="129"/>
      </rPr>
      <t>맛 사탕입니다.</t>
    </r>
    <phoneticPr fontId="7" type="noConversion"/>
  </si>
  <si>
    <t>차징 속도 0으로</t>
    <phoneticPr fontId="17" type="noConversion"/>
  </si>
  <si>
    <t>공격속도 30% 감소</t>
    <phoneticPr fontId="17" type="noConversion"/>
  </si>
  <si>
    <t>OnSwingHit</t>
    <phoneticPr fontId="7" type="noConversion"/>
  </si>
  <si>
    <t>SwingCooldown</t>
    <phoneticPr fontId="17" type="noConversion"/>
  </si>
  <si>
    <t>피해량 60% 증가</t>
    <phoneticPr fontId="17" type="noConversion"/>
  </si>
  <si>
    <t>체력 -2</t>
    <phoneticPr fontId="7" type="noConversion"/>
  </si>
  <si>
    <t>공격력 +60%</t>
    <phoneticPr fontId="7" type="noConversion"/>
  </si>
  <si>
    <t>도넛에 구멍은 몇 개일까요? 적어도\n이 도넛은 무한한 구멍을 가졌습니다.</t>
    <phoneticPr fontId="7" type="noConversion"/>
  </si>
  <si>
    <t>icon/item/A_item_06.png</t>
    <phoneticPr fontId="7" type="noConversion"/>
  </si>
  <si>
    <t>층</t>
    <phoneticPr fontId="7" type="noConversion"/>
  </si>
  <si>
    <t>층 방 개수</t>
    <phoneticPr fontId="7" type="noConversion"/>
  </si>
  <si>
    <t>1층</t>
  </si>
  <si>
    <t>1층</t>
    <phoneticPr fontId="7" type="noConversion"/>
  </si>
  <si>
    <t>2층</t>
  </si>
  <si>
    <t>2층</t>
    <phoneticPr fontId="7" type="noConversion"/>
  </si>
  <si>
    <t>3층</t>
  </si>
  <si>
    <t>3층</t>
    <phoneticPr fontId="7" type="noConversion"/>
  </si>
  <si>
    <t>개수</t>
    <phoneticPr fontId="7" type="noConversion"/>
  </si>
  <si>
    <t>평균획득골드</t>
    <phoneticPr fontId="7" type="noConversion"/>
  </si>
  <si>
    <t>방당 획득</t>
    <phoneticPr fontId="7" type="noConversion"/>
  </si>
  <si>
    <t>층 완료 획득</t>
    <phoneticPr fontId="7" type="noConversion"/>
  </si>
  <si>
    <t>일반템</t>
    <phoneticPr fontId="7" type="noConversion"/>
  </si>
  <si>
    <t>희귀템</t>
    <phoneticPr fontId="7" type="noConversion"/>
  </si>
  <si>
    <t>기절한 적 공격시 4초간 공격력 40% 증가</t>
    <phoneticPr fontId="17" type="noConversion"/>
  </si>
  <si>
    <t>(HP_Base - HP)*0.006</t>
    <phoneticPr fontId="7" type="noConversion"/>
  </si>
  <si>
    <t>빈 하트 1개당 공격력 +15%</t>
    <phoneticPr fontId="7" type="noConversion"/>
  </si>
  <si>
    <t>태양 만세 아이템 효과</t>
    <phoneticPr fontId="7" type="noConversion"/>
  </si>
  <si>
    <t>태양 만세</t>
    <phoneticPr fontId="7" type="noConversion"/>
  </si>
  <si>
    <t>Prefabs/ItemProjectile1.prefab</t>
    <phoneticPr fontId="7" type="noConversion"/>
  </si>
  <si>
    <t>Multiply</t>
    <phoneticPr fontId="17" type="noConversion"/>
  </si>
  <si>
    <t>타격 시마다 4초간 공격속도 15% 상승</t>
    <phoneticPr fontId="17" type="noConversion"/>
  </si>
  <si>
    <t>타격 시마다 4초간\n공격속도 +15%\n(효과는 중첩될 수 있습니다.)</t>
    <phoneticPr fontId="7" type="noConversion"/>
  </si>
  <si>
    <t>ChargeBounceCount</t>
    <phoneticPr fontId="17" type="noConversion"/>
  </si>
  <si>
    <t>배트에 달아놓으면 휘두를 때\n짤랑짤랑 소리가 납니다.</t>
    <phoneticPr fontId="7" type="noConversion"/>
  </si>
  <si>
    <t>패링 시 5초간 피해량 20%증가</t>
    <phoneticPr fontId="17" type="noConversion"/>
  </si>
  <si>
    <t>차징 타격 시 5초간\n공격력 +20%</t>
    <phoneticPr fontId="7" type="noConversion"/>
  </si>
  <si>
    <t>OnDodge</t>
    <phoneticPr fontId="7" type="noConversion"/>
  </si>
  <si>
    <t>회피 시 공 4개 발사</t>
    <phoneticPr fontId="7" type="noConversion"/>
  </si>
  <si>
    <t>Hard</t>
    <phoneticPr fontId="17" type="noConversion"/>
  </si>
  <si>
    <t>플레이어의 공이 관통함</t>
    <phoneticPr fontId="17" type="noConversion"/>
  </si>
  <si>
    <t>플레이어의 공이\n적을 관통합니다.</t>
    <phoneticPr fontId="7" type="noConversion"/>
  </si>
  <si>
    <t>ChargeBounceCount</t>
    <phoneticPr fontId="7" type="noConversion"/>
  </si>
  <si>
    <t>DodgeCooldown</t>
    <phoneticPr fontId="17" type="noConversion"/>
  </si>
  <si>
    <t>Prefabs/ItemProjectile2.prefab</t>
    <phoneticPr fontId="7" type="noConversion"/>
  </si>
  <si>
    <t>HP</t>
    <phoneticPr fontId="17" type="noConversion"/>
  </si>
  <si>
    <t>HP +2</t>
    <phoneticPr fontId="17" type="noConversion"/>
  </si>
  <si>
    <t>차징속도 50% 상승</t>
    <phoneticPr fontId="17" type="noConversion"/>
  </si>
  <si>
    <t>공격속도 20% 감소</t>
    <phoneticPr fontId="17" type="noConversion"/>
  </si>
  <si>
    <t>공격속도 -20%</t>
    <phoneticPr fontId="7" type="noConversion"/>
  </si>
  <si>
    <t>일반 공격이\n차징 공격이 됩니다.</t>
    <phoneticPr fontId="7" type="noConversion"/>
  </si>
  <si>
    <t>Spacing</t>
    <phoneticPr fontId="7" type="noConversion"/>
  </si>
  <si>
    <t>ChargeProjectileDmg</t>
    <phoneticPr fontId="7" type="noConversion"/>
  </si>
  <si>
    <t>EnemyProjectileDmg</t>
    <phoneticPr fontId="7" type="noConversion"/>
  </si>
  <si>
    <t>ChargeShootSpd</t>
    <phoneticPr fontId="7" type="noConversion"/>
  </si>
  <si>
    <t>#554</t>
    <phoneticPr fontId="7" type="noConversion"/>
  </si>
  <si>
    <t>Prefabs/Enemy/Enemy_Slime.prefab</t>
    <phoneticPr fontId="7" type="noConversion"/>
  </si>
  <si>
    <t>Prefabs/Enemy/Enemy_Flow.prefab</t>
    <phoneticPr fontId="7" type="noConversion"/>
  </si>
  <si>
    <t>Prefabs/Enemy/Enemy_Earring.prefab</t>
    <phoneticPr fontId="7" type="noConversion"/>
  </si>
  <si>
    <t>#504</t>
    <phoneticPr fontId="7" type="noConversion"/>
  </si>
  <si>
    <t>#505</t>
    <phoneticPr fontId="7" type="noConversion"/>
  </si>
  <si>
    <t>Prefabs/Enemy/Enemy_Catcher.prefab</t>
    <phoneticPr fontId="7" type="noConversion"/>
  </si>
  <si>
    <t>Prefabs/Enemy/Enemy_Catcher_Elite.prefab</t>
    <phoneticPr fontId="7" type="noConversion"/>
  </si>
  <si>
    <t>Prefabs/Enemy/Enemy_Earring_Elite.prefab</t>
    <phoneticPr fontId="7" type="noConversion"/>
  </si>
  <si>
    <t>Prefabs/Enemy/Enemy_Ghost.prefab</t>
    <phoneticPr fontId="7" type="noConversion"/>
  </si>
  <si>
    <t>Prefabs/Enemy/Enemy_Slime_Elite.prefab</t>
    <phoneticPr fontId="7" type="noConversion"/>
  </si>
  <si>
    <t>슬라임 : 방사 상하좌우4발</t>
    <phoneticPr fontId="7" type="noConversion"/>
  </si>
  <si>
    <t>둥둥이 : 플레이어조준 기관총</t>
    <phoneticPr fontId="7" type="noConversion"/>
  </si>
  <si>
    <t>귀마개 : 플레이어조준 튕김공 발사</t>
    <phoneticPr fontId="7" type="noConversion"/>
  </si>
  <si>
    <t>포수 : 플레이어조준 3발 3연발</t>
    <phoneticPr fontId="7" type="noConversion"/>
  </si>
  <si>
    <t>유령 : 방사 대각 4발</t>
    <phoneticPr fontId="7" type="noConversion"/>
  </si>
  <si>
    <t>슬라임(엘리트) : 8방향 방사</t>
    <phoneticPr fontId="7" type="noConversion"/>
  </si>
  <si>
    <t>둥둥이(엘리트) : 플레이어조준 기관총</t>
    <phoneticPr fontId="7" type="noConversion"/>
  </si>
  <si>
    <t>귀마개(엘리트) : 플레이어조준 튕김공 발사</t>
    <phoneticPr fontId="7" type="noConversion"/>
  </si>
  <si>
    <t>포수(엘리트) : 플레이어조준 샷건 3연발</t>
    <phoneticPr fontId="7" type="noConversion"/>
  </si>
  <si>
    <t>Heal</t>
    <phoneticPr fontId="17" type="noConversion"/>
  </si>
  <si>
    <t>Rare</t>
    <phoneticPr fontId="7" type="noConversion"/>
  </si>
  <si>
    <t>Equip, OnHeal, OnDamage</t>
    <phoneticPr fontId="7" type="noConversion"/>
  </si>
  <si>
    <t>최대 체력 +1</t>
    <phoneticPr fontId="7" type="noConversion"/>
  </si>
  <si>
    <t>최대 체력 +2</t>
    <phoneticPr fontId="7" type="noConversion"/>
  </si>
  <si>
    <t>Random</t>
    <phoneticPr fontId="7" type="noConversion"/>
  </si>
  <si>
    <t>#열1</t>
    <phoneticPr fontId="17" type="noConversion"/>
  </si>
  <si>
    <t>기절한 적을 공격할 때\n4초간 공격력 +30%</t>
    <phoneticPr fontId="7" type="noConversion"/>
  </si>
  <si>
    <t>공격 시 33%확률로 공 3개 발사</t>
    <phoneticPr fontId="7" type="noConversion"/>
  </si>
  <si>
    <t>기절한 적을 공격할 때\n10%확률로 +1 회복</t>
    <phoneticPr fontId="7" type="noConversion"/>
  </si>
  <si>
    <t>회피 캣 아이템 효과</t>
    <phoneticPr fontId="7" type="noConversion"/>
  </si>
  <si>
    <t>회피 캣</t>
    <phoneticPr fontId="7" type="noConversion"/>
  </si>
  <si>
    <t>하지만 이렇게 간단하게 피했습니다.</t>
    <phoneticPr fontId="7" type="noConversion"/>
  </si>
  <si>
    <t>피격 시 공 8개 발사</t>
    <phoneticPr fontId="7" type="noConversion"/>
  </si>
  <si>
    <t>MovementSpd</t>
    <phoneticPr fontId="17" type="noConversion"/>
  </si>
  <si>
    <t>이동속도 30% 감소</t>
    <phoneticPr fontId="17" type="noConversion"/>
  </si>
  <si>
    <t>이동속도 -30%</t>
    <phoneticPr fontId="7" type="noConversion"/>
  </si>
  <si>
    <t>회피쿨타임 +50%</t>
    <phoneticPr fontId="7" type="noConversion"/>
  </si>
  <si>
    <t>회피 재사용대기 50%증가</t>
    <phoneticPr fontId="17" type="noConversion"/>
  </si>
  <si>
    <t>어른의 카드</t>
    <phoneticPr fontId="7" type="noConversion"/>
  </si>
  <si>
    <t>그 리스크는 어렴풋하게는 이해하고 있습니다.\n사용할수록, 깎여나갑니다. 당신의 삶이, 시간이.</t>
    <phoneticPr fontId="7" type="noConversion"/>
  </si>
  <si>
    <t>공격 시 골드 -1</t>
    <phoneticPr fontId="7" type="noConversion"/>
  </si>
  <si>
    <t>공격범위 +40%, 공격속도+50%</t>
    <phoneticPr fontId="7" type="noConversion"/>
  </si>
  <si>
    <t>6초간 신경이 가속합니다.</t>
    <phoneticPr fontId="7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</si>
  <si>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7" type="noConversion"/>
  </si>
  <si>
    <t>2023-09-24 변경사항이 존재하는 것들은 빨간색으로 표기함.</t>
    <phoneticPr fontId="7" type="noConversion"/>
  </si>
  <si>
    <t>공격범위 50%증가</t>
    <phoneticPr fontId="17" type="noConversion"/>
  </si>
  <si>
    <t>공격속도 40%증가</t>
    <phoneticPr fontId="17" type="noConversion"/>
  </si>
  <si>
    <t>엑스칼리배트</t>
    <phoneticPr fontId="7" type="noConversion"/>
  </si>
  <si>
    <t>약속된 홈런의 배트!</t>
  </si>
  <si>
    <t>조준 방향으로 강력한 빔을 발사합니다.</t>
    <phoneticPr fontId="7" type="noConversion"/>
  </si>
  <si>
    <t>레이저 쏠 때 1.5초간 멈춤</t>
    <phoneticPr fontId="17" type="noConversion"/>
  </si>
  <si>
    <t>SplashRectangle</t>
    <phoneticPr fontId="17" type="noConversion"/>
  </si>
  <si>
    <t>피해량</t>
    <phoneticPr fontId="17" type="noConversion"/>
  </si>
  <si>
    <t>폭</t>
    <phoneticPr fontId="17" type="noConversion"/>
  </si>
  <si>
    <t>길이</t>
    <phoneticPr fontId="17" type="noConversion"/>
  </si>
  <si>
    <t>#10004</t>
    <phoneticPr fontId="7" type="noConversion"/>
  </si>
  <si>
    <t>OnDamage</t>
    <phoneticPr fontId="7" type="noConversion"/>
  </si>
  <si>
    <t>#10004</t>
    <phoneticPr fontId="17" type="noConversion"/>
  </si>
  <si>
    <t>여의배트</t>
    <phoneticPr fontId="7" type="noConversion"/>
  </si>
  <si>
    <t>배트를 마음대로 늘릴 수 있습니다!</t>
    <phoneticPr fontId="7" type="noConversion"/>
  </si>
  <si>
    <t>SwingRad</t>
    <phoneticPr fontId="17" type="noConversion"/>
  </si>
  <si>
    <t>공격 길이 300%상승</t>
    <phoneticPr fontId="17" type="noConversion"/>
  </si>
  <si>
    <t>SwingCentralAngle</t>
    <phoneticPr fontId="7" type="noConversion"/>
  </si>
  <si>
    <t>SwingCentralAngle</t>
    <phoneticPr fontId="17" type="noConversion"/>
  </si>
  <si>
    <t xml:space="preserve">공격 각 </t>
    <phoneticPr fontId="17" type="noConversion"/>
  </si>
  <si>
    <t>6초간 공격 길이가 300% 늘어납니다</t>
    <phoneticPr fontId="7" type="noConversion"/>
  </si>
  <si>
    <t>Equip, OnGoldChanged</t>
    <phoneticPr fontId="7" type="noConversion"/>
  </si>
  <si>
    <t>GreaterThan</t>
    <phoneticPr fontId="7" type="noConversion"/>
  </si>
  <si>
    <t>Gold</t>
    <phoneticPr fontId="7" type="noConversion"/>
  </si>
  <si>
    <t>AddGold</t>
    <phoneticPr fontId="17" type="noConversion"/>
  </si>
  <si>
    <t>골드 추가량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</si>
</sst>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9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Courier New"/>
      <family val="3"/>
    </font>
    <font>
      <sz val="11"/>
      <color rgb="FFFF0000"/>
      <name val="Segoe UI Symbol"/>
      <family val="3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6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12" fillId="4" borderId="0" xfId="0" applyFont="1" applyFill="1">
      <alignment vertical="center"/>
    </xf>
    <xf numFmtId="0" fontId="13" fillId="0" borderId="0" xfId="0" applyFont="1">
      <alignment vertical="center"/>
    </xf>
    <xf numFmtId="0" fontId="12" fillId="7" borderId="0" xfId="0" applyFont="1" applyFill="1">
      <alignment vertical="center"/>
    </xf>
    <xf numFmtId="0" fontId="13" fillId="7" borderId="0" xfId="0" applyFont="1" applyFill="1">
      <alignment vertical="center"/>
    </xf>
    <xf numFmtId="0" fontId="0" fillId="7" borderId="0" xfId="0" applyFill="1">
      <alignment vertical="center"/>
    </xf>
    <xf numFmtId="0" fontId="14" fillId="0" borderId="0" xfId="0" applyFont="1">
      <alignment vertical="center"/>
    </xf>
    <xf numFmtId="0" fontId="14" fillId="4" borderId="0" xfId="0" applyFont="1" applyFill="1">
      <alignment vertical="center"/>
    </xf>
    <xf numFmtId="0" fontId="14" fillId="7" borderId="0" xfId="0" applyFont="1" applyFill="1">
      <alignment vertical="center"/>
    </xf>
    <xf numFmtId="0" fontId="1" fillId="2" borderId="0" xfId="0" applyFont="1" applyFill="1">
      <alignment vertical="center"/>
    </xf>
    <xf numFmtId="0" fontId="12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5" fillId="0" borderId="0" xfId="0" applyFont="1">
      <alignment vertical="center"/>
    </xf>
    <xf numFmtId="0" fontId="15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6" fillId="7" borderId="0" xfId="0" applyFont="1" applyFill="1">
      <alignment vertical="center"/>
    </xf>
    <xf numFmtId="0" fontId="13" fillId="2" borderId="0" xfId="0" applyFont="1" applyFill="1">
      <alignment vertical="center"/>
    </xf>
    <xf numFmtId="0" fontId="13" fillId="3" borderId="0" xfId="0" applyFont="1" applyFill="1">
      <alignment vertical="center"/>
    </xf>
    <xf numFmtId="0" fontId="0" fillId="8" borderId="0" xfId="0" applyFill="1">
      <alignment vertical="center"/>
    </xf>
    <xf numFmtId="0" fontId="13" fillId="5" borderId="0" xfId="0" applyFont="1" applyFill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3" fillId="10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3" fillId="7" borderId="0" xfId="0" applyFont="1" applyFill="1">
      <alignment vertical="center"/>
    </xf>
    <xf numFmtId="0" fontId="1" fillId="10" borderId="0" xfId="0" applyFont="1" applyFill="1">
      <alignment vertical="center"/>
    </xf>
    <xf numFmtId="0" fontId="12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5" borderId="0" xfId="0" applyFont="1" applyFill="1">
      <alignment vertical="center"/>
    </xf>
    <xf numFmtId="0" fontId="13" fillId="6" borderId="0" xfId="0" applyFont="1" applyFill="1">
      <alignment vertical="center"/>
    </xf>
    <xf numFmtId="0" fontId="25" fillId="0" borderId="0" xfId="0" applyFont="1">
      <alignment vertical="center"/>
    </xf>
    <xf numFmtId="0" fontId="25" fillId="4" borderId="0" xfId="0" applyFont="1" applyFill="1">
      <alignment vertical="center"/>
    </xf>
    <xf numFmtId="0" fontId="13" fillId="4" borderId="0" xfId="0" applyFont="1" applyFill="1">
      <alignment vertical="center"/>
    </xf>
    <xf numFmtId="0" fontId="24" fillId="0" borderId="0" xfId="0" applyFont="1">
      <alignment vertical="center"/>
    </xf>
    <xf numFmtId="0" fontId="26" fillId="0" borderId="0" xfId="0" applyFont="1">
      <alignment vertical="center"/>
    </xf>
    <xf numFmtId="0" fontId="24" fillId="0" borderId="0" xfId="0" quotePrefix="1" applyFont="1">
      <alignment vertical="center"/>
    </xf>
    <xf numFmtId="0" fontId="12" fillId="9" borderId="0" xfId="0" applyFont="1" applyFill="1">
      <alignment vertical="center"/>
    </xf>
    <xf numFmtId="0" fontId="16" fillId="0" borderId="0" xfId="0" applyFont="1">
      <alignment vertical="center"/>
    </xf>
    <xf numFmtId="0" fontId="12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25" fillId="7" borderId="0" xfId="0" applyFont="1" applyFill="1">
      <alignment vertical="center"/>
    </xf>
    <xf numFmtId="0" fontId="25" fillId="8" borderId="0" xfId="0" applyFont="1" applyFill="1">
      <alignment vertical="center"/>
    </xf>
    <xf numFmtId="0" fontId="27" fillId="0" borderId="0" xfId="0" applyFont="1" applyAlignment="1">
      <alignment horizontal="right" vertical="center"/>
    </xf>
    <xf numFmtId="0" fontId="28" fillId="0" borderId="0" xfId="0" applyFont="1">
      <alignment vertical="center"/>
    </xf>
    <xf numFmtId="0" fontId="28" fillId="7" borderId="0" xfId="0" applyFont="1" applyFill="1">
      <alignment vertical="center"/>
    </xf>
    <xf numFmtId="0" fontId="27" fillId="0" borderId="0" xfId="0" applyFont="1">
      <alignment vertical="center"/>
    </xf>
    <xf numFmtId="0" fontId="25" fillId="0" borderId="0" xfId="0" applyFont="1" applyAlignment="1">
      <alignment vertical="center" wrapText="1"/>
    </xf>
    <xf numFmtId="0" fontId="25" fillId="7" borderId="0" xfId="0" applyFont="1" applyFill="1" applyAlignment="1">
      <alignment vertical="center" wrapText="1"/>
    </xf>
  </cellXfs>
  <cellStyles count="1">
    <cellStyle name="표준" xfId="0" builtinId="0"/>
  </cellStyles>
  <dxfs count="116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5"/>
      <tableStyleElement type="headerRow" dxfId="114"/>
      <tableStyleElement type="totalRow" dxfId="113"/>
      <tableStyleElement type="firstColumn" dxfId="112"/>
      <tableStyleElement type="lastColumn" dxfId="111"/>
      <tableStyleElement type="firstRowStripe" dxfId="110"/>
      <tableStyleElement type="firstColumnStripe" dxfId="109"/>
    </tableStyle>
    <tableStyle name="Light Style 1 - Accent 1" table="0" count="7" xr9:uid="{00000000-0011-0000-FFFF-FFFF01000000}">
      <tableStyleElement type="wholeTable" dxfId="108"/>
      <tableStyleElement type="headerRow" dxfId="107"/>
      <tableStyleElement type="totalRow" dxfId="106"/>
      <tableStyleElement type="firstColumn" dxfId="105"/>
      <tableStyleElement type="lastColumn" dxfId="104"/>
      <tableStyleElement type="firstRowStripe" dxfId="103"/>
      <tableStyleElement type="firstColumnStripe" dxfId="102"/>
    </tableStyle>
    <tableStyle name="표 스타일 1" pivot="0" count="4" xr9:uid="{00000000-0011-0000-FFFF-FFFF02000000}">
      <tableStyleElement type="wholeTable" dxfId="101"/>
      <tableStyleElement type="headerRow" dxfId="100"/>
      <tableStyleElement type="firstRowStripe" dxfId="99"/>
      <tableStyleElement type="secondRowStripe" dxfId="9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7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표11" displayName="표11" ref="B12:G42" headerRowDxfId="96">
  <autoFilter ref="B12:G42" xr:uid="{00000000-0009-0000-0100-00000B000000}"/>
  <tableColumns count="6">
    <tableColumn id="11" xr3:uid="{00000000-0010-0000-0100-00000B000000}" name="층" dataDxfId="95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94"/>
    <tableColumn id="6" xr3:uid="{00000000-0010-0000-0100-000006000000}" name="평균획득골드" totalsRowFunction="average" dataDxfId="93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92">
  <autoFilter ref="J6:M8" xr:uid="{00000000-0009-0000-0100-000014000000}"/>
  <tableColumns count="4">
    <tableColumn id="4" xr3:uid="{00000000-0010-0000-0200-000004000000}" name="열1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표24" displayName="표24" ref="J12:M16" totalsRowCount="1">
  <autoFilter ref="J12:M15" xr:uid="{00000000-0009-0000-0100-000018000000}"/>
  <tableColumns count="4">
    <tableColumn id="1" xr3:uid="{00000000-0010-0000-0300-000001000000}" name="층" totalsRowLabel="요약" dataDxfId="91" totalsRowDxfId="90"/>
    <tableColumn id="2" xr3:uid="{00000000-0010-0000-0300-000002000000}" name="개수">
      <calculatedColumnFormula>INDEX(ProductialTable[MaxRoomValue],MATCH(표24[[#This Row],[층]],ProductialTable['#이름],0))</calculatedColumnFormula>
    </tableColumn>
    <tableColumn id="4" xr3:uid="{00000000-0010-0000-0300-000004000000}" name="방당 획득" dataDxfId="89">
      <calculatedColumnFormula>(SUMIFS(표11[평균획득골드],표11[층],표24[[#This Row],[층]])/_xlfn.MAXIFS(표11[스테이지],표11[층],표24[[#This Row],[층]]))</calculatedColumnFormula>
    </tableColumn>
    <tableColumn id="3" xr3:uid="{00000000-0010-0000-0300-000003000000}" name="층 완료 획득" totalsRowFunction="sum" dataDxfId="88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6:E32" totalsRowShown="0" headerRowDxfId="87" dataDxfId="86">
  <autoFilter ref="B6:E32" xr:uid="{00000000-0009-0000-0100-000008000000}"/>
  <tableColumns count="4">
    <tableColumn id="1" xr3:uid="{00000000-0010-0000-0400-000001000000}" name="스텟" dataDxfId="85"/>
    <tableColumn id="2" xr3:uid="{00000000-0010-0000-0400-000002000000}" name="참조 테이블" dataDxfId="84"/>
    <tableColumn id="3" xr3:uid="{00000000-0010-0000-0400-000003000000}" name="설명" dataDxfId="83"/>
    <tableColumn id="4" xr3:uid="{00000000-0010-0000-0400-000004000000}" name="Value 1당 가치" dataDxfId="82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R6:S7" totalsRowShown="0" headerRowDxfId="81">
  <autoFilter ref="R6:S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R14:S15" totalsRowShown="0" headerRowDxfId="80">
  <autoFilter ref="R14:S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G6:P12" totalsRowShown="0" headerRowDxfId="79">
  <autoFilter ref="G6:P12" xr:uid="{00000000-0009-0000-0100-00000F000000}"/>
  <tableColumns count="10">
    <tableColumn id="1" xr3:uid="{00000000-0010-0000-0700-000001000000}" name="층"/>
    <tableColumn id="2" xr3:uid="{00000000-0010-0000-0700-000002000000}" name="Normal"/>
    <tableColumn id="3" xr3:uid="{00000000-0010-0000-0700-000003000000}" name="Rare" dataDxfId="78"/>
    <tableColumn id="4" xr3:uid="{00000000-0010-0000-0700-000004000000}" name="획득 무기"/>
    <tableColumn id="5" xr3:uid="{00000000-0010-0000-0700-000005000000}" name="획득 골드" dataDxfId="77">
      <calculatedColumnFormula array="1">밸런스시트[[#This Row],[방 개수]]*표10[방 평균 골드]</calculatedColumnFormula>
    </tableColumn>
    <tableColumn id="6" xr3:uid="{00000000-0010-0000-0700-000006000000}" name="적 체력" dataDxfId="76"/>
    <tableColumn id="7" xr3:uid="{00000000-0010-0000-0700-000007000000}" name="방 개수"/>
    <tableColumn id="8" xr3:uid="{00000000-0010-0000-0700-000008000000}" name="레벨당 평균 적"/>
    <tableColumn id="9" xr3:uid="{00000000-0010-0000-0700-000009000000}" name="PC 최대 DPS" dataDxfId="75">
      <calculatedColumnFormula array="1">CharacterAtkTable['#던진공 차징1 튕겨내기 DPS]</calculatedColumnFormula>
    </tableColumn>
    <tableColumn id="10" xr3:uid="{00000000-0010-0000-0700-00000A000000}" name="예상 전투 시간" dataDxfId="74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R10:U11" totalsRowShown="0" headerRowDxfId="73">
  <autoFilter ref="R10:U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Weapon" dataDxfId="72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71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70"/>
    <tableColumn id="3" xr3:uid="{00000000-0010-0000-0900-000003000000}" name="value"/>
    <tableColumn id="4" xr3:uid="{00000000-0010-0000-0900-000004000000}" name="#설명" dataDxfId="69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68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67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W3" totalsRowShown="0" headerRowDxfId="66">
  <autoFilter ref="B2:W3" xr:uid="{00000000-0009-0000-0100-000007000000}"/>
  <tableColumns count="22">
    <tableColumn id="1" xr3:uid="{00000000-0010-0000-0B00-000001000000}" name="Index"/>
    <tableColumn id="2" xr3:uid="{00000000-0010-0000-0B00-000002000000}" name="#설명" dataDxfId="65"/>
    <tableColumn id="7" xr3:uid="{00000000-0010-0000-0B00-000007000000}" name="SwingCooldown" dataDxfId="64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  <tableColumn id="24" xr3:uid="{00000000-0010-0000-0B00-000018000000}" name="#던지기 DPS"/>
    <tableColumn id="25" xr3:uid="{00000000-0010-0000-0B00-000019000000}" name="#휘두르기 직접 공격 DPS"/>
    <tableColumn id="26" xr3:uid="{00000000-0010-0000-0B00-00001A000000}" name="#차징1 직접 공격 DPS"/>
    <tableColumn id="27" xr3:uid="{00000000-0010-0000-0B00-00001B000000}" name="#차징2 직접 공격 DPS"/>
    <tableColumn id="28" xr3:uid="{00000000-0010-0000-0B00-00001C000000}" name="#차징3 직접 공격 DPS"/>
    <tableColumn id="29" xr3:uid="{00000000-0010-0000-0B00-00001D000000}" name="#던진공 튕겨내기 DPS"/>
    <tableColumn id="30" xr3:uid="{00000000-0010-0000-0B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63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62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61"/>
    <tableColumn id="14" xr3:uid="{00000000-0010-0000-0C00-00000E000000}" name="#드랍테이블2" dataDxfId="60"/>
    <tableColumn id="15" xr3:uid="{00000000-0010-0000-0C00-00000F000000}" name="#드랍테이블3" dataDxfId="59"/>
    <tableColumn id="16" xr3:uid="{00000000-0010-0000-0C00-000010000000}" name="#드랍테이블4" dataDxfId="58"/>
    <tableColumn id="17" xr3:uid="{00000000-0010-0000-0C00-000011000000}" name="#드랍테이블5" dataDxfId="57"/>
    <tableColumn id="18" xr3:uid="{00000000-0010-0000-0C00-000012000000}" name="#드랍테이블6" dataDxfId="56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55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54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53"/>
    <tableColumn id="19" xr3:uid="{00000000-0010-0000-0E00-000013000000}" name="#" dataDxfId="52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/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51"/>
    <tableColumn id="17" xr3:uid="{00000000-0010-0000-0E00-000011000000}" name="#기준 적 체력 비율"/>
    <tableColumn id="18" xr3:uid="{00000000-0010-0000-0E00-000012000000}" name="#평균 드랍 골드" dataDxfId="50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9" totalsRowShown="0">
  <autoFilter ref="B2:I59" xr:uid="{00000000-0009-0000-0100-000015000000}"/>
  <tableColumns count="8">
    <tableColumn id="1" xr3:uid="{00000000-0010-0000-0F00-000001000000}" name="Index"/>
    <tableColumn id="2" xr3:uid="{00000000-0010-0000-0F00-000002000000}" name="#설명" dataDxfId="49"/>
    <tableColumn id="3" xr3:uid="{00000000-0010-0000-0F00-000003000000}" name="ShootDataId" dataDxfId="48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47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46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04" totalsRowShown="0">
  <autoFilter ref="B2:G104" xr:uid="{00000000-0009-0000-0100-000013000000}"/>
  <tableColumns count="6">
    <tableColumn id="1" xr3:uid="{00000000-0010-0000-1000-000001000000}" name="Index"/>
    <tableColumn id="2" xr3:uid="{00000000-0010-0000-1000-000002000000}" name="#설명" dataDxfId="45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4" totalsRowShown="0" headerRowDxfId="44">
  <autoFilter ref="B2:G14" xr:uid="{00000000-0009-0000-0100-000011000000}"/>
  <tableColumns count="6">
    <tableColumn id="1" xr3:uid="{00000000-0010-0000-1100-000001000000}" name="Index"/>
    <tableColumn id="2" xr3:uid="{00000000-0010-0000-1100-000002000000}" name="#설명" dataDxfId="43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S33" totalsRowShown="0" headerRowDxfId="42">
  <autoFilter ref="B2:S33" xr:uid="{00000000-0009-0000-0100-000004000000}"/>
  <tableColumns count="18">
    <tableColumn id="1" xr3:uid="{00000000-0010-0000-1200-000001000000}" name="Index" dataDxfId="41"/>
    <tableColumn id="2" xr3:uid="{00000000-0010-0000-1200-000002000000}" name="Name" dataDxfId="40"/>
    <tableColumn id="3" xr3:uid="{00000000-0010-0000-1200-000003000000}" name="Desc" dataDxfId="39"/>
    <tableColumn id="18" xr3:uid="{00000000-0010-0000-1200-000012000000}" name="PlusDesc" dataDxfId="38"/>
    <tableColumn id="19" xr3:uid="{00000000-0010-0000-1200-000013000000}" name="MinusDesc" dataDxfId="37"/>
    <tableColumn id="4" xr3:uid="{00000000-0010-0000-1200-000004000000}" name="GradeType" dataDxfId="36"/>
    <tableColumn id="5" xr3:uid="{00000000-0010-0000-1200-000005000000}" name="Value" dataDxfId="35"/>
    <tableColumn id="6" xr3:uid="{00000000-0010-0000-1200-000006000000}" name="CostHp" dataDxfId="34"/>
    <tableColumn id="7" xr3:uid="{00000000-0010-0000-1200-000007000000}" name="CostGold" dataDxfId="33"/>
    <tableColumn id="8" xr3:uid="{00000000-0010-0000-1200-000008000000}" name="ItemEffectDataId" dataDxfId="32"/>
    <tableColumn id="9" xr3:uid="{00000000-0010-0000-1200-000009000000}" name="ItemIconPath" dataDxfId="31"/>
    <tableColumn id="10" xr3:uid="{00000000-0010-0000-1200-00000A000000}" name="#자료 위치 변환기" dataDxfId="30"/>
    <tableColumn id="11" xr3:uid="{00000000-0010-0000-1200-00000B000000}" name="#" dataDxfId="29"/>
    <tableColumn id="12" xr3:uid="{00000000-0010-0000-1200-00000C000000}" name="#2" dataDxfId="28"/>
    <tableColumn id="13" xr3:uid="{00000000-0010-0000-1200-00000D000000}" name="#3" dataDxfId="27"/>
    <tableColumn id="14" xr3:uid="{00000000-0010-0000-1200-00000E000000}" name="#4" dataDxfId="26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00000000-0010-0000-1200-000010000000}" name="#예외처리" dataDxfId="25"/>
    <tableColumn id="15" xr3:uid="{00000000-0010-0000-1200-00000F000000}" name="#체크" dataDxfId="24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K32" totalsRowShown="0" headerRowDxfId="23">
  <autoFilter ref="B2:K32" xr:uid="{00000000-0009-0000-0100-000001000000}"/>
  <tableColumns count="10">
    <tableColumn id="2" xr3:uid="{00000000-0010-0000-1300-000002000000}" name="#이름값" dataDxfId="22">
      <calculatedColumnFormula>INDEX(ItemTable[Name],MATCH(ItemEffectTable[[#This Row],[Index]],ItemTable[ItemEffectDataId],0))</calculatedColumnFormula>
    </tableColumn>
    <tableColumn id="3" xr3:uid="{00000000-0010-0000-1300-000003000000}" name="#Grade" dataDxfId="21">
      <calculatedColumnFormula>INDEX(ItemTable[GradeType],MATCH(ItemEffectTable[[#This Row],[Index]],ItemTable[ItemEffectDataId],0))</calculatedColumnFormula>
    </tableColumn>
    <tableColumn id="4" xr3:uid="{00000000-0010-0000-1300-000004000000}" name="Index" dataDxfId="20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19"/>
    <tableColumn id="12" xr3:uid="{00000000-0010-0000-1300-00000C000000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I31" totalsRowShown="0" headerRowDxfId="18">
  <autoFilter ref="B2:I31" xr:uid="{00000000-0009-0000-0100-000016000000}"/>
  <tableColumns count="8">
    <tableColumn id="3" xr3:uid="{E74DAA42-5E4A-4F89-AD3E-565200EEF3AE}" name="#열1" dataDxfId="17">
      <calculatedColumnFormula>IFERROR(INDEX(ItemEffectTable['#이름값],MATCH(ItemEffectTable23[[#This Row],[Index]],ItemEffectTable[Index],0)),INDEX(ItemEffectTable['#이름값],MATCH(ItemEffectTable23[[#This Row],[Index]],ItemEffectTable[ApplyBuffId],0)))</calculatedColumnFormula>
    </tableColumn>
    <tableColumn id="4" xr3:uid="{00000000-0010-0000-1400-000004000000}" name="Index" dataDxfId="1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1" xr3:uid="{00000000-0010-0000-1400-000001000000}" name="#설명" dataDxfId="15"/>
    <tableColumn id="2" xr3:uid="{00000000-0010-0000-1400-000002000000}" name="#폐기여부" dataDxfId="14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L16" totalsRowShown="0" headerRowDxfId="13">
  <autoFilter ref="B2:L16" xr:uid="{00000000-0009-0000-0100-000017000000}"/>
  <tableColumns count="11">
    <tableColumn id="4" xr3:uid="{00000000-0010-0000-1500-000004000000}" name="Index" dataDxfId="12"/>
    <tableColumn id="7" xr3:uid="{00000000-0010-0000-1500-000007000000}" name="#명칭" dataDxfId="11">
      <calculatedColumnFormula>IFERROR(INDEX(ItemEffectTable['#이름값],MATCH(ItemEffectTable2324[[#This Row],[Index]],ItemEffectTable[Index],0)),INDEX(ItemEffectTable['#이름값],MATCH(ItemEffectTable2324[[#This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0"/>
    <tableColumn id="13" xr3:uid="{00000000-0010-0000-1500-00000D000000}" name="Param2"/>
    <tableColumn id="2" xr3:uid="{00000000-0010-0000-1500-000002000000}" name="#Param2설명" dataDxfId="9"/>
    <tableColumn id="14" xr3:uid="{00000000-0010-0000-1500-00000E000000}" name="Param3"/>
    <tableColumn id="3" xr3:uid="{00000000-0010-0000-1500-000003000000}" name="#Param3설명" dataDxfId="8"/>
    <tableColumn id="8" xr3:uid="{00000000-0010-0000-1500-000008000000}" name="Param4" dataDxfId="7"/>
    <tableColumn id="9" xr3:uid="{00000000-0010-0000-1500-000009000000}" name="#Param3설명3" dataDxfId="6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5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4"/>
    <tableColumn id="3" xr3:uid="{00000000-0010-0000-1600-000003000000}" name="#리소스 유형" dataDxfId="3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A2:D76" totalsRowShown="0" headerRowDxfId="2">
  <autoFilter ref="A2:D76" xr:uid="{00000000-0009-0000-0100-000003000000}"/>
  <tableColumns count="4">
    <tableColumn id="1" xr3:uid="{00000000-0010-0000-1700-000001000000}" name="Index" dataDxfId="1"/>
    <tableColumn id="2" xr3:uid="{00000000-0010-0000-1700-000002000000}" name="LocaleKR"/>
    <tableColumn id="3" xr3:uid="{00000000-0010-0000-1700-000003000000}" name="LocaleUS"/>
    <tableColumn id="4" xr3:uid="{00000000-0010-0000-17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56" t="s">
        <v>305</v>
      </c>
      <c r="C1" s="57"/>
      <c r="D1" s="57"/>
      <c r="E1" s="57"/>
    </row>
    <row r="2" spans="2:5" s="1" customFormat="1">
      <c r="B2" s="57"/>
      <c r="C2" s="57"/>
      <c r="D2" s="57"/>
      <c r="E2" s="57"/>
    </row>
    <row r="3" spans="2:5" s="1" customFormat="1">
      <c r="B3" s="57"/>
      <c r="C3" s="57"/>
      <c r="D3" s="57"/>
      <c r="E3" s="57"/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9" sqref="L9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  <col min="9" max="9" width="11.83203125" customWidth="1"/>
    <col min="11" max="11" width="8.33203125" customWidth="1"/>
    <col min="12" max="13" width="13.6640625" bestFit="1" customWidth="1"/>
  </cols>
  <sheetData>
    <row r="1" spans="2:13" s="1" customFormat="1">
      <c r="B1" s="56" t="s">
        <v>198</v>
      </c>
      <c r="C1" s="57"/>
      <c r="D1" s="57"/>
      <c r="E1" s="57"/>
    </row>
    <row r="2" spans="2:13" s="1" customFormat="1">
      <c r="B2" s="57"/>
      <c r="C2" s="57"/>
      <c r="D2" s="57"/>
      <c r="E2" s="57"/>
    </row>
    <row r="3" spans="2:13" s="1" customFormat="1">
      <c r="B3" s="57"/>
      <c r="C3" s="57"/>
      <c r="D3" s="57"/>
      <c r="E3" s="57"/>
    </row>
    <row r="5" spans="2:13">
      <c r="B5" s="2" t="s">
        <v>87</v>
      </c>
      <c r="J5" s="2" t="s">
        <v>448</v>
      </c>
      <c r="K5" s="2"/>
    </row>
    <row r="6" spans="2:13">
      <c r="B6" t="s">
        <v>43</v>
      </c>
      <c r="C6" t="s">
        <v>46</v>
      </c>
      <c r="D6" t="s">
        <v>91</v>
      </c>
      <c r="E6" t="s">
        <v>78</v>
      </c>
      <c r="F6" t="s">
        <v>79</v>
      </c>
      <c r="G6" t="s">
        <v>88</v>
      </c>
      <c r="H6" t="s">
        <v>81</v>
      </c>
      <c r="J6" s="12" t="s">
        <v>449</v>
      </c>
      <c r="K6" s="12" t="s">
        <v>446</v>
      </c>
      <c r="L6" s="12" t="s">
        <v>443</v>
      </c>
      <c r="M6" s="12" t="s">
        <v>444</v>
      </c>
    </row>
    <row r="7" spans="2:13">
      <c r="B7" t="s">
        <v>46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2" t="s">
        <v>450</v>
      </c>
      <c r="K7">
        <v>0</v>
      </c>
      <c r="L7">
        <v>4</v>
      </c>
      <c r="M7">
        <v>7</v>
      </c>
    </row>
    <row r="8" spans="2:13">
      <c r="B8" t="s">
        <v>91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2" t="s">
        <v>451</v>
      </c>
      <c r="K8">
        <v>0</v>
      </c>
      <c r="L8">
        <v>6</v>
      </c>
      <c r="M8">
        <v>12</v>
      </c>
    </row>
    <row r="9" spans="2:13">
      <c r="J9" t="s">
        <v>452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</row>
    <row r="11" spans="2:13">
      <c r="B11" s="2" t="s">
        <v>447</v>
      </c>
      <c r="C11" s="2"/>
      <c r="D11" s="2"/>
      <c r="J11" s="2" t="s">
        <v>574</v>
      </c>
    </row>
    <row r="12" spans="2:13">
      <c r="B12" s="12" t="s">
        <v>573</v>
      </c>
      <c r="C12" s="12" t="s">
        <v>445</v>
      </c>
      <c r="D12" s="12" t="s">
        <v>446</v>
      </c>
      <c r="E12" s="12" t="s">
        <v>443</v>
      </c>
      <c r="F12" s="12" t="s">
        <v>444</v>
      </c>
      <c r="G12" s="12" t="s">
        <v>582</v>
      </c>
      <c r="H12" s="12"/>
      <c r="J12" s="12" t="s">
        <v>573</v>
      </c>
      <c r="K12" s="12" t="s">
        <v>581</v>
      </c>
      <c r="L12" s="12" t="s">
        <v>583</v>
      </c>
      <c r="M12" s="12" t="s">
        <v>584</v>
      </c>
    </row>
    <row r="13" spans="2:13">
      <c r="B13" s="12" t="s">
        <v>576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15</v>
      </c>
      <c r="J13" s="12" t="s">
        <v>576</v>
      </c>
      <c r="K13">
        <f>INDEX(ProductialTable[MaxRoomValue],MATCH(표24[[#This Row],[층]],ProductialTable['#이름],0))</f>
        <v>8</v>
      </c>
      <c r="L13">
        <f>(SUMIFS(표11[평균획득골드],표11[층],표24[[#This Row],[층]])/_xlfn.MAXIFS(표11[스테이지],표11[층],표24[[#This Row],[층]]))</f>
        <v>13.5</v>
      </c>
      <c r="M13">
        <f>(SUMIFS(표11[평균획득골드],표11[층],표24[[#This Row],[층]])/_xlfn.MAXIFS(표11[스테이지],표11[층],표24[[#This Row],[층]]))*
(표24[[#This Row],[개수]]-3)</f>
        <v>67.5</v>
      </c>
    </row>
    <row r="14" spans="2:13">
      <c r="B14" s="12" t="s">
        <v>576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15</v>
      </c>
      <c r="J14" s="12" t="s">
        <v>578</v>
      </c>
      <c r="K14">
        <f>INDEX(ProductialTable[MaxRoomValue],MATCH(표24[[#This Row],[층]],ProductialTable['#이름],0))</f>
        <v>10</v>
      </c>
      <c r="L14">
        <f>(SUMIFS(표11[평균획득골드],표11[층],표24[[#This Row],[층]])/_xlfn.MAXIFS(표11[스테이지],표11[층],표24[[#This Row],[층]]))</f>
        <v>20.5</v>
      </c>
      <c r="M14">
        <f>(SUMIFS(표11[평균획득골드],표11[층],표24[[#This Row],[층]])/_xlfn.MAXIFS(표11[스테이지],표11[층],표24[[#This Row],[층]]))*
(표24[[#This Row],[개수]]-3)</f>
        <v>143.5</v>
      </c>
    </row>
    <row r="15" spans="2:13">
      <c r="B15" s="12" t="s">
        <v>575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10</v>
      </c>
      <c r="J15" s="12" t="s">
        <v>580</v>
      </c>
      <c r="K15">
        <f>INDEX(ProductialTable[MaxRoomValue],MATCH(표24[[#This Row],[층]],ProductialTable['#이름],0))</f>
        <v>12</v>
      </c>
      <c r="L15">
        <f>(SUMIFS(표11[평균획득골드],표11[층],표24[[#This Row],[층]])/_xlfn.MAXIFS(표11[스테이지],표11[층],표24[[#This Row],[층]]))</f>
        <v>33</v>
      </c>
      <c r="M15">
        <f>(SUMIFS(표11[평균획득골드],표11[층],표24[[#This Row],[층]])/_xlfn.MAXIFS(표11[스테이지],표11[층],표24[[#This Row],[층]]))*
(표24[[#This Row],[개수]]-3)</f>
        <v>297</v>
      </c>
    </row>
    <row r="16" spans="2:13">
      <c r="B16" s="12" t="s">
        <v>575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15</v>
      </c>
      <c r="J16" s="12" t="s">
        <v>452</v>
      </c>
      <c r="M16">
        <f>SUBTOTAL(109,표24[층 완료 획득])</f>
        <v>508</v>
      </c>
    </row>
    <row r="17" spans="2:13">
      <c r="B17" s="12" t="s">
        <v>575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15</v>
      </c>
    </row>
    <row r="18" spans="2:13">
      <c r="B18" s="12" t="s">
        <v>575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10</v>
      </c>
      <c r="L18" s="12" t="s">
        <v>585</v>
      </c>
      <c r="M18" s="12">
        <f>표24[[#Totals],[층 완료 획득]]/30</f>
        <v>16.933333333333334</v>
      </c>
    </row>
    <row r="19" spans="2:13">
      <c r="B19" s="12" t="s">
        <v>575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15</v>
      </c>
      <c r="L19" s="12" t="s">
        <v>586</v>
      </c>
      <c r="M19" s="12">
        <f>표24[[#Totals],[층 완료 획득]]/50</f>
        <v>10.16</v>
      </c>
    </row>
    <row r="20" spans="2:13">
      <c r="B20" s="12" t="s">
        <v>575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15</v>
      </c>
      <c r="L20" s="12"/>
    </row>
    <row r="21" spans="2:13">
      <c r="B21" s="12" t="s">
        <v>575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10</v>
      </c>
    </row>
    <row r="22" spans="2:13">
      <c r="B22" s="12" t="s">
        <v>575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15</v>
      </c>
    </row>
    <row r="23" spans="2:13">
      <c r="B23" s="12" t="s">
        <v>578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20</v>
      </c>
    </row>
    <row r="24" spans="2:13">
      <c r="B24" s="12" t="s">
        <v>578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25</v>
      </c>
    </row>
    <row r="25" spans="2:13">
      <c r="B25" s="12" t="s">
        <v>577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15</v>
      </c>
    </row>
    <row r="26" spans="2:13">
      <c r="B26" s="12" t="s">
        <v>577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20</v>
      </c>
    </row>
    <row r="27" spans="2:13">
      <c r="B27" s="12" t="s">
        <v>577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20</v>
      </c>
    </row>
    <row r="28" spans="2:13">
      <c r="B28" s="12" t="s">
        <v>577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20</v>
      </c>
    </row>
    <row r="29" spans="2:13">
      <c r="B29" s="12" t="s">
        <v>577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20</v>
      </c>
    </row>
    <row r="30" spans="2:13">
      <c r="B30" s="12" t="s">
        <v>577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20</v>
      </c>
    </row>
    <row r="31" spans="2:13">
      <c r="B31" s="12" t="s">
        <v>577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20</v>
      </c>
    </row>
    <row r="32" spans="2:13">
      <c r="B32" s="12" t="s">
        <v>577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25</v>
      </c>
    </row>
    <row r="33" spans="2:7">
      <c r="B33" s="12" t="s">
        <v>580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29.5</v>
      </c>
    </row>
    <row r="34" spans="2:7">
      <c r="B34" s="12" t="s">
        <v>580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34.5</v>
      </c>
    </row>
    <row r="35" spans="2:7">
      <c r="B35" s="12" t="s">
        <v>579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34.5</v>
      </c>
    </row>
    <row r="36" spans="2:7">
      <c r="B36" s="12" t="s">
        <v>579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29.5</v>
      </c>
    </row>
    <row r="37" spans="2:7">
      <c r="B37" s="12" t="s">
        <v>579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34.5</v>
      </c>
    </row>
    <row r="38" spans="2:7">
      <c r="B38" s="12" t="s">
        <v>579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34.5</v>
      </c>
    </row>
    <row r="39" spans="2:7">
      <c r="B39" s="12" t="s">
        <v>579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39.5</v>
      </c>
    </row>
    <row r="40" spans="2:7">
      <c r="B40" s="12" t="s">
        <v>579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34.5</v>
      </c>
    </row>
    <row r="41" spans="2:7">
      <c r="B41" s="12" t="s">
        <v>579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24.5</v>
      </c>
    </row>
    <row r="42" spans="2:7">
      <c r="B42" s="12" t="s">
        <v>579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34.5</v>
      </c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zoomScaleNormal="75" zoomScaleSheetLayoutView="100" workbookViewId="0">
      <selection activeCell="J40" sqref="J40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56" t="s">
        <v>283</v>
      </c>
      <c r="C1" s="57"/>
      <c r="D1" s="57"/>
      <c r="E1" s="57"/>
      <c r="F1" s="57"/>
    </row>
    <row r="2" spans="1:21" s="1" customFormat="1">
      <c r="B2" s="57"/>
      <c r="C2" s="57"/>
      <c r="D2" s="57"/>
      <c r="E2" s="57"/>
      <c r="F2" s="57"/>
    </row>
    <row r="3" spans="1:21" s="1" customFormat="1">
      <c r="B3" s="57"/>
      <c r="C3" s="57"/>
      <c r="D3" s="57"/>
      <c r="E3" s="57"/>
      <c r="F3" s="57"/>
    </row>
    <row r="5" spans="1:21">
      <c r="B5" s="2" t="s">
        <v>103</v>
      </c>
      <c r="G5" s="2" t="s">
        <v>210</v>
      </c>
      <c r="H5" s="2"/>
      <c r="R5" s="2" t="s">
        <v>110</v>
      </c>
    </row>
    <row r="6" spans="1:21">
      <c r="B6" t="s">
        <v>50</v>
      </c>
      <c r="C6" t="s">
        <v>141</v>
      </c>
      <c r="D6" t="s">
        <v>56</v>
      </c>
      <c r="E6" t="s">
        <v>323</v>
      </c>
      <c r="G6" t="s">
        <v>40</v>
      </c>
      <c r="H6" t="s">
        <v>78</v>
      </c>
      <c r="I6" t="s">
        <v>79</v>
      </c>
      <c r="J6" t="s">
        <v>112</v>
      </c>
      <c r="K6" t="s">
        <v>111</v>
      </c>
      <c r="L6" t="s">
        <v>107</v>
      </c>
      <c r="M6" t="s">
        <v>109</v>
      </c>
      <c r="N6" t="s">
        <v>287</v>
      </c>
      <c r="O6" t="s">
        <v>321</v>
      </c>
      <c r="P6" t="s">
        <v>285</v>
      </c>
      <c r="R6" t="s">
        <v>102</v>
      </c>
      <c r="S6" s="12" t="s">
        <v>453</v>
      </c>
    </row>
    <row r="7" spans="1:21" ht="18">
      <c r="A7" s="11"/>
      <c r="B7" s="9" t="s">
        <v>182</v>
      </c>
      <c r="C7" s="11" t="s">
        <v>31</v>
      </c>
      <c r="D7" t="s">
        <v>134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>
        <f t="array" ref="O7">CharacterAtkTable['#던진공 차징1 튕겨내기 DPS]</f>
        <v>#REF!</v>
      </c>
      <c r="P7" t="e">
        <f>(밸런스시트[[#This Row],[레벨당 평균 적]]*밸런스시트[[#This Row],[방 개수]]*밸런스시트[[#This Row],[적 체력]])/밸런스시트[[#This Row],[PC 최대 DPS]]</f>
        <v>#REF!</v>
      </c>
      <c r="R7">
        <f>1/15</f>
        <v>6.6666666666666666E-2</v>
      </c>
      <c r="S7" t="e">
        <f>표11[[#Totals],[정예]]</f>
        <v>#REF!</v>
      </c>
    </row>
    <row r="8" spans="1:21" ht="18">
      <c r="A8" s="9"/>
      <c r="B8" s="9" t="s">
        <v>2</v>
      </c>
      <c r="C8" s="9" t="s">
        <v>232</v>
      </c>
      <c r="D8" t="s">
        <v>143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CharacterAtkTable['#던진공 차징1 튕겨내기 DPS]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 ht="18">
      <c r="A9" s="9"/>
      <c r="B9" s="9" t="s">
        <v>53</v>
      </c>
      <c r="C9" s="9" t="s">
        <v>232</v>
      </c>
      <c r="D9" t="s">
        <v>145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CharacterAtkTable['#던진공 차징1 튕겨내기 DPS]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260</v>
      </c>
      <c r="S9" s="2"/>
      <c r="T9" s="2"/>
    </row>
    <row r="10" spans="1:21" ht="18">
      <c r="A10" s="9"/>
      <c r="B10" s="9" t="s">
        <v>192</v>
      </c>
      <c r="C10" s="9" t="s">
        <v>232</v>
      </c>
      <c r="D10" t="s">
        <v>318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CharacterAtkTable['#던진공 차징1 튕겨내기 DPS]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78</v>
      </c>
      <c r="S10" t="s">
        <v>79</v>
      </c>
      <c r="T10" t="s">
        <v>88</v>
      </c>
      <c r="U10" t="s">
        <v>81</v>
      </c>
    </row>
    <row r="11" spans="1:21" ht="18">
      <c r="A11" s="9"/>
      <c r="B11" s="9" t="s">
        <v>272</v>
      </c>
      <c r="C11" s="9" t="s">
        <v>232</v>
      </c>
      <c r="D11" t="s">
        <v>140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CharacterAtkTable['#던진공 차징1 튕겨내기 DPS]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 ht="18">
      <c r="A12" s="9"/>
      <c r="B12" s="9" t="s">
        <v>166</v>
      </c>
      <c r="C12" s="9" t="s">
        <v>218</v>
      </c>
      <c r="D12" t="s">
        <v>144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CharacterAtkTable['#던진공 차징1 튕겨내기 DPS]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 ht="18">
      <c r="A13" s="9"/>
      <c r="B13" s="9" t="s">
        <v>309</v>
      </c>
      <c r="C13" s="9" t="s">
        <v>20</v>
      </c>
      <c r="D13" t="s">
        <v>30</v>
      </c>
      <c r="E13">
        <f>30/0.46</f>
        <v>65.217391304347828</v>
      </c>
      <c r="R13" s="2" t="s">
        <v>106</v>
      </c>
    </row>
    <row r="14" spans="1:21" ht="18">
      <c r="A14" s="9"/>
      <c r="B14" s="9" t="s">
        <v>17</v>
      </c>
      <c r="C14" s="9" t="s">
        <v>20</v>
      </c>
      <c r="D14" t="s">
        <v>32</v>
      </c>
      <c r="E14">
        <f>50/360</f>
        <v>0.1388888888888889</v>
      </c>
      <c r="R14" t="s">
        <v>108</v>
      </c>
      <c r="S14" t="s">
        <v>281</v>
      </c>
    </row>
    <row r="15" spans="1:21" ht="18">
      <c r="A15" s="9"/>
      <c r="B15" s="9" t="s">
        <v>213</v>
      </c>
      <c r="C15" s="9" t="s">
        <v>20</v>
      </c>
      <c r="D15" t="s">
        <v>226</v>
      </c>
      <c r="E15">
        <f>30/-0.45</f>
        <v>-66.666666666666671</v>
      </c>
      <c r="R15">
        <v>100</v>
      </c>
      <c r="S15">
        <v>0.2</v>
      </c>
    </row>
    <row r="16" spans="1:21" ht="18">
      <c r="A16" s="9"/>
      <c r="B16" s="9" t="s">
        <v>184</v>
      </c>
      <c r="C16" s="9" t="s">
        <v>20</v>
      </c>
      <c r="D16" t="s">
        <v>236</v>
      </c>
      <c r="E16" s="8">
        <v>40</v>
      </c>
    </row>
    <row r="17" spans="1:5" ht="18">
      <c r="A17" s="9"/>
      <c r="B17" s="9" t="s">
        <v>310</v>
      </c>
      <c r="C17" s="9" t="s">
        <v>20</v>
      </c>
      <c r="D17" t="s">
        <v>135</v>
      </c>
      <c r="E17">
        <f>50/0.3</f>
        <v>166.66666666666669</v>
      </c>
    </row>
    <row r="18" spans="1:5" ht="18">
      <c r="A18" s="9"/>
      <c r="B18" s="9" t="s">
        <v>329</v>
      </c>
      <c r="C18" s="9" t="s">
        <v>20</v>
      </c>
      <c r="D18" t="s">
        <v>320</v>
      </c>
      <c r="E18" s="10">
        <f>30/-0.2</f>
        <v>-150</v>
      </c>
    </row>
    <row r="19" spans="1:5" ht="18">
      <c r="A19" s="9"/>
      <c r="B19" s="9" t="s">
        <v>204</v>
      </c>
      <c r="C19" s="9" t="s">
        <v>20</v>
      </c>
      <c r="D19" t="s">
        <v>225</v>
      </c>
      <c r="E19">
        <f>50/100</f>
        <v>0.5</v>
      </c>
    </row>
    <row r="20" spans="1:5" ht="18">
      <c r="A20" s="9"/>
      <c r="B20" s="9" t="s">
        <v>233</v>
      </c>
      <c r="C20" s="9" t="s">
        <v>20</v>
      </c>
      <c r="D20" t="s">
        <v>228</v>
      </c>
      <c r="E20">
        <f>50/100</f>
        <v>0.5</v>
      </c>
    </row>
    <row r="21" spans="1:5" ht="18">
      <c r="A21" s="9"/>
      <c r="B21" s="9" t="s">
        <v>22</v>
      </c>
      <c r="C21" s="9" t="s">
        <v>20</v>
      </c>
      <c r="D21" t="s">
        <v>250</v>
      </c>
      <c r="E21">
        <f>30/1/2</f>
        <v>15</v>
      </c>
    </row>
    <row r="22" spans="1:5" ht="18">
      <c r="A22" s="9"/>
      <c r="B22" s="9" t="s">
        <v>28</v>
      </c>
      <c r="C22" s="9" t="s">
        <v>20</v>
      </c>
      <c r="D22" t="s">
        <v>242</v>
      </c>
      <c r="E22">
        <f>30/1/2</f>
        <v>15</v>
      </c>
    </row>
    <row r="23" spans="1:5" ht="18">
      <c r="A23" s="9"/>
      <c r="B23" s="9" t="s">
        <v>216</v>
      </c>
      <c r="C23" s="9" t="s">
        <v>20</v>
      </c>
      <c r="D23" t="s">
        <v>316</v>
      </c>
      <c r="E23">
        <f>50/25</f>
        <v>2</v>
      </c>
    </row>
    <row r="24" spans="1:5" ht="18">
      <c r="A24" s="9"/>
      <c r="B24" s="9" t="s">
        <v>224</v>
      </c>
      <c r="C24" s="9" t="s">
        <v>20</v>
      </c>
      <c r="D24" t="s">
        <v>317</v>
      </c>
      <c r="E24">
        <f>50/25</f>
        <v>2</v>
      </c>
    </row>
    <row r="25" spans="1:5" ht="18">
      <c r="A25" s="9"/>
      <c r="B25" s="9" t="s">
        <v>241</v>
      </c>
      <c r="C25" s="9" t="s">
        <v>20</v>
      </c>
      <c r="D25" t="s">
        <v>334</v>
      </c>
      <c r="E25">
        <v>2</v>
      </c>
    </row>
    <row r="26" spans="1:5" ht="18">
      <c r="A26" s="9"/>
      <c r="B26" s="9" t="s">
        <v>263</v>
      </c>
      <c r="C26" s="9" t="s">
        <v>20</v>
      </c>
      <c r="D26" t="s">
        <v>335</v>
      </c>
      <c r="E26">
        <v>2</v>
      </c>
    </row>
    <row r="27" spans="1:5" ht="18">
      <c r="A27" s="9"/>
      <c r="B27" s="9" t="s">
        <v>190</v>
      </c>
      <c r="C27" s="9" t="s">
        <v>55</v>
      </c>
      <c r="D27" s="9" t="s">
        <v>23</v>
      </c>
      <c r="E27">
        <v>-50</v>
      </c>
    </row>
    <row r="28" spans="1:5" ht="18">
      <c r="A28" s="9"/>
      <c r="B28" s="9" t="s">
        <v>142</v>
      </c>
      <c r="C28" s="9" t="s">
        <v>55</v>
      </c>
      <c r="D28" s="9" t="s">
        <v>21</v>
      </c>
      <c r="E28">
        <v>-30</v>
      </c>
    </row>
    <row r="29" spans="1:5" ht="18">
      <c r="A29" s="9"/>
      <c r="B29" s="9" t="s">
        <v>273</v>
      </c>
      <c r="C29" s="9" t="s">
        <v>55</v>
      </c>
      <c r="D29" s="9" t="s">
        <v>19</v>
      </c>
      <c r="E29">
        <v>50</v>
      </c>
    </row>
    <row r="30" spans="1:5" ht="18">
      <c r="A30" s="9"/>
      <c r="B30" s="9" t="s">
        <v>48</v>
      </c>
      <c r="C30" s="9" t="s">
        <v>55</v>
      </c>
      <c r="D30" s="9" t="s">
        <v>361</v>
      </c>
      <c r="E30">
        <v>50</v>
      </c>
    </row>
    <row r="31" spans="1:5" ht="18">
      <c r="A31" s="9"/>
      <c r="B31" s="9" t="s">
        <v>271</v>
      </c>
      <c r="C31" s="9" t="s">
        <v>55</v>
      </c>
      <c r="D31" s="9" t="s">
        <v>177</v>
      </c>
      <c r="E31">
        <v>50</v>
      </c>
    </row>
    <row r="32" spans="1:5" ht="18">
      <c r="A32" s="9"/>
      <c r="B32" s="9" t="s">
        <v>189</v>
      </c>
      <c r="C32" s="9" t="s">
        <v>55</v>
      </c>
      <c r="D32" s="9" t="s">
        <v>219</v>
      </c>
      <c r="E32">
        <v>50</v>
      </c>
    </row>
  </sheetData>
  <mergeCells count="1">
    <mergeCell ref="B1:F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97</v>
      </c>
      <c r="B1" t="s">
        <v>47</v>
      </c>
      <c r="C1" t="s">
        <v>98</v>
      </c>
      <c r="D1" t="s">
        <v>47</v>
      </c>
    </row>
    <row r="2" spans="1:4">
      <c r="A2" t="s">
        <v>73</v>
      </c>
      <c r="B2" s="5" t="s">
        <v>113</v>
      </c>
      <c r="C2" t="s">
        <v>69</v>
      </c>
      <c r="D2" s="5" t="s">
        <v>41</v>
      </c>
    </row>
    <row r="3" spans="1:4">
      <c r="A3">
        <v>1</v>
      </c>
      <c r="B3" s="4" t="s">
        <v>179</v>
      </c>
      <c r="C3">
        <v>5</v>
      </c>
      <c r="D3" s="4" t="s">
        <v>201</v>
      </c>
    </row>
    <row r="4" spans="1:4">
      <c r="A4">
        <v>2</v>
      </c>
      <c r="B4" s="4" t="s">
        <v>239</v>
      </c>
      <c r="C4">
        <v>5</v>
      </c>
      <c r="D4" s="4" t="s">
        <v>178</v>
      </c>
    </row>
    <row r="5" spans="1:4">
      <c r="A5">
        <v>3</v>
      </c>
      <c r="B5" s="4" t="s">
        <v>264</v>
      </c>
      <c r="C5">
        <v>20</v>
      </c>
      <c r="D5" s="4" t="s">
        <v>8</v>
      </c>
    </row>
    <row r="6" spans="1:4">
      <c r="A6">
        <v>4</v>
      </c>
      <c r="B6" s="4" t="s">
        <v>266</v>
      </c>
      <c r="C6">
        <v>0.5</v>
      </c>
      <c r="D6" s="4" t="s">
        <v>194</v>
      </c>
    </row>
    <row r="7" spans="1:4">
      <c r="A7">
        <v>5</v>
      </c>
      <c r="B7" s="4" t="s">
        <v>312</v>
      </c>
      <c r="C7">
        <v>50</v>
      </c>
      <c r="D7" s="4" t="s">
        <v>360</v>
      </c>
    </row>
    <row r="8" spans="1:4">
      <c r="A8">
        <v>6</v>
      </c>
      <c r="B8" s="4" t="s">
        <v>315</v>
      </c>
      <c r="C8">
        <v>1</v>
      </c>
      <c r="D8" s="4" t="s">
        <v>167</v>
      </c>
    </row>
    <row r="9" spans="1:4">
      <c r="A9">
        <v>7</v>
      </c>
      <c r="B9" s="4" t="s">
        <v>359</v>
      </c>
      <c r="C9">
        <v>10</v>
      </c>
      <c r="D9" s="4" t="s">
        <v>357</v>
      </c>
    </row>
    <row r="10" spans="1:4">
      <c r="A10">
        <v>8</v>
      </c>
      <c r="B10" s="4" t="s">
        <v>25</v>
      </c>
      <c r="C10">
        <v>5</v>
      </c>
      <c r="D10" s="4" t="s">
        <v>163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F4" sqref="F4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1.83203125" bestFit="1" customWidth="1"/>
  </cols>
  <sheetData>
    <row r="1" spans="2:13">
      <c r="B1" t="s">
        <v>44</v>
      </c>
      <c r="C1" t="s">
        <v>47</v>
      </c>
      <c r="D1" t="s">
        <v>44</v>
      </c>
      <c r="E1" t="s">
        <v>98</v>
      </c>
      <c r="F1" t="s">
        <v>98</v>
      </c>
      <c r="G1" t="s">
        <v>98</v>
      </c>
      <c r="H1" t="s">
        <v>98</v>
      </c>
      <c r="I1" t="s">
        <v>98</v>
      </c>
      <c r="J1" t="s">
        <v>98</v>
      </c>
      <c r="K1" t="s">
        <v>151</v>
      </c>
      <c r="L1" t="s">
        <v>151</v>
      </c>
      <c r="M1" t="s">
        <v>44</v>
      </c>
    </row>
    <row r="2" spans="2:13">
      <c r="B2" t="s">
        <v>73</v>
      </c>
      <c r="C2" s="5" t="s">
        <v>41</v>
      </c>
      <c r="D2" t="s">
        <v>148</v>
      </c>
      <c r="E2" t="s">
        <v>279</v>
      </c>
      <c r="F2" t="s">
        <v>2</v>
      </c>
      <c r="G2" s="12" t="s">
        <v>541</v>
      </c>
      <c r="H2" t="s">
        <v>14</v>
      </c>
      <c r="I2" s="17" t="s">
        <v>509</v>
      </c>
      <c r="J2" t="s">
        <v>12</v>
      </c>
      <c r="K2" t="s">
        <v>26</v>
      </c>
      <c r="L2" t="s">
        <v>222</v>
      </c>
      <c r="M2" t="s">
        <v>272</v>
      </c>
    </row>
    <row r="3" spans="2:13">
      <c r="B3">
        <v>100</v>
      </c>
      <c r="C3" s="4" t="s">
        <v>36</v>
      </c>
      <c r="D3">
        <v>125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2"/>
    </row>
    <row r="5" spans="2:13">
      <c r="I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W15"/>
  <sheetViews>
    <sheetView topLeftCell="D1" zoomScaleNormal="75" zoomScaleSheetLayoutView="100" workbookViewId="0">
      <selection activeCell="H19" sqref="H19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7.33203125" bestFit="1" customWidth="1"/>
    <col min="5" max="5" width="12.33203125" bestFit="1" customWidth="1"/>
    <col min="6" max="6" width="20.33203125" bestFit="1" customWidth="1"/>
    <col min="7" max="7" width="13.6640625" bestFit="1" customWidth="1"/>
    <col min="8" max="8" width="18.1640625" bestFit="1" customWidth="1"/>
    <col min="9" max="9" width="19.1640625" bestFit="1" customWidth="1"/>
    <col min="10" max="10" width="22.6640625" bestFit="1" customWidth="1"/>
    <col min="11" max="11" width="18.83203125" bestFit="1" customWidth="1"/>
    <col min="12" max="13" width="19.5" bestFit="1" customWidth="1"/>
    <col min="14" max="14" width="23.33203125" bestFit="1" customWidth="1"/>
    <col min="15" max="15" width="23.1640625" bestFit="1" customWidth="1"/>
    <col min="16" max="16" width="13.33203125" bestFit="1" customWidth="1"/>
    <col min="17" max="17" width="14.1640625" bestFit="1" customWidth="1"/>
    <col min="18" max="18" width="25.1640625" bestFit="1" customWidth="1"/>
    <col min="19" max="21" width="22.33203125" bestFit="1" customWidth="1"/>
    <col min="22" max="22" width="21.1640625" customWidth="1"/>
    <col min="23" max="23" width="27.1640625" bestFit="1" customWidth="1"/>
  </cols>
  <sheetData>
    <row r="1" spans="2:23">
      <c r="B1" t="s">
        <v>44</v>
      </c>
      <c r="C1" t="s">
        <v>47</v>
      </c>
      <c r="D1" t="s">
        <v>98</v>
      </c>
      <c r="E1" t="s">
        <v>98</v>
      </c>
      <c r="F1" t="s">
        <v>44</v>
      </c>
      <c r="G1" t="s">
        <v>98</v>
      </c>
      <c r="H1" t="s">
        <v>44</v>
      </c>
      <c r="I1" t="s">
        <v>44</v>
      </c>
      <c r="J1" t="s">
        <v>44</v>
      </c>
      <c r="K1" t="s">
        <v>44</v>
      </c>
      <c r="L1" t="s">
        <v>44</v>
      </c>
      <c r="M1" t="s">
        <v>44</v>
      </c>
      <c r="N1" t="s">
        <v>44</v>
      </c>
      <c r="O1" t="s">
        <v>44</v>
      </c>
      <c r="P1" t="s">
        <v>44</v>
      </c>
      <c r="V1" s="8" t="s">
        <v>164</v>
      </c>
    </row>
    <row r="2" spans="2:23">
      <c r="B2" t="s">
        <v>73</v>
      </c>
      <c r="C2" s="5" t="s">
        <v>41</v>
      </c>
      <c r="D2" s="35" t="s">
        <v>510</v>
      </c>
      <c r="E2" s="6" t="s">
        <v>309</v>
      </c>
      <c r="F2" s="44" t="s">
        <v>681</v>
      </c>
      <c r="G2" s="6" t="s">
        <v>329</v>
      </c>
      <c r="H2" s="6" t="s">
        <v>184</v>
      </c>
      <c r="I2" s="35" t="s">
        <v>617</v>
      </c>
      <c r="J2" s="44" t="s">
        <v>605</v>
      </c>
      <c r="K2" s="6" t="s">
        <v>29</v>
      </c>
      <c r="L2" s="7" t="s">
        <v>216</v>
      </c>
      <c r="M2" s="7" t="s">
        <v>224</v>
      </c>
      <c r="N2" s="45" t="s">
        <v>615</v>
      </c>
      <c r="O2" s="30" t="s">
        <v>616</v>
      </c>
      <c r="P2" s="1" t="s">
        <v>310</v>
      </c>
      <c r="Q2" s="5" t="s">
        <v>324</v>
      </c>
      <c r="R2" s="5" t="s">
        <v>217</v>
      </c>
      <c r="S2" s="5" t="s">
        <v>238</v>
      </c>
      <c r="T2" s="5" t="s">
        <v>220</v>
      </c>
      <c r="U2" s="5" t="s">
        <v>237</v>
      </c>
      <c r="V2" s="5" t="s">
        <v>231</v>
      </c>
      <c r="W2" s="5" t="s">
        <v>24</v>
      </c>
    </row>
    <row r="3" spans="2:23">
      <c r="B3">
        <v>200</v>
      </c>
      <c r="C3" s="4" t="s">
        <v>286</v>
      </c>
      <c r="D3">
        <v>0.6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15</v>
      </c>
      <c r="M3">
        <v>40</v>
      </c>
      <c r="N3">
        <v>30</v>
      </c>
      <c r="O3">
        <v>50</v>
      </c>
      <c r="P3">
        <v>1</v>
      </c>
      <c r="Q3" t="e">
        <f>INDEX(ProjectileTable[DirectDmg],MATCH(#REF!,ProjectileTable[Index],0))/(#REF!*(1+(#REF!/2)))</f>
        <v>#REF!</v>
      </c>
      <c r="R3">
        <f>CharacterAtkTable[[#This Row],[ChargeRigidDmg1]]/CharacterAtkTable[[#This Row],[SwingCooldown]]</f>
        <v>25</v>
      </c>
      <c r="S3">
        <f>CharacterAtkTable[[#This Row],[ChargeRigidDmg2]]/(CharacterAtkTable[[#This Row],[SwingCooldown]]+CharacterAtkTable[[#This Row],[ChargeTime]])</f>
        <v>33.333333333333336</v>
      </c>
      <c r="T3" t="e">
        <f>#REF!/(CharacterAtkTable[[#This Row],[SwingCooldown]]+#REF!)</f>
        <v>#REF!</v>
      </c>
      <c r="U3" t="e">
        <f>#REF!/(CharacterAtkTable[[#This Row],[SwingCooldown]]+#REF!)</f>
        <v>#REF!</v>
      </c>
      <c r="V3" t="e">
        <f>(INDEX(ProjectileTable[DirectDmg],MATCH(#REF!,ProjectileTable[Index],0))+#REF!)/(CharacterAtkTable[[#This Row],[SwingCooldown]])+#REF!*(1+(CharacterAtkTable[[#This Row],[ChargeBounceCount]]/2))</f>
        <v>#REF!</v>
      </c>
      <c r="W3" t="e">
        <f>(INDEX(ProjectileTable[DirectDmg],MATCH(#REF!,ProjectileTable[Index],0))+CharacterAtkTable[[#This Row],[ChargeProjectileDmg]])/(CharacterAtkTable[[#This Row],[SwingCooldown]]+CharacterAtkTable[[#This Row],[ChargeTime]]+#REF!)*(1+(#REF!/2))</f>
        <v>#REF!</v>
      </c>
    </row>
    <row r="5" spans="2:23">
      <c r="L5" s="12"/>
    </row>
    <row r="15" spans="2:23">
      <c r="F1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44</v>
      </c>
      <c r="C1" t="s">
        <v>47</v>
      </c>
      <c r="D1" t="s">
        <v>44</v>
      </c>
      <c r="E1" t="s">
        <v>98</v>
      </c>
      <c r="F1" t="s">
        <v>98</v>
      </c>
      <c r="G1" t="s">
        <v>98</v>
      </c>
      <c r="H1" t="s">
        <v>44</v>
      </c>
      <c r="I1" t="s">
        <v>44</v>
      </c>
      <c r="J1" t="s">
        <v>44</v>
      </c>
      <c r="K1" t="s">
        <v>44</v>
      </c>
      <c r="L1" t="s">
        <v>44</v>
      </c>
      <c r="M1" t="s">
        <v>44</v>
      </c>
      <c r="N1" t="s">
        <v>47</v>
      </c>
      <c r="O1" t="s">
        <v>47</v>
      </c>
      <c r="P1" t="s">
        <v>47</v>
      </c>
      <c r="Q1" t="s">
        <v>47</v>
      </c>
      <c r="R1" t="s">
        <v>47</v>
      </c>
      <c r="S1" t="s">
        <v>47</v>
      </c>
    </row>
    <row r="2" spans="2:19">
      <c r="B2" t="s">
        <v>73</v>
      </c>
      <c r="C2" s="5" t="s">
        <v>58</v>
      </c>
      <c r="D2" t="s">
        <v>209</v>
      </c>
      <c r="E2" s="25" t="s">
        <v>200</v>
      </c>
      <c r="F2" s="25" t="s">
        <v>280</v>
      </c>
      <c r="G2" t="s">
        <v>15</v>
      </c>
      <c r="H2" t="s">
        <v>298</v>
      </c>
      <c r="I2" t="s">
        <v>207</v>
      </c>
      <c r="J2" t="s">
        <v>205</v>
      </c>
      <c r="K2" t="s">
        <v>284</v>
      </c>
      <c r="L2" t="s">
        <v>202</v>
      </c>
      <c r="M2" t="s">
        <v>208</v>
      </c>
      <c r="N2" s="5" t="s">
        <v>128</v>
      </c>
      <c r="O2" s="5" t="s">
        <v>136</v>
      </c>
      <c r="P2" s="5" t="s">
        <v>137</v>
      </c>
      <c r="Q2" s="5" t="s">
        <v>138</v>
      </c>
      <c r="R2" s="5" t="s">
        <v>139</v>
      </c>
      <c r="S2" s="5" t="s">
        <v>131</v>
      </c>
    </row>
    <row r="3" spans="2:19">
      <c r="B3">
        <v>800</v>
      </c>
      <c r="C3" s="14" t="s">
        <v>576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4" t="s">
        <v>578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4" t="s">
        <v>580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44</v>
      </c>
      <c r="C1" t="s">
        <v>47</v>
      </c>
      <c r="D1" t="s">
        <v>98</v>
      </c>
      <c r="E1" t="s">
        <v>98</v>
      </c>
      <c r="F1" t="s">
        <v>98</v>
      </c>
      <c r="G1" t="s">
        <v>98</v>
      </c>
      <c r="H1" t="s">
        <v>98</v>
      </c>
      <c r="I1" t="s">
        <v>98</v>
      </c>
    </row>
    <row r="2" spans="1:11">
      <c r="B2" t="s">
        <v>73</v>
      </c>
      <c r="C2" s="5" t="s">
        <v>39</v>
      </c>
      <c r="D2" t="s">
        <v>78</v>
      </c>
      <c r="E2" t="s">
        <v>79</v>
      </c>
      <c r="F2" t="s">
        <v>88</v>
      </c>
      <c r="G2" s="17" t="s">
        <v>514</v>
      </c>
      <c r="H2" t="s">
        <v>46</v>
      </c>
      <c r="I2" t="s">
        <v>91</v>
      </c>
    </row>
    <row r="3" spans="1:11">
      <c r="B3" s="25">
        <v>9001</v>
      </c>
      <c r="C3" s="27" t="s">
        <v>470</v>
      </c>
      <c r="D3" s="25">
        <v>0</v>
      </c>
      <c r="E3" s="25">
        <v>0</v>
      </c>
      <c r="F3" s="25">
        <v>0</v>
      </c>
      <c r="G3" s="25">
        <v>10000</v>
      </c>
      <c r="H3" s="25">
        <v>0</v>
      </c>
      <c r="I3" s="25">
        <v>0</v>
      </c>
      <c r="K3">
        <f>SUM(DropTable[[#This Row],[Normal]:[Active]])</f>
        <v>10000</v>
      </c>
    </row>
    <row r="4" spans="1:11">
      <c r="B4">
        <v>9002</v>
      </c>
      <c r="C4" s="26" t="s">
        <v>469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2"/>
      <c r="B5">
        <v>9003</v>
      </c>
      <c r="C5" s="26" t="s">
        <v>466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7" t="s">
        <v>389</v>
      </c>
      <c r="B6">
        <v>9100</v>
      </c>
      <c r="C6" s="14" t="s">
        <v>467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47</v>
      </c>
      <c r="B7" s="28">
        <v>9101</v>
      </c>
      <c r="C7" s="29" t="s">
        <v>468</v>
      </c>
      <c r="D7" s="28">
        <v>4000</v>
      </c>
      <c r="E7" s="28">
        <v>2000</v>
      </c>
      <c r="F7" s="28">
        <v>2000</v>
      </c>
      <c r="G7" s="28">
        <v>0</v>
      </c>
      <c r="H7" s="28">
        <v>2000</v>
      </c>
      <c r="I7" s="28">
        <v>0</v>
      </c>
      <c r="K7">
        <f>SUM(DropTable[[#This Row],[Normal]:[Active]])</f>
        <v>8000</v>
      </c>
    </row>
    <row r="8" spans="1:11">
      <c r="A8" t="s">
        <v>47</v>
      </c>
      <c r="B8" s="28">
        <v>9102</v>
      </c>
      <c r="C8" s="29" t="s">
        <v>290</v>
      </c>
      <c r="D8" s="28">
        <v>4000</v>
      </c>
      <c r="E8" s="28">
        <v>2000</v>
      </c>
      <c r="F8" s="28">
        <v>2000</v>
      </c>
      <c r="G8" s="28">
        <v>0</v>
      </c>
      <c r="H8" s="28">
        <v>0</v>
      </c>
      <c r="I8" s="28">
        <v>2000</v>
      </c>
      <c r="K8">
        <f>SUM(DropTable[[#This Row],[Normal]:[Active]])</f>
        <v>8000</v>
      </c>
    </row>
    <row r="9" spans="1:11">
      <c r="A9" t="s">
        <v>47</v>
      </c>
      <c r="B9" s="28">
        <v>9103</v>
      </c>
      <c r="C9" s="29" t="s">
        <v>119</v>
      </c>
      <c r="D9" s="28">
        <v>4000</v>
      </c>
      <c r="E9" s="28">
        <v>2000</v>
      </c>
      <c r="F9" s="28">
        <v>2000</v>
      </c>
      <c r="G9" s="28">
        <v>0</v>
      </c>
      <c r="H9" s="28">
        <v>2000</v>
      </c>
      <c r="I9" s="28">
        <v>0</v>
      </c>
      <c r="K9">
        <f>SUM(DropTable[[#This Row],[Normal]:[Active]])</f>
        <v>8000</v>
      </c>
    </row>
    <row r="10" spans="1:11">
      <c r="A10" t="s">
        <v>47</v>
      </c>
      <c r="B10" s="28">
        <v>9104</v>
      </c>
      <c r="C10" s="29" t="s">
        <v>118</v>
      </c>
      <c r="D10" s="28">
        <v>0</v>
      </c>
      <c r="E10" s="28">
        <v>7000</v>
      </c>
      <c r="F10" s="28">
        <v>3000</v>
      </c>
      <c r="G10" s="28">
        <v>0</v>
      </c>
      <c r="H10" s="28">
        <v>0</v>
      </c>
      <c r="I10" s="28">
        <v>0</v>
      </c>
      <c r="K10">
        <f>SUM(DropTable[[#This Row],[Normal]:[Active]])</f>
        <v>10000</v>
      </c>
    </row>
    <row r="11" spans="1:11">
      <c r="A11" t="s">
        <v>47</v>
      </c>
      <c r="B11" s="28">
        <v>9105</v>
      </c>
      <c r="C11" s="29" t="s">
        <v>299</v>
      </c>
      <c r="D11" s="28">
        <v>0</v>
      </c>
      <c r="E11" s="28">
        <v>0</v>
      </c>
      <c r="F11" s="28">
        <v>0</v>
      </c>
      <c r="G11" s="28">
        <v>10000</v>
      </c>
      <c r="H11" s="28">
        <v>0</v>
      </c>
      <c r="I11" s="28">
        <v>0</v>
      </c>
      <c r="K11">
        <f>SUM(DropTable[[#This Row],[Normal]:[Active]])</f>
        <v>10000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zoomScaleNormal="75" zoomScaleSheetLayoutView="100" workbookViewId="0">
      <selection activeCell="H13" sqref="H13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44</v>
      </c>
      <c r="C1" s="17" t="s">
        <v>489</v>
      </c>
      <c r="D1" s="12" t="s">
        <v>389</v>
      </c>
      <c r="E1" t="s">
        <v>44</v>
      </c>
      <c r="F1" t="s">
        <v>98</v>
      </c>
      <c r="G1" t="s">
        <v>122</v>
      </c>
      <c r="H1" t="s">
        <v>44</v>
      </c>
      <c r="I1" t="s">
        <v>98</v>
      </c>
      <c r="J1" t="s">
        <v>98</v>
      </c>
      <c r="K1" s="17" t="s">
        <v>473</v>
      </c>
      <c r="L1" t="s">
        <v>98</v>
      </c>
      <c r="M1" t="s">
        <v>122</v>
      </c>
      <c r="N1" t="s">
        <v>98</v>
      </c>
      <c r="O1" t="s">
        <v>44</v>
      </c>
      <c r="P1" t="s">
        <v>44</v>
      </c>
      <c r="Q1" t="s">
        <v>44</v>
      </c>
      <c r="R1" t="s">
        <v>44</v>
      </c>
      <c r="S1" t="s">
        <v>44</v>
      </c>
      <c r="T1" t="s">
        <v>97</v>
      </c>
      <c r="U1" t="s">
        <v>47</v>
      </c>
      <c r="V1" t="s">
        <v>47</v>
      </c>
    </row>
    <row r="2" spans="2:22">
      <c r="B2" t="s">
        <v>73</v>
      </c>
      <c r="C2" s="33" t="s">
        <v>488</v>
      </c>
      <c r="D2" s="13" t="s">
        <v>389</v>
      </c>
      <c r="E2" t="s">
        <v>126</v>
      </c>
      <c r="F2" s="17" t="s">
        <v>465</v>
      </c>
      <c r="G2" t="s">
        <v>292</v>
      </c>
      <c r="H2" t="s">
        <v>294</v>
      </c>
      <c r="I2" s="17" t="s">
        <v>493</v>
      </c>
      <c r="J2" t="s">
        <v>2</v>
      </c>
      <c r="K2" s="17" t="s">
        <v>474</v>
      </c>
      <c r="L2" t="s">
        <v>197</v>
      </c>
      <c r="M2" t="s">
        <v>193</v>
      </c>
      <c r="N2" t="s">
        <v>195</v>
      </c>
      <c r="O2" t="s">
        <v>291</v>
      </c>
      <c r="P2" t="s">
        <v>203</v>
      </c>
      <c r="Q2" t="s">
        <v>297</v>
      </c>
      <c r="R2" t="s">
        <v>295</v>
      </c>
      <c r="S2" t="s">
        <v>11</v>
      </c>
      <c r="T2" t="s">
        <v>300</v>
      </c>
      <c r="U2" s="5" t="s">
        <v>302</v>
      </c>
      <c r="V2" s="5" t="s">
        <v>319</v>
      </c>
    </row>
    <row r="3" spans="2:22">
      <c r="B3">
        <v>500</v>
      </c>
      <c r="C3" s="4" t="s">
        <v>38</v>
      </c>
      <c r="D3" s="14" t="s">
        <v>390</v>
      </c>
      <c r="E3">
        <f>표14[적 기준 체력]*EnemyGameData[[#This Row],['#기준 적 체력 비율]]</f>
        <v>20</v>
      </c>
      <c r="F3">
        <v>16</v>
      </c>
      <c r="G3" t="s">
        <v>120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71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7" t="s">
        <v>486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4" t="s">
        <v>629</v>
      </c>
      <c r="D4" s="14" t="s">
        <v>392</v>
      </c>
      <c r="E4">
        <f>표14[적 기준 체력]*EnemyGameData[[#This Row],['#기준 적 체력 비율]]</f>
        <v>80</v>
      </c>
      <c r="F4">
        <v>16</v>
      </c>
      <c r="G4" t="s">
        <v>120</v>
      </c>
      <c r="H4">
        <v>9</v>
      </c>
      <c r="I4">
        <v>2</v>
      </c>
      <c r="J4">
        <v>2</v>
      </c>
      <c r="K4">
        <v>0</v>
      </c>
      <c r="L4">
        <v>1.8</v>
      </c>
      <c r="M4" s="17" t="s">
        <v>503</v>
      </c>
      <c r="N4">
        <v>2</v>
      </c>
      <c r="O4">
        <v>600</v>
      </c>
      <c r="P4">
        <v>0</v>
      </c>
      <c r="Q4">
        <v>4</v>
      </c>
      <c r="R4">
        <v>6</v>
      </c>
      <c r="S4">
        <v>501</v>
      </c>
      <c r="T4" s="17" t="s">
        <v>619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8" t="s">
        <v>630</v>
      </c>
      <c r="D5" s="14" t="s">
        <v>395</v>
      </c>
      <c r="E5">
        <f>표14[적 기준 체력]*EnemyGameData[[#This Row],['#기준 적 체력 비율]]</f>
        <v>100</v>
      </c>
      <c r="F5">
        <v>16</v>
      </c>
      <c r="G5" t="s">
        <v>120</v>
      </c>
      <c r="H5">
        <v>5</v>
      </c>
      <c r="I5">
        <v>1.2</v>
      </c>
      <c r="J5">
        <v>2</v>
      </c>
      <c r="K5">
        <v>0</v>
      </c>
      <c r="L5">
        <v>1.5</v>
      </c>
      <c r="M5" t="s">
        <v>121</v>
      </c>
      <c r="N5">
        <v>4</v>
      </c>
      <c r="O5">
        <v>601</v>
      </c>
      <c r="P5">
        <v>0</v>
      </c>
      <c r="Q5">
        <v>4</v>
      </c>
      <c r="R5">
        <v>6</v>
      </c>
      <c r="S5">
        <v>501</v>
      </c>
      <c r="T5" s="17" t="s">
        <v>620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8" t="s">
        <v>631</v>
      </c>
      <c r="D6" s="14" t="s">
        <v>414</v>
      </c>
      <c r="E6">
        <f>표14[적 기준 체력]*EnemyGameData[[#This Row],['#기준 적 체력 비율]]</f>
        <v>80</v>
      </c>
      <c r="F6">
        <v>16</v>
      </c>
      <c r="G6" t="s">
        <v>301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121</v>
      </c>
      <c r="N6">
        <v>8</v>
      </c>
      <c r="O6">
        <v>602</v>
      </c>
      <c r="P6">
        <v>0</v>
      </c>
      <c r="Q6">
        <v>4</v>
      </c>
      <c r="R6">
        <v>6</v>
      </c>
      <c r="S6">
        <v>501</v>
      </c>
      <c r="T6" s="17" t="s">
        <v>621</v>
      </c>
      <c r="U6">
        <v>0.8</v>
      </c>
      <c r="V6">
        <f>AVERAGE(EnemyGameData[[#This Row],[GoldDropMin]],EnemyGameData[[#This Row],[GoldDropMax]])</f>
        <v>5</v>
      </c>
    </row>
    <row r="7" spans="2:22" s="21" customFormat="1">
      <c r="B7" s="21" t="s">
        <v>622</v>
      </c>
      <c r="C7" s="22" t="s">
        <v>229</v>
      </c>
      <c r="D7" s="22" t="s">
        <v>418</v>
      </c>
      <c r="E7" s="21">
        <f>표14[적 기준 체력]*EnemyGameData[[#This Row],['#기준 적 체력 비율]]</f>
        <v>80</v>
      </c>
      <c r="F7">
        <v>16</v>
      </c>
      <c r="G7" s="21" t="s">
        <v>301</v>
      </c>
      <c r="H7" s="21">
        <v>4</v>
      </c>
      <c r="I7" s="21">
        <v>1.5</v>
      </c>
      <c r="J7" s="21">
        <v>2</v>
      </c>
      <c r="K7">
        <v>0</v>
      </c>
      <c r="L7" s="21">
        <v>3</v>
      </c>
      <c r="M7" s="21" t="s">
        <v>121</v>
      </c>
      <c r="N7" s="21">
        <v>4</v>
      </c>
      <c r="O7" s="21">
        <v>603</v>
      </c>
      <c r="P7" s="21">
        <v>0</v>
      </c>
      <c r="Q7" s="21">
        <v>0</v>
      </c>
      <c r="R7" s="21">
        <v>0</v>
      </c>
      <c r="S7" s="21">
        <v>501</v>
      </c>
      <c r="T7" s="21" t="s">
        <v>487</v>
      </c>
      <c r="U7" s="21">
        <v>0.8</v>
      </c>
      <c r="V7" s="21">
        <f>AVERAGE(EnemyGameData[[#This Row],[GoldDropMin]],EnemyGameData[[#This Row],[GoldDropMax]])</f>
        <v>0</v>
      </c>
    </row>
    <row r="8" spans="2:22" s="21" customFormat="1">
      <c r="B8" s="21" t="s">
        <v>623</v>
      </c>
      <c r="C8" s="22" t="s">
        <v>230</v>
      </c>
      <c r="D8" s="22" t="s">
        <v>418</v>
      </c>
      <c r="E8" s="21">
        <f>표14[적 기준 체력]*EnemyGameData[[#This Row],['#기준 적 체력 비율]]</f>
        <v>100</v>
      </c>
      <c r="F8">
        <v>16</v>
      </c>
      <c r="G8" s="21" t="s">
        <v>301</v>
      </c>
      <c r="H8" s="21">
        <v>4</v>
      </c>
      <c r="I8" s="21">
        <v>1.8</v>
      </c>
      <c r="J8" s="21">
        <v>2</v>
      </c>
      <c r="K8">
        <v>0</v>
      </c>
      <c r="L8" s="21">
        <v>3</v>
      </c>
      <c r="M8" s="21" t="s">
        <v>121</v>
      </c>
      <c r="N8" s="21">
        <v>4</v>
      </c>
      <c r="O8" s="21">
        <v>604</v>
      </c>
      <c r="P8" s="21">
        <v>0</v>
      </c>
      <c r="Q8" s="21">
        <v>0</v>
      </c>
      <c r="R8" s="21">
        <v>0</v>
      </c>
      <c r="S8" s="21">
        <v>501</v>
      </c>
      <c r="T8" s="21" t="s">
        <v>487</v>
      </c>
      <c r="U8" s="21">
        <v>1</v>
      </c>
      <c r="V8" s="21">
        <f>AVERAGE(EnemyGameData[[#This Row],[GoldDropMin]],EnemyGameData[[#This Row],[GoldDropMax]])</f>
        <v>0</v>
      </c>
    </row>
    <row r="9" spans="2:22">
      <c r="B9">
        <v>506</v>
      </c>
      <c r="C9" s="48" t="s">
        <v>632</v>
      </c>
      <c r="D9" s="14" t="s">
        <v>417</v>
      </c>
      <c r="E9">
        <f>표14[적 기준 체력]*EnemyGameData[[#This Row],['#기준 적 체력 비율]]</f>
        <v>100</v>
      </c>
      <c r="F9">
        <v>16</v>
      </c>
      <c r="G9" t="s">
        <v>301</v>
      </c>
      <c r="H9">
        <v>4</v>
      </c>
      <c r="I9">
        <v>1.4</v>
      </c>
      <c r="J9">
        <v>2</v>
      </c>
      <c r="K9">
        <v>0</v>
      </c>
      <c r="L9">
        <v>1</v>
      </c>
      <c r="M9" t="s">
        <v>121</v>
      </c>
      <c r="N9">
        <v>3.5</v>
      </c>
      <c r="O9">
        <v>605</v>
      </c>
      <c r="P9">
        <v>0</v>
      </c>
      <c r="Q9">
        <v>4</v>
      </c>
      <c r="R9">
        <v>6</v>
      </c>
      <c r="S9">
        <v>501</v>
      </c>
      <c r="T9" s="17" t="s">
        <v>624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350</v>
      </c>
      <c r="D10" s="4"/>
      <c r="E10">
        <v>2000</v>
      </c>
      <c r="F10">
        <v>16</v>
      </c>
      <c r="G10" t="s">
        <v>120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121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5" t="s">
        <v>633</v>
      </c>
      <c r="D11" s="14" t="s">
        <v>420</v>
      </c>
      <c r="E11">
        <f>표14[적 기준 체력]*EnemyGameData[[#This Row],['#기준 적 체력 비율]]</f>
        <v>80</v>
      </c>
      <c r="F11">
        <v>16</v>
      </c>
      <c r="G11" t="s">
        <v>301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211</v>
      </c>
      <c r="N11">
        <v>2</v>
      </c>
      <c r="O11">
        <v>607</v>
      </c>
      <c r="P11">
        <v>0</v>
      </c>
      <c r="Q11">
        <v>4</v>
      </c>
      <c r="R11">
        <v>6</v>
      </c>
      <c r="S11">
        <v>501</v>
      </c>
      <c r="T11" s="17" t="s">
        <v>627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4" t="s">
        <v>634</v>
      </c>
      <c r="D12" s="14" t="s">
        <v>391</v>
      </c>
      <c r="E12">
        <f>표14[적 기준 체력]*EnemyGameData[[#This Row],['#기준 적 체력 비율]]</f>
        <v>140</v>
      </c>
      <c r="F12">
        <v>16</v>
      </c>
      <c r="G12" s="17" t="s">
        <v>614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211</v>
      </c>
      <c r="N12">
        <v>2</v>
      </c>
      <c r="O12">
        <v>650</v>
      </c>
      <c r="P12">
        <v>0</v>
      </c>
      <c r="Q12">
        <v>7</v>
      </c>
      <c r="R12">
        <v>12</v>
      </c>
      <c r="S12">
        <v>501</v>
      </c>
      <c r="T12" s="17" t="s">
        <v>628</v>
      </c>
      <c r="U12">
        <v>1.4</v>
      </c>
      <c r="V12">
        <v>7</v>
      </c>
    </row>
    <row r="13" spans="2:22">
      <c r="B13" s="46">
        <v>551</v>
      </c>
      <c r="C13" s="47" t="s">
        <v>635</v>
      </c>
      <c r="D13" s="47" t="s">
        <v>396</v>
      </c>
      <c r="E13" s="46">
        <f>표14[적 기준 체력]*EnemyGameData[[#This Row],['#기준 적 체력 비율]]</f>
        <v>160</v>
      </c>
      <c r="F13">
        <v>16</v>
      </c>
      <c r="G13" s="46" t="s">
        <v>120</v>
      </c>
      <c r="H13" s="46">
        <v>5</v>
      </c>
      <c r="I13" s="46">
        <v>1.2</v>
      </c>
      <c r="J13" s="46">
        <v>3</v>
      </c>
      <c r="K13" s="46">
        <v>0</v>
      </c>
      <c r="L13" s="46">
        <v>1.5</v>
      </c>
      <c r="M13" s="46" t="s">
        <v>121</v>
      </c>
      <c r="N13" s="46">
        <v>5</v>
      </c>
      <c r="O13" s="46">
        <v>651</v>
      </c>
      <c r="P13" s="46">
        <v>0</v>
      </c>
      <c r="Q13" s="46">
        <v>3</v>
      </c>
      <c r="R13" s="46">
        <v>5</v>
      </c>
      <c r="S13" s="46">
        <v>501</v>
      </c>
      <c r="T13" s="46" t="s">
        <v>620</v>
      </c>
      <c r="U13" s="46">
        <v>1.6</v>
      </c>
      <c r="V13" s="46">
        <v>7</v>
      </c>
    </row>
    <row r="14" spans="2:22">
      <c r="B14">
        <v>552</v>
      </c>
      <c r="C14" s="14" t="s">
        <v>636</v>
      </c>
      <c r="D14" s="14" t="s">
        <v>415</v>
      </c>
      <c r="E14">
        <f>표14[적 기준 체력]*EnemyGameData[[#This Row],['#기준 적 체력 비율]]</f>
        <v>140</v>
      </c>
      <c r="F14">
        <v>16</v>
      </c>
      <c r="G14" t="s">
        <v>301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121</v>
      </c>
      <c r="N14">
        <v>8</v>
      </c>
      <c r="O14">
        <v>652</v>
      </c>
      <c r="P14">
        <v>0</v>
      </c>
      <c r="Q14">
        <v>7</v>
      </c>
      <c r="R14" s="12">
        <v>12</v>
      </c>
      <c r="S14">
        <v>501</v>
      </c>
      <c r="T14" s="17" t="s">
        <v>626</v>
      </c>
      <c r="U14">
        <v>1.4</v>
      </c>
      <c r="V14">
        <v>7</v>
      </c>
    </row>
    <row r="15" spans="2:22">
      <c r="B15">
        <v>553</v>
      </c>
      <c r="C15" s="15" t="s">
        <v>637</v>
      </c>
      <c r="D15" s="14" t="s">
        <v>416</v>
      </c>
      <c r="E15">
        <f>표14[적 기준 체력]*EnemyGameData[[#This Row],['#기준 적 체력 비율]]</f>
        <v>160</v>
      </c>
      <c r="F15">
        <v>16</v>
      </c>
      <c r="G15" t="s">
        <v>301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121</v>
      </c>
      <c r="N15">
        <v>3.5</v>
      </c>
      <c r="O15">
        <v>604</v>
      </c>
      <c r="P15">
        <v>0</v>
      </c>
      <c r="Q15">
        <v>7</v>
      </c>
      <c r="R15">
        <v>12</v>
      </c>
      <c r="S15">
        <v>501</v>
      </c>
      <c r="T15" s="17" t="s">
        <v>625</v>
      </c>
      <c r="U15">
        <v>1.6</v>
      </c>
      <c r="V15">
        <f>AVERAGE(EnemyGameData[[#This Row],[GoldDropMin]],EnemyGameData[[#This Row],[GoldDropMax]])</f>
        <v>9.5</v>
      </c>
    </row>
    <row r="16" spans="2:22" s="21" customFormat="1">
      <c r="B16" s="21" t="s">
        <v>618</v>
      </c>
      <c r="C16" s="23" t="s">
        <v>419</v>
      </c>
      <c r="D16" s="22" t="s">
        <v>418</v>
      </c>
      <c r="E16" s="21">
        <f>표14[적 기준 체력]*EnemyGameData[[#This Row],['#기준 적 체력 비율]]</f>
        <v>20</v>
      </c>
      <c r="F16">
        <v>16</v>
      </c>
      <c r="G16" s="21" t="s">
        <v>120</v>
      </c>
      <c r="H16" s="21">
        <v>1</v>
      </c>
      <c r="I16" s="21">
        <v>0.3</v>
      </c>
      <c r="J16" s="21">
        <v>1.8</v>
      </c>
      <c r="K16">
        <v>25</v>
      </c>
      <c r="L16" s="21">
        <v>0</v>
      </c>
      <c r="M16" s="21" t="s">
        <v>71</v>
      </c>
      <c r="N16" s="21">
        <v>1</v>
      </c>
      <c r="O16" s="21">
        <v>0</v>
      </c>
      <c r="P16" s="21">
        <v>0</v>
      </c>
      <c r="Q16" s="21">
        <v>0</v>
      </c>
      <c r="R16" s="21">
        <v>0</v>
      </c>
      <c r="S16" s="21">
        <v>501</v>
      </c>
      <c r="T16" s="21" t="s">
        <v>486</v>
      </c>
      <c r="U16" s="21">
        <v>0.2</v>
      </c>
      <c r="V16" s="21">
        <f>AVERAGE(EnemyGameData[[#This Row],[GoldDropMin]],EnemyGameData[[#This Row],[GoldDropMax]])</f>
        <v>0</v>
      </c>
    </row>
    <row r="20" spans="19:19">
      <c r="S20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topLeftCell="A31" zoomScaleNormal="75" zoomScaleSheetLayoutView="100" workbookViewId="0">
      <selection activeCell="C30" sqref="C30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44</v>
      </c>
      <c r="C1" t="s">
        <v>47</v>
      </c>
      <c r="D1" t="s">
        <v>44</v>
      </c>
      <c r="E1" t="s">
        <v>122</v>
      </c>
      <c r="F1" t="s">
        <v>98</v>
      </c>
      <c r="G1" t="s">
        <v>98</v>
      </c>
      <c r="H1" s="12" t="s">
        <v>389</v>
      </c>
      <c r="I1" s="12" t="s">
        <v>389</v>
      </c>
    </row>
    <row r="2" spans="2:9">
      <c r="B2" t="s">
        <v>73</v>
      </c>
      <c r="C2" s="5" t="s">
        <v>41</v>
      </c>
      <c r="D2" t="s">
        <v>307</v>
      </c>
      <c r="E2" t="s">
        <v>124</v>
      </c>
      <c r="F2" t="s">
        <v>306</v>
      </c>
      <c r="G2" t="s">
        <v>303</v>
      </c>
      <c r="H2" s="12" t="s">
        <v>389</v>
      </c>
      <c r="I2" s="12" t="s">
        <v>442</v>
      </c>
    </row>
    <row r="3" spans="2:9">
      <c r="B3">
        <v>600</v>
      </c>
      <c r="C3" s="16" t="s">
        <v>434</v>
      </c>
      <c r="D3">
        <v>700</v>
      </c>
      <c r="E3" t="s">
        <v>150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4" t="s">
        <v>397</v>
      </c>
      <c r="D4">
        <v>702</v>
      </c>
      <c r="E4" t="s">
        <v>146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4" t="s">
        <v>397</v>
      </c>
      <c r="D5">
        <v>706</v>
      </c>
      <c r="E5" t="s">
        <v>146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4" t="s">
        <v>397</v>
      </c>
      <c r="D6">
        <v>712</v>
      </c>
      <c r="E6" t="s">
        <v>146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4" t="s">
        <v>397</v>
      </c>
      <c r="D7">
        <v>709</v>
      </c>
      <c r="E7" t="s">
        <v>146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4" t="s">
        <v>397</v>
      </c>
      <c r="D8">
        <v>711</v>
      </c>
      <c r="E8" t="s">
        <v>146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4" t="s">
        <v>397</v>
      </c>
      <c r="D9">
        <v>708</v>
      </c>
      <c r="E9" t="s">
        <v>146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4" t="s">
        <v>397</v>
      </c>
      <c r="D10">
        <v>718</v>
      </c>
      <c r="E10" t="s">
        <v>146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4" t="s">
        <v>397</v>
      </c>
      <c r="D11">
        <v>710</v>
      </c>
      <c r="E11" t="s">
        <v>146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4" t="s">
        <v>397</v>
      </c>
      <c r="D12">
        <v>703</v>
      </c>
      <c r="E12" t="s">
        <v>146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6" t="s">
        <v>430</v>
      </c>
      <c r="D13">
        <v>719</v>
      </c>
      <c r="E13" t="s">
        <v>146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152</v>
      </c>
      <c r="D14">
        <v>720</v>
      </c>
      <c r="E14" t="s">
        <v>146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6" t="s">
        <v>438</v>
      </c>
      <c r="D15">
        <v>721</v>
      </c>
      <c r="E15" t="s">
        <v>146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6" t="s">
        <v>438</v>
      </c>
      <c r="D16">
        <v>722</v>
      </c>
      <c r="E16" t="s">
        <v>146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6" t="s">
        <v>438</v>
      </c>
      <c r="D17">
        <v>723</v>
      </c>
      <c r="E17" t="s">
        <v>146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6" t="s">
        <v>429</v>
      </c>
      <c r="D18">
        <v>724</v>
      </c>
      <c r="E18" t="s">
        <v>146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331</v>
      </c>
      <c r="D19">
        <v>724</v>
      </c>
      <c r="E19" t="s">
        <v>146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331</v>
      </c>
      <c r="D20">
        <v>724</v>
      </c>
      <c r="E20" t="s">
        <v>146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331</v>
      </c>
      <c r="D21">
        <v>724</v>
      </c>
      <c r="E21" t="s">
        <v>146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8" t="s">
        <v>428</v>
      </c>
      <c r="D22">
        <v>701</v>
      </c>
      <c r="E22" t="s">
        <v>150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6" t="s">
        <v>435</v>
      </c>
      <c r="D23">
        <v>725</v>
      </c>
      <c r="E23" t="s">
        <v>150</v>
      </c>
      <c r="F23">
        <v>1.5</v>
      </c>
      <c r="G23">
        <v>0.5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6" t="s">
        <v>436</v>
      </c>
      <c r="D24">
        <v>725</v>
      </c>
      <c r="E24" t="s">
        <v>150</v>
      </c>
      <c r="F24">
        <v>1.5</v>
      </c>
      <c r="G24">
        <v>0.5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6" t="s">
        <v>437</v>
      </c>
      <c r="D25">
        <v>725</v>
      </c>
      <c r="E25" t="s">
        <v>150</v>
      </c>
      <c r="F25">
        <v>1.5</v>
      </c>
      <c r="G25">
        <v>0.6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8" t="s">
        <v>459</v>
      </c>
      <c r="D26">
        <v>716</v>
      </c>
      <c r="E26" t="s">
        <v>146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8" t="s">
        <v>459</v>
      </c>
      <c r="D27">
        <v>718</v>
      </c>
      <c r="E27" t="s">
        <v>146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8" t="s">
        <v>459</v>
      </c>
      <c r="D28">
        <v>708</v>
      </c>
      <c r="E28" t="s">
        <v>146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8" t="s">
        <v>459</v>
      </c>
      <c r="D29">
        <v>712</v>
      </c>
      <c r="E29" t="s">
        <v>146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8" t="s">
        <v>459</v>
      </c>
      <c r="D30">
        <v>708</v>
      </c>
      <c r="E30" t="s">
        <v>146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8" t="s">
        <v>459</v>
      </c>
      <c r="D31">
        <v>711</v>
      </c>
      <c r="E31" t="s">
        <v>146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8" t="s">
        <v>459</v>
      </c>
      <c r="D32">
        <v>713</v>
      </c>
      <c r="E32" t="s">
        <v>146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8" t="s">
        <v>459</v>
      </c>
      <c r="D33">
        <v>713</v>
      </c>
      <c r="E33" t="s">
        <v>146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8" t="s">
        <v>459</v>
      </c>
      <c r="D34">
        <v>705</v>
      </c>
      <c r="E34" t="s">
        <v>146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8" t="s">
        <v>459</v>
      </c>
      <c r="D35">
        <v>706</v>
      </c>
      <c r="E35" t="s">
        <v>146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8" t="s">
        <v>459</v>
      </c>
      <c r="D36">
        <v>711</v>
      </c>
      <c r="E36" t="s">
        <v>146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8" t="s">
        <v>459</v>
      </c>
      <c r="D37">
        <v>712</v>
      </c>
      <c r="E37" t="s">
        <v>146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8" t="s">
        <v>459</v>
      </c>
      <c r="D38">
        <v>708</v>
      </c>
      <c r="E38" t="s">
        <v>146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8" t="s">
        <v>459</v>
      </c>
      <c r="D39">
        <v>702</v>
      </c>
      <c r="E39" t="s">
        <v>146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8" t="s">
        <v>459</v>
      </c>
      <c r="D40">
        <v>708</v>
      </c>
      <c r="E40" t="s">
        <v>146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8" t="s">
        <v>459</v>
      </c>
      <c r="D41">
        <v>717</v>
      </c>
      <c r="E41" t="s">
        <v>146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8" t="s">
        <v>439</v>
      </c>
      <c r="D42">
        <v>726</v>
      </c>
      <c r="E42" t="s">
        <v>146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8" t="s">
        <v>440</v>
      </c>
      <c r="D43">
        <v>726</v>
      </c>
      <c r="E43" t="s">
        <v>146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8" t="s">
        <v>441</v>
      </c>
      <c r="D44">
        <v>726</v>
      </c>
      <c r="E44" t="s">
        <v>146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1" t="s">
        <v>423</v>
      </c>
      <c r="D45">
        <v>700</v>
      </c>
      <c r="E45" t="s">
        <v>146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8" t="s">
        <v>423</v>
      </c>
      <c r="D46">
        <v>701</v>
      </c>
      <c r="E46" t="s">
        <v>146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8" t="s">
        <v>423</v>
      </c>
      <c r="D47">
        <v>700</v>
      </c>
      <c r="E47" t="s">
        <v>146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8" t="s">
        <v>423</v>
      </c>
      <c r="D48">
        <v>701</v>
      </c>
      <c r="E48" t="s">
        <v>146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8" t="s">
        <v>423</v>
      </c>
      <c r="D49">
        <v>700</v>
      </c>
      <c r="E49" t="s">
        <v>146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8" t="s">
        <v>423</v>
      </c>
      <c r="D50">
        <v>701</v>
      </c>
      <c r="E50" t="s">
        <v>146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8" t="s">
        <v>423</v>
      </c>
      <c r="D51">
        <v>700</v>
      </c>
      <c r="E51" t="s">
        <v>146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8" t="s">
        <v>423</v>
      </c>
      <c r="D52">
        <v>701</v>
      </c>
      <c r="E52" t="s">
        <v>146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8" t="s">
        <v>423</v>
      </c>
      <c r="D53">
        <v>700</v>
      </c>
      <c r="E53" t="s">
        <v>146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8" t="s">
        <v>423</v>
      </c>
      <c r="D54">
        <v>701</v>
      </c>
      <c r="E54" t="s">
        <v>146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8" t="s">
        <v>423</v>
      </c>
      <c r="D55">
        <v>700</v>
      </c>
      <c r="E55" t="s">
        <v>146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7">
        <v>9991</v>
      </c>
      <c r="C56" s="18" t="s">
        <v>423</v>
      </c>
      <c r="D56">
        <v>727</v>
      </c>
      <c r="E56" t="s">
        <v>146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8" t="s">
        <v>424</v>
      </c>
      <c r="D57">
        <v>725</v>
      </c>
      <c r="E57" s="17" t="s">
        <v>421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18" t="s">
        <v>424</v>
      </c>
      <c r="D58">
        <v>725</v>
      </c>
      <c r="E58" s="17" t="s">
        <v>421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18" t="s">
        <v>425</v>
      </c>
      <c r="D59">
        <v>999</v>
      </c>
      <c r="E59" s="17" t="s">
        <v>422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I104"/>
  <sheetViews>
    <sheetView topLeftCell="A4" zoomScaleNormal="75" zoomScaleSheetLayoutView="100" workbookViewId="0">
      <selection activeCell="E100" sqref="E100:E10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44</v>
      </c>
      <c r="C1" t="s">
        <v>47</v>
      </c>
      <c r="D1" t="s">
        <v>122</v>
      </c>
      <c r="E1" t="s">
        <v>44</v>
      </c>
      <c r="F1" t="s">
        <v>44</v>
      </c>
      <c r="G1" t="s">
        <v>44</v>
      </c>
    </row>
    <row r="2" spans="2:7">
      <c r="B2" t="s">
        <v>73</v>
      </c>
      <c r="C2" s="5" t="s">
        <v>41</v>
      </c>
      <c r="D2" t="s">
        <v>308</v>
      </c>
      <c r="E2" t="s">
        <v>11</v>
      </c>
      <c r="F2" t="s">
        <v>212</v>
      </c>
      <c r="G2" t="s">
        <v>311</v>
      </c>
    </row>
    <row r="3" spans="2:7">
      <c r="B3">
        <v>700</v>
      </c>
      <c r="C3" s="4" t="s">
        <v>325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325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325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325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221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221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221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221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147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4" t="s">
        <v>400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4" t="s">
        <v>401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4" t="s">
        <v>402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4" t="s">
        <v>403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4" t="s">
        <v>404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4" t="s">
        <v>405</v>
      </c>
      <c r="D17" s="12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4" t="s">
        <v>406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4" t="s">
        <v>407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4" t="s">
        <v>408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4" t="s">
        <v>409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4" t="s">
        <v>410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4" t="s">
        <v>398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4" t="s">
        <v>411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4" t="s">
        <v>399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4" t="s">
        <v>412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4" t="s">
        <v>413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4" t="s">
        <v>431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332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332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332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332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332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332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332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332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223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223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223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223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223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223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223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223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234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234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234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234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234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234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234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234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227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227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227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227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227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227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227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227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155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155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155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4" t="s">
        <v>394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4" t="s">
        <v>394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4" t="s">
        <v>393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4" t="s">
        <v>393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4" t="s">
        <v>393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4" t="s">
        <v>393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4" t="s">
        <v>393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4" t="s">
        <v>393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0" t="s">
        <v>326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5" t="s">
        <v>472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5" t="s">
        <v>472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5" t="s">
        <v>471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5" t="s">
        <v>471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5" t="s">
        <v>471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5" t="s">
        <v>471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5" t="s">
        <v>471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5" t="s">
        <v>471</v>
      </c>
      <c r="D80">
        <v>-135</v>
      </c>
      <c r="E80">
        <v>401</v>
      </c>
      <c r="F80">
        <v>0</v>
      </c>
      <c r="G80">
        <v>6.5</v>
      </c>
    </row>
    <row r="81" spans="2:9">
      <c r="B81">
        <v>727</v>
      </c>
      <c r="C81" s="15" t="s">
        <v>472</v>
      </c>
      <c r="D81">
        <v>22.5</v>
      </c>
      <c r="E81">
        <v>401</v>
      </c>
      <c r="F81">
        <v>0</v>
      </c>
      <c r="G81">
        <v>6.5</v>
      </c>
    </row>
    <row r="82" spans="2:9">
      <c r="B82">
        <v>727</v>
      </c>
      <c r="C82" s="15" t="s">
        <v>472</v>
      </c>
      <c r="D82">
        <v>112.5</v>
      </c>
      <c r="E82">
        <v>401</v>
      </c>
      <c r="F82">
        <v>0</v>
      </c>
      <c r="G82">
        <v>6.5</v>
      </c>
    </row>
    <row r="83" spans="2:9">
      <c r="B83">
        <v>727</v>
      </c>
      <c r="C83" s="15" t="s">
        <v>471</v>
      </c>
      <c r="D83">
        <v>202.5</v>
      </c>
      <c r="E83">
        <v>401</v>
      </c>
      <c r="F83">
        <v>0</v>
      </c>
      <c r="G83">
        <v>6.5</v>
      </c>
    </row>
    <row r="84" spans="2:9">
      <c r="B84">
        <v>727</v>
      </c>
      <c r="C84" s="15" t="s">
        <v>471</v>
      </c>
      <c r="D84">
        <v>-67.5</v>
      </c>
      <c r="E84">
        <v>401</v>
      </c>
      <c r="F84">
        <v>0</v>
      </c>
      <c r="G84">
        <v>6.5</v>
      </c>
    </row>
    <row r="85" spans="2:9">
      <c r="B85">
        <v>727</v>
      </c>
      <c r="C85" s="15" t="s">
        <v>471</v>
      </c>
      <c r="D85">
        <v>67.5</v>
      </c>
      <c r="E85">
        <v>401</v>
      </c>
      <c r="F85">
        <v>0</v>
      </c>
      <c r="G85">
        <v>6.5</v>
      </c>
    </row>
    <row r="86" spans="2:9">
      <c r="B86">
        <v>727</v>
      </c>
      <c r="C86" s="15" t="s">
        <v>471</v>
      </c>
      <c r="D86">
        <v>-22.5</v>
      </c>
      <c r="E86">
        <v>401</v>
      </c>
      <c r="F86">
        <v>0</v>
      </c>
      <c r="G86">
        <v>6.5</v>
      </c>
    </row>
    <row r="87" spans="2:9">
      <c r="B87">
        <v>727</v>
      </c>
      <c r="C87" s="15" t="s">
        <v>471</v>
      </c>
      <c r="D87">
        <v>157.5</v>
      </c>
      <c r="E87">
        <v>401</v>
      </c>
      <c r="F87">
        <v>0</v>
      </c>
      <c r="G87">
        <v>6.5</v>
      </c>
    </row>
    <row r="88" spans="2:9">
      <c r="B88">
        <v>727</v>
      </c>
      <c r="C88" s="15" t="s">
        <v>471</v>
      </c>
      <c r="D88">
        <v>-112.5</v>
      </c>
      <c r="E88">
        <v>401</v>
      </c>
      <c r="F88">
        <v>0</v>
      </c>
      <c r="G88">
        <v>6.5</v>
      </c>
    </row>
    <row r="89" spans="2:9">
      <c r="B89">
        <v>800</v>
      </c>
      <c r="C89" s="12" t="s">
        <v>537</v>
      </c>
      <c r="D89">
        <v>30</v>
      </c>
      <c r="E89">
        <v>201</v>
      </c>
      <c r="F89">
        <v>0</v>
      </c>
      <c r="G89">
        <v>6.5</v>
      </c>
    </row>
    <row r="90" spans="2:9">
      <c r="B90">
        <v>800</v>
      </c>
      <c r="C90" s="12" t="s">
        <v>537</v>
      </c>
      <c r="D90">
        <v>0</v>
      </c>
      <c r="E90">
        <v>201</v>
      </c>
      <c r="F90">
        <v>0</v>
      </c>
      <c r="G90">
        <v>6.5</v>
      </c>
    </row>
    <row r="91" spans="2:9">
      <c r="B91">
        <v>800</v>
      </c>
      <c r="C91" s="12" t="s">
        <v>537</v>
      </c>
      <c r="D91">
        <v>-30</v>
      </c>
      <c r="E91">
        <v>201</v>
      </c>
      <c r="F91">
        <v>0</v>
      </c>
      <c r="G91">
        <v>6.5</v>
      </c>
    </row>
    <row r="92" spans="2:9">
      <c r="B92">
        <v>804</v>
      </c>
      <c r="C92" s="12" t="s">
        <v>590</v>
      </c>
      <c r="D92">
        <v>0</v>
      </c>
      <c r="E92">
        <v>204</v>
      </c>
      <c r="F92">
        <v>2</v>
      </c>
      <c r="G92">
        <v>8</v>
      </c>
    </row>
    <row r="93" spans="2:9">
      <c r="B93">
        <v>804</v>
      </c>
      <c r="C93" s="12" t="s">
        <v>590</v>
      </c>
      <c r="D93">
        <v>90</v>
      </c>
      <c r="E93">
        <v>204</v>
      </c>
      <c r="F93">
        <v>2</v>
      </c>
      <c r="G93">
        <v>8</v>
      </c>
    </row>
    <row r="94" spans="2:9">
      <c r="B94">
        <v>804</v>
      </c>
      <c r="C94" s="12" t="s">
        <v>590</v>
      </c>
      <c r="D94">
        <v>180</v>
      </c>
      <c r="E94">
        <v>204</v>
      </c>
      <c r="F94">
        <v>2</v>
      </c>
      <c r="G94">
        <v>8</v>
      </c>
    </row>
    <row r="95" spans="2:9">
      <c r="B95">
        <v>804</v>
      </c>
      <c r="C95" s="12" t="s">
        <v>590</v>
      </c>
      <c r="D95">
        <v>-90</v>
      </c>
      <c r="E95">
        <v>204</v>
      </c>
      <c r="F95">
        <v>2</v>
      </c>
      <c r="G95">
        <v>8</v>
      </c>
    </row>
    <row r="96" spans="2:9">
      <c r="B96">
        <v>804</v>
      </c>
      <c r="C96" s="12" t="s">
        <v>590</v>
      </c>
      <c r="D96">
        <v>45</v>
      </c>
      <c r="E96">
        <v>204</v>
      </c>
      <c r="F96">
        <v>2</v>
      </c>
      <c r="G96">
        <v>8</v>
      </c>
      <c r="I96">
        <v>45</v>
      </c>
    </row>
    <row r="97" spans="2:7">
      <c r="B97">
        <v>804</v>
      </c>
      <c r="C97" s="12" t="s">
        <v>590</v>
      </c>
      <c r="D97">
        <v>-45</v>
      </c>
      <c r="E97">
        <v>204</v>
      </c>
      <c r="F97">
        <v>2</v>
      </c>
      <c r="G97">
        <v>8</v>
      </c>
    </row>
    <row r="98" spans="2:7">
      <c r="B98">
        <v>804</v>
      </c>
      <c r="C98" s="12" t="s">
        <v>590</v>
      </c>
      <c r="D98">
        <v>135</v>
      </c>
      <c r="E98">
        <v>204</v>
      </c>
      <c r="F98">
        <v>2</v>
      </c>
      <c r="G98">
        <v>8</v>
      </c>
    </row>
    <row r="99" spans="2:7">
      <c r="B99">
        <v>804</v>
      </c>
      <c r="C99" s="12" t="s">
        <v>590</v>
      </c>
      <c r="D99">
        <v>-135</v>
      </c>
      <c r="E99">
        <v>204</v>
      </c>
      <c r="F99">
        <v>2</v>
      </c>
      <c r="G99">
        <v>8</v>
      </c>
    </row>
    <row r="100" spans="2:7">
      <c r="B100">
        <v>805</v>
      </c>
      <c r="C100" s="12" t="s">
        <v>648</v>
      </c>
      <c r="D100">
        <v>45</v>
      </c>
      <c r="E100">
        <v>205</v>
      </c>
      <c r="F100">
        <v>1</v>
      </c>
      <c r="G100">
        <v>8</v>
      </c>
    </row>
    <row r="101" spans="2:7">
      <c r="B101">
        <v>805</v>
      </c>
      <c r="C101" s="12" t="s">
        <v>648</v>
      </c>
      <c r="D101">
        <v>-45</v>
      </c>
      <c r="E101">
        <v>205</v>
      </c>
      <c r="F101">
        <v>1</v>
      </c>
      <c r="G101">
        <v>8</v>
      </c>
    </row>
    <row r="102" spans="2:7">
      <c r="B102">
        <v>805</v>
      </c>
      <c r="C102" s="12" t="s">
        <v>648</v>
      </c>
      <c r="D102">
        <v>225</v>
      </c>
      <c r="E102">
        <v>205</v>
      </c>
      <c r="F102">
        <v>1</v>
      </c>
      <c r="G102">
        <v>8</v>
      </c>
    </row>
    <row r="103" spans="2:7">
      <c r="B103">
        <v>805</v>
      </c>
      <c r="C103" s="12" t="s">
        <v>648</v>
      </c>
      <c r="D103">
        <v>-225</v>
      </c>
      <c r="E103">
        <v>205</v>
      </c>
      <c r="F103">
        <v>1</v>
      </c>
      <c r="G103">
        <v>8</v>
      </c>
    </row>
    <row r="104" spans="2:7">
      <c r="B104">
        <v>999</v>
      </c>
      <c r="C104" s="17" t="s">
        <v>426</v>
      </c>
      <c r="D104">
        <v>0</v>
      </c>
      <c r="E104">
        <v>999</v>
      </c>
      <c r="F104">
        <v>8</v>
      </c>
      <c r="G104">
        <v>15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zoomScaleNormal="75" zoomScaleSheetLayoutView="100" workbookViewId="0">
      <selection activeCell="B7" sqref="B7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44</v>
      </c>
      <c r="C1" t="s">
        <v>47</v>
      </c>
      <c r="D1" t="s">
        <v>129</v>
      </c>
      <c r="E1" t="s">
        <v>98</v>
      </c>
      <c r="F1" t="s">
        <v>44</v>
      </c>
      <c r="G1" t="s">
        <v>97</v>
      </c>
    </row>
    <row r="2" spans="2:7">
      <c r="B2" t="s">
        <v>73</v>
      </c>
      <c r="C2" s="5" t="s">
        <v>41</v>
      </c>
      <c r="D2" t="s">
        <v>322</v>
      </c>
      <c r="E2" t="s">
        <v>166</v>
      </c>
      <c r="F2" t="s">
        <v>293</v>
      </c>
      <c r="G2" t="s">
        <v>300</v>
      </c>
    </row>
    <row r="3" spans="2:7">
      <c r="B3">
        <v>200</v>
      </c>
      <c r="C3" s="4" t="s">
        <v>37</v>
      </c>
      <c r="D3" t="b">
        <v>1</v>
      </c>
      <c r="E3">
        <v>0.8</v>
      </c>
      <c r="F3">
        <v>25</v>
      </c>
      <c r="G3" t="s">
        <v>356</v>
      </c>
    </row>
    <row r="4" spans="2:7">
      <c r="B4">
        <v>201</v>
      </c>
      <c r="C4" s="12" t="s">
        <v>538</v>
      </c>
      <c r="D4" t="b">
        <v>1</v>
      </c>
      <c r="E4">
        <v>0.8</v>
      </c>
      <c r="F4">
        <v>15</v>
      </c>
      <c r="G4" s="12" t="s">
        <v>592</v>
      </c>
    </row>
    <row r="5" spans="2:7">
      <c r="B5">
        <v>204</v>
      </c>
      <c r="C5" s="12" t="s">
        <v>591</v>
      </c>
      <c r="D5" t="b">
        <v>1</v>
      </c>
      <c r="E5">
        <v>1.5</v>
      </c>
      <c r="F5">
        <v>30</v>
      </c>
      <c r="G5" s="12" t="s">
        <v>607</v>
      </c>
    </row>
    <row r="6" spans="2:7">
      <c r="B6">
        <v>205</v>
      </c>
      <c r="C6" s="12" t="s">
        <v>649</v>
      </c>
      <c r="D6" t="b">
        <v>1</v>
      </c>
      <c r="E6">
        <v>1.2</v>
      </c>
      <c r="F6">
        <v>30</v>
      </c>
      <c r="G6" s="12" t="s">
        <v>607</v>
      </c>
    </row>
    <row r="7" spans="2:7">
      <c r="B7">
        <v>500</v>
      </c>
      <c r="C7" s="4" t="s">
        <v>38</v>
      </c>
      <c r="D7" s="3" t="b">
        <v>0</v>
      </c>
      <c r="E7">
        <v>1</v>
      </c>
      <c r="F7">
        <v>60</v>
      </c>
      <c r="G7" t="s">
        <v>355</v>
      </c>
    </row>
    <row r="8" spans="2:7">
      <c r="B8">
        <v>501</v>
      </c>
      <c r="C8" s="4" t="s">
        <v>149</v>
      </c>
      <c r="D8" s="3" t="b">
        <v>0</v>
      </c>
      <c r="E8">
        <v>1</v>
      </c>
      <c r="F8">
        <v>60</v>
      </c>
      <c r="G8" t="s">
        <v>355</v>
      </c>
    </row>
    <row r="9" spans="2:7">
      <c r="B9">
        <v>400</v>
      </c>
      <c r="C9" s="4" t="s">
        <v>130</v>
      </c>
      <c r="D9" s="3" t="b">
        <v>0</v>
      </c>
      <c r="E9">
        <v>0.25</v>
      </c>
      <c r="F9">
        <v>25</v>
      </c>
      <c r="G9" t="s">
        <v>355</v>
      </c>
    </row>
    <row r="10" spans="2:7">
      <c r="B10">
        <v>401</v>
      </c>
      <c r="C10" s="4" t="s">
        <v>333</v>
      </c>
      <c r="D10" s="3" t="b">
        <v>1</v>
      </c>
      <c r="E10">
        <v>0.25</v>
      </c>
      <c r="F10">
        <v>25</v>
      </c>
      <c r="G10" t="s">
        <v>355</v>
      </c>
    </row>
    <row r="11" spans="2:7">
      <c r="B11">
        <v>402</v>
      </c>
      <c r="C11" s="4" t="s">
        <v>127</v>
      </c>
      <c r="D11" s="3" t="b">
        <v>0</v>
      </c>
      <c r="E11">
        <v>0.4</v>
      </c>
      <c r="F11">
        <v>25</v>
      </c>
      <c r="G11" t="s">
        <v>355</v>
      </c>
    </row>
    <row r="12" spans="2:7">
      <c r="B12">
        <v>403</v>
      </c>
      <c r="C12" s="14" t="s">
        <v>432</v>
      </c>
      <c r="D12" s="3" t="b">
        <v>0</v>
      </c>
      <c r="E12">
        <v>0.8</v>
      </c>
      <c r="F12">
        <v>25</v>
      </c>
      <c r="G12" t="s">
        <v>355</v>
      </c>
    </row>
    <row r="13" spans="2:7">
      <c r="B13">
        <v>404</v>
      </c>
      <c r="C13" s="14" t="s">
        <v>433</v>
      </c>
      <c r="D13" s="3" t="b">
        <v>1</v>
      </c>
      <c r="E13">
        <v>0.8</v>
      </c>
      <c r="F13">
        <v>25</v>
      </c>
      <c r="G13" t="s">
        <v>355</v>
      </c>
    </row>
    <row r="14" spans="2:7">
      <c r="B14">
        <v>999</v>
      </c>
      <c r="C14" s="19" t="s">
        <v>427</v>
      </c>
      <c r="D14" t="b">
        <v>1</v>
      </c>
      <c r="E14">
        <v>1</v>
      </c>
      <c r="F14">
        <v>25</v>
      </c>
      <c r="G14" s="17" t="s">
        <v>464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33"/>
  <sheetViews>
    <sheetView zoomScaleNormal="100" zoomScaleSheetLayoutView="100" workbookViewId="0">
      <selection activeCell="F27" sqref="F27"/>
    </sheetView>
  </sheetViews>
  <sheetFormatPr baseColWidth="10" defaultColWidth="8.83203125" defaultRowHeight="17"/>
  <cols>
    <col min="2" max="2" width="8.6640625" bestFit="1" customWidth="1"/>
    <col min="3" max="3" width="19.33203125" customWidth="1"/>
    <col min="4" max="4" width="98.83203125" customWidth="1"/>
    <col min="5" max="5" width="64.33203125" customWidth="1"/>
    <col min="6" max="6" width="26.5" customWidth="1"/>
    <col min="7" max="7" width="13.33203125" bestFit="1" customWidth="1"/>
    <col min="8" max="8" width="18.5" bestFit="1" customWidth="1"/>
    <col min="9" max="11" width="18.5" customWidth="1"/>
    <col min="12" max="12" width="35.6640625" bestFit="1" customWidth="1"/>
    <col min="13" max="13" width="17.83203125" bestFit="1" customWidth="1"/>
    <col min="14" max="14" width="97" customWidth="1"/>
    <col min="15" max="15" width="44.6640625" customWidth="1"/>
    <col min="16" max="16" width="24.33203125" customWidth="1"/>
    <col min="17" max="18" width="64.5" customWidth="1"/>
  </cols>
  <sheetData>
    <row r="1" spans="2:19">
      <c r="B1" s="25" t="s">
        <v>663</v>
      </c>
      <c r="G1" t="s">
        <v>74</v>
      </c>
      <c r="H1" t="s">
        <v>44</v>
      </c>
      <c r="I1" t="s">
        <v>44</v>
      </c>
      <c r="J1" t="s">
        <v>44</v>
      </c>
      <c r="K1" t="s">
        <v>44</v>
      </c>
      <c r="L1" t="s">
        <v>97</v>
      </c>
      <c r="M1" t="s">
        <v>47</v>
      </c>
    </row>
    <row r="2" spans="2:19">
      <c r="B2" t="s">
        <v>73</v>
      </c>
      <c r="C2" t="s">
        <v>77</v>
      </c>
      <c r="D2" t="s">
        <v>161</v>
      </c>
      <c r="E2" s="17" t="s">
        <v>515</v>
      </c>
      <c r="F2" s="17" t="s">
        <v>516</v>
      </c>
      <c r="G2" t="s">
        <v>274</v>
      </c>
      <c r="H2" t="s">
        <v>86</v>
      </c>
      <c r="I2" t="s">
        <v>90</v>
      </c>
      <c r="J2" t="s">
        <v>275</v>
      </c>
      <c r="K2" t="s">
        <v>16</v>
      </c>
      <c r="L2" t="s">
        <v>191</v>
      </c>
      <c r="M2" s="5" t="s">
        <v>345</v>
      </c>
      <c r="N2" s="1" t="s">
        <v>47</v>
      </c>
      <c r="O2" s="1" t="s">
        <v>382</v>
      </c>
      <c r="P2" s="1" t="s">
        <v>383</v>
      </c>
      <c r="Q2" s="1" t="s">
        <v>384</v>
      </c>
      <c r="R2" s="24" t="s">
        <v>460</v>
      </c>
      <c r="S2" s="24" t="s">
        <v>455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46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0" t="e">
        <f>MID(ItemTable[[#This Row],[ItemIconPath]],FIND("icon",ItemTable[[#This Row],[ItemIconPath]]),999)</f>
        <v>#VALUE!</v>
      </c>
      <c r="N3" s="36"/>
      <c r="O3" s="36"/>
      <c r="P3" s="36"/>
      <c r="Q3" s="36"/>
      <c r="R3" s="36"/>
      <c r="S3" s="36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46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0" t="e">
        <f>MID(ItemTable[[#This Row],[ItemIconPath]],FIND("icon",ItemTable[[#This Row],[ItemIconPath]]),999)</f>
        <v>#VALUE!</v>
      </c>
      <c r="N4" s="36"/>
      <c r="O4" s="36"/>
      <c r="P4" s="36"/>
      <c r="Q4" s="36"/>
      <c r="R4" s="36"/>
      <c r="S4" s="36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91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33</v>
      </c>
      <c r="M5" s="20" t="str">
        <f>MID(ItemTable[[#This Row],[ItemIconPath]],FIND("icon",ItemTable[[#This Row],[ItemIconPath]]),999)</f>
        <v>icon/item/coin.png</v>
      </c>
      <c r="N5" s="36"/>
      <c r="O5" s="36"/>
      <c r="P5" s="36"/>
      <c r="Q5" s="36"/>
      <c r="R5" s="36"/>
      <c r="S5" s="36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91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33</v>
      </c>
      <c r="M6" s="20" t="str">
        <f>MID(ItemTable[[#This Row],[ItemIconPath]],FIND("icon",ItemTable[[#This Row],[ItemIconPath]]),999)</f>
        <v>icon/item/coin.png</v>
      </c>
      <c r="N6" s="36"/>
      <c r="O6" s="36"/>
      <c r="P6" s="36"/>
      <c r="Q6" s="36"/>
      <c r="R6" s="36"/>
      <c r="S6" s="36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91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33</v>
      </c>
      <c r="M7" s="20" t="str">
        <f>MID(ItemTable[[#This Row],[ItemIconPath]],FIND("icon",ItemTable[[#This Row],[ItemIconPath]]),999)</f>
        <v>icon/item/coin.png</v>
      </c>
      <c r="N7" s="36"/>
      <c r="O7" s="36"/>
      <c r="P7" s="36"/>
      <c r="Q7" s="36"/>
      <c r="R7" s="36"/>
      <c r="S7" s="36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330</v>
      </c>
      <c r="D8" s="12" t="s">
        <v>597</v>
      </c>
      <c r="E8" s="17" t="s">
        <v>604</v>
      </c>
      <c r="F8" s="12"/>
      <c r="G8" t="s">
        <v>78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248</v>
      </c>
      <c r="M8" s="20" t="str">
        <f>MID(ItemTable[[#This Row],[ItemIconPath]],FIND("icon",ItemTable[[#This Row],[ItemIconPath]]),999)</f>
        <v>icon/item/item_02.png</v>
      </c>
      <c r="N8" s="37" t="s">
        <v>369</v>
      </c>
      <c r="O8" s="36" t="s">
        <v>346</v>
      </c>
      <c r="P8" s="36"/>
      <c r="Q8" s="36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36"/>
      <c r="S8" s="36" t="str">
        <f>IF(ItemTable[[#This Row],['#4]]=ItemTable[[#This Row],[Desc]],"T","F")</f>
        <v>F</v>
      </c>
    </row>
    <row r="9" spans="2:19">
      <c r="B9" s="4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s="49" t="s">
        <v>156</v>
      </c>
      <c r="D9" s="50" t="s">
        <v>385</v>
      </c>
      <c r="E9" s="49" t="s">
        <v>353</v>
      </c>
      <c r="F9" s="49"/>
      <c r="G9" t="s">
        <v>78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251</v>
      </c>
      <c r="M9" s="20" t="str">
        <f>MID(ItemTable[[#This Row],[ItemIconPath]],FIND("icon",ItemTable[[#This Row],[ItemIconPath]]),999)</f>
        <v>icon/item/item_04.png</v>
      </c>
      <c r="N9" s="37" t="s">
        <v>385</v>
      </c>
      <c r="O9" s="36" t="s">
        <v>353</v>
      </c>
      <c r="P9" s="36"/>
      <c r="Q9" s="36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36"/>
      <c r="S9" s="36" t="str">
        <f>IF(ItemTable[[#This Row],['#4]]=ItemTable[[#This Row],[Desc]],"T","F")</f>
        <v>F</v>
      </c>
    </row>
    <row r="10" spans="2:19">
      <c r="B10" s="49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s="49" t="s">
        <v>159</v>
      </c>
      <c r="D10" s="50" t="s">
        <v>367</v>
      </c>
      <c r="E10" s="49" t="s">
        <v>342</v>
      </c>
      <c r="F10" s="49"/>
      <c r="G10" t="s">
        <v>78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245</v>
      </c>
      <c r="M10" s="20" t="str">
        <f>MID(ItemTable[[#This Row],[ItemIconPath]],FIND("icon",ItemTable[[#This Row],[ItemIconPath]]),999)</f>
        <v>icon/item/item_05.png</v>
      </c>
      <c r="N10" s="37" t="s">
        <v>367</v>
      </c>
      <c r="O10" s="36" t="s">
        <v>342</v>
      </c>
      <c r="P10" s="36"/>
      <c r="Q10" s="36" t="str">
        <f t="shared" si="0"/>
        <v>얼.죽.아 클럽의 새로운 유행입니다.\n\n&lt;size=20&gt;&lt;color=#97C456&gt;차징속도 +20%&lt;/color&gt;&lt;/size&gt;</v>
      </c>
      <c r="R10" s="36"/>
      <c r="S10" s="36" t="str">
        <f>IF(ItemTable[[#This Row],['#4]]=ItemTable[[#This Row],[Desc]],"T","F")</f>
        <v>F</v>
      </c>
    </row>
    <row r="11" spans="2:19">
      <c r="B11" s="49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49" t="s">
        <v>158</v>
      </c>
      <c r="D11" s="49" t="s">
        <v>368</v>
      </c>
      <c r="E11" s="49" t="s">
        <v>599</v>
      </c>
      <c r="F11" s="49"/>
      <c r="G11" t="s">
        <v>78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243</v>
      </c>
      <c r="M11" s="20" t="str">
        <f>MID(ItemTable[[#This Row],[ItemIconPath]],FIND("icon",ItemTable[[#This Row],[ItemIconPath]]),999)</f>
        <v>icon/item/item_07.png</v>
      </c>
      <c r="N11" s="37" t="s">
        <v>368</v>
      </c>
      <c r="O11" s="36" t="s">
        <v>341</v>
      </c>
      <c r="P11" s="36"/>
      <c r="Q11" s="36" t="str">
        <f t="shared" si="0"/>
        <v>배트 이외의 물건에 사용하지 마시오\nQT추출물 0.0006% 함유\nQT향 0.1%함유\n\n&lt;size=20&gt;&lt;color=#97C456&gt;공 충돌횟수 +1&lt;/color&gt;&lt;/size&gt;</v>
      </c>
      <c r="R11" s="36"/>
      <c r="S11" s="36" t="str">
        <f>IF(ItemTable[[#This Row],['#4]]=ItemTable[[#This Row],[Desc]],"T","F")</f>
        <v>F</v>
      </c>
    </row>
    <row r="12" spans="2:19">
      <c r="B12" s="49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s="49" t="s">
        <v>154</v>
      </c>
      <c r="D12" s="51" t="s">
        <v>554</v>
      </c>
      <c r="E12" s="49" t="s">
        <v>517</v>
      </c>
      <c r="F12" s="51"/>
      <c r="G12" t="s">
        <v>78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246</v>
      </c>
      <c r="M12" s="20" t="str">
        <f>MID(ItemTable[[#This Row],[ItemIconPath]],FIND("icon",ItemTable[[#This Row],[ItemIconPath]]),999)</f>
        <v>icon/item/item_11.png</v>
      </c>
      <c r="N12" s="37" t="s">
        <v>462</v>
      </c>
      <c r="O12" s="37" t="s">
        <v>456</v>
      </c>
      <c r="P12" s="36"/>
      <c r="Q12" s="36" t="str">
        <f t="shared" si="0"/>
        <v>시크한 표정이 매력적입니다.\n세 나라 이야기의 붉은 목마 입니다.\n\n&lt;size=20&gt;&lt;color=#97C456&gt;이동속도 +6&lt;/color&gt;&lt;/size&gt;</v>
      </c>
      <c r="R12" s="36"/>
      <c r="S12" s="36" t="str">
        <f>IF(ItemTable[[#This Row],['#4]]=ItemTable[[#This Row],[Desc]],"T","F")</f>
        <v>F</v>
      </c>
    </row>
    <row r="13" spans="2:19" s="25" customFormat="1">
      <c r="B13" s="25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s="25" t="s">
        <v>160</v>
      </c>
      <c r="D13" s="25" t="s">
        <v>381</v>
      </c>
      <c r="E13" s="25" t="s">
        <v>641</v>
      </c>
      <c r="G13" s="25" t="s">
        <v>78</v>
      </c>
      <c r="H13" s="25">
        <v>1</v>
      </c>
      <c r="I13" s="25">
        <f t="array" ref="I13">_xlfn.IFS(ItemTable[[#This Row],[GradeType]]="Normal",25,ItemTable[[#This Row],[GradeType]]="Cursed",50,ItemTable[[#This Row],[GradeType]]="Rare",50)</f>
        <v>25</v>
      </c>
      <c r="J13" s="25">
        <v>30</v>
      </c>
      <c r="K13" s="25">
        <f t="array" ref="K13">_xlfn.IFS(OR(ItemTable[[#This Row],[GradeType]]="Hp",ItemTable[[#This Row],[GradeType]]="Gold"),0,TRUE,5000+ItemTable[[#This Row],[Index]])</f>
        <v>7005</v>
      </c>
      <c r="L13" s="25" t="s">
        <v>247</v>
      </c>
      <c r="M13" s="18" t="str">
        <f>MID(ItemTable[[#This Row],[ItemIconPath]],FIND("icon",ItemTable[[#This Row],[ItemIconPath]]),999)</f>
        <v>icon/item/item_15.png</v>
      </c>
      <c r="N13" s="52" t="s">
        <v>381</v>
      </c>
      <c r="O13" s="52" t="s">
        <v>339</v>
      </c>
      <c r="P13" s="52"/>
      <c r="Q13" s="52" t="str">
        <f t="shared" si="0"/>
        <v>대나무 향을 머금은 흰 밥이\n까만 김을 만나 완성된 환상적인 조합.\n\n&lt;size=20&gt;&lt;color=#97C456&gt;최대 체력 +1하트&lt;/color&gt;&lt;/size&gt;</v>
      </c>
      <c r="R13" s="52"/>
      <c r="S13" s="52" t="str">
        <f>IF(ItemTable[[#This Row],['#4]]=ItemTable[[#This Row],[Desc]],"T","F")</f>
        <v>F</v>
      </c>
    </row>
    <row r="14" spans="2:19">
      <c r="B14" s="49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49" t="s">
        <v>57</v>
      </c>
      <c r="D14" s="51" t="s">
        <v>388</v>
      </c>
      <c r="E14" s="51" t="s">
        <v>645</v>
      </c>
      <c r="F14" s="51"/>
      <c r="G14" s="12" t="s">
        <v>639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249</v>
      </c>
      <c r="M14" s="20" t="str">
        <f>MID(ItemTable[[#This Row],[ItemIconPath]],FIND("icon",ItemTable[[#This Row],[ItemIconPath]]),999)</f>
        <v>icon/item/item_17.png</v>
      </c>
      <c r="N14" s="37" t="s">
        <v>388</v>
      </c>
      <c r="O14" s="37" t="s">
        <v>457</v>
      </c>
      <c r="P14" s="36"/>
      <c r="Q14" s="36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37" t="s">
        <v>463</v>
      </c>
      <c r="S14" s="36" t="str">
        <f>IF(ItemTable[[#This Row],['#4]]=ItemTable[[#This Row],[Desc]],"T","F")</f>
        <v>F</v>
      </c>
    </row>
    <row r="15" spans="2:19">
      <c r="B15" s="49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49" t="s">
        <v>370</v>
      </c>
      <c r="D15" s="50" t="s">
        <v>387</v>
      </c>
      <c r="E15" s="49" t="s">
        <v>589</v>
      </c>
      <c r="F15" s="49"/>
      <c r="G15" t="s">
        <v>79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252</v>
      </c>
      <c r="M15" s="20" t="str">
        <f>MID(ItemTable[[#This Row],[ItemIconPath]],FIND("icon",ItemTable[[#This Row],[ItemIconPath]]),999)</f>
        <v>icon/item/item_12.png</v>
      </c>
      <c r="N15" s="37" t="s">
        <v>387</v>
      </c>
      <c r="O15" s="36" t="s">
        <v>34</v>
      </c>
      <c r="P15" s="36"/>
      <c r="Q15" s="36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36"/>
      <c r="S15" s="36" t="str">
        <f>IF(ItemTable[[#This Row],['#4]]=ItemTable[[#This Row],[Desc]],"T","F")</f>
        <v>F</v>
      </c>
    </row>
    <row r="16" spans="2:19">
      <c r="B16" s="49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s="49" t="s">
        <v>59</v>
      </c>
      <c r="D16" s="50" t="s">
        <v>555</v>
      </c>
      <c r="E16" s="49" t="s">
        <v>647</v>
      </c>
      <c r="F16" s="49"/>
      <c r="G16" t="s">
        <v>79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254</v>
      </c>
      <c r="M16" s="20" t="str">
        <f>MID(ItemTable[[#This Row],[ItemIconPath]],FIND("icon",ItemTable[[#This Row],[ItemIconPath]]),999)</f>
        <v>icon/item/item_09.png</v>
      </c>
      <c r="N16" s="37" t="s">
        <v>380</v>
      </c>
      <c r="O16" s="37" t="s">
        <v>458</v>
      </c>
      <c r="P16" s="36"/>
      <c r="Q16" s="36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36"/>
      <c r="S16" s="36" t="str">
        <f>IF(ItemTable[[#This Row],['#4]]=ItemTable[[#This Row],[Desc]],"T","F")</f>
        <v>F</v>
      </c>
    </row>
    <row r="17" spans="2:19">
      <c r="B17" s="49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s="49" t="s">
        <v>327</v>
      </c>
      <c r="D17" s="50" t="s">
        <v>371</v>
      </c>
      <c r="E17" s="49" t="s">
        <v>547</v>
      </c>
      <c r="F17" s="49"/>
      <c r="G17" t="s">
        <v>79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255</v>
      </c>
      <c r="M17" s="20" t="str">
        <f>MID(ItemTable[[#This Row],[ItemIconPath]],FIND("icon",ItemTable[[#This Row],[ItemIconPath]]),999)</f>
        <v>icon/item/item_10.png</v>
      </c>
      <c r="N17" s="37" t="s">
        <v>371</v>
      </c>
      <c r="O17" s="36" t="s">
        <v>338</v>
      </c>
      <c r="P17" s="36"/>
      <c r="Q17" s="36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36"/>
      <c r="S17" s="36" t="str">
        <f>IF(ItemTable[[#This Row],['#4]]=ItemTable[[#This Row],[Desc]],"T","F")</f>
        <v>F</v>
      </c>
    </row>
    <row r="18" spans="2:19">
      <c r="B18" s="49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s="49" t="s">
        <v>344</v>
      </c>
      <c r="D18" s="50" t="s">
        <v>375</v>
      </c>
      <c r="E18" s="49" t="s">
        <v>561</v>
      </c>
      <c r="F18" s="49"/>
      <c r="G18" t="s">
        <v>79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256</v>
      </c>
      <c r="M18" s="20" t="str">
        <f>MID(ItemTable[[#This Row],[ItemIconPath]],FIND("icon",ItemTable[[#This Row],[ItemIconPath]]),999)</f>
        <v>icon/item/item_16.png</v>
      </c>
      <c r="N18" s="37" t="s">
        <v>375</v>
      </c>
      <c r="O18" s="36" t="s">
        <v>340</v>
      </c>
      <c r="P18" s="36"/>
      <c r="Q18" s="36" t="str">
        <f t="shared" si="0"/>
        <v>종교적인 용도로 보이는 컵입니다.\n잠깐, 방금 조금 움직인 것 같은데요?\n\n&lt;size=20&gt;&lt;color=#97C456&gt;공 충돌횟수 +2&lt;/color&gt;&lt;/size&gt;</v>
      </c>
      <c r="R18" s="36"/>
      <c r="S18" s="36" t="str">
        <f>IF(ItemTable[[#This Row],['#4]]=ItemTable[[#This Row],[Desc]],"T","F")</f>
        <v>F</v>
      </c>
    </row>
    <row r="19" spans="2:19" s="25" customFormat="1">
      <c r="B19" s="25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25" t="s">
        <v>162</v>
      </c>
      <c r="D19" s="53" t="s">
        <v>563</v>
      </c>
      <c r="E19" s="25" t="s">
        <v>642</v>
      </c>
      <c r="G19" s="25" t="s">
        <v>79</v>
      </c>
      <c r="H19" s="25">
        <v>1</v>
      </c>
      <c r="I19" s="25">
        <f t="array" ref="I19">_xlfn.IFS(ItemTable[[#This Row],[GradeType]]="Normal",25,ItemTable[[#This Row],[GradeType]]="Cursed",50,ItemTable[[#This Row],[GradeType]]="Rare",50)</f>
        <v>50</v>
      </c>
      <c r="J19" s="25">
        <v>50</v>
      </c>
      <c r="K19" s="25">
        <f t="array" ref="K19">_xlfn.IFS(OR(ItemTable[[#This Row],[GradeType]]="Hp",ItemTable[[#This Row],[GradeType]]="Gold"),0,TRUE,5000+ItemTable[[#This Row],[Index]])</f>
        <v>8005</v>
      </c>
      <c r="L19" s="25" t="s">
        <v>258</v>
      </c>
      <c r="M19" s="18" t="str">
        <f>MID(ItemTable[[#This Row],[ItemIconPath]],FIND("icon",ItemTable[[#This Row],[ItemIconPath]]),999)</f>
        <v>icon/item/item_03.png</v>
      </c>
      <c r="N19" s="52" t="s">
        <v>563</v>
      </c>
      <c r="O19" s="52" t="s">
        <v>376</v>
      </c>
      <c r="P19" s="52"/>
      <c r="Q19" s="52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52"/>
      <c r="S19" s="52" t="str">
        <f>IF(ItemTable[[#This Row],['#4]]=ItemTable[[#This Row],[Desc]],"T","F")</f>
        <v>F</v>
      </c>
    </row>
    <row r="20" spans="2:19">
      <c r="B20" s="49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50" t="s">
        <v>534</v>
      </c>
      <c r="D20" s="50" t="s">
        <v>535</v>
      </c>
      <c r="E20" s="50" t="s">
        <v>646</v>
      </c>
      <c r="F20" s="50"/>
      <c r="G20" t="s">
        <v>79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2" t="s">
        <v>549</v>
      </c>
      <c r="M20" s="20" t="str">
        <f>MID(ItemTable[[#This Row],[ItemIconPath]],FIND("icon",ItemTable[[#This Row],[ItemIconPath]]),999)</f>
        <v>icon/item/item_18.png</v>
      </c>
      <c r="N20" s="37" t="s">
        <v>372</v>
      </c>
      <c r="O20" s="37" t="s">
        <v>376</v>
      </c>
      <c r="P20" s="36"/>
      <c r="Q20" s="36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36"/>
      <c r="S20" s="36" t="str">
        <f>IF(ItemTable[[#This Row],['#4]]=ItemTable[[#This Row],[Desc]],"T","F")</f>
        <v>F</v>
      </c>
    </row>
    <row r="21" spans="2:19">
      <c r="B21" s="49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49" t="s">
        <v>157</v>
      </c>
      <c r="D21" s="49" t="s">
        <v>379</v>
      </c>
      <c r="E21" s="49" t="s">
        <v>613</v>
      </c>
      <c r="F21" s="49" t="s">
        <v>612</v>
      </c>
      <c r="G21" t="s">
        <v>88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267</v>
      </c>
      <c r="M21" s="20" t="str">
        <f>MID(ItemTable[[#This Row],[ItemIconPath]],FIND("icon",ItemTable[[#This Row],[ItemIconPath]]),999)</f>
        <v>icon/item/item_06.png</v>
      </c>
      <c r="N21" s="37" t="s">
        <v>379</v>
      </c>
      <c r="O21" s="36" t="s">
        <v>352</v>
      </c>
      <c r="P21" s="36" t="s">
        <v>348</v>
      </c>
      <c r="Q21" s="36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36"/>
      <c r="S21" s="36" t="str">
        <f>IF(ItemTable[[#This Row],['#4]]=ItemTable[[#This Row],[Desc]],"T","F")</f>
        <v>F</v>
      </c>
    </row>
    <row r="22" spans="2:19">
      <c r="B22" s="49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49" t="s">
        <v>153</v>
      </c>
      <c r="D22" s="49" t="s">
        <v>558</v>
      </c>
      <c r="E22" s="49" t="s">
        <v>595</v>
      </c>
      <c r="F22" s="49" t="s">
        <v>557</v>
      </c>
      <c r="G22" t="s">
        <v>88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270</v>
      </c>
      <c r="M22" s="20" t="str">
        <f>MID(ItemTable[[#This Row],[ItemIconPath]],FIND("icon",ItemTable[[#This Row],[ItemIconPath]]),999)</f>
        <v>icon/item/item_08.png</v>
      </c>
      <c r="N22" s="37" t="s">
        <v>373</v>
      </c>
      <c r="O22" s="36" t="s">
        <v>347</v>
      </c>
      <c r="P22" s="36" t="s">
        <v>349</v>
      </c>
      <c r="Q22" s="36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36"/>
      <c r="S22" s="36" t="str">
        <f>IF(ItemTable[[#This Row],['#4]]=ItemTable[[#This Row],[Desc]],"T","F")</f>
        <v>F</v>
      </c>
    </row>
    <row r="23" spans="2:19">
      <c r="B23" s="49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s="49" t="s">
        <v>336</v>
      </c>
      <c r="D23" s="50" t="s">
        <v>378</v>
      </c>
      <c r="E23" s="49" t="s">
        <v>454</v>
      </c>
      <c r="F23" s="49" t="s">
        <v>235</v>
      </c>
      <c r="G23" t="s">
        <v>88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268</v>
      </c>
      <c r="M23" s="20" t="str">
        <f>MID(ItemTable[[#This Row],[ItemIconPath]],FIND("icon",ItemTable[[#This Row],[ItemIconPath]]),999)</f>
        <v>icon/item/item_14.png</v>
      </c>
      <c r="N23" s="37" t="s">
        <v>378</v>
      </c>
      <c r="O23" s="37" t="s">
        <v>454</v>
      </c>
      <c r="P23" s="36" t="s">
        <v>235</v>
      </c>
      <c r="Q23" s="36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37" t="s">
        <v>461</v>
      </c>
      <c r="S23" s="36" t="str">
        <f>IF(ItemTable[[#This Row],['#4]]=ItemTable[[#This Row],[Desc]],"T","F")</f>
        <v>F</v>
      </c>
    </row>
    <row r="24" spans="2:19">
      <c r="B24" s="49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49" t="s">
        <v>328</v>
      </c>
      <c r="D24" s="49" t="s">
        <v>374</v>
      </c>
      <c r="E24" s="49" t="s">
        <v>570</v>
      </c>
      <c r="F24" s="49" t="s">
        <v>569</v>
      </c>
      <c r="G24" t="s">
        <v>88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269</v>
      </c>
      <c r="M24" s="20" t="str">
        <f>MID(ItemTable[[#This Row],[ItemIconPath]],FIND("icon",ItemTable[[#This Row],[ItemIconPath]]),999)</f>
        <v>icon/item/item_01.png</v>
      </c>
      <c r="N24" s="37" t="s">
        <v>374</v>
      </c>
      <c r="O24" s="36" t="s">
        <v>343</v>
      </c>
      <c r="P24" s="36" t="s">
        <v>351</v>
      </c>
      <c r="Q24" s="36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36"/>
      <c r="S24" s="36" t="str">
        <f>IF(ItemTable[[#This Row],['#4]]=ItemTable[[#This Row],[Desc]],"T","F")</f>
        <v>F</v>
      </c>
    </row>
    <row r="25" spans="2:19" s="25" customFormat="1">
      <c r="B25" s="25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25" t="s">
        <v>540</v>
      </c>
      <c r="D25" s="25" t="s">
        <v>386</v>
      </c>
      <c r="E25" s="25" t="s">
        <v>651</v>
      </c>
      <c r="F25" s="25" t="s">
        <v>654</v>
      </c>
      <c r="G25" s="25" t="s">
        <v>88</v>
      </c>
      <c r="H25" s="25">
        <v>1</v>
      </c>
      <c r="I25" s="25">
        <f t="array" ref="I25">_xlfn.IFS(ItemTable[[#This Row],[GradeType]]="Normal",25,ItemTable[[#This Row],[GradeType]]="Cursed",50,ItemTable[[#This Row],[GradeType]]="Rare",50)</f>
        <v>50</v>
      </c>
      <c r="J25" s="25">
        <v>60</v>
      </c>
      <c r="K25" s="25">
        <f t="array" ref="K25">_xlfn.IFS(OR(ItemTable[[#This Row],[GradeType]]="Hp",ItemTable[[#This Row],[GradeType]]="Gold"),0,TRUE,5000+ItemTable[[#This Row],[Index]])</f>
        <v>9004</v>
      </c>
      <c r="L25" s="25" t="s">
        <v>253</v>
      </c>
      <c r="M25" s="18" t="str">
        <f>MID(ItemTable[[#This Row],[ItemIconPath]],FIND("icon",ItemTable[[#This Row],[ItemIconPath]]),999)</f>
        <v>icon/item/item_13.png</v>
      </c>
      <c r="N25" s="52" t="s">
        <v>386</v>
      </c>
      <c r="O25" s="52" t="s">
        <v>377</v>
      </c>
      <c r="P25" s="52" t="s">
        <v>354</v>
      </c>
      <c r="Q25" s="52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52"/>
      <c r="S25" s="52" t="str">
        <f>IF(ItemTable[[#This Row],['#4]]=ItemTable[[#This Row],[Desc]],"T","F")</f>
        <v>F</v>
      </c>
    </row>
    <row r="26" spans="2:19" s="25" customFormat="1">
      <c r="B26" s="25">
        <v>4005</v>
      </c>
      <c r="C26" s="25" t="s">
        <v>649</v>
      </c>
      <c r="D26" s="25" t="s">
        <v>650</v>
      </c>
      <c r="E26" s="25" t="s">
        <v>601</v>
      </c>
      <c r="F26" s="25" t="s">
        <v>655</v>
      </c>
      <c r="G26" s="25" t="s">
        <v>88</v>
      </c>
      <c r="H26" s="25">
        <v>1</v>
      </c>
      <c r="I26" s="25">
        <f t="array" ref="I26">_xlfn.IFS(ItemTable[[#This Row],[GradeType]]="Normal",25,ItemTable[[#This Row],[GradeType]]="Cursed",50,ItemTable[[#This Row],[GradeType]]="Rare",50)</f>
        <v>50</v>
      </c>
      <c r="J26" s="25">
        <v>60</v>
      </c>
      <c r="K26" s="25">
        <f t="array" ref="K26">_xlfn.IFS(OR(ItemTable[[#This Row],[GradeType]]="Hp",ItemTable[[#This Row],[GradeType]]="Gold"),0,TRUE,5000+ItemTable[[#This Row],[Index]])</f>
        <v>9005</v>
      </c>
      <c r="L26" s="25" t="s">
        <v>33</v>
      </c>
      <c r="M26" s="18" t="str">
        <f>MID(ItemTable[[#This Row],[ItemIconPath]],FIND("icon",ItemTable[[#This Row],[ItemIconPath]]),999)</f>
        <v>icon/item/coin.png</v>
      </c>
      <c r="N26" s="52"/>
      <c r="O26" s="52"/>
      <c r="P26" s="52"/>
      <c r="Q26" s="52" t="str">
        <f>_xlfn.CONCAT(
_xlfn.CONCAT("&lt;size=16&gt;",N26,"&lt;/size&gt;\n\n",
"&lt;size=20&gt;&lt;color=#97C456&gt;",O26,"&lt;/color&gt;&lt;/size&gt;"),
IF(ISBLANK(P26),"",_xlfn.CONCAT("\n","&lt;size=24&gt;&lt;color=#FF6A6A&gt;",P26,"&lt;/color&gt;&lt;/size&gt;"))
)</f>
        <v>&lt;size=16&gt;&lt;/size&gt;\n\n&lt;size=20&gt;&lt;color=#97C456&gt;&lt;/color&gt;&lt;/size&gt;</v>
      </c>
      <c r="R26" s="52"/>
      <c r="S26" s="52" t="str">
        <f>IF(ItemTable[[#This Row],['#4]]=ItemTable[[#This Row],[Desc]],"T","F")</f>
        <v>F</v>
      </c>
    </row>
    <row r="27" spans="2:19" s="25" customFormat="1">
      <c r="B27" s="25">
        <v>4006</v>
      </c>
      <c r="C27" s="25" t="s">
        <v>657</v>
      </c>
      <c r="D27" s="25" t="s">
        <v>658</v>
      </c>
      <c r="E27" s="25" t="s">
        <v>660</v>
      </c>
      <c r="F27" s="25" t="s">
        <v>659</v>
      </c>
      <c r="G27" s="25" t="s">
        <v>88</v>
      </c>
      <c r="H27" s="25">
        <v>1</v>
      </c>
      <c r="I27" s="25">
        <f t="array" ref="I27">_xlfn.IFS(ItemTable[[#This Row],[GradeType]]="Normal",25,ItemTable[[#This Row],[GradeType]]="Cursed",50,ItemTable[[#This Row],[GradeType]]="Rare",50)</f>
        <v>50</v>
      </c>
      <c r="J27" s="25">
        <v>60</v>
      </c>
      <c r="K27" s="25">
        <f t="array" ref="K27">_xlfn.IFS(OR(ItemTable[[#This Row],[GradeType]]="Hp",ItemTable[[#This Row],[GradeType]]="Gold"),0,TRUE,5000+ItemTable[[#This Row],[Index]])</f>
        <v>9006</v>
      </c>
      <c r="L27" s="25" t="s">
        <v>33</v>
      </c>
      <c r="M27" s="18" t="str">
        <f>MID(ItemTable[[#This Row],[ItemIconPath]],FIND("icon",ItemTable[[#This Row],[ItemIconPath]]),999)</f>
        <v>icon/item/coin.png</v>
      </c>
      <c r="N27" s="52"/>
      <c r="O27" s="52"/>
      <c r="P27" s="52"/>
      <c r="Q27" s="52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52"/>
      <c r="S27" s="52" t="str">
        <f>IF(ItemTable[[#This Row],['#4]]=ItemTable[[#This Row],[Desc]],"T","F")</f>
        <v>F</v>
      </c>
    </row>
    <row r="28" spans="2:19">
      <c r="B28">
        <v>10000</v>
      </c>
      <c r="C28" s="12" t="s">
        <v>530</v>
      </c>
      <c r="D28" s="12" t="s">
        <v>571</v>
      </c>
      <c r="E28" s="17" t="s">
        <v>531</v>
      </c>
      <c r="F28" s="17"/>
      <c r="G28" s="17" t="s">
        <v>514</v>
      </c>
      <c r="H28">
        <v>1</v>
      </c>
      <c r="I28">
        <v>50</v>
      </c>
      <c r="J28">
        <v>100</v>
      </c>
      <c r="K28">
        <v>10000</v>
      </c>
      <c r="L28" s="12" t="s">
        <v>545</v>
      </c>
      <c r="M28" s="20" t="str">
        <f>MID(ItemTable[[#This Row],[ItemIconPath]],FIND("icon",ItemTable[[#This Row],[ItemIconPath]]),999)</f>
        <v>icon/item/A_item_02.png</v>
      </c>
      <c r="N28" s="36"/>
      <c r="O28" s="36"/>
      <c r="P28" s="36"/>
      <c r="Q28" s="36"/>
      <c r="R28" s="36"/>
      <c r="S28" s="36" t="str">
        <f>IF(ItemTable[[#This Row],['#4]]=ItemTable[[#This Row],[Desc]],"T","F")</f>
        <v>F</v>
      </c>
    </row>
    <row r="29" spans="2:19">
      <c r="B29">
        <v>10001</v>
      </c>
      <c r="C29" s="17" t="s">
        <v>550</v>
      </c>
      <c r="D29" s="17" t="s">
        <v>556</v>
      </c>
      <c r="E29" s="17" t="s">
        <v>548</v>
      </c>
      <c r="F29" s="17"/>
      <c r="G29" s="17" t="s">
        <v>514</v>
      </c>
      <c r="H29">
        <v>1</v>
      </c>
      <c r="I29">
        <v>50</v>
      </c>
      <c r="J29">
        <v>100</v>
      </c>
      <c r="K29">
        <v>10001</v>
      </c>
      <c r="L29" s="12" t="s">
        <v>546</v>
      </c>
      <c r="M29" s="20" t="str">
        <f>MID(ItemTable[[#This Row],[ItemIconPath]],FIND("icon",ItemTable[[#This Row],[ItemIconPath]]),999)</f>
        <v>icon/item/A_item_03.png</v>
      </c>
      <c r="N29" s="36"/>
      <c r="O29" s="36"/>
      <c r="P29" s="36"/>
      <c r="Q29" s="36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36"/>
      <c r="S29" s="36" t="str">
        <f>IF(ItemTable[[#This Row],['#4]]=ItemTable[[#This Row],[Desc]],"T","F")</f>
        <v>F</v>
      </c>
    </row>
    <row r="30" spans="2:19">
      <c r="B30">
        <v>10002</v>
      </c>
      <c r="C30" s="17" t="s">
        <v>551</v>
      </c>
      <c r="D30" s="17" t="s">
        <v>553</v>
      </c>
      <c r="E30" s="17" t="s">
        <v>661</v>
      </c>
      <c r="F30" s="17"/>
      <c r="G30" s="17" t="s">
        <v>514</v>
      </c>
      <c r="H30">
        <v>1</v>
      </c>
      <c r="I30">
        <v>50</v>
      </c>
      <c r="J30">
        <v>100</v>
      </c>
      <c r="K30">
        <v>10002</v>
      </c>
      <c r="L30" s="12" t="s">
        <v>572</v>
      </c>
      <c r="M30" s="20" t="str">
        <f>MID(ItemTable[[#This Row],[ItemIconPath]],FIND("icon",ItemTable[[#This Row],[ItemIconPath]]),999)</f>
        <v>icon/item/A_item_06.png</v>
      </c>
      <c r="N30" s="36"/>
      <c r="O30" s="36"/>
      <c r="P30" s="36"/>
      <c r="Q30" s="36" t="str">
        <f>_xlfn.CONCAT(
_xlfn.CONCAT("&lt;size=16&gt;",N30,"&lt;/size&gt;\n\n",
"&lt;size=20&gt;&lt;color=#97C456&gt;",O30,"&lt;/color&gt;&lt;/size&gt;"),
IF(ISBLANK(P30),"",_xlfn.CONCAT("\n","&lt;size=24&gt;&lt;color=#FF6A6A&gt;",P30,"&lt;/color&gt;&lt;/size&gt;"))
)</f>
        <v>&lt;size=16&gt;&lt;/size&gt;\n\n&lt;size=20&gt;&lt;color=#97C456&gt;&lt;/color&gt;&lt;/size&gt;</v>
      </c>
      <c r="R30" s="36"/>
      <c r="S30" s="36" t="str">
        <f>IF(ItemTable[[#This Row],['#4]]=ItemTable[[#This Row],[Desc]],"T","F")</f>
        <v>F</v>
      </c>
    </row>
    <row r="31" spans="2:19">
      <c r="B31">
        <v>10003</v>
      </c>
      <c r="C31" s="17" t="s">
        <v>532</v>
      </c>
      <c r="D31" s="17" t="s">
        <v>552</v>
      </c>
      <c r="E31" s="17" t="s">
        <v>539</v>
      </c>
      <c r="F31" s="17"/>
      <c r="G31" s="17" t="s">
        <v>514</v>
      </c>
      <c r="H31">
        <v>1</v>
      </c>
      <c r="I31">
        <v>50</v>
      </c>
      <c r="J31">
        <v>100</v>
      </c>
      <c r="K31">
        <v>10003</v>
      </c>
      <c r="L31" s="12" t="s">
        <v>544</v>
      </c>
      <c r="M31" s="20" t="str">
        <f>MID(ItemTable[[#This Row],[ItemIconPath]],FIND("icon",ItemTable[[#This Row],[ItemIconPath]]),999)</f>
        <v>icon/item/A_item_01.png</v>
      </c>
      <c r="N31" s="36"/>
      <c r="O31" s="36"/>
      <c r="P31" s="36"/>
      <c r="Q31" s="36" t="str">
        <f>_xlfn.CONCAT(
_xlfn.CONCAT("&lt;size=16&gt;",N31,"&lt;/size&gt;\n\n",
"&lt;size=20&gt;&lt;color=#97C456&gt;",O31,"&lt;/color&gt;&lt;/size&gt;"),
IF(ISBLANK(P31),"",_xlfn.CONCAT("\n","&lt;size=24&gt;&lt;color=#FF6A6A&gt;",P31,"&lt;/color&gt;&lt;/size&gt;"))
)</f>
        <v>&lt;size=16&gt;&lt;/size&gt;\n\n&lt;size=20&gt;&lt;color=#97C456&gt;&lt;/color&gt;&lt;/size&gt;</v>
      </c>
      <c r="R31" s="36"/>
      <c r="S31" s="36" t="str">
        <f>IF(ItemTable[[#This Row],['#4]]=ItemTable[[#This Row],[Desc]],"T","F")</f>
        <v>F</v>
      </c>
    </row>
    <row r="32" spans="2:19">
      <c r="B32" s="25" t="s">
        <v>674</v>
      </c>
      <c r="C32" s="25" t="s">
        <v>666</v>
      </c>
      <c r="D32" s="25" t="s">
        <v>667</v>
      </c>
      <c r="E32" s="25" t="s">
        <v>668</v>
      </c>
      <c r="F32" s="25"/>
      <c r="G32" s="25" t="s">
        <v>514</v>
      </c>
      <c r="H32" s="25">
        <v>1</v>
      </c>
      <c r="I32" s="25">
        <v>50</v>
      </c>
      <c r="J32" s="25">
        <v>100</v>
      </c>
      <c r="K32" s="25">
        <v>10004</v>
      </c>
      <c r="L32" s="25" t="s">
        <v>33</v>
      </c>
      <c r="M32" s="18" t="str">
        <f>MID(ItemTable[[#This Row],[ItemIconPath]],FIND("icon",ItemTable[[#This Row],[ItemIconPath]]),999)</f>
        <v>icon/item/coin.png</v>
      </c>
      <c r="N32" s="36"/>
      <c r="O32" s="36"/>
      <c r="P32" s="36"/>
      <c r="Q32" s="36" t="str">
        <f>_xlfn.CONCAT(
_xlfn.CONCAT("&lt;size=16&gt;",N32,"&lt;/size&gt;\n\n",
"&lt;size=20&gt;&lt;color=#97C456&gt;",O32,"&lt;/color&gt;&lt;/size&gt;"),
IF(ISBLANK(P32),"",_xlfn.CONCAT("\n","&lt;size=24&gt;&lt;color=#FF6A6A&gt;",P32,"&lt;/color&gt;&lt;/size&gt;"))
)</f>
        <v>&lt;size=16&gt;&lt;/size&gt;\n\n&lt;size=20&gt;&lt;color=#97C456&gt;&lt;/color&gt;&lt;/size&gt;</v>
      </c>
      <c r="R32" s="36"/>
      <c r="S32" s="36" t="str">
        <f>IF(ItemTable[[#This Row],['#4]]=ItemTable[[#This Row],[Desc]],"T","F")</f>
        <v>F</v>
      </c>
    </row>
    <row r="33" spans="2:19">
      <c r="B33" s="12">
        <v>10005</v>
      </c>
      <c r="C33" s="12" t="s">
        <v>677</v>
      </c>
      <c r="D33" s="12" t="s">
        <v>678</v>
      </c>
      <c r="E33" s="12" t="s">
        <v>684</v>
      </c>
      <c r="F33" s="12"/>
      <c r="G33" s="25" t="s">
        <v>514</v>
      </c>
      <c r="H33" s="25">
        <v>1</v>
      </c>
      <c r="I33" s="25">
        <v>50</v>
      </c>
      <c r="J33" s="25">
        <v>100</v>
      </c>
      <c r="K33" s="25">
        <v>10005</v>
      </c>
      <c r="L33" s="25" t="s">
        <v>33</v>
      </c>
      <c r="M33" s="20"/>
      <c r="N33" s="36"/>
      <c r="O33" s="36"/>
      <c r="P33" s="36"/>
      <c r="Q33" s="36" t="str">
        <f>_xlfn.CONCAT(
_xlfn.CONCAT("&lt;size=16&gt;",N33,"&lt;/size&gt;\n\n",
"&lt;size=20&gt;&lt;color=#97C456&gt;",O33,"&lt;/color&gt;&lt;/size&gt;"),
IF(ISBLANK(P33),"",_xlfn.CONCAT("\n","&lt;size=24&gt;&lt;color=#FF6A6A&gt;",P33,"&lt;/color&gt;&lt;/size&gt;"))
)</f>
        <v>&lt;size=16&gt;&lt;/size&gt;\n\n&lt;size=20&gt;&lt;color=#97C456&gt;&lt;/color&gt;&lt;/size&gt;</v>
      </c>
      <c r="R33" s="36"/>
      <c r="S33" s="36" t="str">
        <f>IF(ItemTable[[#This Row],['#4]]=ItemTable[[#This Row],[Desc]],"T","F")</f>
        <v>F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K34"/>
  <sheetViews>
    <sheetView zoomScaleNormal="100" zoomScaleSheetLayoutView="100" workbookViewId="0">
      <selection activeCell="G25" sqref="G25"/>
    </sheetView>
  </sheetViews>
  <sheetFormatPr baseColWidth="10" defaultColWidth="8.83203125" defaultRowHeight="17"/>
  <cols>
    <col min="1" max="1" width="8.83203125" style="55"/>
    <col min="2" max="2" width="20" bestFit="1" customWidth="1"/>
    <col min="3" max="3" width="10.1640625" bestFit="1" customWidth="1"/>
    <col min="4" max="4" width="8.6640625" bestFit="1" customWidth="1"/>
    <col min="5" max="5" width="21.1640625" bestFit="1" customWidth="1"/>
    <col min="6" max="6" width="21.1640625" customWidth="1"/>
    <col min="7" max="7" width="22.5" customWidth="1"/>
    <col min="8" max="8" width="36" customWidth="1"/>
    <col min="9" max="9" width="21.6640625" customWidth="1"/>
    <col min="10" max="10" width="22.83203125" bestFit="1" customWidth="1"/>
    <col min="11" max="11" width="17.83203125" customWidth="1"/>
  </cols>
  <sheetData>
    <row r="1" spans="2:11">
      <c r="D1" t="s">
        <v>44</v>
      </c>
      <c r="E1" s="17" t="s">
        <v>473</v>
      </c>
      <c r="F1" s="17" t="s">
        <v>473</v>
      </c>
      <c r="G1" s="17" t="s">
        <v>475</v>
      </c>
      <c r="H1" t="s">
        <v>122</v>
      </c>
      <c r="I1" s="17" t="s">
        <v>489</v>
      </c>
      <c r="J1" t="s">
        <v>122</v>
      </c>
      <c r="K1" s="17" t="s">
        <v>475</v>
      </c>
    </row>
    <row r="2" spans="2:11">
      <c r="B2" s="5" t="s">
        <v>123</v>
      </c>
      <c r="C2" s="5" t="s">
        <v>125</v>
      </c>
      <c r="D2" t="s">
        <v>73</v>
      </c>
      <c r="E2" s="17" t="s">
        <v>498</v>
      </c>
      <c r="F2" s="17" t="s">
        <v>499</v>
      </c>
      <c r="G2" s="17" t="s">
        <v>476</v>
      </c>
      <c r="H2" s="17" t="s">
        <v>477</v>
      </c>
      <c r="I2" s="32" t="s">
        <v>479</v>
      </c>
      <c r="J2" s="17" t="s">
        <v>478</v>
      </c>
      <c r="K2" s="32" t="s">
        <v>494</v>
      </c>
    </row>
    <row r="3" spans="2:11">
      <c r="B3" s="20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7">
        <v>7000</v>
      </c>
      <c r="E3" s="17">
        <v>7000</v>
      </c>
      <c r="F3" s="17"/>
      <c r="G3">
        <v>0</v>
      </c>
      <c r="H3" s="17" t="s">
        <v>496</v>
      </c>
      <c r="I3" s="17"/>
      <c r="J3" s="17" t="s">
        <v>495</v>
      </c>
    </row>
    <row r="4" spans="2:11">
      <c r="B4" s="20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7">
        <v>7001</v>
      </c>
      <c r="E4" s="17">
        <v>7001</v>
      </c>
      <c r="F4" s="17"/>
      <c r="G4">
        <v>0</v>
      </c>
      <c r="H4" s="17" t="s">
        <v>496</v>
      </c>
      <c r="J4" s="17" t="s">
        <v>495</v>
      </c>
    </row>
    <row r="5" spans="2:11">
      <c r="B5" s="20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7">
        <v>7002</v>
      </c>
      <c r="E5" s="17">
        <v>7002</v>
      </c>
      <c r="F5" s="17"/>
      <c r="G5">
        <v>0</v>
      </c>
      <c r="H5" s="17" t="s">
        <v>496</v>
      </c>
      <c r="I5" s="17"/>
      <c r="J5" s="17" t="s">
        <v>495</v>
      </c>
    </row>
    <row r="6" spans="2:11">
      <c r="B6" s="20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7">
        <v>7003</v>
      </c>
      <c r="E6" s="17">
        <v>7003</v>
      </c>
      <c r="F6" s="17"/>
      <c r="G6">
        <v>5</v>
      </c>
      <c r="H6" s="17" t="s">
        <v>560</v>
      </c>
      <c r="J6" s="17" t="s">
        <v>495</v>
      </c>
    </row>
    <row r="7" spans="2:11">
      <c r="B7" s="20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7">
        <v>7004</v>
      </c>
      <c r="E7" s="17">
        <v>7004</v>
      </c>
      <c r="F7" s="17"/>
      <c r="G7">
        <v>0</v>
      </c>
      <c r="H7" s="17" t="s">
        <v>496</v>
      </c>
      <c r="J7" s="17" t="s">
        <v>495</v>
      </c>
    </row>
    <row r="8" spans="2:11">
      <c r="B8" s="20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7">
        <v>7005</v>
      </c>
      <c r="E8" s="17">
        <v>7005</v>
      </c>
      <c r="F8" s="17">
        <v>7005</v>
      </c>
      <c r="G8">
        <v>0</v>
      </c>
      <c r="H8" s="17" t="s">
        <v>496</v>
      </c>
      <c r="J8" s="17" t="s">
        <v>495</v>
      </c>
    </row>
    <row r="9" spans="2:11">
      <c r="B9" s="20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7">
        <v>8000</v>
      </c>
      <c r="E9" s="17">
        <v>8000</v>
      </c>
      <c r="F9" s="17"/>
      <c r="G9">
        <v>4</v>
      </c>
      <c r="H9" s="17" t="s">
        <v>533</v>
      </c>
      <c r="J9" s="17" t="s">
        <v>495</v>
      </c>
    </row>
    <row r="10" spans="2:11">
      <c r="B10" s="20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7">
        <v>8001</v>
      </c>
      <c r="E10" s="17">
        <v>8001</v>
      </c>
      <c r="F10" s="17"/>
      <c r="G10">
        <v>0</v>
      </c>
      <c r="H10" s="17" t="s">
        <v>640</v>
      </c>
      <c r="J10" s="17" t="s">
        <v>495</v>
      </c>
    </row>
    <row r="11" spans="2:11">
      <c r="B11" s="20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7">
        <v>8002</v>
      </c>
      <c r="E11" s="17"/>
      <c r="F11" s="17">
        <v>8002</v>
      </c>
      <c r="G11">
        <v>0</v>
      </c>
      <c r="H11" s="17" t="s">
        <v>533</v>
      </c>
      <c r="J11" s="17" t="s">
        <v>643</v>
      </c>
      <c r="K11">
        <v>1000</v>
      </c>
    </row>
    <row r="12" spans="2:11">
      <c r="B12" s="20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7">
        <v>8003</v>
      </c>
      <c r="E12" s="17">
        <v>8003</v>
      </c>
      <c r="F12" s="17"/>
      <c r="G12">
        <v>0</v>
      </c>
      <c r="H12" s="17" t="s">
        <v>496</v>
      </c>
      <c r="J12" s="17" t="s">
        <v>495</v>
      </c>
    </row>
    <row r="13" spans="2:11">
      <c r="B13" s="20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7">
        <v>8004</v>
      </c>
      <c r="E13" s="17">
        <v>8004</v>
      </c>
      <c r="F13" s="17"/>
      <c r="G13">
        <v>0</v>
      </c>
      <c r="H13" s="17" t="s">
        <v>496</v>
      </c>
      <c r="J13" s="17" t="s">
        <v>495</v>
      </c>
    </row>
    <row r="14" spans="2:11">
      <c r="B14" s="20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7">
        <v>8005</v>
      </c>
      <c r="E14" s="17">
        <v>8005</v>
      </c>
      <c r="F14" s="17">
        <v>8005</v>
      </c>
      <c r="G14">
        <v>0</v>
      </c>
      <c r="H14" s="17" t="s">
        <v>496</v>
      </c>
      <c r="J14" s="17" t="s">
        <v>495</v>
      </c>
    </row>
    <row r="15" spans="2:11">
      <c r="B15" s="20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7">
        <v>8006</v>
      </c>
      <c r="E15" s="17"/>
      <c r="F15" s="17">
        <v>8006</v>
      </c>
      <c r="G15">
        <v>3</v>
      </c>
      <c r="H15" s="17" t="s">
        <v>512</v>
      </c>
      <c r="J15" s="17" t="s">
        <v>643</v>
      </c>
      <c r="K15">
        <v>3333</v>
      </c>
    </row>
    <row r="16" spans="2:11">
      <c r="B16" s="20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7">
        <v>9000</v>
      </c>
      <c r="E16" s="17">
        <v>9000</v>
      </c>
      <c r="F16" s="17"/>
      <c r="G16">
        <v>0</v>
      </c>
      <c r="H16" s="17" t="s">
        <v>496</v>
      </c>
      <c r="J16" s="17" t="s">
        <v>495</v>
      </c>
    </row>
    <row r="17" spans="2:11">
      <c r="B17" s="20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7">
        <v>9001</v>
      </c>
      <c r="E17" s="17">
        <v>9001</v>
      </c>
      <c r="F17" s="17"/>
      <c r="G17">
        <v>0</v>
      </c>
      <c r="H17" s="17" t="s">
        <v>566</v>
      </c>
      <c r="J17" s="17" t="s">
        <v>495</v>
      </c>
    </row>
    <row r="18" spans="2:11">
      <c r="B18" s="20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7">
        <v>9001</v>
      </c>
      <c r="E18" s="17">
        <v>9101</v>
      </c>
      <c r="F18" s="17"/>
      <c r="G18">
        <v>0</v>
      </c>
      <c r="H18" s="17" t="s">
        <v>496</v>
      </c>
      <c r="J18" s="17" t="s">
        <v>495</v>
      </c>
    </row>
    <row r="19" spans="2:11">
      <c r="B19" s="20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7">
        <v>9002</v>
      </c>
      <c r="E19" s="17">
        <v>9002</v>
      </c>
      <c r="F19" s="17">
        <v>9002</v>
      </c>
      <c r="G19">
        <v>0</v>
      </c>
      <c r="H19" s="17" t="s">
        <v>496</v>
      </c>
      <c r="J19" s="17" t="s">
        <v>495</v>
      </c>
    </row>
    <row r="20" spans="2:11">
      <c r="B20" s="20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7">
        <v>9003</v>
      </c>
      <c r="E20" s="17">
        <v>9003</v>
      </c>
      <c r="F20" s="17">
        <v>9003</v>
      </c>
      <c r="G20">
        <v>0</v>
      </c>
      <c r="H20" s="17" t="s">
        <v>496</v>
      </c>
      <c r="J20" s="17" t="s">
        <v>495</v>
      </c>
    </row>
    <row r="21" spans="2:11">
      <c r="B21" s="20" t="str">
        <f>INDEX(ItemTable[Name],MATCH(ItemEffectTable[[#This Row],[Index]],ItemTable[ItemEffectDataId],0))</f>
        <v>행성 만세</v>
      </c>
      <c r="C21" s="34" t="str">
        <f>INDEX(ItemTable[GradeType],MATCH(ItemEffectTable[[#This Row],[Index]],ItemTable[ItemEffectDataId],0))</f>
        <v>Cursed</v>
      </c>
      <c r="D21" s="17">
        <v>9004</v>
      </c>
      <c r="E21" s="17"/>
      <c r="F21" s="17">
        <v>9004</v>
      </c>
      <c r="G21">
        <v>0</v>
      </c>
      <c r="H21" s="17" t="s">
        <v>675</v>
      </c>
      <c r="J21" s="17" t="s">
        <v>495</v>
      </c>
    </row>
    <row r="22" spans="2:11">
      <c r="B22" s="20" t="str">
        <f>INDEX(ItemTable[Name],MATCH(ItemEffectTable[[#This Row],[Index]],ItemTable[ItemEffectDataId],0))</f>
        <v>행성 만세</v>
      </c>
      <c r="C22" s="34" t="str">
        <f>INDEX(ItemTable[GradeType],MATCH(ItemEffectTable[[#This Row],[Index]],ItemTable[ItemEffectDataId],0))</f>
        <v>Cursed</v>
      </c>
      <c r="D22" s="17">
        <v>9004</v>
      </c>
      <c r="E22" s="17">
        <v>9104</v>
      </c>
      <c r="F22" s="17"/>
      <c r="G22">
        <v>0</v>
      </c>
      <c r="H22" s="17" t="s">
        <v>496</v>
      </c>
      <c r="J22" s="17" t="s">
        <v>495</v>
      </c>
    </row>
    <row r="23" spans="2:11">
      <c r="B23" s="20" t="str">
        <f>INDEX(ItemTable[Name],MATCH(ItemEffectTable[[#This Row],[Index]],ItemTable[ItemEffectDataId],0))</f>
        <v>회피 캣</v>
      </c>
      <c r="C23" s="4" t="str">
        <f>INDEX(ItemTable[GradeType],MATCH(ItemEffectTable[[#This Row],[Index]],ItemTable[ItemEffectDataId],0))</f>
        <v>Cursed</v>
      </c>
      <c r="D23" s="17">
        <v>9005</v>
      </c>
      <c r="E23" s="17"/>
      <c r="F23" s="17">
        <v>9005</v>
      </c>
      <c r="G23">
        <v>0</v>
      </c>
      <c r="H23" s="17" t="s">
        <v>600</v>
      </c>
      <c r="J23" s="17" t="s">
        <v>495</v>
      </c>
    </row>
    <row r="24" spans="2:11">
      <c r="B24" s="20" t="str">
        <f>INDEX(ItemTable[Name],MATCH(ItemEffectTable[[#This Row],[Index]],ItemTable[ItemEffectDataId],0))</f>
        <v>회피 캣</v>
      </c>
      <c r="C24" s="34" t="str">
        <f>INDEX(ItemTable[GradeType],MATCH(ItemEffectTable[[#This Row],[Index]],ItemTable[ItemEffectDataId],0))</f>
        <v>Cursed</v>
      </c>
      <c r="D24" s="17">
        <v>9005</v>
      </c>
      <c r="E24" s="17">
        <v>9105</v>
      </c>
      <c r="F24" s="17"/>
      <c r="G24">
        <v>0</v>
      </c>
      <c r="H24" s="17" t="s">
        <v>496</v>
      </c>
      <c r="J24" s="17" t="s">
        <v>495</v>
      </c>
    </row>
    <row r="25" spans="2:11">
      <c r="B25" s="20" t="str">
        <f>INDEX(ItemTable[Name],MATCH(ItemEffectTable[[#This Row],[Index]],ItemTable[ItemEffectDataId],0))</f>
        <v>어른의 카드</v>
      </c>
      <c r="C25" s="34" t="str">
        <f>INDEX(ItemTable[GradeType],MATCH(ItemEffectTable[[#This Row],[Index]],ItemTable[ItemEffectDataId],0))</f>
        <v>Cursed</v>
      </c>
      <c r="D25" s="46">
        <v>9006</v>
      </c>
      <c r="E25" s="46">
        <v>9106</v>
      </c>
      <c r="F25" s="17"/>
      <c r="G25">
        <v>0</v>
      </c>
      <c r="H25" s="46" t="s">
        <v>685</v>
      </c>
      <c r="I25" s="46" t="s">
        <v>687</v>
      </c>
      <c r="J25" s="46" t="s">
        <v>686</v>
      </c>
      <c r="K25" s="46">
        <v>0</v>
      </c>
    </row>
    <row r="26" spans="2:11">
      <c r="B26" s="58" t="str">
        <f>INDEX(ItemTable[Name],MATCH(ItemEffectTable[[#This Row],[Index]],ItemTable[ItemEffectDataId],0))</f>
        <v>어른의 카드</v>
      </c>
      <c r="C26" s="59" t="str">
        <f>INDEX(ItemTable[GradeType],MATCH(ItemEffectTable[[#This Row],[Index]],ItemTable[ItemEffectDataId],0))</f>
        <v>Cursed</v>
      </c>
      <c r="D26" s="46">
        <v>9006</v>
      </c>
      <c r="E26" s="46"/>
      <c r="F26" s="46">
        <v>9006</v>
      </c>
      <c r="G26" s="46">
        <v>0</v>
      </c>
      <c r="H26" s="46" t="s">
        <v>512</v>
      </c>
      <c r="I26" s="46"/>
      <c r="J26" s="46"/>
      <c r="K26" s="46"/>
    </row>
    <row r="27" spans="2:11">
      <c r="B27" s="20" t="str">
        <f>INDEX(ItemTable[Name],MATCH(ItemEffectTable[[#This Row],[Index]],ItemTable[ItemEffectDataId],0))</f>
        <v>인피니티 도넛</v>
      </c>
      <c r="C27" s="34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7" t="s">
        <v>502</v>
      </c>
      <c r="I27" s="17"/>
      <c r="J27" s="17" t="s">
        <v>495</v>
      </c>
    </row>
    <row r="28" spans="2:11">
      <c r="B28" s="20" t="str">
        <f>INDEX(ItemTable[Name],MATCH(ItemEffectTable[[#This Row],[Index]],ItemTable[ItemEffectDataId],0))</f>
        <v>초소형 블랙홀</v>
      </c>
      <c r="C28" s="34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7" t="s">
        <v>502</v>
      </c>
      <c r="I28" s="17" t="s">
        <v>508</v>
      </c>
      <c r="J28" s="17" t="s">
        <v>507</v>
      </c>
      <c r="K28" s="12">
        <v>6</v>
      </c>
    </row>
    <row r="29" spans="2:11">
      <c r="B29" s="20" t="str">
        <f>INDEX(ItemTable[Name],MATCH(ItemEffectTable[[#This Row],[Index]],ItemTable[ItemEffectDataId],0))</f>
        <v>신경 부스터</v>
      </c>
      <c r="C29" s="34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16</v>
      </c>
      <c r="H29" s="17" t="s">
        <v>502</v>
      </c>
      <c r="J29" s="17" t="s">
        <v>495</v>
      </c>
    </row>
    <row r="30" spans="2:11">
      <c r="B30" s="20" t="str">
        <f>INDEX(ItemTable[Name],MATCH(ItemEffectTable[[#This Row],[Index]],ItemTable[ItemEffectDataId],0))</f>
        <v>미사일 백팩</v>
      </c>
      <c r="C30" s="34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6</v>
      </c>
      <c r="H30" s="17" t="s">
        <v>502</v>
      </c>
      <c r="J30" s="17" t="s">
        <v>495</v>
      </c>
    </row>
    <row r="31" spans="2:11">
      <c r="B31" s="20" t="str">
        <f>INDEX(ItemTable[Name],MATCH(ItemEffectTable[[#This Row],[Index]],ItemTable[ItemEffectDataId],0))</f>
        <v>엑스칼리배트</v>
      </c>
      <c r="C31" s="34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7" t="s">
        <v>502</v>
      </c>
      <c r="J31" s="17" t="s">
        <v>495</v>
      </c>
    </row>
    <row r="32" spans="2:11">
      <c r="B32" s="20" t="str">
        <f>INDEX(ItemTable[Name],MATCH(ItemEffectTable[[#This Row],[Index]],ItemTable[ItemEffectDataId],0))</f>
        <v>여의배트</v>
      </c>
      <c r="C32" s="34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12</v>
      </c>
      <c r="H32" s="17" t="s">
        <v>502</v>
      </c>
      <c r="J32" s="17" t="s">
        <v>495</v>
      </c>
    </row>
    <row r="33" spans="7:7">
      <c r="G33" s="12"/>
    </row>
    <row r="34" spans="7:7">
      <c r="G34" s="12"/>
    </row>
  </sheetData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L31"/>
  <sheetViews>
    <sheetView tabSelected="1" zoomScaleNormal="100" zoomScaleSheetLayoutView="100" workbookViewId="0">
      <selection activeCell="E39" sqref="E39"/>
    </sheetView>
  </sheetViews>
  <sheetFormatPr baseColWidth="10" defaultColWidth="8.83203125" defaultRowHeight="17"/>
  <cols>
    <col min="2" max="2" width="17.1640625" customWidth="1"/>
    <col min="3" max="3" width="8.6640625" customWidth="1"/>
    <col min="4" max="4" width="21.1640625" bestFit="1" customWidth="1"/>
    <col min="5" max="5" width="23" customWidth="1"/>
    <col min="6" max="6" width="22" customWidth="1"/>
    <col min="7" max="7" width="18.33203125" customWidth="1"/>
    <col min="8" max="8" width="36.5" customWidth="1"/>
    <col min="9" max="9" width="18.33203125" customWidth="1"/>
  </cols>
  <sheetData>
    <row r="1" spans="2:12">
      <c r="B1" t="s">
        <v>44</v>
      </c>
      <c r="C1" t="s">
        <v>44</v>
      </c>
      <c r="D1" t="s">
        <v>122</v>
      </c>
      <c r="E1" s="17" t="s">
        <v>489</v>
      </c>
      <c r="F1" s="17" t="s">
        <v>491</v>
      </c>
      <c r="G1" s="17" t="s">
        <v>484</v>
      </c>
      <c r="H1" s="17"/>
      <c r="I1" s="17"/>
    </row>
    <row r="2" spans="2:12">
      <c r="B2" s="41" t="s">
        <v>644</v>
      </c>
      <c r="C2" t="s">
        <v>73</v>
      </c>
      <c r="D2" s="17" t="s">
        <v>480</v>
      </c>
      <c r="E2" s="17" t="s">
        <v>490</v>
      </c>
      <c r="F2" s="1" t="s">
        <v>13</v>
      </c>
      <c r="G2" s="32" t="s">
        <v>492</v>
      </c>
      <c r="H2" s="38" t="s">
        <v>518</v>
      </c>
      <c r="I2" s="32" t="s">
        <v>526</v>
      </c>
    </row>
    <row r="3" spans="2:12">
      <c r="B3" s="20" t="str">
        <f>IFERROR(INDEX(ItemEffectTable['#이름값],MATCH(ItemEffectTable23[[#This Row],[Index]],ItemEffectTable[Index],0)),INDEX(ItemEffectTable['#이름값],MATCH(ItemEffectTable23[[#This Row],[Index]],ItemEffectTable[ApplyBuffId],0)))</f>
        <v>메탈유니콘 키링</v>
      </c>
      <c r="C3">
        <v>7000</v>
      </c>
      <c r="D3" s="17" t="s">
        <v>184</v>
      </c>
      <c r="E3" s="17">
        <v>1</v>
      </c>
      <c r="F3" s="12" t="s">
        <v>602</v>
      </c>
      <c r="G3" s="17">
        <v>-1</v>
      </c>
      <c r="H3" s="19" t="s">
        <v>603</v>
      </c>
      <c r="I3" s="19"/>
    </row>
    <row r="4" spans="2:12" ht="18">
      <c r="B4" s="19" t="str">
        <f>IFERROR(INDEX(ItemEffectTable['#이름값],MATCH(ItemEffectTable23[[#This Row],[Index]],ItemEffectTable[Index],0)),INDEX(ItemEffectTable['#이름값],MATCH(ItemEffectTable23[[#This Row],[Index]],ItemEffectTable[ApplyBuffId],0)))</f>
        <v>챔피언 모자</v>
      </c>
      <c r="C4" s="17">
        <v>7001</v>
      </c>
      <c r="D4" s="9" t="s">
        <v>309</v>
      </c>
      <c r="E4" s="9">
        <v>1.2</v>
      </c>
      <c r="F4" t="s">
        <v>337</v>
      </c>
      <c r="G4">
        <v>-1</v>
      </c>
      <c r="H4" s="15" t="s">
        <v>524</v>
      </c>
      <c r="I4" s="15"/>
    </row>
    <row r="5" spans="2:12">
      <c r="B5" s="19" t="str">
        <f>IFERROR(INDEX(ItemEffectTable['#이름값],MATCH(ItemEffectTable23[[#This Row],[Index]],ItemEffectTable[Index],0)),INDEX(ItemEffectTable['#이름값],MATCH(ItemEffectTable23[[#This Row],[Index]],ItemEffectTable[ApplyBuffId],0)))</f>
        <v>쿨 - 도그</v>
      </c>
      <c r="C5" s="17">
        <v>7002</v>
      </c>
      <c r="D5" s="17" t="s">
        <v>504</v>
      </c>
      <c r="E5" s="9">
        <v>0.5</v>
      </c>
      <c r="F5" t="s">
        <v>337</v>
      </c>
      <c r="G5">
        <v>-1</v>
      </c>
      <c r="H5" s="15" t="s">
        <v>610</v>
      </c>
      <c r="I5" s="15"/>
    </row>
    <row r="6" spans="2:12" ht="18">
      <c r="B6" s="18" t="str">
        <f>IFERROR(INDEX(ItemEffectTable['#이름값],MATCH(ItemEffectTable23[[#This Row],[Index]],ItemEffectTable[Index],0)),INDEX(ItemEffectTable['#이름값],MATCH(ItemEffectTable23[[#This Row],[Index]],ItemEffectTable[ApplyBuffId],0)))</f>
        <v>QT 파우더</v>
      </c>
      <c r="C6" s="25">
        <v>7003</v>
      </c>
      <c r="D6" s="42" t="s">
        <v>559</v>
      </c>
      <c r="E6" s="25">
        <v>0.2</v>
      </c>
      <c r="F6" t="s">
        <v>497</v>
      </c>
      <c r="G6" s="25">
        <v>5</v>
      </c>
      <c r="H6" s="18" t="s">
        <v>598</v>
      </c>
      <c r="I6" s="15"/>
    </row>
    <row r="7" spans="2:12" ht="18">
      <c r="B7" s="19" t="str">
        <f>IFERROR(INDEX(ItemEffectTable['#이름값],MATCH(ItemEffectTable23[[#This Row],[Index]],ItemEffectTable[Index],0)),INDEX(ItemEffectTable['#이름값],MATCH(ItemEffectTable23[[#This Row],[Index]],ItemEffectTable[ApplyBuffId],0)))</f>
        <v>적토목마</v>
      </c>
      <c r="C7" s="17">
        <v>7004</v>
      </c>
      <c r="D7" s="9" t="s">
        <v>213</v>
      </c>
      <c r="E7">
        <v>0.7</v>
      </c>
      <c r="F7" t="s">
        <v>337</v>
      </c>
      <c r="G7">
        <v>-1</v>
      </c>
      <c r="H7" s="15" t="s">
        <v>523</v>
      </c>
      <c r="I7" s="15"/>
    </row>
    <row r="8" spans="2:12" ht="18">
      <c r="B8" s="19" t="str">
        <f>IFERROR(INDEX(ItemEffectTable['#이름값],MATCH(ItemEffectTable23[[#This Row],[Index]],ItemEffectTable[Index],0)),INDEX(ItemEffectTable['#이름값],MATCH(ItemEffectTable23[[#This Row],[Index]],ItemEffectTable[ApplyBuffId],0)))</f>
        <v>삼각김곰</v>
      </c>
      <c r="C8" s="17">
        <v>7005</v>
      </c>
      <c r="D8" s="9" t="s">
        <v>53</v>
      </c>
      <c r="E8">
        <v>25</v>
      </c>
      <c r="F8" t="s">
        <v>497</v>
      </c>
      <c r="G8">
        <v>-1</v>
      </c>
      <c r="H8" s="15" t="s">
        <v>525</v>
      </c>
      <c r="I8" s="15"/>
    </row>
    <row r="9" spans="2:12" ht="18">
      <c r="B9" s="18" t="str">
        <f>IFERROR(INDEX(ItemEffectTable['#이름값],MATCH(ItemEffectTable23[[#This Row],[Index]],ItemEffectTable[Index],0)),INDEX(ItemEffectTable['#이름값],MATCH(ItemEffectTable23[[#This Row],[Index]],ItemEffectTable[ApplyBuffId],0)))</f>
        <v>데빌불</v>
      </c>
      <c r="C9" s="25">
        <v>8000</v>
      </c>
      <c r="D9" s="42" t="s">
        <v>310</v>
      </c>
      <c r="E9" s="25">
        <v>0.4</v>
      </c>
      <c r="F9" s="25" t="s">
        <v>497</v>
      </c>
      <c r="G9" s="25">
        <v>4</v>
      </c>
      <c r="H9" s="18" t="s">
        <v>587</v>
      </c>
      <c r="I9" s="40"/>
    </row>
    <row r="10" spans="2:12" ht="18">
      <c r="B10" s="19" t="str">
        <f>IFERROR(INDEX(ItemEffectTable['#이름값],MATCH(ItemEffectTable23[[#This Row],[Index]],ItemEffectTable[Index],0)),INDEX(ItemEffectTable['#이름값],MATCH(ItemEffectTable23[[#This Row],[Index]],ItemEffectTable[ApplyBuffId],0)))</f>
        <v>대인 지뢰</v>
      </c>
      <c r="C10" s="17">
        <v>8001</v>
      </c>
      <c r="D10" s="9" t="s">
        <v>310</v>
      </c>
      <c r="E10" s="12" t="s">
        <v>588</v>
      </c>
      <c r="F10" t="s">
        <v>497</v>
      </c>
      <c r="G10">
        <v>-1</v>
      </c>
      <c r="H10" s="15" t="s">
        <v>527</v>
      </c>
      <c r="I10" s="20"/>
      <c r="L10" s="12"/>
    </row>
    <row r="11" spans="2:12">
      <c r="B11" s="19" t="str">
        <f>IFERROR(INDEX(ItemEffectTable['#이름값],MATCH(ItemEffectTable23[[#This Row],[Index]],ItemEffectTable[Index],0)),INDEX(ItemEffectTable['#이름값],MATCH(ItemEffectTable23[[#This Row],[Index]],ItemEffectTable[ApplyBuffId],0)))</f>
        <v>사나운 돼지저금통</v>
      </c>
      <c r="C11" s="17">
        <v>8003</v>
      </c>
      <c r="D11" t="s">
        <v>272</v>
      </c>
      <c r="E11">
        <v>0.5</v>
      </c>
      <c r="F11" t="s">
        <v>497</v>
      </c>
      <c r="G11">
        <v>-1</v>
      </c>
      <c r="H11" s="15" t="s">
        <v>528</v>
      </c>
      <c r="I11" s="20"/>
    </row>
    <row r="12" spans="2:12" ht="18">
      <c r="B12" s="19" t="str">
        <f>IFERROR(INDEX(ItemEffectTable['#이름값],MATCH(ItemEffectTable23[[#This Row],[Index]],ItemEffectTable[Index],0)),INDEX(ItemEffectTable['#이름값],MATCH(ItemEffectTable23[[#This Row],[Index]],ItemEffectTable[ApplyBuffId],0)))</f>
        <v>성배 속 무언가</v>
      </c>
      <c r="C12" s="17">
        <v>8004</v>
      </c>
      <c r="D12" s="43" t="s">
        <v>596</v>
      </c>
      <c r="E12">
        <v>3</v>
      </c>
      <c r="F12" t="s">
        <v>497</v>
      </c>
      <c r="G12">
        <v>-1</v>
      </c>
      <c r="H12" s="15" t="s">
        <v>562</v>
      </c>
      <c r="I12" s="20"/>
    </row>
    <row r="13" spans="2:12" ht="18">
      <c r="B13" s="19" t="str">
        <f>IFERROR(INDEX(ItemEffectTable['#이름값],MATCH(ItemEffectTable23[[#This Row],[Index]],ItemEffectTable[Index],0)),INDEX(ItemEffectTable['#이름값],MATCH(ItemEffectTable23[[#This Row],[Index]],ItemEffectTable[ApplyBuffId],0)))</f>
        <v>이상한 사탕</v>
      </c>
      <c r="C13" s="17">
        <v>8005</v>
      </c>
      <c r="D13" s="43" t="s">
        <v>608</v>
      </c>
      <c r="E13">
        <v>50</v>
      </c>
      <c r="F13" t="s">
        <v>497</v>
      </c>
      <c r="G13">
        <v>-1</v>
      </c>
      <c r="H13" s="15" t="s">
        <v>609</v>
      </c>
      <c r="I13" s="20"/>
    </row>
    <row r="14" spans="2:12" ht="18">
      <c r="B14" s="18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4" s="25">
        <v>9000</v>
      </c>
      <c r="D14" s="42" t="s">
        <v>213</v>
      </c>
      <c r="E14" s="25">
        <v>1.2</v>
      </c>
      <c r="F14" s="25" t="s">
        <v>337</v>
      </c>
      <c r="G14" s="25">
        <v>-1</v>
      </c>
      <c r="H14" s="18" t="s">
        <v>611</v>
      </c>
      <c r="I14" s="20"/>
    </row>
    <row r="15" spans="2:12" ht="18">
      <c r="B15" s="18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5" s="25">
        <v>9000</v>
      </c>
      <c r="D15" s="42" t="s">
        <v>329</v>
      </c>
      <c r="E15" s="25">
        <v>0</v>
      </c>
      <c r="F15" s="25" t="s">
        <v>337</v>
      </c>
      <c r="G15" s="25">
        <v>-1</v>
      </c>
      <c r="H15" s="18" t="s">
        <v>564</v>
      </c>
      <c r="I15" s="20"/>
    </row>
    <row r="16" spans="2:12" ht="18">
      <c r="B16" s="18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6" s="25">
        <v>9001</v>
      </c>
      <c r="D16" s="42" t="s">
        <v>567</v>
      </c>
      <c r="E16" s="25">
        <v>0.85</v>
      </c>
      <c r="F16" s="25" t="s">
        <v>337</v>
      </c>
      <c r="G16" s="25">
        <v>4</v>
      </c>
      <c r="H16" s="18" t="s">
        <v>594</v>
      </c>
      <c r="I16" s="20"/>
    </row>
    <row r="17" spans="2:9" ht="18">
      <c r="B17" s="18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7" s="25">
        <v>9101</v>
      </c>
      <c r="D17" s="42" t="s">
        <v>567</v>
      </c>
      <c r="E17" s="25">
        <v>1.3</v>
      </c>
      <c r="F17" s="25" t="s">
        <v>337</v>
      </c>
      <c r="G17" s="25">
        <v>-1</v>
      </c>
      <c r="H17" s="18" t="s">
        <v>565</v>
      </c>
      <c r="I17" s="20"/>
    </row>
    <row r="18" spans="2:9">
      <c r="B18" s="19" t="str">
        <f>IFERROR(INDEX(ItemEffectTable['#이름값],MATCH(ItemEffectTable23[[#This Row],[Index]],ItemEffectTable[Index],0)),INDEX(ItemEffectTable['#이름값],MATCH(ItemEffectTable23[[#This Row],[Index]],ItemEffectTable[ApplyBuffId],0)))</f>
        <v>청개굴 버섯구이</v>
      </c>
      <c r="C18" s="17">
        <v>9002</v>
      </c>
      <c r="D18" t="s">
        <v>310</v>
      </c>
      <c r="E18">
        <v>1</v>
      </c>
      <c r="F18" t="s">
        <v>497</v>
      </c>
      <c r="G18">
        <v>-1</v>
      </c>
      <c r="H18" s="15" t="s">
        <v>529</v>
      </c>
      <c r="I18" s="20"/>
    </row>
    <row r="19" spans="2:9" ht="18">
      <c r="B19" s="19" t="str">
        <f>IFERROR(INDEX(ItemEffectTable['#이름값],MATCH(ItemEffectTable23[[#This Row],[Index]],ItemEffectTable[Index],0)),INDEX(ItemEffectTable['#이름값],MATCH(ItemEffectTable23[[#This Row],[Index]],ItemEffectTable[ApplyBuffId],0)))</f>
        <v>누군가의 일기장</v>
      </c>
      <c r="C19" s="17">
        <v>9003</v>
      </c>
      <c r="D19" s="43" t="s">
        <v>559</v>
      </c>
      <c r="E19">
        <v>0.6</v>
      </c>
      <c r="F19" t="s">
        <v>497</v>
      </c>
      <c r="G19">
        <v>-1</v>
      </c>
      <c r="H19" s="15" t="s">
        <v>568</v>
      </c>
      <c r="I19" s="20"/>
    </row>
    <row r="20" spans="2:9">
      <c r="B20" s="19" t="str">
        <f>IFERROR(INDEX(ItemEffectTable['#이름값],MATCH(ItemEffectTable23[[#This Row],[Index]],ItemEffectTable[Index],0)),INDEX(ItemEffectTable['#이름값],MATCH(ItemEffectTable23[[#This Row],[Index]],ItemEffectTable[ApplyBuffId],0)))</f>
        <v>행성 만세</v>
      </c>
      <c r="C20" s="17">
        <v>9104</v>
      </c>
      <c r="D20" s="12" t="s">
        <v>652</v>
      </c>
      <c r="E20">
        <v>0.7</v>
      </c>
      <c r="F20" s="12" t="s">
        <v>593</v>
      </c>
      <c r="G20">
        <v>-1</v>
      </c>
      <c r="H20" s="15" t="s">
        <v>653</v>
      </c>
      <c r="I20" s="20"/>
    </row>
    <row r="21" spans="2:9">
      <c r="B21" s="48" t="str">
        <f>IFERROR(INDEX(ItemEffectTable['#이름값],MATCH(ItemEffectTable23[[#This Row],[Index]],ItemEffectTable[Index],0)),INDEX(ItemEffectTable['#이름값],MATCH(ItemEffectTable23[[#This Row],[Index]],ItemEffectTable[ApplyBuffId],0)))</f>
        <v>회피 캣</v>
      </c>
      <c r="C21" s="17">
        <v>9105</v>
      </c>
      <c r="D21" s="12" t="s">
        <v>606</v>
      </c>
      <c r="E21">
        <v>1.5</v>
      </c>
      <c r="F21" s="12" t="s">
        <v>593</v>
      </c>
      <c r="G21">
        <v>-1</v>
      </c>
      <c r="H21" s="15" t="s">
        <v>656</v>
      </c>
      <c r="I21" s="20"/>
    </row>
    <row r="22" spans="2:9" ht="18">
      <c r="B22" s="48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2" s="17">
        <v>9106</v>
      </c>
      <c r="D22" s="9" t="s">
        <v>309</v>
      </c>
      <c r="E22">
        <v>1.5</v>
      </c>
      <c r="F22" t="s">
        <v>337</v>
      </c>
      <c r="G22">
        <v>-1</v>
      </c>
      <c r="H22" s="15" t="s">
        <v>664</v>
      </c>
      <c r="I22" s="20"/>
    </row>
    <row r="23" spans="2:9" ht="18">
      <c r="B23" s="48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3" s="17">
        <v>9106</v>
      </c>
      <c r="D23" s="9" t="s">
        <v>213</v>
      </c>
      <c r="E23">
        <v>0.6</v>
      </c>
      <c r="F23" t="s">
        <v>337</v>
      </c>
      <c r="G23">
        <v>-1</v>
      </c>
      <c r="H23" s="15" t="s">
        <v>665</v>
      </c>
      <c r="I23" s="20"/>
    </row>
    <row r="24" spans="2:9">
      <c r="B24" s="20" t="str">
        <f>IFERROR(INDEX(ItemEffectTable['#이름값],MATCH(ItemEffectTable23[[#This Row],[Index]],ItemEffectTable[Index],0)),INDEX(ItemEffectTable['#이름값],MATCH(ItemEffectTable23[[#This Row],[Index]],ItemEffectTable[ApplyBuffId],0)))</f>
        <v>신경 부스터</v>
      </c>
      <c r="C24">
        <v>10002</v>
      </c>
      <c r="D24" t="s">
        <v>2</v>
      </c>
      <c r="E24">
        <v>2.5</v>
      </c>
      <c r="F24" t="s">
        <v>337</v>
      </c>
      <c r="G24">
        <v>5</v>
      </c>
      <c r="H24" s="20"/>
      <c r="I24" s="20"/>
    </row>
    <row r="25" spans="2:9">
      <c r="B25" s="20" t="str">
        <f>IFERROR(INDEX(ItemEffectTable['#이름값],MATCH(ItemEffectTable23[[#This Row],[Index]],ItemEffectTable[Index],0)),INDEX(ItemEffectTable['#이름값],MATCH(ItemEffectTable23[[#This Row],[Index]],ItemEffectTable[ApplyBuffId],0)))</f>
        <v>신경 부스터</v>
      </c>
      <c r="C25">
        <v>10002</v>
      </c>
      <c r="D25" t="s">
        <v>26</v>
      </c>
      <c r="E25">
        <v>0.8</v>
      </c>
      <c r="F25" t="s">
        <v>337</v>
      </c>
      <c r="G25">
        <v>5</v>
      </c>
      <c r="H25" s="20"/>
      <c r="I25" s="20"/>
    </row>
    <row r="26" spans="2:9">
      <c r="B26" s="20" t="str">
        <f>IFERROR(INDEX(ItemEffectTable['#이름값],MATCH(ItemEffectTable23[[#This Row],[Index]],ItemEffectTable[Index],0)),INDEX(ItemEffectTable['#이름값],MATCH(ItemEffectTable23[[#This Row],[Index]],ItemEffectTable[ApplyBuffId],0)))</f>
        <v>신경 부스터</v>
      </c>
      <c r="C26">
        <v>10002</v>
      </c>
      <c r="D26" t="s">
        <v>222</v>
      </c>
      <c r="E26">
        <v>3</v>
      </c>
      <c r="F26" t="s">
        <v>337</v>
      </c>
      <c r="G26">
        <v>5</v>
      </c>
      <c r="H26" s="20"/>
      <c r="I26" s="20"/>
    </row>
    <row r="27" spans="2:9">
      <c r="B27" s="20" t="str">
        <f>IFERROR(INDEX(ItemEffectTable['#이름값],MATCH(ItemEffectTable23[[#This Row],[Index]],ItemEffectTable[Index],0)),INDEX(ItemEffectTable['#이름값],MATCH(ItemEffectTable23[[#This Row],[Index]],ItemEffectTable[ApplyBuffId],0)))</f>
        <v>신경 부스터</v>
      </c>
      <c r="C27">
        <v>10002</v>
      </c>
      <c r="D27" t="s">
        <v>213</v>
      </c>
      <c r="E27">
        <v>0.8</v>
      </c>
      <c r="F27" t="s">
        <v>337</v>
      </c>
      <c r="G27">
        <v>5</v>
      </c>
      <c r="H27" s="20"/>
      <c r="I27" s="20"/>
    </row>
    <row r="28" spans="2:9">
      <c r="B28" s="34" t="str">
        <f>IFERROR(INDEX(ItemEffectTable['#이름값],MATCH(ItemEffectTable23[[#This Row],[Index]],ItemEffectTable[Index],0)),INDEX(ItemEffectTable['#이름값],MATCH(ItemEffectTable23[[#This Row],[Index]],ItemEffectTable[ApplyBuffId],0)))</f>
        <v>신경 부스터</v>
      </c>
      <c r="C28">
        <v>10002</v>
      </c>
      <c r="D28" t="s">
        <v>27</v>
      </c>
      <c r="E28">
        <v>2.5</v>
      </c>
      <c r="F28" t="s">
        <v>337</v>
      </c>
      <c r="G28">
        <v>5</v>
      </c>
      <c r="H28" s="20"/>
      <c r="I28" s="20"/>
    </row>
    <row r="29" spans="2:9">
      <c r="B29" s="4" t="str">
        <f>IFERROR(INDEX(ItemEffectTable['#이름값],MATCH(ItemEffectTable23[[#This Row],[Index]],ItemEffectTable[Index],0)),INDEX(ItemEffectTable['#이름값],MATCH(ItemEffectTable23[[#This Row],[Index]],ItemEffectTable[ApplyBuffId],0)))</f>
        <v>엑스칼리배트</v>
      </c>
      <c r="C29">
        <v>10004</v>
      </c>
      <c r="D29" t="s">
        <v>2</v>
      </c>
      <c r="E29">
        <v>0</v>
      </c>
      <c r="F29" t="s">
        <v>337</v>
      </c>
      <c r="G29">
        <v>1.5</v>
      </c>
      <c r="H29" s="15" t="s">
        <v>669</v>
      </c>
      <c r="I29" s="20"/>
    </row>
    <row r="30" spans="2:9">
      <c r="B30" s="4" t="str">
        <f>IFERROR(INDEX(ItemEffectTable['#이름값],MATCH(ItemEffectTable23[[#This Row],[Index]],ItemEffectTable[Index],0)),INDEX(ItemEffectTable['#이름값],MATCH(ItemEffectTable23[[#This Row],[Index]],ItemEffectTable[ApplyBuffId],0)))</f>
        <v>여의배트</v>
      </c>
      <c r="C30">
        <v>10005</v>
      </c>
      <c r="D30" s="12" t="s">
        <v>679</v>
      </c>
      <c r="E30">
        <v>3</v>
      </c>
      <c r="F30" t="s">
        <v>337</v>
      </c>
      <c r="G30">
        <v>6</v>
      </c>
      <c r="H30" s="15" t="s">
        <v>680</v>
      </c>
      <c r="I30" s="20"/>
    </row>
    <row r="31" spans="2:9">
      <c r="B31" s="4" t="str">
        <f>IFERROR(INDEX(ItemEffectTable['#이름값],MATCH(ItemEffectTable23[[#This Row],[Index]],ItemEffectTable[Index],0)),INDEX(ItemEffectTable['#이름값],MATCH(ItemEffectTable23[[#This Row],[Index]],ItemEffectTable[ApplyBuffId],0)))</f>
        <v>여의배트</v>
      </c>
      <c r="C31">
        <v>10005</v>
      </c>
      <c r="D31" s="12" t="s">
        <v>682</v>
      </c>
      <c r="E31">
        <v>0</v>
      </c>
      <c r="F31" t="s">
        <v>497</v>
      </c>
      <c r="G31">
        <v>6</v>
      </c>
      <c r="H31" s="15" t="s">
        <v>683</v>
      </c>
      <c r="I31" s="20"/>
    </row>
  </sheetData>
  <phoneticPr fontId="1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L16"/>
  <sheetViews>
    <sheetView zoomScaleNormal="100" zoomScaleSheetLayoutView="100" workbookViewId="0">
      <selection activeCell="D27" sqref="D27"/>
    </sheetView>
  </sheetViews>
  <sheetFormatPr baseColWidth="10" defaultColWidth="8.83203125" defaultRowHeight="17"/>
  <cols>
    <col min="1" max="1" width="8.83203125" style="54"/>
    <col min="2" max="2" width="8.6640625" bestFit="1" customWidth="1"/>
    <col min="3" max="3" width="14.6640625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  <col min="12" max="12" width="22.33203125" customWidth="1"/>
  </cols>
  <sheetData>
    <row r="1" spans="1:12">
      <c r="B1" t="s">
        <v>44</v>
      </c>
      <c r="D1" t="s">
        <v>122</v>
      </c>
      <c r="E1" s="17" t="s">
        <v>475</v>
      </c>
      <c r="F1" s="17"/>
      <c r="G1" s="17" t="s">
        <v>484</v>
      </c>
      <c r="H1" s="17"/>
      <c r="I1" s="17" t="s">
        <v>484</v>
      </c>
      <c r="J1" s="17"/>
      <c r="K1" s="17" t="s">
        <v>484</v>
      </c>
    </row>
    <row r="2" spans="1:12">
      <c r="B2" t="s">
        <v>73</v>
      </c>
      <c r="C2" s="41" t="s">
        <v>536</v>
      </c>
      <c r="D2" s="17" t="s">
        <v>505</v>
      </c>
      <c r="E2" s="17" t="s">
        <v>481</v>
      </c>
      <c r="F2" s="38" t="s">
        <v>519</v>
      </c>
      <c r="G2" s="32" t="s">
        <v>482</v>
      </c>
      <c r="H2" s="38" t="s">
        <v>520</v>
      </c>
      <c r="I2" s="32" t="s">
        <v>483</v>
      </c>
      <c r="J2" s="38" t="s">
        <v>521</v>
      </c>
      <c r="K2" s="32" t="s">
        <v>543</v>
      </c>
      <c r="L2" s="38" t="s">
        <v>542</v>
      </c>
    </row>
    <row r="3" spans="1:12">
      <c r="B3" s="17">
        <v>7005</v>
      </c>
      <c r="C3" s="19" t="str">
        <f>IFERROR(INDEX(ItemEffectTable['#이름값],MATCH(ItemEffectTable2324[[#This Row],[Index]],ItemEffectTable[Index],0)),INDEX(ItemEffectTable['#이름값],MATCH(ItemEffectTable2324[[#This Row],[Index]],ItemEffectTable[ApplyBuffId],0)))</f>
        <v>삼각김곰</v>
      </c>
      <c r="D3" s="17" t="s">
        <v>638</v>
      </c>
      <c r="E3">
        <v>25</v>
      </c>
      <c r="F3" s="15"/>
      <c r="H3" s="20"/>
      <c r="J3" s="20"/>
      <c r="L3" s="20"/>
    </row>
    <row r="4" spans="1:12">
      <c r="B4" s="17">
        <v>8002</v>
      </c>
      <c r="C4" s="19" t="str">
        <f>IFERROR(INDEX(ItemEffectTable['#이름값],MATCH(ItemEffectTable2324[[#This Row],[Index]],ItemEffectTable[Index],0)),INDEX(ItemEffectTable['#이름값],MATCH(ItemEffectTable2324[[#This Row],[Index]],ItemEffectTable[ApplyBuffId],0)))</f>
        <v>돌가면</v>
      </c>
      <c r="D4" s="17" t="s">
        <v>638</v>
      </c>
      <c r="E4">
        <v>25</v>
      </c>
      <c r="F4" s="15"/>
      <c r="H4" s="20"/>
      <c r="J4" s="20"/>
      <c r="L4" s="20"/>
    </row>
    <row r="5" spans="1:12">
      <c r="B5" s="17">
        <v>8005</v>
      </c>
      <c r="C5" s="19" t="str">
        <f>IFERROR(INDEX(ItemEffectTable['#이름값],MATCH(ItemEffectTable2324[[#This Row],[Index]],ItemEffectTable[Index],0)),INDEX(ItemEffectTable['#이름값],MATCH(ItemEffectTable2324[[#This Row],[Index]],ItemEffectTable[ApplyBuffId],0)))</f>
        <v>이상한 사탕</v>
      </c>
      <c r="D5" s="17" t="s">
        <v>638</v>
      </c>
      <c r="E5">
        <v>50</v>
      </c>
      <c r="F5" s="15"/>
      <c r="H5" s="20"/>
      <c r="J5" s="20"/>
      <c r="L5" s="20"/>
    </row>
    <row r="6" spans="1:12">
      <c r="B6" s="17">
        <v>8006</v>
      </c>
      <c r="C6" s="19" t="str">
        <f>IFERROR(INDEX(ItemEffectTable['#이름값],MATCH(ItemEffectTable2324[[#This Row],[Index]],ItemEffectTable[Index],0)),INDEX(ItemEffectTable['#이름값],MATCH(ItemEffectTable2324[[#This Row],[Index]],ItemEffectTable[ApplyBuffId],0)))</f>
        <v>투수 케르베로스</v>
      </c>
      <c r="D6" s="17" t="s">
        <v>513</v>
      </c>
      <c r="E6">
        <v>800</v>
      </c>
      <c r="F6" s="15"/>
      <c r="G6">
        <v>1</v>
      </c>
      <c r="H6" s="20"/>
      <c r="J6" s="20"/>
      <c r="L6" s="20"/>
    </row>
    <row r="7" spans="1:12">
      <c r="B7" s="17">
        <v>9004</v>
      </c>
      <c r="C7" s="19" t="str">
        <f>IFERROR(INDEX(ItemEffectTable['#이름값],MATCH(ItemEffectTable2324[[#This Row],[Index]],ItemEffectTable[Index],0)),INDEX(ItemEffectTable['#이름값],MATCH(ItemEffectTable2324[[#This Row],[Index]],ItemEffectTable[ApplyBuffId],0)))</f>
        <v>행성 만세</v>
      </c>
      <c r="D7" s="17" t="s">
        <v>513</v>
      </c>
      <c r="E7">
        <v>804</v>
      </c>
      <c r="F7" s="15"/>
      <c r="G7">
        <v>1</v>
      </c>
      <c r="H7" s="20"/>
      <c r="J7" s="20"/>
      <c r="L7" s="20"/>
    </row>
    <row r="8" spans="1:12">
      <c r="B8" s="17">
        <v>9005</v>
      </c>
      <c r="C8" s="19" t="str">
        <f>IFERROR(INDEX(ItemEffectTable['#이름값],MATCH(ItemEffectTable2324[[#This Row],[Index]],ItemEffectTable[Index],0)),INDEX(ItemEffectTable['#이름값],MATCH(ItemEffectTable2324[[#This Row],[Index]],ItemEffectTable[ApplyBuffId],0)))</f>
        <v>회피 캣</v>
      </c>
      <c r="D8" s="17" t="s">
        <v>513</v>
      </c>
      <c r="E8">
        <v>805</v>
      </c>
      <c r="F8" s="15"/>
      <c r="H8" s="20"/>
      <c r="J8" s="20"/>
      <c r="L8" s="20"/>
    </row>
    <row r="9" spans="1:12">
      <c r="B9" s="17">
        <v>9002</v>
      </c>
      <c r="C9" s="19" t="str">
        <f>IFERROR(INDEX(ItemEffectTable['#이름값],MATCH(ItemEffectTable2324[[#This Row],[Index]],ItemEffectTable[Index],0)),INDEX(ItemEffectTable['#이름값],MATCH(ItemEffectTable2324[[#This Row],[Index]],ItemEffectTable[ApplyBuffId],0)))</f>
        <v>청개굴 버섯구이</v>
      </c>
      <c r="D9" s="17" t="s">
        <v>500</v>
      </c>
      <c r="E9" s="9"/>
      <c r="F9" s="39"/>
      <c r="H9" s="39"/>
      <c r="J9" s="20"/>
      <c r="L9" s="20"/>
    </row>
    <row r="10" spans="1:12">
      <c r="B10" s="17">
        <v>9003</v>
      </c>
      <c r="C10" s="19" t="str">
        <f>IFERROR(INDEX(ItemEffectTable['#이름값],MATCH(ItemEffectTable2324[[#This Row],[Index]],ItemEffectTable[Index],0)),INDEX(ItemEffectTable['#이름값],MATCH(ItemEffectTable2324[[#This Row],[Index]],ItemEffectTable[ApplyBuffId],0)))</f>
        <v>누군가의 일기장</v>
      </c>
      <c r="D10" s="17" t="s">
        <v>638</v>
      </c>
      <c r="E10" s="9">
        <v>-50</v>
      </c>
      <c r="F10" s="39"/>
      <c r="H10" s="39"/>
      <c r="J10" s="20"/>
      <c r="L10" s="20"/>
    </row>
    <row r="11" spans="1:12" s="61" customFormat="1" ht="18">
      <c r="A11" s="60"/>
      <c r="B11" s="61">
        <v>9006</v>
      </c>
      <c r="C11" s="62" t="str">
        <f>IFERROR(INDEX(ItemEffectTable['#이름값],MATCH(ItemEffectTable2324[[#This Row],[Index]],ItemEffectTable[Index],0)),INDEX(ItemEffectTable['#이름값],MATCH(ItemEffectTable2324[[#This Row],[Index]],ItemEffectTable[ApplyBuffId],0)))</f>
        <v>어른의 카드</v>
      </c>
      <c r="D11" s="63" t="s">
        <v>688</v>
      </c>
      <c r="E11" s="64">
        <v>-1</v>
      </c>
      <c r="F11" s="65" t="s">
        <v>689</v>
      </c>
      <c r="H11" s="65"/>
      <c r="J11" s="62"/>
      <c r="L11" s="62"/>
    </row>
    <row r="12" spans="1:12">
      <c r="B12" s="17">
        <v>10000</v>
      </c>
      <c r="C12" s="19" t="str">
        <f>IFERROR(INDEX(ItemEffectTable['#이름값],MATCH(ItemEffectTable2324[[#This Row],[Index]],ItemEffectTable[Index],0)),INDEX(ItemEffectTable['#이름값],MATCH(ItemEffectTable2324[[#This Row],[Index]],ItemEffectTable[ApplyBuffId],0)))</f>
        <v>인피니티 도넛</v>
      </c>
      <c r="D12" s="17" t="s">
        <v>485</v>
      </c>
      <c r="E12" s="9">
        <v>8</v>
      </c>
      <c r="F12" s="39"/>
      <c r="H12" s="39"/>
      <c r="J12" s="20"/>
      <c r="L12" s="20"/>
    </row>
    <row r="13" spans="1:12">
      <c r="B13">
        <v>10001</v>
      </c>
      <c r="C13" s="19" t="str">
        <f>IFERROR(INDEX(ItemEffectTable['#이름값],MATCH(ItemEffectTable2324[[#This Row],[Index]],ItemEffectTable[Index],0)),INDEX(ItemEffectTable['#이름값],MATCH(ItemEffectTable2324[[#This Row],[Index]],ItemEffectTable[ApplyBuffId],0)))</f>
        <v>초소형 블랙홀</v>
      </c>
      <c r="D13" s="17" t="s">
        <v>506</v>
      </c>
      <c r="E13">
        <v>6</v>
      </c>
      <c r="F13" s="20"/>
      <c r="G13">
        <v>30</v>
      </c>
      <c r="H13" s="20"/>
      <c r="I13">
        <v>3</v>
      </c>
      <c r="J13" s="20"/>
      <c r="K13">
        <v>4</v>
      </c>
      <c r="L13" s="20"/>
    </row>
    <row r="14" spans="1:12">
      <c r="B14">
        <v>10002</v>
      </c>
      <c r="C14" s="19" t="str">
        <f>IFERROR(INDEX(ItemEffectTable['#이름값],MATCH(ItemEffectTable2324[[#This Row],[Index]],ItemEffectTable[Index],0)),INDEX(ItemEffectTable['#이름값],MATCH(ItemEffectTable2324[[#This Row],[Index]],ItemEffectTable[ApplyBuffId],0)))</f>
        <v>신경 부스터</v>
      </c>
      <c r="D14" s="17" t="s">
        <v>501</v>
      </c>
      <c r="E14">
        <v>0.5</v>
      </c>
      <c r="F14" s="15" t="s">
        <v>522</v>
      </c>
      <c r="G14">
        <v>3</v>
      </c>
      <c r="H14" s="15" t="s">
        <v>662</v>
      </c>
      <c r="J14" s="20"/>
      <c r="L14" s="20"/>
    </row>
    <row r="15" spans="1:12">
      <c r="B15">
        <v>10003</v>
      </c>
      <c r="C15" s="19" t="str">
        <f>IFERROR(INDEX(ItemEffectTable['#이름값],MATCH(ItemEffectTable2324[[#This Row],[Index]],ItemEffectTable[Index],0)),INDEX(ItemEffectTable['#이름값],MATCH(ItemEffectTable2324[[#This Row],[Index]],ItemEffectTable[ApplyBuffId],0)))</f>
        <v>미사일 백팩</v>
      </c>
      <c r="D15" s="17" t="s">
        <v>511</v>
      </c>
      <c r="E15">
        <v>10</v>
      </c>
      <c r="F15" s="20"/>
      <c r="G15">
        <v>90</v>
      </c>
      <c r="H15" s="20"/>
      <c r="I15">
        <v>1.2</v>
      </c>
      <c r="J15" s="20"/>
      <c r="L15" s="20"/>
    </row>
    <row r="16" spans="1:12">
      <c r="A16" s="55"/>
      <c r="B16" s="21" t="s">
        <v>676</v>
      </c>
      <c r="C16" s="23" t="e">
        <f>IFERROR(INDEX(ItemEffectTable['#이름값],MATCH(ItemEffectTable2324[[#This Row],[Index]],ItemEffectTable[Index],0)),INDEX(ItemEffectTable['#이름값],MATCH(ItemEffectTable2324[[#This Row],[Index]],ItemEffectTable[ApplyBuffId],0)))</f>
        <v>#N/A</v>
      </c>
      <c r="D16" s="21" t="s">
        <v>670</v>
      </c>
      <c r="E16" s="21">
        <v>70</v>
      </c>
      <c r="F16" s="23" t="s">
        <v>671</v>
      </c>
      <c r="G16" s="21">
        <v>5</v>
      </c>
      <c r="H16" s="23" t="s">
        <v>672</v>
      </c>
      <c r="I16" s="21">
        <v>18</v>
      </c>
      <c r="J16" s="23" t="s">
        <v>673</v>
      </c>
      <c r="K16" s="21"/>
      <c r="L16" s="23"/>
    </row>
  </sheetData>
  <phoneticPr fontId="17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="130" zoomScaleNormal="130" zoomScaleSheetLayoutView="100" workbookViewId="0">
      <selection activeCell="D15" sqref="D14:D15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49</v>
      </c>
      <c r="C1" t="s">
        <v>47</v>
      </c>
      <c r="D1" t="s">
        <v>47</v>
      </c>
      <c r="E1" t="s">
        <v>75</v>
      </c>
      <c r="F1" t="s">
        <v>74</v>
      </c>
    </row>
    <row r="2" spans="2:6">
      <c r="B2" t="s">
        <v>73</v>
      </c>
      <c r="C2" s="5" t="s">
        <v>115</v>
      </c>
      <c r="D2" s="5" t="s">
        <v>116</v>
      </c>
      <c r="E2" t="s">
        <v>214</v>
      </c>
      <c r="F2" t="s">
        <v>215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313</v>
      </c>
      <c r="E3" t="s">
        <v>54</v>
      </c>
      <c r="F3" t="s">
        <v>240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117</v>
      </c>
      <c r="E4" t="s">
        <v>289</v>
      </c>
      <c r="F4" t="s">
        <v>363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313</v>
      </c>
      <c r="E5" t="s">
        <v>54</v>
      </c>
      <c r="F5" t="s">
        <v>362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288</v>
      </c>
      <c r="E6" t="s">
        <v>196</v>
      </c>
      <c r="F6" t="s">
        <v>180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314</v>
      </c>
      <c r="E7" t="s">
        <v>296</v>
      </c>
      <c r="F7" t="s">
        <v>365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313</v>
      </c>
      <c r="E8" t="s">
        <v>54</v>
      </c>
      <c r="F8" t="s">
        <v>364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314</v>
      </c>
      <c r="E9" t="s">
        <v>296</v>
      </c>
      <c r="F9" t="s">
        <v>262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A1:D76"/>
  <sheetViews>
    <sheetView zoomScaleNormal="75" zoomScaleSheetLayoutView="100" workbookViewId="0">
      <selection activeCell="B59" sqref="B59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49</v>
      </c>
      <c r="B1" t="s">
        <v>74</v>
      </c>
      <c r="C1" t="s">
        <v>74</v>
      </c>
      <c r="D1" t="s">
        <v>47</v>
      </c>
    </row>
    <row r="2" spans="1:4">
      <c r="A2" t="s">
        <v>73</v>
      </c>
      <c r="B2" t="s">
        <v>278</v>
      </c>
      <c r="C2" t="s">
        <v>276</v>
      </c>
      <c r="D2" s="5" t="s">
        <v>114</v>
      </c>
    </row>
    <row r="3" spans="1:4">
      <c r="A3">
        <f>ItemTable[[#This Row],[Index]]+10000</f>
        <v>10010</v>
      </c>
      <c r="B3" t="s">
        <v>92</v>
      </c>
      <c r="C3" t="s">
        <v>99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93</v>
      </c>
      <c r="C4" t="s">
        <v>100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89</v>
      </c>
      <c r="C5" t="s">
        <v>101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94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95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96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132</v>
      </c>
      <c r="C9" t="s">
        <v>133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304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35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61</v>
      </c>
      <c r="C12" t="s">
        <v>277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51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82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282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85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63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52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188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60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104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42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62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64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45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83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80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72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65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105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66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67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68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84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76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70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169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244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358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187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366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186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183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181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199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259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185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257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171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174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265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261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206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18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172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176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175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165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170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168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173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2023-09-24T13:42:17Z</dcterms:modified>
  <cp:version>1200.0100.01</cp:version>
</cp:coreProperties>
</file>