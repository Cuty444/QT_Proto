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BCB74665-ED6D-1046-BD3B-6DC563C09493}" xr6:coauthVersionLast="47" xr6:coauthVersionMax="47" xr10:uidLastSave="{00000000-0000-0000-0000-000000000000}"/>
  <bookViews>
    <workbookView xWindow="-20" yWindow="880" windowWidth="36000" windowHeight="22500" firstSheet="11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4" l="1"/>
  <c r="C25" i="14"/>
  <c r="Q33" i="13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C32" i="14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B32" i="14" l="1"/>
  <c r="C21" i="14"/>
  <c r="B31" i="14"/>
  <c r="C31" i="14"/>
  <c r="B8" i="19"/>
  <c r="C3" i="20"/>
  <c r="C26" i="14"/>
  <c r="B26" i="14"/>
  <c r="C11" i="20" s="1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B31" i="19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<sst xmlns="http://schemas.openxmlformats.org/spreadsheetml/2006/main" count="1266" uniqueCount="690">
  <si>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</si>
  <si>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</si>
  <si>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</si>
  <si>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</si>
  <si>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</si>
  <si>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</si>
  <si>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</si>
  <si>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</si>
  <si>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</si>
  <si>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</si>
  <si>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</si>
  <si>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</si>
  <si>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</si>
  <si>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</si>
  <si>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</si>
  <si>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</si>
  <si>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</si>
  <si>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</si>
  <si>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</si>
  <si>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</si>
  <si>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</si>
  <si>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</si>
  <si>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</si>
  <si>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</si>
  <si>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</si>
  <si>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</si>
  <si>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</si>
  <si>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</si>
  <si>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</si>
  <si>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</si>
  <si>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</si>
  <si>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</si>
  <si>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</si>
  <si>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</si>
  <si>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</si>
  <si>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</si>
  <si>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</si>
  <si>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</si>
  <si>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</si>
  <si>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</si>
  <si>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</si>
  <si>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</si>
  <si>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</si>
  <si>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</si>
  <si>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</si>
  <si>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</si>
  <si>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</si>
  <si>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</si>
  <si>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</si>
  <si>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</si>
  <si>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</si>
  <si>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</si>
  <si>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</si>
  <si>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</si>
  <si>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</si>
  <si>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</si>
  <si>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</si>
  <si>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</si>
  <si>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</si>
  <si>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</si>
  <si>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</si>
  <si>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</si>
  <si>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</si>
  <si>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</si>
  <si>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</si>
  <si>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</si>
  <si>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</si>
  <si>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</si>
  <si>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</si>
  <si>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</si>
  <si>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</si>
  <si>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</si>
  <si>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</si>
  <si>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</si>
  <si>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</si>
  <si>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</si>
  <si>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</si>
  <si>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</si>
  <si>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</si>
  <si>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</si>
  <si>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</si>
  <si>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</si>
  <si>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</si>
  <si>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</si>
  <si>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</si>
  <si>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</si>
  <si>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</si>
  <si>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</si>
  <si>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</si>
  <si>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</si>
  <si>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</si>
  <si>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</si>
  <si>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</si>
  <si>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</si>
  <si>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</si>
  <si>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</si>
  <si>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</si>
  <si>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</si>
  <si>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</si>
  <si>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</si>
  <si>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</si>
  <si>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</si>
  <si>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</si>
  <si>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</si>
  <si>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</si>
  <si>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</si>
  <si>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</si>
  <si>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</si>
  <si>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</si>
  <si>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</si>
  <si>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</si>
  <si>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</si>
  <si>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</si>
  <si>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</si>
  <si>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</si>
  <si>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</si>
  <si>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</si>
  <si>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</si>
  <si>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</si>
  <si>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</si>
  <si>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</si>
  <si>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</si>
  <si>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</si>
  <si>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</si>
  <si>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</si>
  <si>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</si>
  <si>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</si>
  <si>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</si>
  <si>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</si>
  <si>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</si>
  <si>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</si>
  <si>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</si>
  <si>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</si>
  <si>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</si>
  <si>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</si>
  <si>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</si>
  <si>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</si>
  <si>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</si>
  <si>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</si>
  <si>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</si>
  <si>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</si>
  <si>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</si>
  <si>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</si>
  <si>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</si>
  <si>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</si>
  <si>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</si>
  <si>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</si>
  <si>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</si>
  <si>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</si>
  <si>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</si>
  <si>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</si>
  <si>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</si>
  <si>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</si>
  <si>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</si>
  <si>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</si>
  <si>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</si>
  <si>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</si>
  <si>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</si>
  <si>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</si>
  <si>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</si>
  <si>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</si>
  <si>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</si>
  <si>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</si>
  <si>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</si>
  <si>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</si>
  <si>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</si>
  <si>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</si>
  <si>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</si>
  <si>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</si>
  <si>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</si>
  <si>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</si>
  <si>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</si>
  <si>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</si>
  <si>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</si>
  <si>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</si>
  <si>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</si>
  <si>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</si>
  <si>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</si>
  <si>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</si>
  <si>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</si>
  <si>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</si>
  <si>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</si>
  <si>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</si>
  <si>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</si>
  <si>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</si>
  <si>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</si>
  <si>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</si>
  <si>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</si>
  <si>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</si>
  <si>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</si>
  <si>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</si>
  <si>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</si>
  <si>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</si>
  <si>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</si>
  <si>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</si>
  <si>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</si>
  <si>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</si>
  <si>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</si>
  <si>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</si>
  <si>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</si>
  <si>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</si>
  <si>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</si>
  <si>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</si>
  <si>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</si>
  <si>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</si>
  <si>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</si>
  <si>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</si>
  <si>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</si>
  <si>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</si>
  <si>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</si>
  <si>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</si>
  <si>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</si>
  <si>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</si>
  <si>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</si>
  <si>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</si>
  <si>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</si>
  <si>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</si>
  <si>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</si>
  <si>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</si>
  <si>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</si>
  <si>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</si>
  <si>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</si>
  <si>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</si>
  <si>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</si>
  <si>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</si>
  <si>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</si>
  <si>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</si>
  <si>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</si>
  <si>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</si>
  <si>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</si>
  <si>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</si>
  <si>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</si>
  <si>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</si>
  <si>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</si>
  <si>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</si>
  <si>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</si>
  <si>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</si>
  <si>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</si>
  <si>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</si>
  <si>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</si>
  <si>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</si>
  <si>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</si>
  <si>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</si>
  <si>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</si>
  <si>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</si>
  <si>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</si>
  <si>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</si>
  <si>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</si>
  <si>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</si>
  <si>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</si>
  <si>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</si>
  <si>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</si>
  <si>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</si>
  <si>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</si>
  <si>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</si>
  <si>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</si>
  <si>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</si>
  <si>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</si>
  <si>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</si>
  <si>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</si>
  <si>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</si>
  <si>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</si>
  <si>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</si>
  <si>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</si>
  <si>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</si>
  <si>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</si>
  <si>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</si>
  <si>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</si>
  <si>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</si>
  <si>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</si>
  <si>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</si>
  <si>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</si>
  <si>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</si>
  <si>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</si>
  <si>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</si>
  <si>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</si>
  <si>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</si>
  <si>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</si>
  <si>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</si>
  <si>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</si>
  <si>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</si>
  <si>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</si>
  <si>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</si>
  <si>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</si>
  <si>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</si>
  <si>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</si>
  <si>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</si>
  <si>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</si>
  <si>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</si>
  <si>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</si>
  <si>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</si>
  <si>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</si>
  <si>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</si>
  <si>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</si>
  <si>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</si>
  <si>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</si>
  <si>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</si>
  <si>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</si>
  <si>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</si>
  <si>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</si>
  <si>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</si>
  <si>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</si>
  <si>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</si>
  <si>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</si>
  <si>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</si>
  <si>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</si>
  <si>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</si>
  <si>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</si>
  <si>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</si>
  <si>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</si>
  <si>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</si>
  <si>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</si>
  <si>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</si>
  <si>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</si>
  <si>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</si>
  <si>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</si>
  <si>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</si>
  <si>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</si>
  <si>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</si>
  <si>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</si>
  <si>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</si>
  <si>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</si>
  <si>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</si>
  <si>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</si>
  <si>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</si>
  <si>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</si>
  <si>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</si>
  <si>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</si>
  <si>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</si>
  <si>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</si>
  <si>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</si>
  <si>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</si>
  <si>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</si>
  <si>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</si>
  <si>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</si>
  <si>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</si>
  <si>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</si>
  <si>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</si>
  <si>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</si>
  <si>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</si>
  <si>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</si>
  <si>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</si>
  <si>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</si>
  <si>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</si>
  <si>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</si>
  <si>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</si>
  <si>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</si>
  <si>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</si>
  <si>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</si>
  <si>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</si>
  <si>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</si>
  <si>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</si>
  <si>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</si>
  <si>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</si>
  <si>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</si>
  <si>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</si>
  <si>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</si>
  <si>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</si>
  <si>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</si>
  <si>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</si>
  <si>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</si>
  <si>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</si>
  <si>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</si>
  <si>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</si>
  <si>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</si>
  <si>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</si>
  <si>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</si>
  <si>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</si>
  <si>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</si>
  <si>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</si>
  <si>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</si>
  <si>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</si>
  <si>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</si>
  <si>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</si>
  <si>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</si>
  <si>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</si>
  <si>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</si>
  <si>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</si>
  <si>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</si>
  <si>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</si>
  <si>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</si>
  <si>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</si>
  <si>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</si>
  <si>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</si>
  <si>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</si>
  <si>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</si>
  <si>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</si>
  <si>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</si>
  <si>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</si>
  <si>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</si>
  <si>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</si>
  <si>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</si>
  <si>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</si>
  <si>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</si>
  <si>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</si>
  <si>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</si>
  <si>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</si>
  <si>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</si>
  <si>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</si>
  <si>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</si>
  <si>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</si>
  <si>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</si>
  <si>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</si>
  <si>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</si>
  <si>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</si>
  <si>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</si>
  <si>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</si>
  <si>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</si>
  <si>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</si>
  <si>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</si>
  <si>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</si>
  <si>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</si>
  <si>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</si>
  <si>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</si>
  <si>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</si>
  <si>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</si>
  <si>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</si>
  <si>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</si>
  <si>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</si>
  <si>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</si>
  <si>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</si>
  <si>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</si>
  <si>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</si>
  <si>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</si>
  <si>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</si>
  <si>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</si>
  <si>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</si>
  <si>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</si>
  <si>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</si>
  <si>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</si>
  <si>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</si>
  <si>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</si>
  <si>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</si>
  <si>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</si>
  <si>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</si>
  <si>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</si>
  <si>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</si>
  <si>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</si>
  <si>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</si>
  <si>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</si>
  <si>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</si>
  <si>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</si>
  <si>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</si>
  <si>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</si>
  <si>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</si>
  <si>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</si>
  <si>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</si>
  <si>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</si>
  <si>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</si>
  <si>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</si>
  <si>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</si>
  <si>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</si>
  <si>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</si>
  <si>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</si>
  <si>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</si>
  <si>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</si>
  <si>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</si>
  <si>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</si>
  <si>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</si>
  <si>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</si>
  <si>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</si>
  <si>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</si>
  <si>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</si>
  <si>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</si>
  <si>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</si>
  <si>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</si>
  <si>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</si>
  <si>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</si>
  <si>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</si>
  <si>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</si>
  <si>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</si>
  <si>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</si>
  <si>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</si>
  <si>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</si>
  <si>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</si>
  <si>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</si>
  <si>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</si>
  <si>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</si>
  <si>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</si>
  <si>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</si>
  <si>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</si>
  <si>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</si>
  <si>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</si>
  <si>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</si>
  <si>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</si>
  <si>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</si>
  <si>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</si>
  <si>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</si>
  <si>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</si>
  <si>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</si>
  <si>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</si>
  <si>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</si>
  <si>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</si>
  <si>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</si>
  <si>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</si>
  <si>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</si>
  <si>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</si>
  <si>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</si>
  <si>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</si>
  <si>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</si>
  <si>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</si>
  <si>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</si>
  <si>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</si>
  <si>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</si>
  <si>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</si>
  <si>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</si>
  <si>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</si>
  <si>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</si>
  <si>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</si>
  <si>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</si>
  <si>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</si>
  <si>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</si>
  <si>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</si>
  <si>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</si>
  <si>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</si>
  <si>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</si>
  <si>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</si>
  <si>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</si>
  <si>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</si>
  <si>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</si>
  <si>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</si>
  <si>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</si>
  <si>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</si>
  <si>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</si>
  <si>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</si>
  <si>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</si>
  <si>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</si>
  <si>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</si>
  <si>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</si>
  <si>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</si>
  <si>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</si>
  <si>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</si>
  <si>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</si>
  <si>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</si>
  <si>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</si>
  <si>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</si>
  <si>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</si>
  <si>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</si>
  <si>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</si>
  <si>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</si>
  <si>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</si>
  <si>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</si>
  <si>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</si>
  <si>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</si>
  <si>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</si>
  <si>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</si>
  <si>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</si>
  <si>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</si>
  <si>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</si>
  <si>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</si>
  <si>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</si>
  <si>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</si>
  <si>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</si>
  <si>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</si>
  <si>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</si>
  <si>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</si>
  <si>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</si>
  <si>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</si>
  <si>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</si>
  <si>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</si>
  <si>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</si>
  <si>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</si>
  <si>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</si>
  <si>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</si>
  <si>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</si>
  <si>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</si>
  <si>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</si>
  <si>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</si>
  <si>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</si>
  <si>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</si>
  <si>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</si>
  <si>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</si>
  <si>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</si>
  <si>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</si>
  <si>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</si>
  <si>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</si>
  <si>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</si>
  <si>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</si>
  <si>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</si>
  <si>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</si>
  <si>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</si>
  <si>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</si>
  <si>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</si>
  <si>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</si>
  <si>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</si>
  <si>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</si>
  <si>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</si>
  <si>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</si>
  <si>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</si>
  <si>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</si>
  <si>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</si>
  <si>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</si>
  <si>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</si>
  <si>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</si>
  <si>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</si>
  <si>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</si>
  <si>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</si>
  <si>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</si>
  <si>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</si>
  <si>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</si>
  <si>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</si>
  <si>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</si>
  <si>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</si>
  <si>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</si>
  <si>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</si>
  <si>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</si>
  <si>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</si>
  <si>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</si>
  <si>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</si>
  <si>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</si>
  <si>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</si>
  <si>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</si>
  <si>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</si>
  <si>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</si>
  <si>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</si>
  <si>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</si>
  <si>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</si>
  <si>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</si>
  <si>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</si>
  <si>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</si>
  <si>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</si>
  <si>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</si>
  <si>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</si>
  <si>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</si>
  <si>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</si>
  <si>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</si>
  <si>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</si>
  <si>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</si>
  <si>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</si>
  <si>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</si>
  <si>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</si>
  <si>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</si>
  <si>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</si>
  <si>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</si>
  <si>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</si>
  <si>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</si>
  <si>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</si>
  <si>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</si>
  <si>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</si>
  <si>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</si>
  <si>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</si>
  <si>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</si>
  <si>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</si>
  <si>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</si>
  <si>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</si>
  <si>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</si>
  <si>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</si>
  <si>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</si>
  <si>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</si>
  <si>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</si>
  <si>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</si>
  <si>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</si>
  <si>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</si>
  <si>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</si>
  <si>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이동속도 -30%</t>
    <phoneticPr fontId="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</si>
  <si>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</si>
  <si>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</si>
  <si>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</si>
  <si>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</si>
  <si>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t>공격 시 골드 -1</t>
    <phoneticPr fontId="7" type="noConversion"/>
  </si>
  <si>
    <t>공격범위 +40%, 공격속도+50%</t>
    <phoneticPr fontId="7" type="noConversion"/>
  </si>
  <si>
    <t>6초간 신경이 가속합니다.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</si>
  <si>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</si>
  <si>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</si>
  <si>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</si>
  <si>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공격속도 40%증가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</si>
  <si>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</si>
  <si>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</si>
  <si>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</si>
  <si>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</si>
  <si>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</si>
  <si>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</si>
  <si>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</si>
  <si>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</si>
  <si>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</si>
  <si>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</si>
  <si>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</si>
  <si>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</si>
  <si>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</si>
  <si>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</si>
  <si>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공격 길이 300%상승</t>
    <phoneticPr fontId="17" type="noConversion"/>
  </si>
  <si>
    <t>SwingCentralAngle</t>
    <phoneticPr fontId="7" type="noConversion"/>
  </si>
  <si>
    <t>SwingCentralAngle</t>
    <phoneticPr fontId="17" type="noConversion"/>
  </si>
  <si>
    <t xml:space="preserve">공격 각 </t>
    <phoneticPr fontId="17" type="noConversion"/>
  </si>
  <si>
    <t>6초간 공격 길이가 300% 늘어납니다</t>
    <phoneticPr fontId="7" type="noConversion"/>
  </si>
  <si>
    <t>Equip, OnGoldChanged</t>
    <phoneticPr fontId="7" type="noConversion"/>
  </si>
  <si>
    <t>GreaterThan</t>
    <phoneticPr fontId="7" type="noConversion"/>
  </si>
  <si>
    <t>Gold</t>
    <phoneticPr fontId="7" type="noConversion"/>
  </si>
  <si>
    <t>AddGold</t>
    <phoneticPr fontId="17" type="noConversion"/>
  </si>
  <si>
    <t>골드 추가량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</si>
</sst>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1" totalsRowShown="0" headerRowDxfId="18">
  <autoFilter ref="B2:I31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6" t="s">
        <v>305</v>
      </c>
      <c r="C1" s="57"/>
      <c r="D1" s="57"/>
      <c r="E1" s="57"/>
    </row>
    <row r="2" spans="2:5" s="1" customFormat="1">
      <c r="B2" s="57"/>
      <c r="C2" s="57"/>
      <c r="D2" s="57"/>
      <c r="E2" s="57"/>
    </row>
    <row r="3" spans="2:5" s="1" customFormat="1">
      <c r="B3" s="57"/>
      <c r="C3" s="57"/>
      <c r="D3" s="57"/>
      <c r="E3" s="57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6" t="s">
        <v>198</v>
      </c>
      <c r="C1" s="57"/>
      <c r="D1" s="57"/>
      <c r="E1" s="57"/>
    </row>
    <row r="2" spans="2:13" s="1" customFormat="1">
      <c r="B2" s="57"/>
      <c r="C2" s="57"/>
      <c r="D2" s="57"/>
      <c r="E2" s="57"/>
    </row>
    <row r="3" spans="2:13" s="1" customFormat="1">
      <c r="B3" s="57"/>
      <c r="C3" s="57"/>
      <c r="D3" s="57"/>
      <c r="E3" s="57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574</v>
      </c>
    </row>
    <row r="12" spans="2:13">
      <c r="B12" s="12" t="s">
        <v>573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582</v>
      </c>
      <c r="H12" s="12"/>
      <c r="J12" s="12" t="s">
        <v>573</v>
      </c>
      <c r="K12" s="12" t="s">
        <v>581</v>
      </c>
      <c r="L12" s="12" t="s">
        <v>583</v>
      </c>
      <c r="M12" s="12" t="s">
        <v>584</v>
      </c>
    </row>
    <row r="13" spans="2:13">
      <c r="B13" s="12" t="s">
        <v>576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576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576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578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575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575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575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575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585</v>
      </c>
      <c r="M18" s="12">
        <f>표24[[#Totals],[층 완료 획득]]/30</f>
        <v>16.933333333333334</v>
      </c>
    </row>
    <row r="19" spans="2:13">
      <c r="B19" s="12" t="s">
        <v>575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586</v>
      </c>
      <c r="M19" s="12">
        <f>표24[[#Totals],[층 완료 획득]]/50</f>
        <v>10.16</v>
      </c>
    </row>
    <row r="20" spans="2:13">
      <c r="B20" s="12" t="s">
        <v>575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575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575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578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578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577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577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577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577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577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577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577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577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579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579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579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579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579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579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579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579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6" t="s">
        <v>283</v>
      </c>
      <c r="C1" s="57"/>
      <c r="D1" s="57"/>
      <c r="E1" s="57"/>
      <c r="F1" s="57"/>
    </row>
    <row r="2" spans="1:21" s="1" customFormat="1">
      <c r="B2" s="57"/>
      <c r="C2" s="57"/>
      <c r="D2" s="57"/>
      <c r="E2" s="57"/>
      <c r="F2" s="57"/>
    </row>
    <row r="3" spans="1:21" s="1" customFormat="1">
      <c r="B3" s="57"/>
      <c r="C3" s="57"/>
      <c r="D3" s="57"/>
      <c r="E3" s="57"/>
      <c r="F3" s="57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 ht="18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 ht="18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 ht="18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 ht="18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541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510</v>
      </c>
      <c r="E2" s="6" t="s">
        <v>309</v>
      </c>
      <c r="F2" s="44" t="s">
        <v>681</v>
      </c>
      <c r="G2" s="6" t="s">
        <v>329</v>
      </c>
      <c r="H2" s="6" t="s">
        <v>184</v>
      </c>
      <c r="I2" s="35" t="s">
        <v>617</v>
      </c>
      <c r="J2" s="44" t="s">
        <v>605</v>
      </c>
      <c r="K2" s="6" t="s">
        <v>29</v>
      </c>
      <c r="L2" s="7" t="s">
        <v>216</v>
      </c>
      <c r="M2" s="7" t="s">
        <v>224</v>
      </c>
      <c r="N2" s="45" t="s">
        <v>615</v>
      </c>
      <c r="O2" s="30" t="s">
        <v>616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576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578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7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468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290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299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629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619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630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620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631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621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622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623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632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624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633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627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634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614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628</v>
      </c>
      <c r="U12">
        <v>1.4</v>
      </c>
      <c r="V12">
        <v>7</v>
      </c>
    </row>
    <row r="13" spans="2:22">
      <c r="B13" s="46">
        <v>551</v>
      </c>
      <c r="C13" s="47" t="s">
        <v>635</v>
      </c>
      <c r="D13" s="47" t="s">
        <v>396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620</v>
      </c>
      <c r="U13" s="46">
        <v>1.6</v>
      </c>
      <c r="V13" s="46">
        <v>7</v>
      </c>
    </row>
    <row r="14" spans="2:22">
      <c r="B14">
        <v>552</v>
      </c>
      <c r="C14" s="14" t="s">
        <v>636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626</v>
      </c>
      <c r="U14">
        <v>1.4</v>
      </c>
      <c r="V14">
        <v>7</v>
      </c>
    </row>
    <row r="15" spans="2:22">
      <c r="B15">
        <v>553</v>
      </c>
      <c r="C15" s="15" t="s">
        <v>637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625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618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31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537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537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537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590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590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590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590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590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590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590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590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648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648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648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648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426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538</v>
      </c>
      <c r="D4" t="b">
        <v>1</v>
      </c>
      <c r="E4">
        <v>0.8</v>
      </c>
      <c r="F4">
        <v>15</v>
      </c>
      <c r="G4" s="12" t="s">
        <v>592</v>
      </c>
    </row>
    <row r="5" spans="2:7">
      <c r="B5">
        <v>204</v>
      </c>
      <c r="C5" s="12" t="s">
        <v>591</v>
      </c>
      <c r="D5" t="b">
        <v>1</v>
      </c>
      <c r="E5">
        <v>1.5</v>
      </c>
      <c r="F5">
        <v>30</v>
      </c>
      <c r="G5" s="12" t="s">
        <v>607</v>
      </c>
    </row>
    <row r="6" spans="2:7">
      <c r="B6">
        <v>205</v>
      </c>
      <c r="C6" s="12" t="s">
        <v>649</v>
      </c>
      <c r="D6" t="b">
        <v>1</v>
      </c>
      <c r="E6">
        <v>1.2</v>
      </c>
      <c r="F6">
        <v>30</v>
      </c>
      <c r="G6" s="12" t="s">
        <v>607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355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355</v>
      </c>
    </row>
    <row r="10" spans="2:7">
      <c r="B10">
        <v>401</v>
      </c>
      <c r="C10" s="4" t="s">
        <v>333</v>
      </c>
      <c r="D10" s="3" t="b">
        <v>1</v>
      </c>
      <c r="E10">
        <v>0.25</v>
      </c>
      <c r="F10">
        <v>25</v>
      </c>
      <c r="G10" t="s">
        <v>355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355</v>
      </c>
    </row>
    <row r="12" spans="2:7">
      <c r="B12">
        <v>403</v>
      </c>
      <c r="C12" s="14" t="s">
        <v>432</v>
      </c>
      <c r="D12" s="3" t="b">
        <v>0</v>
      </c>
      <c r="E12">
        <v>0.8</v>
      </c>
      <c r="F12">
        <v>25</v>
      </c>
      <c r="G12" t="s">
        <v>355</v>
      </c>
    </row>
    <row r="13" spans="2:7">
      <c r="B13">
        <v>404</v>
      </c>
      <c r="C13" s="14" t="s">
        <v>433</v>
      </c>
      <c r="D13" s="3" t="b">
        <v>1</v>
      </c>
      <c r="E13">
        <v>0.8</v>
      </c>
      <c r="F13">
        <v>25</v>
      </c>
      <c r="G13" t="s">
        <v>355</v>
      </c>
    </row>
    <row r="14" spans="2:7">
      <c r="B14">
        <v>999</v>
      </c>
      <c r="C14" s="19" t="s">
        <v>427</v>
      </c>
      <c r="D14" t="b">
        <v>1</v>
      </c>
      <c r="E14">
        <v>1</v>
      </c>
      <c r="F14">
        <v>25</v>
      </c>
      <c r="G14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F27" sqref="F27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customWidth="1"/>
    <col min="6" max="6" width="26.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s="25" t="s">
        <v>663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597</v>
      </c>
      <c r="E8" s="17" t="s">
        <v>604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7" t="s">
        <v>369</v>
      </c>
      <c r="O8" s="36" t="s">
        <v>346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385</v>
      </c>
      <c r="E9" s="49" t="s">
        <v>353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7" t="s">
        <v>385</v>
      </c>
      <c r="O9" s="36" t="s">
        <v>353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367</v>
      </c>
      <c r="E10" s="49" t="s">
        <v>342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7" t="s">
        <v>367</v>
      </c>
      <c r="O10" s="36" t="s">
        <v>342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368</v>
      </c>
      <c r="E11" s="49" t="s">
        <v>599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7" t="s">
        <v>368</v>
      </c>
      <c r="O11" s="36" t="s">
        <v>341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554</v>
      </c>
      <c r="E12" s="49" t="s">
        <v>517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7" t="s">
        <v>462</v>
      </c>
      <c r="O12" s="37" t="s">
        <v>456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381</v>
      </c>
      <c r="E13" s="25" t="s">
        <v>641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247</v>
      </c>
      <c r="M13" s="18" t="str">
        <f>MID(ItemTable[[#This Row],[ItemIconPath]],FIND("icon",ItemTable[[#This Row],[ItemIconPath]]),999)</f>
        <v>icon/item/item_15.png</v>
      </c>
      <c r="N13" s="52" t="s">
        <v>381</v>
      </c>
      <c r="O13" s="52" t="s">
        <v>339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388</v>
      </c>
      <c r="E14" s="51" t="s">
        <v>645</v>
      </c>
      <c r="F14" s="51"/>
      <c r="G14" s="12" t="s">
        <v>639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7" t="s">
        <v>388</v>
      </c>
      <c r="O14" s="37" t="s">
        <v>457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463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370</v>
      </c>
      <c r="D15" s="50" t="s">
        <v>387</v>
      </c>
      <c r="E15" s="49" t="s">
        <v>589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7" t="s">
        <v>387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555</v>
      </c>
      <c r="E16" s="49" t="s">
        <v>647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7" t="s">
        <v>380</v>
      </c>
      <c r="O16" s="37" t="s">
        <v>458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327</v>
      </c>
      <c r="D17" s="50" t="s">
        <v>371</v>
      </c>
      <c r="E17" s="49" t="s">
        <v>547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7" t="s">
        <v>371</v>
      </c>
      <c r="O17" s="36" t="s">
        <v>338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344</v>
      </c>
      <c r="D18" s="50" t="s">
        <v>375</v>
      </c>
      <c r="E18" s="49" t="s">
        <v>561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7" t="s">
        <v>375</v>
      </c>
      <c r="O18" s="36" t="s">
        <v>340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563</v>
      </c>
      <c r="E19" s="25" t="s">
        <v>642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258</v>
      </c>
      <c r="M19" s="18" t="str">
        <f>MID(ItemTable[[#This Row],[ItemIconPath]],FIND("icon",ItemTable[[#This Row],[ItemIconPath]]),999)</f>
        <v>icon/item/item_03.png</v>
      </c>
      <c r="N19" s="52" t="s">
        <v>563</v>
      </c>
      <c r="O19" s="52" t="s">
        <v>376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534</v>
      </c>
      <c r="D20" s="50" t="s">
        <v>535</v>
      </c>
      <c r="E20" s="50" t="s">
        <v>646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549</v>
      </c>
      <c r="M20" s="20" t="str">
        <f>MID(ItemTable[[#This Row],[ItemIconPath]],FIND("icon",ItemTable[[#This Row],[ItemIconPath]]),999)</f>
        <v>icon/item/item_18.png</v>
      </c>
      <c r="N20" s="37" t="s">
        <v>372</v>
      </c>
      <c r="O20" s="37" t="s">
        <v>376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379</v>
      </c>
      <c r="E21" s="49" t="s">
        <v>613</v>
      </c>
      <c r="F21" s="49" t="s">
        <v>612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7" t="s">
        <v>379</v>
      </c>
      <c r="O21" s="36" t="s">
        <v>352</v>
      </c>
      <c r="P21" s="36" t="s">
        <v>348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558</v>
      </c>
      <c r="E22" s="49" t="s">
        <v>595</v>
      </c>
      <c r="F22" s="49" t="s">
        <v>557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7" t="s">
        <v>373</v>
      </c>
      <c r="O22" s="36" t="s">
        <v>347</v>
      </c>
      <c r="P22" s="36" t="s">
        <v>349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336</v>
      </c>
      <c r="D23" s="50" t="s">
        <v>378</v>
      </c>
      <c r="E23" s="49" t="s">
        <v>454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7" t="s">
        <v>378</v>
      </c>
      <c r="O23" s="37" t="s">
        <v>454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461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328</v>
      </c>
      <c r="D24" s="49" t="s">
        <v>374</v>
      </c>
      <c r="E24" s="49" t="s">
        <v>570</v>
      </c>
      <c r="F24" s="49" t="s">
        <v>569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7" t="s">
        <v>374</v>
      </c>
      <c r="O24" s="36" t="s">
        <v>343</v>
      </c>
      <c r="P24" s="36" t="s">
        <v>351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540</v>
      </c>
      <c r="D25" s="25" t="s">
        <v>386</v>
      </c>
      <c r="E25" s="25" t="s">
        <v>651</v>
      </c>
      <c r="F25" s="25" t="s">
        <v>654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253</v>
      </c>
      <c r="M25" s="18" t="str">
        <f>MID(ItemTable[[#This Row],[ItemIconPath]],FIND("icon",ItemTable[[#This Row],[ItemIconPath]]),999)</f>
        <v>icon/item/item_13.png</v>
      </c>
      <c r="N25" s="52" t="s">
        <v>386</v>
      </c>
      <c r="O25" s="52" t="s">
        <v>377</v>
      </c>
      <c r="P25" s="52" t="s">
        <v>354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649</v>
      </c>
      <c r="D26" s="25" t="s">
        <v>650</v>
      </c>
      <c r="E26" s="25" t="s">
        <v>601</v>
      </c>
      <c r="F26" s="25" t="s">
        <v>655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33</v>
      </c>
      <c r="M26" s="18" t="str">
        <f>MID(ItemTable[[#This Row],[ItemIconPath]],FIND("icon",ItemTable[[#This Row],[ItemIconPath]]),999)</f>
        <v>icon/item/coin.png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657</v>
      </c>
      <c r="D27" s="25" t="s">
        <v>658</v>
      </c>
      <c r="E27" s="25" t="s">
        <v>660</v>
      </c>
      <c r="F27" s="25" t="s">
        <v>659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33</v>
      </c>
      <c r="M27" s="18" t="str">
        <f>MID(ItemTable[[#This Row],[ItemIconPath]],FIND("icon",ItemTable[[#This Row],[ItemIconPath]]),999)</f>
        <v>icon/item/coin.png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530</v>
      </c>
      <c r="D28" s="12" t="s">
        <v>571</v>
      </c>
      <c r="E28" s="17" t="s">
        <v>531</v>
      </c>
      <c r="F28" s="17"/>
      <c r="G28" s="17" t="s">
        <v>514</v>
      </c>
      <c r="H28">
        <v>1</v>
      </c>
      <c r="I28">
        <v>50</v>
      </c>
      <c r="J28">
        <v>100</v>
      </c>
      <c r="K28">
        <v>10000</v>
      </c>
      <c r="L28" s="12" t="s">
        <v>545</v>
      </c>
      <c r="M28" s="20" t="str">
        <f>MID(ItemTable[[#This Row],[ItemIconPath]],FIND("icon",ItemTable[[#This Row],[ItemIconPath]]),999)</f>
        <v>icon/item/A_item_02.png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550</v>
      </c>
      <c r="D29" s="17" t="s">
        <v>556</v>
      </c>
      <c r="E29" s="17" t="s">
        <v>548</v>
      </c>
      <c r="F29" s="17"/>
      <c r="G29" s="17" t="s">
        <v>514</v>
      </c>
      <c r="H29">
        <v>1</v>
      </c>
      <c r="I29">
        <v>50</v>
      </c>
      <c r="J29">
        <v>100</v>
      </c>
      <c r="K29">
        <v>10001</v>
      </c>
      <c r="L29" s="12" t="s">
        <v>546</v>
      </c>
      <c r="M29" s="20" t="str">
        <f>MID(ItemTable[[#This Row],[ItemIconPath]],FIND("icon",ItemTable[[#This Row],[ItemIconPath]]),999)</f>
        <v>icon/item/A_item_03.png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551</v>
      </c>
      <c r="D30" s="17" t="s">
        <v>553</v>
      </c>
      <c r="E30" s="17" t="s">
        <v>661</v>
      </c>
      <c r="F30" s="17"/>
      <c r="G30" s="17" t="s">
        <v>514</v>
      </c>
      <c r="H30">
        <v>1</v>
      </c>
      <c r="I30">
        <v>50</v>
      </c>
      <c r="J30">
        <v>100</v>
      </c>
      <c r="K30">
        <v>10002</v>
      </c>
      <c r="L30" s="12" t="s">
        <v>572</v>
      </c>
      <c r="M30" s="20" t="str">
        <f>MID(ItemTable[[#This Row],[ItemIconPath]],FIND("icon",ItemTable[[#This Row],[ItemIconPath]]),999)</f>
        <v>icon/item/A_item_06.png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532</v>
      </c>
      <c r="D31" s="17" t="s">
        <v>552</v>
      </c>
      <c r="E31" s="17" t="s">
        <v>539</v>
      </c>
      <c r="F31" s="17"/>
      <c r="G31" s="17" t="s">
        <v>514</v>
      </c>
      <c r="H31">
        <v>1</v>
      </c>
      <c r="I31">
        <v>50</v>
      </c>
      <c r="J31">
        <v>100</v>
      </c>
      <c r="K31">
        <v>10003</v>
      </c>
      <c r="L31" s="12" t="s">
        <v>544</v>
      </c>
      <c r="M31" s="20" t="str">
        <f>MID(ItemTable[[#This Row],[ItemIconPath]],FIND("icon",ItemTable[[#This Row],[ItemIconPath]]),999)</f>
        <v>icon/item/A_item_01.png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674</v>
      </c>
      <c r="C32" s="25" t="s">
        <v>666</v>
      </c>
      <c r="D32" s="25" t="s">
        <v>667</v>
      </c>
      <c r="E32" s="25" t="s">
        <v>668</v>
      </c>
      <c r="F32" s="25"/>
      <c r="G32" s="25" t="s">
        <v>514</v>
      </c>
      <c r="H32" s="25">
        <v>1</v>
      </c>
      <c r="I32" s="25">
        <v>50</v>
      </c>
      <c r="J32" s="25">
        <v>100</v>
      </c>
      <c r="K32" s="25">
        <v>10004</v>
      </c>
      <c r="L32" s="25" t="s">
        <v>33</v>
      </c>
      <c r="M32" s="18" t="str">
        <f>MID(ItemTable[[#This Row],[ItemIconPath]],FIND("icon",ItemTable[[#This Row],[ItemIconPath]]),999)</f>
        <v>icon/item/coin.png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677</v>
      </c>
      <c r="D33" s="12" t="s">
        <v>678</v>
      </c>
      <c r="E33" s="12" t="s">
        <v>684</v>
      </c>
      <c r="F33" s="12"/>
      <c r="G33" s="25" t="s">
        <v>514</v>
      </c>
      <c r="H33" s="25">
        <v>1</v>
      </c>
      <c r="I33" s="25">
        <v>50</v>
      </c>
      <c r="J33" s="25">
        <v>100</v>
      </c>
      <c r="K33" s="25">
        <v>10005</v>
      </c>
      <c r="L33" s="25" t="s">
        <v>33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tabSelected="1" zoomScaleNormal="100" zoomScaleSheetLayoutView="100" workbookViewId="0">
      <selection activeCell="I22" sqref="I22"/>
    </sheetView>
  </sheetViews>
  <sheetFormatPr baseColWidth="10" defaultColWidth="8.83203125" defaultRowHeight="17"/>
  <cols>
    <col min="1" max="1" width="8.83203125" style="55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2" t="s">
        <v>479</v>
      </c>
      <c r="J2" s="17" t="s">
        <v>478</v>
      </c>
      <c r="K2" s="32" t="s">
        <v>494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560</v>
      </c>
      <c r="J6" s="17" t="s">
        <v>495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533</v>
      </c>
      <c r="J9" s="17" t="s">
        <v>495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640</v>
      </c>
      <c r="J10" s="17" t="s">
        <v>495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533</v>
      </c>
      <c r="J11" s="17" t="s">
        <v>643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512</v>
      </c>
      <c r="J15" s="17" t="s">
        <v>643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566</v>
      </c>
      <c r="J17" s="17" t="s">
        <v>495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496</v>
      </c>
      <c r="J20" s="17" t="s">
        <v>495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675</v>
      </c>
      <c r="J21" s="17" t="s">
        <v>495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600</v>
      </c>
      <c r="J23" s="17" t="s">
        <v>495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496</v>
      </c>
      <c r="J24" s="17" t="s">
        <v>495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685</v>
      </c>
      <c r="I25" s="46" t="s">
        <v>687</v>
      </c>
      <c r="J25" s="46" t="s">
        <v>686</v>
      </c>
      <c r="K25" s="46">
        <v>0</v>
      </c>
    </row>
    <row r="26" spans="2:11">
      <c r="B26" s="58" t="str">
        <f>INDEX(ItemTable[Name],MATCH(ItemEffectTable[[#This Row],[Index]],ItemTable[ItemEffectDataId],0))</f>
        <v>어른의 카드</v>
      </c>
      <c r="C26" s="59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512</v>
      </c>
      <c r="I26" s="46"/>
      <c r="J26" s="46"/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502</v>
      </c>
      <c r="I27" s="17"/>
      <c r="J27" s="17" t="s">
        <v>495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502</v>
      </c>
      <c r="I28" s="17" t="s">
        <v>508</v>
      </c>
      <c r="J28" s="17" t="s">
        <v>507</v>
      </c>
      <c r="K28" s="12">
        <v>6</v>
      </c>
    </row>
    <row r="29" spans="2:11">
      <c r="B29" s="20" t="str">
        <f>INDEX(ItemTable[Name],MATCH(ItemEffectTable[[#This Row],[Index]],ItemTable[ItemEffectDataId],0))</f>
        <v>신경 부스터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16</v>
      </c>
      <c r="H29" s="17" t="s">
        <v>502</v>
      </c>
      <c r="J29" s="17" t="s">
        <v>495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6</v>
      </c>
      <c r="H30" s="17" t="s">
        <v>502</v>
      </c>
      <c r="J30" s="17" t="s">
        <v>495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502</v>
      </c>
      <c r="J31" s="17" t="s">
        <v>495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12</v>
      </c>
      <c r="H32" s="17" t="s">
        <v>502</v>
      </c>
      <c r="J32" s="17" t="s">
        <v>495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1"/>
  <sheetViews>
    <sheetView zoomScaleNormal="100" zoomScaleSheetLayoutView="100" workbookViewId="0">
      <selection activeCell="E39" sqref="E39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8.33203125" customWidth="1"/>
    <col min="8" max="8" width="36.5" customWidth="1"/>
    <col min="9" max="9" width="18.3320312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1" t="s">
        <v>644</v>
      </c>
      <c r="C2" t="s">
        <v>73</v>
      </c>
      <c r="D2" s="17" t="s">
        <v>480</v>
      </c>
      <c r="E2" s="17" t="s">
        <v>490</v>
      </c>
      <c r="F2" s="1" t="s">
        <v>13</v>
      </c>
      <c r="G2" s="32" t="s">
        <v>492</v>
      </c>
      <c r="H2" s="38" t="s">
        <v>518</v>
      </c>
      <c r="I2" s="32" t="s">
        <v>526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602</v>
      </c>
      <c r="G3" s="17">
        <v>-1</v>
      </c>
      <c r="H3" s="19" t="s">
        <v>603</v>
      </c>
      <c r="I3" s="19"/>
    </row>
    <row r="4" spans="2:12" ht="18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524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610</v>
      </c>
      <c r="I5" s="15"/>
    </row>
    <row r="6" spans="2:12" ht="18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559</v>
      </c>
      <c r="E6" s="25">
        <v>0.2</v>
      </c>
      <c r="F6" t="s">
        <v>497</v>
      </c>
      <c r="G6" s="25">
        <v>5</v>
      </c>
      <c r="H6" s="18" t="s">
        <v>598</v>
      </c>
      <c r="I6" s="15"/>
    </row>
    <row r="7" spans="2:12" ht="18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523</v>
      </c>
      <c r="I7" s="15"/>
    </row>
    <row r="8" spans="2:12" ht="18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525</v>
      </c>
      <c r="I8" s="15"/>
    </row>
    <row r="9" spans="2:12" ht="18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310</v>
      </c>
      <c r="E9" s="25">
        <v>0.4</v>
      </c>
      <c r="F9" s="25" t="s">
        <v>497</v>
      </c>
      <c r="G9" s="25">
        <v>4</v>
      </c>
      <c r="H9" s="18" t="s">
        <v>587</v>
      </c>
      <c r="I9" s="40"/>
    </row>
    <row r="10" spans="2:12" ht="18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310</v>
      </c>
      <c r="E10" s="12" t="s">
        <v>588</v>
      </c>
      <c r="F10" t="s">
        <v>497</v>
      </c>
      <c r="G10">
        <v>-1</v>
      </c>
      <c r="H10" s="15" t="s">
        <v>527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528</v>
      </c>
      <c r="I11" s="20"/>
    </row>
    <row r="12" spans="2:12" ht="18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596</v>
      </c>
      <c r="E12">
        <v>3</v>
      </c>
      <c r="F12" t="s">
        <v>497</v>
      </c>
      <c r="G12">
        <v>-1</v>
      </c>
      <c r="H12" s="15" t="s">
        <v>562</v>
      </c>
      <c r="I12" s="20"/>
    </row>
    <row r="13" spans="2:12" ht="18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608</v>
      </c>
      <c r="E13">
        <v>50</v>
      </c>
      <c r="F13" t="s">
        <v>497</v>
      </c>
      <c r="G13">
        <v>-1</v>
      </c>
      <c r="H13" s="15" t="s">
        <v>609</v>
      </c>
      <c r="I13" s="20"/>
    </row>
    <row r="14" spans="2:12" ht="18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337</v>
      </c>
      <c r="G14" s="25">
        <v>-1</v>
      </c>
      <c r="H14" s="18" t="s">
        <v>611</v>
      </c>
      <c r="I14" s="20"/>
    </row>
    <row r="15" spans="2:12" ht="18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329</v>
      </c>
      <c r="E15" s="25">
        <v>0</v>
      </c>
      <c r="F15" s="25" t="s">
        <v>337</v>
      </c>
      <c r="G15" s="25">
        <v>-1</v>
      </c>
      <c r="H15" s="18" t="s">
        <v>564</v>
      </c>
      <c r="I15" s="20"/>
    </row>
    <row r="16" spans="2:12" ht="18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567</v>
      </c>
      <c r="E16" s="25">
        <v>0.85</v>
      </c>
      <c r="F16" s="25" t="s">
        <v>337</v>
      </c>
      <c r="G16" s="25">
        <v>4</v>
      </c>
      <c r="H16" s="18" t="s">
        <v>594</v>
      </c>
      <c r="I16" s="20"/>
    </row>
    <row r="17" spans="2:9" ht="18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567</v>
      </c>
      <c r="E17" s="25">
        <v>1.3</v>
      </c>
      <c r="F17" s="25" t="s">
        <v>337</v>
      </c>
      <c r="G17" s="25">
        <v>-1</v>
      </c>
      <c r="H17" s="18" t="s">
        <v>565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529</v>
      </c>
      <c r="I18" s="20"/>
    </row>
    <row r="19" spans="2:9" ht="18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559</v>
      </c>
      <c r="E19">
        <v>0.6</v>
      </c>
      <c r="F19" t="s">
        <v>497</v>
      </c>
      <c r="G19">
        <v>-1</v>
      </c>
      <c r="H19" s="15" t="s">
        <v>568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652</v>
      </c>
      <c r="E20">
        <v>0.7</v>
      </c>
      <c r="F20" s="12" t="s">
        <v>593</v>
      </c>
      <c r="G20">
        <v>-1</v>
      </c>
      <c r="H20" s="15" t="s">
        <v>653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606</v>
      </c>
      <c r="E21">
        <v>1.5</v>
      </c>
      <c r="F21" s="12" t="s">
        <v>593</v>
      </c>
      <c r="G21">
        <v>-1</v>
      </c>
      <c r="H21" s="15" t="s">
        <v>656</v>
      </c>
      <c r="I21" s="20"/>
    </row>
    <row r="22" spans="2:9" ht="18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309</v>
      </c>
      <c r="E22">
        <v>1.5</v>
      </c>
      <c r="F22" t="s">
        <v>337</v>
      </c>
      <c r="G22">
        <v>-1</v>
      </c>
      <c r="H22" s="15" t="s">
        <v>664</v>
      </c>
      <c r="I22" s="20"/>
    </row>
    <row r="23" spans="2:9" ht="18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0.6</v>
      </c>
      <c r="F23" t="s">
        <v>337</v>
      </c>
      <c r="G23">
        <v>-1</v>
      </c>
      <c r="H23" s="15" t="s">
        <v>665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4">
        <v>10002</v>
      </c>
      <c r="D24" t="s">
        <v>2</v>
      </c>
      <c r="E24">
        <v>2.5</v>
      </c>
      <c r="F24" t="s">
        <v>337</v>
      </c>
      <c r="G24">
        <v>5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5">
        <v>10002</v>
      </c>
      <c r="D25" t="s">
        <v>26</v>
      </c>
      <c r="E25">
        <v>0.8</v>
      </c>
      <c r="F25" t="s">
        <v>337</v>
      </c>
      <c r="G25">
        <v>5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6">
        <v>10002</v>
      </c>
      <c r="D26" t="s">
        <v>222</v>
      </c>
      <c r="E26">
        <v>3</v>
      </c>
      <c r="F26" t="s">
        <v>337</v>
      </c>
      <c r="G26">
        <v>5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7">
        <v>10002</v>
      </c>
      <c r="D27" t="s">
        <v>213</v>
      </c>
      <c r="E27">
        <v>0.8</v>
      </c>
      <c r="F27" t="s">
        <v>337</v>
      </c>
      <c r="G27">
        <v>5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신경 부스터</v>
      </c>
      <c r="C28">
        <v>10002</v>
      </c>
      <c r="D28" t="s">
        <v>27</v>
      </c>
      <c r="E28">
        <v>2.5</v>
      </c>
      <c r="F28" t="s">
        <v>337</v>
      </c>
      <c r="G28">
        <v>5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0</v>
      </c>
      <c r="F29" t="s">
        <v>337</v>
      </c>
      <c r="G29">
        <v>1.5</v>
      </c>
      <c r="H29" s="15" t="s">
        <v>669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679</v>
      </c>
      <c r="E30">
        <v>3</v>
      </c>
      <c r="F30" t="s">
        <v>337</v>
      </c>
      <c r="G30">
        <v>6</v>
      </c>
      <c r="H30" s="15" t="s">
        <v>680</v>
      </c>
      <c r="I30" s="20"/>
    </row>
    <row r="31" spans="2:9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>
        <v>10005</v>
      </c>
      <c r="D31" s="12" t="s">
        <v>682</v>
      </c>
      <c r="E31">
        <v>0</v>
      </c>
      <c r="F31" t="s">
        <v>497</v>
      </c>
      <c r="G31">
        <v>6</v>
      </c>
      <c r="H31" s="15" t="s">
        <v>683</v>
      </c>
      <c r="I3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D27" sqref="D27"/>
    </sheetView>
  </sheetViews>
  <sheetFormatPr baseColWidth="10" defaultColWidth="8.83203125" defaultRowHeight="17"/>
  <cols>
    <col min="1" max="1" width="8.83203125" style="54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1:12">
      <c r="B2" t="s">
        <v>73</v>
      </c>
      <c r="C2" s="41" t="s">
        <v>536</v>
      </c>
      <c r="D2" s="17" t="s">
        <v>505</v>
      </c>
      <c r="E2" s="17" t="s">
        <v>481</v>
      </c>
      <c r="F2" s="38" t="s">
        <v>519</v>
      </c>
      <c r="G2" s="32" t="s">
        <v>482</v>
      </c>
      <c r="H2" s="38" t="s">
        <v>520</v>
      </c>
      <c r="I2" s="32" t="s">
        <v>483</v>
      </c>
      <c r="J2" s="38" t="s">
        <v>521</v>
      </c>
      <c r="K2" s="32" t="s">
        <v>543</v>
      </c>
      <c r="L2" s="38" t="s">
        <v>542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638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638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638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513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513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500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638</v>
      </c>
      <c r="E10" s="9">
        <v>-50</v>
      </c>
      <c r="F10" s="39"/>
      <c r="H10" s="39"/>
      <c r="J10" s="20"/>
      <c r="L10" s="20"/>
    </row>
    <row r="11" spans="1:12" s="61" customFormat="1" ht="18">
      <c r="A11" s="60"/>
      <c r="B11" s="61">
        <v>9006</v>
      </c>
      <c r="C11" s="62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3" t="s">
        <v>688</v>
      </c>
      <c r="E11" s="64">
        <v>-1</v>
      </c>
      <c r="F11" s="65" t="s">
        <v>689</v>
      </c>
      <c r="H11" s="65"/>
      <c r="J11" s="62"/>
      <c r="L11" s="62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485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506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신경 부스터</v>
      </c>
      <c r="D14" s="17" t="s">
        <v>501</v>
      </c>
      <c r="E14">
        <v>0.5</v>
      </c>
      <c r="F14" s="15" t="s">
        <v>522</v>
      </c>
      <c r="G14">
        <v>3</v>
      </c>
      <c r="H14" s="15" t="s">
        <v>662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511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676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670</v>
      </c>
      <c r="E16" s="21">
        <v>70</v>
      </c>
      <c r="F16" s="23" t="s">
        <v>671</v>
      </c>
      <c r="G16" s="21">
        <v>5</v>
      </c>
      <c r="H16" s="23" t="s">
        <v>672</v>
      </c>
      <c r="I16" s="21">
        <v>18</v>
      </c>
      <c r="J16" s="23" t="s">
        <v>673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15" sqref="D14:D15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2023-09-24T13:53:42Z</dcterms:modified>
  <cp:version>1200.0100.01</cp:version>
</cp:coreProperties>
</file>