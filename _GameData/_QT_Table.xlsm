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74570DF7-43C9-4930-AAA2-FF3344E431BA}" xr6:coauthVersionLast="47" xr6:coauthVersionMax="47" xr10:uidLastSave="{00000000-0000-0000-0000-000000000000}"/>
  <bookViews>
    <workbookView xWindow="-120" yWindow="-120" windowWidth="29040" windowHeight="15840" firstSheet="12" activeTab="14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3" l="1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1" i="19" s="1"/>
  <c r="O21" i="19" s="1"/>
  <c r="L25" i="14"/>
  <c r="R25" i="14" s="1"/>
  <c r="M22" i="19" s="1"/>
  <c r="O22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19" i="19" a="1"/>
  <c r="T19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E20" i="3"/>
  <c r="E23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O4" i="14" l="1"/>
  <c r="O16" i="14"/>
  <c r="L30" i="19"/>
  <c r="O26" i="14"/>
  <c r="O14" i="14"/>
  <c r="Q10" i="14"/>
  <c r="K10" i="19" a="1"/>
  <c r="K10" i="19" s="1"/>
  <c r="L10" i="19" s="1"/>
  <c r="P21" i="19"/>
  <c r="P11" i="19"/>
  <c r="R22" i="14"/>
  <c r="M20" i="19" s="1"/>
  <c r="O20" i="19" s="1"/>
  <c r="R8" i="14"/>
  <c r="M8" i="19" s="1"/>
  <c r="O8" i="19" s="1"/>
  <c r="R20" i="14"/>
  <c r="M19" i="19" s="1"/>
  <c r="O19" i="19" s="1"/>
  <c r="R18" i="14"/>
  <c r="M17" i="19" s="1"/>
  <c r="O17" i="19" s="1"/>
  <c r="M23" i="19"/>
  <c r="O23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8" i="19"/>
  <c r="L16" i="19"/>
  <c r="L17" i="19"/>
  <c r="L27" i="19"/>
  <c r="L14" i="19"/>
  <c r="L23" i="19"/>
  <c r="L22" i="19"/>
  <c r="P22" i="19" s="1"/>
  <c r="L9" i="19"/>
  <c r="L6" i="19"/>
  <c r="L19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P9" i="19" l="1"/>
  <c r="P23" i="19"/>
  <c r="P6" i="19"/>
  <c r="P10" i="19"/>
  <c r="P17" i="19"/>
  <c r="P19" i="19"/>
  <c r="P4" i="19"/>
  <c r="P5" i="19"/>
  <c r="P18" i="19"/>
  <c r="M27" i="19"/>
  <c r="O27" i="19" s="1"/>
  <c r="P27" i="19" s="1"/>
  <c r="M28" i="19"/>
  <c r="O28" i="19" s="1"/>
  <c r="P28" i="19" s="1"/>
  <c r="M25" i="19"/>
  <c r="O25" i="19" s="1"/>
  <c r="P25" i="19" s="1"/>
  <c r="M24" i="19"/>
  <c r="O24" i="19" s="1"/>
  <c r="M26" i="19"/>
  <c r="O26" i="19" s="1"/>
  <c r="P26" i="19" s="1"/>
  <c r="M15" i="19"/>
  <c r="O15" i="19" s="1"/>
  <c r="P15" i="19" s="1"/>
  <c r="M14" i="19"/>
  <c r="O14" i="19" s="1"/>
  <c r="P14" i="19" s="1"/>
  <c r="R32" i="14"/>
  <c r="M30" i="19" s="1"/>
  <c r="O30" i="19" s="1"/>
  <c r="P30" i="19" s="1"/>
  <c r="R31" i="14"/>
  <c r="M29" i="19" s="1"/>
  <c r="O29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E21" i="13" s="1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L24" i="19" l="1"/>
  <c r="P24" i="19" s="1"/>
  <c r="L20" i="19"/>
  <c r="P20" i="19" s="1"/>
  <c r="L29" i="19"/>
  <c r="P29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B8" i="13" l="1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B9" i="13" l="1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4" i="14" l="1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B12" i="13" l="1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B13" i="14" l="1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B21" i="14" l="1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R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B8" i="19" l="1"/>
  <c r="Q25" i="19" s="1"/>
  <c r="C3" i="20"/>
  <c r="R18" i="19" s="1"/>
  <c r="Q28" i="19" l="1"/>
  <c r="R20" i="19"/>
  <c r="R30" i="19"/>
  <c r="R26" i="19"/>
  <c r="R23" i="19"/>
  <c r="R21" i="19"/>
  <c r="R24" i="19"/>
  <c r="R22" i="19"/>
  <c r="R25" i="19"/>
  <c r="R27" i="19"/>
  <c r="R28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19" i="19"/>
  <c r="R8" i="19"/>
  <c r="Q8" i="19"/>
  <c r="Q4" i="19"/>
  <c r="Q6" i="19"/>
  <c r="Q7" i="19"/>
  <c r="Q3" i="19"/>
  <c r="Q5" i="19"/>
  <c r="Q10" i="19"/>
  <c r="Q9" i="19"/>
  <c r="Q12" i="19"/>
  <c r="Q20" i="19"/>
  <c r="Q11" i="19"/>
  <c r="Q13" i="19"/>
  <c r="Q30" i="19"/>
  <c r="Q17" i="19"/>
  <c r="Q15" i="19"/>
  <c r="Q23" i="19"/>
  <c r="Q26" i="19"/>
  <c r="Q16" i="19"/>
  <c r="Q21" i="19"/>
  <c r="Q19" i="19"/>
  <c r="Q14" i="19"/>
  <c r="Q29" i="19"/>
  <c r="Q22" i="19"/>
  <c r="Q24" i="19"/>
  <c r="Q18" i="19"/>
  <c r="Q27" i="19"/>
  <c r="S15" i="19" l="1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19" i="19"/>
  <c r="U19" i="19" s="1"/>
  <c r="S4" i="19"/>
  <c r="U4" i="19" s="1"/>
  <c r="S16" i="19"/>
  <c r="U16" i="19" s="1"/>
  <c r="S3" i="19"/>
  <c r="U3" i="19" s="1"/>
  <c r="S30" i="19"/>
  <c r="U30" i="19" s="1"/>
  <c r="S29" i="19"/>
  <c r="U29" i="19" s="1"/>
  <c r="S20" i="19"/>
  <c r="U20" i="19" s="1"/>
  <c r="S21" i="19"/>
  <c r="U21" i="19" s="1"/>
  <c r="S22" i="19"/>
  <c r="U22" i="19" s="1"/>
  <c r="S24" i="19"/>
  <c r="U24" i="19" s="1"/>
  <c r="S25" i="19"/>
  <c r="U25" i="19" s="1"/>
  <c r="S26" i="19"/>
  <c r="U26" i="19" s="1"/>
  <c r="S27" i="19"/>
  <c r="U27" i="19" s="1"/>
  <c r="S28" i="19"/>
  <c r="U28" i="19" s="1"/>
  <c r="S23" i="19"/>
  <c r="U23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<sst xmlns="http://schemas.openxmlformats.org/spreadsheetml/2006/main" count="1809" uniqueCount="873">
  <si>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</si>
  <si>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</si>
  <si>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</si>
  <si>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</si>
  <si>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</si>
  <si>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</si>
  <si>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</si>
  <si>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</si>
  <si>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</si>
  <si>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</si>
  <si>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</si>
  <si>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</si>
  <si>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</si>
  <si>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</si>
  <si>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</si>
  <si>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</si>
  <si>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</si>
  <si>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</si>
  <si>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</si>
  <si>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</si>
  <si>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</si>
  <si>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</si>
  <si>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</si>
  <si>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</si>
  <si>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</si>
  <si>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</si>
  <si>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</si>
  <si>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</si>
  <si>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</si>
  <si>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</si>
  <si>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</si>
  <si>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</si>
  <si>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</si>
  <si>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</si>
  <si>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</si>
  <si>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</si>
  <si>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</si>
  <si>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</si>
  <si>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</si>
  <si>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</si>
  <si>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</si>
  <si>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</si>
  <si>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</si>
  <si>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</si>
  <si>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</si>
  <si>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</si>
  <si>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</si>
  <si>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</si>
  <si>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</si>
  <si>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</si>
  <si>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</si>
  <si>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</si>
  <si>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</si>
  <si>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</si>
  <si>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</si>
  <si>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</si>
  <si>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</si>
  <si>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</si>
  <si>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</si>
  <si>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</si>
  <si>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</si>
  <si>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</si>
  <si>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</si>
  <si>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</si>
  <si>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</si>
  <si>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</si>
  <si>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</si>
  <si>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</si>
  <si>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</si>
  <si>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</si>
  <si>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</si>
  <si>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</si>
  <si>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</si>
  <si>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</si>
  <si>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</si>
  <si>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</si>
  <si>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</si>
  <si>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</si>
  <si>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</si>
  <si>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</si>
  <si>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</si>
  <si>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</si>
  <si>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</si>
  <si>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</si>
  <si>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</si>
  <si>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</si>
  <si>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</si>
  <si>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</si>
  <si>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</si>
  <si>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</si>
  <si>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</si>
  <si>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</si>
  <si>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</si>
  <si>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</si>
  <si>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</si>
  <si>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</si>
  <si>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</si>
  <si>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</si>
  <si>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</si>
  <si>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</si>
  <si>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</si>
  <si>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</si>
  <si>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</si>
  <si>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</si>
  <si>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</si>
  <si>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</si>
  <si>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</si>
  <si>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</si>
  <si>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</si>
  <si>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</si>
  <si>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</si>
  <si>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</si>
  <si>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</si>
  <si>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</si>
  <si>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</si>
  <si>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</si>
  <si>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</si>
  <si>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</si>
  <si>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</si>
  <si>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</si>
  <si>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</si>
  <si>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</si>
  <si>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</si>
  <si>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</si>
  <si>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</si>
  <si>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</si>
  <si>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</si>
  <si>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</si>
  <si>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</si>
  <si>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</si>
  <si>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</si>
  <si>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</si>
  <si>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</si>
  <si>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</si>
  <si>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</si>
  <si>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</si>
  <si>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</si>
  <si>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</si>
  <si>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</si>
  <si>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</si>
  <si>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</si>
  <si>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</si>
  <si>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</si>
  <si>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</si>
  <si>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</si>
  <si>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</si>
  <si>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</si>
  <si>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</si>
  <si>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</si>
  <si>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</si>
  <si>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</si>
  <si>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</si>
  <si>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</si>
  <si>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</si>
  <si>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</si>
  <si>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</si>
  <si>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</si>
  <si>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</si>
  <si>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</si>
  <si>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</si>
  <si>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</si>
  <si>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</si>
  <si>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</si>
  <si>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</si>
  <si>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</si>
  <si>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</si>
  <si>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</si>
  <si>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</si>
  <si>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</si>
  <si>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</si>
  <si>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</si>
  <si>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</si>
  <si>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</si>
  <si>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</si>
  <si>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</si>
  <si>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</si>
  <si>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</si>
  <si>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</si>
  <si>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</si>
  <si>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</si>
  <si>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</si>
  <si>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</si>
  <si>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</si>
  <si>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</si>
  <si>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</si>
  <si>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</si>
  <si>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</si>
  <si>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</si>
  <si>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</si>
  <si>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</si>
  <si>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</si>
  <si>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</si>
  <si>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</si>
  <si>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</si>
  <si>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</si>
  <si>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</si>
  <si>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</si>
  <si>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</si>
  <si>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</si>
  <si>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</si>
  <si>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</si>
  <si>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</si>
  <si>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</si>
  <si>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</si>
  <si>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</si>
  <si>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</si>
  <si>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</si>
  <si>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</si>
  <si>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</si>
  <si>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</si>
  <si>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</si>
  <si>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</si>
  <si>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</si>
  <si>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</si>
  <si>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</si>
  <si>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</si>
  <si>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</si>
  <si>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</si>
  <si>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</si>
  <si>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</si>
  <si>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</si>
  <si>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</si>
  <si>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</si>
  <si>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</si>
  <si>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</si>
  <si>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</si>
  <si>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</si>
  <si>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</si>
  <si>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</si>
  <si>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</si>
  <si>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</si>
  <si>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</si>
  <si>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</si>
  <si>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</si>
  <si>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</si>
  <si>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</si>
  <si>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</si>
  <si>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</si>
  <si>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</si>
  <si>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</si>
  <si>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</si>
  <si>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</si>
  <si>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</si>
  <si>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</si>
  <si>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</si>
  <si>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</si>
  <si>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</si>
  <si>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</si>
  <si>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</si>
  <si>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</si>
  <si>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</si>
  <si>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</si>
  <si>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</si>
  <si>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</si>
  <si>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</si>
  <si>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8방향 발사</t>
  </si>
  <si>
    <t>8방향 발사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</si>
  <si>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</si>
  <si>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</si>
  <si>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</si>
  <si>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</si>
  <si>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</si>
  <si>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</si>
  <si>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</si>
  <si>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</si>
  <si>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</si>
  <si>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</si>
  <si>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</si>
  <si>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</si>
  <si>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</si>
  <si>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</si>
  <si>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</si>
  <si>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</si>
  <si>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</si>
  <si>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</si>
  <si>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</si>
  <si>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</si>
  <si>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</si>
  <si>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</si>
  <si>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</si>
  <si>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</si>
  <si>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</si>
  <si>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</si>
  <si>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</si>
  <si>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</si>
  <si>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</si>
  <si>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</si>
  <si>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</si>
  <si>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</si>
  <si>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</si>
  <si>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</si>
  <si>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</si>
  <si>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</si>
  <si>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</si>
  <si>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</si>
  <si>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</si>
  <si>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</si>
  <si>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</si>
  <si>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</si>
  <si>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</si>
  <si>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</si>
  <si>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</si>
  <si>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</si>
  <si>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</si>
  <si>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</si>
  <si>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</si>
  <si>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</si>
  <si>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</si>
  <si>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</si>
  <si>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</si>
  <si>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</si>
  <si>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</si>
  <si>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</si>
  <si>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</si>
  <si>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</si>
  <si>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</si>
  <si>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</si>
  <si>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</si>
  <si>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</si>
  <si>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</si>
  <si>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</si>
  <si>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</si>
  <si>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</si>
  <si>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</si>
  <si>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</si>
  <si>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</si>
  <si>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</si>
  <si>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</si>
  <si>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</si>
  <si>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</si>
  <si>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</si>
  <si>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</si>
  <si>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</si>
  <si>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</si>
  <si>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</si>
  <si>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</si>
  <si>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</si>
  <si>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</si>
  <si>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</si>
  <si>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</si>
  <si>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</si>
  <si>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</si>
  <si>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</si>
  <si>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</si>
  <si>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</si>
  <si>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</si>
  <si>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</si>
  <si>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</si>
  <si>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</si>
  <si>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</si>
  <si>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</si>
  <si>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</si>
  <si>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</si>
  <si>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</si>
  <si>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</si>
  <si>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</si>
  <si>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</si>
  <si>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</si>
  <si>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</si>
  <si>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</si>
  <si>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</si>
  <si>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</si>
  <si>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</si>
  <si>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</si>
  <si>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</si>
  <si>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</si>
  <si>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</si>
  <si>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</si>
  <si>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</si>
  <si>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</si>
  <si>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</si>
  <si>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</si>
  <si>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</si>
  <si>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</si>
  <si>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</si>
  <si>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</si>
  <si>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</si>
  <si>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</si>
  <si>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</si>
  <si>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</si>
  <si>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</si>
  <si>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</si>
  <si>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</si>
  <si>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</si>
  <si>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</si>
  <si>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</si>
  <si>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</si>
  <si>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</si>
  <si>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</si>
  <si>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</si>
  <si>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</si>
  <si>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</si>
  <si>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</si>
  <si>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</si>
  <si>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</si>
  <si>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</si>
  <si>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</si>
  <si>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</si>
  <si>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</si>
  <si>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</si>
  <si>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</si>
  <si>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</si>
  <si>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</si>
  <si>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</si>
  <si>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</si>
  <si>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</si>
  <si>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</si>
  <si>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</si>
  <si>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</si>
  <si>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</si>
  <si>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</si>
  <si>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</si>
  <si>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</si>
  <si>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</si>
  <si>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</si>
  <si>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</si>
  <si>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</si>
  <si>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</si>
  <si>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</si>
  <si>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</si>
  <si>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</si>
  <si>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</si>
  <si>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</si>
  <si>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</si>
  <si>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</si>
  <si>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</si>
  <si>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</si>
  <si>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</si>
  <si>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공격속도 -20%</t>
    <phoneticPr fontId="6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</si>
  <si>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</si>
  <si>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</si>
  <si>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</si>
  <si>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</si>
  <si>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</si>
  <si>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</si>
  <si>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</si>
  <si>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</si>
  <si>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</si>
  <si>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</si>
  <si>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</si>
  <si>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</si>
  <si>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</si>
  <si>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</si>
  <si>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</si>
  <si>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</si>
  <si>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</si>
  <si>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</si>
  <si>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</si>
  <si>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</si>
  <si>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</si>
  <si>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</si>
  <si>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</si>
  <si>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</si>
  <si>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</si>
  <si>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</si>
  <si>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</si>
  <si>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</si>
  <si>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</si>
  <si>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</si>
  <si>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</si>
  <si>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</si>
  <si>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</si>
  <si>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</si>
  <si>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</si>
  <si>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</si>
  <si>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</si>
  <si>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</si>
  <si>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</si>
  <si>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</si>
  <si>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</si>
  <si>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</si>
  <si>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</si>
  <si>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</si>
  <si>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</si>
  <si>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</si>
  <si>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</si>
  <si>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</si>
  <si>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</si>
  <si>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</si>
  <si>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</si>
  <si>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</si>
  <si>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</si>
  <si>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</si>
  <si>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</si>
  <si>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</si>
  <si>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</si>
  <si>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</si>
  <si>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</si>
  <si>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</si>
  <si>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</si>
  <si>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</si>
  <si>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</si>
  <si>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</si>
  <si>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</si>
  <si>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</si>
  <si>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</si>
  <si>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</si>
  <si>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</si>
  <si>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</si>
  <si>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</si>
  <si>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</si>
  <si>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</si>
  <si>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</si>
  <si>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</si>
  <si>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</si>
  <si>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</si>
  <si>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</si>
  <si>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</si>
  <si>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</si>
  <si>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</si>
  <si>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</si>
  <si>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</si>
  <si>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</si>
  <si>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</si>
  <si>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</si>
  <si>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</si>
  <si>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</si>
  <si>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</si>
  <si>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</si>
  <si>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</si>
  <si>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</si>
  <si>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</si>
  <si>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</si>
  <si>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</si>
  <si>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</si>
  <si>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</si>
  <si>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</si>
  <si>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</si>
  <si>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</si>
  <si>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</si>
  <si>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</si>
  <si>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</si>
  <si>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</si>
  <si>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</si>
  <si>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</si>
  <si>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</si>
  <si>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</si>
  <si>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</si>
  <si>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</si>
  <si>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</si>
  <si>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</si>
  <si>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</si>
  <si>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</si>
  <si>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</si>
  <si>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</si>
  <si>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</si>
  <si>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</si>
  <si>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</si>
  <si>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</si>
  <si>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</si>
  <si>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</si>
  <si>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</si>
  <si>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</si>
  <si>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</si>
  <si>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</si>
  <si>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</si>
  <si>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</si>
  <si>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</si>
  <si>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</si>
  <si>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</si>
  <si>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</si>
  <si>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</si>
  <si>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</si>
  <si>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</si>
  <si>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</si>
  <si>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</si>
  <si>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</si>
  <si>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</si>
  <si>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</si>
  <si>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</si>
  <si>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</si>
  <si>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</si>
  <si>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</si>
  <si>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</si>
  <si>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</si>
  <si>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</si>
  <si>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</si>
  <si>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</si>
  <si>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</si>
  <si>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</si>
  <si>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</si>
  <si>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</si>
  <si>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</si>
  <si>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</si>
  <si>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</si>
  <si>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</si>
  <si>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</si>
  <si>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</si>
  <si>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</si>
  <si>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</si>
  <si>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</si>
  <si>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</si>
  <si>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</si>
  <si>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</si>
  <si>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</si>
  <si>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</si>
  <si>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</si>
  <si>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</si>
  <si>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</si>
  <si>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</si>
  <si>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</si>
  <si>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</si>
  <si>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</si>
  <si>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</si>
  <si>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</si>
  <si>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</si>
  <si>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</si>
  <si>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</si>
  <si>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</si>
  <si>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</si>
  <si>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</si>
  <si>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</si>
  <si>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</si>
  <si>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</si>
  <si>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</si>
  <si>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</si>
  <si>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</si>
  <si>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</si>
  <si>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</si>
  <si>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</si>
  <si>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</si>
  <si>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</si>
  <si>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</si>
  <si>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</si>
  <si>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</si>
  <si>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</si>
  <si>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</si>
  <si>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</si>
  <si>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</si>
  <si>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</si>
  <si>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</si>
  <si>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</si>
  <si>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</si>
  <si>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</si>
  <si>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</si>
  <si>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</si>
  <si>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Range +20%</t>
  </si>
  <si>
    <t>Charging Speed +20%</t>
  </si>
  <si>
    <t>When charged, increases Attack Power by 20% for 5 seconds.</t>
  </si>
  <si>
    <t>Attack Speed +30%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</si>
  <si>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</si>
  <si>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</si>
  <si>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</si>
  <si>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</si>
  <si>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</si>
  <si>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Maximum Health +2</t>
  </si>
  <si>
    <t>33% chance to release 3 projectiles with each attack.</t>
  </si>
  <si>
    <t>Normal attacks become charged attacks.</t>
  </si>
  <si>
    <t>For each hit, increases Attack Speed by 15% for 4 seconds (effects can stack).</t>
  </si>
  <si>
    <t>Attack Power +100%</t>
  </si>
  <si>
    <t>Attack Power +60%</t>
  </si>
  <si>
    <t>Shoots 8 projectiles upon getting hit.</t>
  </si>
  <si>
    <t>Shoots 4 projectiles upon evasion.</t>
  </si>
  <si>
    <t>Attack Range +50%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</si>
  <si>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</si>
  <si>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</si>
  <si>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</si>
  <si>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</si>
  <si>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</si>
  <si>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</si>
  <si>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-20%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</si>
  <si>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</si>
  <si>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</si>
  <si>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</si>
  <si>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</si>
  <si>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</si>
  <si>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</si>
  <si>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</si>
  <si>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</si>
  <si>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</si>
  <si>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</si>
  <si>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</si>
  <si>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</si>
  <si>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</si>
  <si>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</si>
  <si>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</si>
  <si>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</si>
  <si>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</si>
  <si>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</si>
  <si>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</si>
  <si>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</si>
  <si>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</si>
  <si>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</si>
  <si>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</si>
  <si>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</si>
  <si>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</si>
  <si>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</si>
  <si>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</si>
  <si>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</si>
  <si>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</si>
  <si>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</si>
  <si>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</si>
  <si>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</si>
  <si>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</si>
  <si>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</si>
  <si>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</si>
  <si>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</si>
  <si>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</si>
  <si>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</si>
  <si>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</si>
  <si>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</si>
  <si>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</si>
  <si>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</si>
  <si>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</si>
  <si>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</si>
  <si>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</si>
  <si>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</si>
  <si>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</si>
  <si>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</si>
  <si>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</si>
  <si>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</si>
  <si>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</si>
  <si>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</si>
  <si>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</si>
  <si>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</si>
  <si>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</si>
  <si>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</si>
  <si>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</si>
  <si>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</si>
  <si>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튕김 기댓값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</si>
  <si>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</si>
  <si>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</si>
  <si>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</si>
  <si>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</si>
  <si>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</si>
  <si>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</si>
  <si>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</si>
  <si>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</si>
  <si>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</si>
  <si>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</si>
  <si>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</si>
  <si>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</si>
  <si>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</si>
  <si>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</si>
  <si>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</si>
  <si>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</si>
  <si>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</si>
  <si>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</si>
  <si>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</si>
  <si>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</si>
  <si>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</si>
  <si>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</si>
  <si>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</si>
  <si>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</si>
  <si>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</si>
  <si>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</si>
  <si>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</si>
  <si>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</si>
  <si>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</si>
  <si>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</si>
  <si>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</si>
  <si>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</si>
  <si>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</si>
  <si>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</si>
  <si>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</si>
  <si>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</si>
  <si>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</si>
  <si>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</si>
  <si>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</si>
  <si>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</si>
  <si>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</si>
  <si>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</si>
  <si>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</si>
  <si>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</si>
  <si>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</si>
  <si>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</si>
  <si>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</si>
  <si>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</si>
  <si>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</si>
  <si>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</si>
  <si>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</si>
  <si>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</si>
  <si>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</si>
  <si>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</si>
  <si>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조작키</t>
    <phoneticPr fontId="6" type="noConversion"/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</si>
  <si>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</si>
  <si>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</si>
  <si>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</si>
  <si>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</si>
  <si>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</si>
  <si>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</si>
  <si>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</si>
  <si>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</si>
  <si>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</si>
  <si>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</si>
  <si>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</si>
  <si>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</si>
  <si>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</si>
  <si>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</si>
  <si>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</si>
  <si>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</si>
  <si>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</si>
  <si>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</si>
  <si>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</si>
  <si>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Control Keys</t>
  </si>
  <si>
    <t>Charge Attack</t>
  </si>
  <si>
    <t>Parrying with Charge Attacks</t>
  </si>
  <si>
    <t>Active Skills</t>
    <phoneticPr fontId="6" type="noConversion"/>
  </si>
  <si>
    <t>Stun</t>
  </si>
  <si>
    <t>Inventory &amp; Map</t>
    <phoneticPr fontId="6" type="noConversion"/>
  </si>
  <si>
    <t>Teleporting to a Room</t>
    <phoneticPr fontId="6" type="noConversion"/>
  </si>
  <si>
    <t>A powerful charge attack that knocks enemies away!</t>
  </si>
  <si>
    <t>A charge attack that bounces off enemies!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</si>
  <si>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</si>
  <si>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</si>
  <si>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</si>
  <si>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</si>
  <si>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</si>
  <si>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</si>
  <si>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</si>
  <si>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</si>
  <si>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</si>
  <si>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</si>
  <si>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</si>
  <si>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</si>
  <si>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</si>
  <si>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</si>
  <si>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</si>
  <si>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</si>
  <si>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</si>
  <si>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</si>
  <si>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</si>
  <si>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</si>
  <si>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</si>
  <si>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</si>
  <si>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</si>
  <si>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</si>
  <si>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</si>
  <si>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</si>
  <si>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</si>
  <si>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</si>
  <si>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</si>
  <si>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</si>
  <si>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</si>
  <si>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</si>
  <si>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</si>
  <si>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</si>
  <si>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</si>
  <si>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</si>
  <si>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</si>
  <si>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</si>
  <si>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</si>
  <si>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</si>
  <si>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</si>
  <si>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</si>
  <si>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</si>
  <si>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</si>
  <si>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</si>
  <si>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</si>
  <si>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</si>
  <si>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</si>
  <si>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</si>
  <si>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</si>
  <si>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</si>
  <si>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</si>
  <si>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</si>
  <si>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</si>
  <si>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</si>
  <si>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</si>
  <si>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</si>
  <si>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</si>
  <si>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</si>
  <si>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</si>
  <si>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</si>
  <si>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체력을 한칸 회복합니다.</t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</si>
  <si>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</si>
  <si>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</si>
  <si>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</si>
  <si>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2칸의 피해를 받습니다.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</si>
  <si>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</si>
  <si>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</si>
  <si>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체력을 전부 회복합니다.</t>
    <phoneticPr fontId="6" type="noConversion"/>
  </si>
  <si>
    <t>타격 시마다 4초간\n공격속도 +10%\n(효과는 중첩될 수 있습니다.)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</si>
</sst>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1" fillId="0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" fillId="0" borderId="0" xfId="0" applyFont="1" applyBorder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21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0" fillId="7" borderId="0" xfId="0" applyFill="1" applyBorder="1">
      <alignment vertical="center"/>
    </xf>
    <xf numFmtId="0" fontId="17" fillId="7" borderId="0" xfId="0" applyFont="1" applyFill="1" applyBorder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8" dataDxfId="17">
  <autoFilter ref="B43:F52" xr:uid="{52C1D108-3D49-4B42-B815-0005AC0F8DFB}"/>
  <tableColumns count="5">
    <tableColumn id="1" xr3:uid="{97C44805-9CD2-45EA-B5DF-D65CFA5C28DC}" name="트리거" dataDxfId="16"/>
    <tableColumn id="2" xr3:uid="{0CB69347-3D8F-4363-BA6F-16EF9B4A762D}" name="발동 여부" dataDxfId="15"/>
    <tableColumn id="3" xr3:uid="{176A61E6-C094-47E3-8CBF-78EA6EEA3FB7}" name="발동에 걸리는 시간" dataDxfId="14"/>
    <tableColumn id="4" xr3:uid="{C9DEDF42-6084-4BE1-AED3-7B9E6FA248C1}" name="발동율" dataDxfId="13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2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1">
  <autoFilter ref="B55:F64" xr:uid="{5DE4A78B-5308-430C-BFB3-A3DED3312CD7}"/>
  <tableColumns count="5">
    <tableColumn id="1" xr3:uid="{D8664B31-C1C5-4F94-9493-0E923670269C}" name="특수 이펙트 명칭" dataDxfId="10"/>
    <tableColumn id="2" xr3:uid="{75D26A2C-66A5-4D4E-8467-00AB4551DB09}" name="열1" dataDxfId="9"/>
    <tableColumn id="3" xr3:uid="{C016E32B-6A25-4781-91D0-3F1F049AB241}" name="설명" dataDxfId="8"/>
    <tableColumn id="4" xr3:uid="{87B4D8C0-06AC-4B77-972D-B4F0F00820E7}" name="1당 가치" dataDxfId="6">
      <calculatedColumnFormula>E14</calculatedColumnFormula>
    </tableColumn>
    <tableColumn id="5" xr3:uid="{B8215913-9E5B-4616-A7FB-EBC3ED6C83CC}" name="OP계수" dataDxfId="7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14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13"/>
    <tableColumn id="3" xr3:uid="{00000000-0010-0000-0900-000003000000}" name="value"/>
    <tableColumn id="4" xr3:uid="{00000000-0010-0000-0900-000004000000}" name="#설명" dataDxfId="112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11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110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109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108"/>
    <tableColumn id="7" xr3:uid="{00000000-0010-0000-0B00-000007000000}" name="SwingCooldown" dataDxfId="107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106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105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104"/>
    <tableColumn id="14" xr3:uid="{00000000-0010-0000-0C00-00000E000000}" name="#드랍테이블2" dataDxfId="103"/>
    <tableColumn id="15" xr3:uid="{00000000-0010-0000-0C00-00000F000000}" name="#드랍테이블3" dataDxfId="102"/>
    <tableColumn id="16" xr3:uid="{00000000-0010-0000-0C00-000010000000}" name="#드랍테이블4" dataDxfId="101"/>
    <tableColumn id="17" xr3:uid="{00000000-0010-0000-0C00-000011000000}" name="#드랍테이블5" dataDxfId="100"/>
    <tableColumn id="18" xr3:uid="{00000000-0010-0000-0C00-000012000000}" name="#드랍테이블6" dataDxfId="99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98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97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96"/>
    <tableColumn id="19" xr3:uid="{00000000-0010-0000-0E00-000013000000}" name="#" dataDxfId="95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94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93"/>
    <tableColumn id="17" xr3:uid="{00000000-0010-0000-0E00-000011000000}" name="#기준 적 체력 비율"/>
    <tableColumn id="18" xr3:uid="{00000000-0010-0000-0E00-000012000000}" name="#평균 드랍 골드" dataDxfId="92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91"/>
    <tableColumn id="3" xr3:uid="{00000000-0010-0000-0F00-000003000000}" name="ShootDataId" dataDxfId="90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89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88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04" totalsRowShown="0">
  <autoFilter ref="B2:G104" xr:uid="{00000000-0009-0000-0100-000013000000}"/>
  <tableColumns count="6">
    <tableColumn id="1" xr3:uid="{00000000-0010-0000-1000-000001000000}" name="Index"/>
    <tableColumn id="2" xr3:uid="{00000000-0010-0000-1000-000002000000}" name="#설명" dataDxfId="87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86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85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84" dataDxfId="83">
  <autoFilter ref="B2:R33" xr:uid="{00000000-0009-0000-0100-000004000000}"/>
  <tableColumns count="17">
    <tableColumn id="11" xr3:uid="{00000000-0010-0000-1200-00000B000000}" name="#NameString" dataDxfId="82">
      <calculatedColumnFormula>INDEX(LocaleTable[LocaleKR],MATCH(ItemTable[[#This Row],[Name]],LocaleTable[StringKey],0))</calculatedColumnFormula>
    </tableColumn>
    <tableColumn id="16" xr3:uid="{BD981A3F-409D-4C64-B49F-2D8E2500BA62}" name="#DescString" dataDxfId="81">
      <calculatedColumnFormula>INDEX(LocaleTable[LocaleKR],MATCH(ItemTable[[#This Row],[Desc]],LocaleTable[StringKey],0))</calculatedColumnFormula>
    </tableColumn>
    <tableColumn id="17" xr3:uid="{1B500542-CB1F-4E31-BC77-415A06C9F656}" name="#PlusDescString" dataDxfId="80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79">
      <calculatedColumnFormula>INDEX(LocaleTable[LocaleKR],MATCH(ItemTable[[#This Row],[MinusDesc]],LocaleTable[StringKey],0))</calculatedColumnFormula>
    </tableColumn>
    <tableColumn id="1" xr3:uid="{00000000-0010-0000-1200-000001000000}" name="Index" dataDxfId="78"/>
    <tableColumn id="2" xr3:uid="{00000000-0010-0000-1200-000002000000}" name="Name" dataDxfId="77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76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75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74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73"/>
    <tableColumn id="5" xr3:uid="{00000000-0010-0000-1200-000005000000}" name="Value" dataDxfId="72"/>
    <tableColumn id="6" xr3:uid="{00000000-0010-0000-1200-000006000000}" name="CostHp" dataDxfId="71"/>
    <tableColumn id="7" xr3:uid="{00000000-0010-0000-1200-000007000000}" name="CostGold" dataDxfId="70"/>
    <tableColumn id="8" xr3:uid="{00000000-0010-0000-1200-000008000000}" name="ItemEffectDataId" dataDxfId="69"/>
    <tableColumn id="9" xr3:uid="{00000000-0010-0000-1200-000009000000}" name="ItemIconPath" dataDxfId="68"/>
    <tableColumn id="14" xr3:uid="{829A0395-49A4-44F6-B211-44D70A03413C}" name="#번역본" dataDxfId="67"/>
    <tableColumn id="15" xr3:uid="{9EE43C0B-06A2-4BC2-BB29-E39DC0E0339C}" name="#카멜" dataDxfId="66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37">
  <autoFilter ref="B2:S32" xr:uid="{00000000-0009-0000-0100-000001000000}"/>
  <tableColumns count="18">
    <tableColumn id="2" xr3:uid="{00000000-0010-0000-1300-000002000000}" name="#이름값" dataDxfId="36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35">
      <calculatedColumnFormula>INDEX(ItemTable[GradeType],MATCH(ItemEffectTable[[#This Row],[Index]],ItemTable[ItemEffectDataId],0))</calculatedColumnFormula>
    </tableColumn>
    <tableColumn id="4" xr3:uid="{00000000-0010-0000-1300-000004000000}" name="Index" dataDxfId="34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33"/>
    <tableColumn id="12" xr3:uid="{00000000-0010-0000-1300-00000C000000}" name="ConditionValue"/>
    <tableColumn id="1" xr3:uid="{0B4ED250-DA0A-47BD-8D15-6BC486DF4AD6}" name="#트리거1" dataDxfId="32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31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30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29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28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26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25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21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0" totalsRowShown="0" headerRowDxfId="65">
  <autoFilter ref="B2:U30" xr:uid="{00000000-0009-0000-0100-000016000000}"/>
  <tableColumns count="20">
    <tableColumn id="3" xr3:uid="{E74DAA42-5E4A-4F89-AD3E-565200EEF3AE}" name="#아이템 명칭" dataDxfId="64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63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62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61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60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20"/>
    <tableColumn id="8" xr3:uid="{27E501F3-F27A-44EE-8F20-18B66E39DD44}" name="#효력 가치 판단" dataDxfId="59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27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24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3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2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19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4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0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58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57">
  <autoFilter ref="B2:N16" xr:uid="{00000000-0009-0000-0100-000017000000}"/>
  <tableColumns count="13">
    <tableColumn id="4" xr3:uid="{00000000-0010-0000-1500-000004000000}" name="Index" dataDxfId="56"/>
    <tableColumn id="7" xr3:uid="{00000000-0010-0000-1500-000007000000}" name="#명칭" dataDxfId="55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54"/>
    <tableColumn id="13" xr3:uid="{00000000-0010-0000-1500-00000D000000}" name="Param2"/>
    <tableColumn id="2" xr3:uid="{00000000-0010-0000-1500-000002000000}" name="#Param2설명" dataDxfId="53"/>
    <tableColumn id="14" xr3:uid="{00000000-0010-0000-1500-00000E000000}" name="Param3"/>
    <tableColumn id="3" xr3:uid="{00000000-0010-0000-1500-000003000000}" name="#Param3설명" dataDxfId="52"/>
    <tableColumn id="8" xr3:uid="{00000000-0010-0000-1500-000008000000}" name="Param4" dataDxfId="51"/>
    <tableColumn id="9" xr3:uid="{00000000-0010-0000-1500-000009000000}" name="#Param3설명3" dataDxfId="5"/>
    <tableColumn id="10" xr3:uid="{951A949B-EF34-47CE-8BAF-0E6EF248C2E8}" name="#가치판단" dataDxfId="1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2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0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9"/>
    <tableColumn id="3" xr3:uid="{00000000-0010-0000-1600-000003000000}" name="#리소스 유형" dataDxfId="48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47" dataDxfId="46">
  <autoFilter ref="B2:I147" xr:uid="{00000000-0009-0000-0100-000003000000}"/>
  <tableColumns count="8">
    <tableColumn id="1" xr3:uid="{00000000-0010-0000-1700-000001000000}" name="StringKey" dataDxfId="45"/>
    <tableColumn id="2" xr3:uid="{00000000-0010-0000-1700-000002000000}" name="LocaleKR" dataDxfId="44"/>
    <tableColumn id="3" xr3:uid="{00000000-0010-0000-1700-000003000000}" name="LocaleUS" dataDxfId="43"/>
    <tableColumn id="6" xr3:uid="{E3862F4E-A202-4C33-8F08-0A8EE362E05D}" name="#컴포넌트1" dataDxfId="42"/>
    <tableColumn id="7" xr3:uid="{A8B25166-9EBA-45B8-A228-83468AA6119B}" name="#컴포넌트2" dataDxfId="41"/>
    <tableColumn id="8" xr3:uid="{32BD4EBA-A1BF-40F2-89E8-6AC453E97F65}" name="#컴포넌트3" dataDxfId="40"/>
    <tableColumn id="9" xr3:uid="{E4B209A1-024F-4787-87AC-CB0822188CFE}" name="#컴포넌트4" dataDxfId="39"/>
    <tableColumn id="5" xr3:uid="{E2A87673-1FFD-49A7-BA63-308B2C186E48}" name="#인덱스제너레이터" dataDxfId="38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3" t="s">
        <v>196</v>
      </c>
      <c r="C1" s="74"/>
      <c r="D1" s="74"/>
      <c r="E1" s="74"/>
    </row>
    <row r="2" spans="2:5" s="1" customFormat="1">
      <c r="B2" s="74"/>
      <c r="C2" s="74"/>
      <c r="D2" s="74"/>
      <c r="E2" s="74"/>
    </row>
    <row r="3" spans="2:5" s="1" customFormat="1">
      <c r="B3" s="74"/>
      <c r="C3" s="74"/>
      <c r="D3" s="74"/>
      <c r="E3" s="74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16" zoomScaleNormal="75" zoomScaleSheetLayoutView="100" workbookViewId="0">
      <selection activeCell="L27" sqref="L27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3" t="s">
        <v>125</v>
      </c>
      <c r="C1" s="74"/>
      <c r="D1" s="74"/>
      <c r="E1" s="74"/>
    </row>
    <row r="2" spans="2:18" s="1" customFormat="1">
      <c r="B2" s="74"/>
      <c r="C2" s="74"/>
      <c r="D2" s="74"/>
      <c r="E2" s="74"/>
    </row>
    <row r="3" spans="2:18" s="1" customFormat="1">
      <c r="B3" s="74"/>
      <c r="C3" s="74"/>
      <c r="D3" s="74"/>
      <c r="E3" s="74"/>
    </row>
    <row r="5" spans="2:18">
      <c r="B5" s="2" t="s">
        <v>49</v>
      </c>
      <c r="J5" s="2" t="s">
        <v>309</v>
      </c>
      <c r="K5" s="2"/>
      <c r="O5" s="31" t="s">
        <v>676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631</v>
      </c>
      <c r="K6" s="11" t="s">
        <v>308</v>
      </c>
      <c r="L6" s="11" t="s">
        <v>305</v>
      </c>
      <c r="M6" s="11" t="s">
        <v>306</v>
      </c>
      <c r="O6" s="16" t="s">
        <v>401</v>
      </c>
      <c r="P6" s="16" t="s">
        <v>308</v>
      </c>
      <c r="Q6" s="16" t="s">
        <v>305</v>
      </c>
      <c r="R6" s="16" t="s">
        <v>306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310</v>
      </c>
      <c r="K7">
        <v>0</v>
      </c>
      <c r="L7">
        <v>4</v>
      </c>
      <c r="M7">
        <v>7</v>
      </c>
      <c r="O7" s="16" t="s">
        <v>404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311</v>
      </c>
      <c r="K8">
        <v>0</v>
      </c>
      <c r="L8">
        <v>6</v>
      </c>
      <c r="M8">
        <v>12</v>
      </c>
      <c r="O8" s="16" t="s">
        <v>406</v>
      </c>
      <c r="P8">
        <v>20</v>
      </c>
      <c r="Q8">
        <v>80</v>
      </c>
      <c r="R8">
        <v>150</v>
      </c>
    </row>
    <row r="9" spans="2:18">
      <c r="J9" t="s">
        <v>312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408</v>
      </c>
      <c r="P9">
        <v>20</v>
      </c>
      <c r="Q9">
        <v>80</v>
      </c>
      <c r="R9">
        <v>150</v>
      </c>
    </row>
    <row r="11" spans="2:18">
      <c r="B11" s="2" t="s">
        <v>669</v>
      </c>
      <c r="C11" s="2"/>
      <c r="D11" s="2"/>
      <c r="J11" s="2" t="s">
        <v>402</v>
      </c>
    </row>
    <row r="12" spans="2:18">
      <c r="B12" s="11" t="s">
        <v>401</v>
      </c>
      <c r="C12" s="11" t="s">
        <v>307</v>
      </c>
      <c r="D12" s="11" t="s">
        <v>308</v>
      </c>
      <c r="E12" s="11" t="s">
        <v>305</v>
      </c>
      <c r="F12" s="11" t="s">
        <v>306</v>
      </c>
      <c r="G12" s="11" t="s">
        <v>410</v>
      </c>
      <c r="H12" s="16"/>
      <c r="J12" s="11" t="s">
        <v>401</v>
      </c>
      <c r="K12" s="11" t="s">
        <v>409</v>
      </c>
      <c r="L12" s="11" t="s">
        <v>629</v>
      </c>
      <c r="M12" s="11" t="s">
        <v>630</v>
      </c>
    </row>
    <row r="13" spans="2:18">
      <c r="B13" s="11" t="s">
        <v>404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404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411</v>
      </c>
      <c r="P13" s="11">
        <f>FloorInfo[[#Totals],[층 완료 획득 골드]]/30</f>
        <v>16.933333333333334</v>
      </c>
    </row>
    <row r="14" spans="2:18">
      <c r="B14" s="11" t="s">
        <v>404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406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412</v>
      </c>
      <c r="P14" s="11">
        <f>FloorInfo[[#Totals],[층 완료 획득 골드]]/50</f>
        <v>10.16</v>
      </c>
    </row>
    <row r="15" spans="2:18">
      <c r="B15" s="11" t="s">
        <v>403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408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403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312</v>
      </c>
      <c r="M16">
        <f>SUBTOTAL(109,FloorInfo[층 완료 획득 골드])</f>
        <v>508</v>
      </c>
    </row>
    <row r="17" spans="2:17">
      <c r="B17" s="11" t="s">
        <v>403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403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667</v>
      </c>
      <c r="K18" s="5"/>
    </row>
    <row r="19" spans="2:17">
      <c r="B19" s="11" t="s">
        <v>403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401</v>
      </c>
      <c r="K19" s="16" t="s">
        <v>672</v>
      </c>
      <c r="L19" s="16" t="s">
        <v>671</v>
      </c>
      <c r="M19" s="16" t="s">
        <v>673</v>
      </c>
      <c r="N19" s="16" t="s">
        <v>670</v>
      </c>
      <c r="O19" s="16" t="s">
        <v>674</v>
      </c>
      <c r="P19" s="16" t="s">
        <v>675</v>
      </c>
      <c r="Q19" s="16" t="s">
        <v>668</v>
      </c>
    </row>
    <row r="20" spans="2:17">
      <c r="B20" s="11" t="s">
        <v>403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403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406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403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408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406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406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405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405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405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405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405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405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405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405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408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408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407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407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407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407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407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407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407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407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A7" zoomScale="85" zoomScaleNormal="85" zoomScaleSheetLayoutView="100" workbookViewId="0">
      <selection activeCell="E18" sqref="E18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3" t="s">
        <v>176</v>
      </c>
      <c r="C1" s="74"/>
      <c r="D1" s="74"/>
      <c r="E1" s="74"/>
      <c r="F1" s="74"/>
      <c r="G1" s="74"/>
    </row>
    <row r="2" spans="1:17" s="1" customFormat="1">
      <c r="B2" s="74"/>
      <c r="C2" s="74"/>
      <c r="D2" s="74"/>
      <c r="E2" s="74"/>
      <c r="F2" s="74"/>
      <c r="G2" s="74"/>
    </row>
    <row r="3" spans="1:17" s="1" customFormat="1">
      <c r="B3" s="74"/>
      <c r="C3" s="74"/>
      <c r="D3" s="74"/>
      <c r="E3" s="74"/>
      <c r="F3" s="74"/>
      <c r="G3" s="74"/>
    </row>
    <row r="5" spans="1:17">
      <c r="B5" s="2" t="s">
        <v>732</v>
      </c>
      <c r="C5" s="8" t="s">
        <v>733</v>
      </c>
      <c r="H5" s="2" t="s">
        <v>677</v>
      </c>
      <c r="N5" s="2" t="s">
        <v>59</v>
      </c>
    </row>
    <row r="6" spans="1:17">
      <c r="B6" s="11" t="s">
        <v>741</v>
      </c>
      <c r="C6" s="11" t="s">
        <v>742</v>
      </c>
      <c r="D6" s="76" t="s">
        <v>842</v>
      </c>
      <c r="H6" t="s">
        <v>23</v>
      </c>
      <c r="I6" t="s">
        <v>211</v>
      </c>
      <c r="J6" t="s">
        <v>178</v>
      </c>
      <c r="N6" t="s">
        <v>55</v>
      </c>
      <c r="O6" s="11" t="s">
        <v>313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404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406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408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743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730</v>
      </c>
      <c r="H11" s="61" t="s">
        <v>628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724</v>
      </c>
      <c r="I12" s="11" t="s">
        <v>725</v>
      </c>
      <c r="J12" s="11" t="s">
        <v>726</v>
      </c>
      <c r="K12" t="s">
        <v>717</v>
      </c>
      <c r="L12" t="s">
        <v>718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36.36363636363636</v>
      </c>
      <c r="J13" s="19" cm="1">
        <f t="array" ref="J13">CharacterAtkTable[ChargeShootSpd]*표26[튕김 기댓값]*표26[튕김 속도 데미지 감쇄]</f>
        <v>24</v>
      </c>
      <c r="K13" s="19" cm="1">
        <f t="array" ref="K13">CharacterAtkTable[EnemyProjectileDmg]*표26[적에게 튕김 기댓값]</f>
        <v>28</v>
      </c>
      <c r="L13" s="19">
        <f>표25[[#This Row],[직접 차징 DPS]]+표25[[#This Row],[차징 튕김 데미지 추가]]+표25[[#This Row],[차징 공격 적 맞춤 데미지 추가]]</f>
        <v>88.36363636363636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t="s">
        <v>719</v>
      </c>
      <c r="I15" t="s">
        <v>720</v>
      </c>
      <c r="J15" t="s">
        <v>721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2</v>
      </c>
      <c r="I16">
        <v>0.7</v>
      </c>
      <c r="J16">
        <v>0.8</v>
      </c>
    </row>
    <row r="17" spans="1:15">
      <c r="A17" s="9"/>
      <c r="B17" s="63" t="s">
        <v>361</v>
      </c>
      <c r="C17" s="9" t="s">
        <v>152</v>
      </c>
      <c r="D17" s="11" t="s">
        <v>706</v>
      </c>
      <c r="E17" s="14">
        <f>50/0.8</f>
        <v>62.5</v>
      </c>
      <c r="F17" s="67">
        <v>0</v>
      </c>
    </row>
    <row r="18" spans="1:15">
      <c r="A18" s="9"/>
      <c r="B18" s="63" t="s">
        <v>708</v>
      </c>
      <c r="C18" s="9" t="s">
        <v>152</v>
      </c>
      <c r="D18" s="11" t="s">
        <v>709</v>
      </c>
      <c r="E18" s="19">
        <v>100</v>
      </c>
      <c r="F18" s="67">
        <v>0</v>
      </c>
      <c r="H18" t="s">
        <v>722</v>
      </c>
      <c r="I18" t="s">
        <v>723</v>
      </c>
      <c r="J18" s="11" t="s">
        <v>731</v>
      </c>
    </row>
    <row r="19" spans="1:15">
      <c r="A19" s="9"/>
      <c r="B19" t="s">
        <v>144</v>
      </c>
      <c r="C19" s="9" t="s">
        <v>141</v>
      </c>
      <c r="D19" s="11" t="s">
        <v>710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69.181818181818187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>
      <c r="A22" s="9"/>
      <c r="B22" s="9" t="s">
        <v>200</v>
      </c>
      <c r="C22" s="9" t="s">
        <v>10</v>
      </c>
      <c r="D22" s="11" t="s">
        <v>729</v>
      </c>
      <c r="E22" s="19">
        <f>30/0.3</f>
        <v>100</v>
      </c>
      <c r="F22" s="67">
        <v>0</v>
      </c>
    </row>
    <row r="23" spans="1:15">
      <c r="A23" s="9"/>
      <c r="B23" s="9" t="s">
        <v>8</v>
      </c>
      <c r="C23" s="9" t="s">
        <v>10</v>
      </c>
      <c r="D23" s="11" t="s">
        <v>728</v>
      </c>
      <c r="E23" s="19">
        <f>50/360</f>
        <v>0.1388888888888889</v>
      </c>
      <c r="F23" s="67">
        <v>0</v>
      </c>
    </row>
    <row r="24" spans="1:15">
      <c r="A24" s="9"/>
      <c r="B24" s="9" t="s">
        <v>137</v>
      </c>
      <c r="C24" s="9" t="s">
        <v>10</v>
      </c>
      <c r="D24" s="11" t="s">
        <v>727</v>
      </c>
      <c r="E24" s="19" cm="1">
        <f t="array" ref="E24">30/(CharacterAtkTable[SwingCooldown]*-0.08)</f>
        <v>-750</v>
      </c>
      <c r="F24" s="67">
        <v>0</v>
      </c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711</v>
      </c>
      <c r="E26" s="66" cm="1">
        <f t="array" ref="E26">30/(CharacterAtkTable[ChargeTime]*-0.15)</f>
        <v>-333.33333333333337</v>
      </c>
      <c r="F26" s="67">
        <v>0</v>
      </c>
    </row>
    <row r="27" spans="1:15">
      <c r="A27" s="9"/>
      <c r="B27" s="63" t="s">
        <v>383</v>
      </c>
      <c r="C27" s="9" t="s">
        <v>10</v>
      </c>
      <c r="D27" s="11" t="s">
        <v>712</v>
      </c>
      <c r="E27" s="66">
        <f>30/-0.08</f>
        <v>-375</v>
      </c>
      <c r="F27" s="67">
        <v>0</v>
      </c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>
      <c r="A30" s="9"/>
      <c r="B30" s="53" t="s">
        <v>417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831</v>
      </c>
    </row>
    <row r="43" spans="1:6">
      <c r="B43" s="11" t="s">
        <v>841</v>
      </c>
      <c r="C43" s="11" t="s">
        <v>843</v>
      </c>
      <c r="D43" s="11" t="s">
        <v>844</v>
      </c>
      <c r="E43" s="11" t="s">
        <v>831</v>
      </c>
      <c r="F43" s="11" t="s">
        <v>730</v>
      </c>
    </row>
    <row r="44" spans="1:6">
      <c r="B44" s="9" t="s">
        <v>832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>
      <c r="B45" s="9" t="s">
        <v>833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>
      <c r="B46" s="9" t="s">
        <v>834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s="75" t="s">
        <v>835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s="75" t="s">
        <v>836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s="75" t="s">
        <v>837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s="75" t="s">
        <v>838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s="75" t="s">
        <v>839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s="75" t="s">
        <v>840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B53" s="75"/>
      <c r="C53" s="63"/>
      <c r="D53" s="67"/>
      <c r="E53" s="67"/>
      <c r="F53" s="67"/>
    </row>
    <row r="54" spans="2:6">
      <c r="B54" s="2" t="s">
        <v>831</v>
      </c>
    </row>
    <row r="55" spans="2:6">
      <c r="B55" s="80" t="s">
        <v>858</v>
      </c>
      <c r="C55" s="81" t="s">
        <v>860</v>
      </c>
      <c r="D55" s="80" t="s">
        <v>861</v>
      </c>
      <c r="E55" s="80" t="s">
        <v>859</v>
      </c>
      <c r="F55" s="80" t="s">
        <v>730</v>
      </c>
    </row>
    <row r="56" spans="2:6">
      <c r="B56" s="82" t="s">
        <v>454</v>
      </c>
      <c r="C56" s="83"/>
      <c r="D56" s="83"/>
      <c r="E56" s="86" cm="1">
        <f t="array" ref="E56">밸런스시트31[체력 상승량]</f>
        <v>1.2</v>
      </c>
      <c r="F56" s="83"/>
    </row>
    <row r="57" spans="2:6">
      <c r="B57" s="82" t="s">
        <v>365</v>
      </c>
      <c r="C57" s="83"/>
      <c r="D57" s="83"/>
      <c r="E57" s="86"/>
      <c r="F57" s="83"/>
    </row>
    <row r="58" spans="2:6">
      <c r="B58" s="82" t="s">
        <v>352</v>
      </c>
      <c r="C58" s="83"/>
      <c r="D58" s="83"/>
      <c r="E58" s="86"/>
      <c r="F58" s="83"/>
    </row>
    <row r="59" spans="2:6">
      <c r="B59" s="84" t="s">
        <v>484</v>
      </c>
      <c r="C59" s="83"/>
      <c r="D59" s="83"/>
      <c r="E59" s="87">
        <v>1</v>
      </c>
      <c r="F59" s="83"/>
    </row>
    <row r="60" spans="2:6">
      <c r="B60" s="82" t="s">
        <v>337</v>
      </c>
      <c r="C60" s="83"/>
      <c r="D60" s="83"/>
      <c r="E60" s="86"/>
      <c r="F60" s="83"/>
    </row>
    <row r="61" spans="2:6">
      <c r="B61" s="82" t="s">
        <v>358</v>
      </c>
      <c r="C61" s="83"/>
      <c r="D61" s="83"/>
      <c r="E61" s="86"/>
      <c r="F61" s="83"/>
    </row>
    <row r="62" spans="2:6">
      <c r="B62" s="82" t="s">
        <v>353</v>
      </c>
      <c r="C62" s="83"/>
      <c r="D62" s="83"/>
      <c r="E62" s="86"/>
      <c r="F62" s="83"/>
    </row>
    <row r="63" spans="2:6">
      <c r="B63" s="82" t="s">
        <v>363</v>
      </c>
      <c r="C63" s="83"/>
      <c r="D63" s="83"/>
      <c r="E63" s="86"/>
      <c r="F63" s="83"/>
    </row>
    <row r="64" spans="2:6">
      <c r="B64" s="85" t="s">
        <v>473</v>
      </c>
      <c r="C64" s="83"/>
      <c r="D64" s="83"/>
      <c r="E64" s="86"/>
      <c r="F64" s="83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383</v>
      </c>
      <c r="H2" t="s">
        <v>5</v>
      </c>
      <c r="I2" s="16" t="s">
        <v>361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zoomScaleNormal="100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362</v>
      </c>
      <c r="E2" s="6" t="s">
        <v>200</v>
      </c>
      <c r="F2" s="37" t="s">
        <v>483</v>
      </c>
      <c r="G2" s="6" t="s">
        <v>218</v>
      </c>
      <c r="H2" s="6" t="s">
        <v>115</v>
      </c>
      <c r="I2" s="33" t="s">
        <v>433</v>
      </c>
      <c r="J2" s="37" t="s">
        <v>424</v>
      </c>
      <c r="K2" s="6" t="s">
        <v>16</v>
      </c>
      <c r="L2" s="7" t="s">
        <v>140</v>
      </c>
      <c r="M2" s="7" t="s">
        <v>146</v>
      </c>
      <c r="N2" s="38" t="s">
        <v>431</v>
      </c>
      <c r="O2" s="28" t="s">
        <v>432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40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404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406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408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366</v>
      </c>
      <c r="H2" t="s">
        <v>27</v>
      </c>
      <c r="I2" t="s">
        <v>52</v>
      </c>
    </row>
    <row r="3" spans="1:11">
      <c r="B3" s="23">
        <v>9001</v>
      </c>
      <c r="C3" s="25" t="s">
        <v>322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321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318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319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320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341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325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340</v>
      </c>
      <c r="D2" s="12" t="s">
        <v>251</v>
      </c>
      <c r="E2" t="s">
        <v>72</v>
      </c>
      <c r="F2" s="16" t="s">
        <v>317</v>
      </c>
      <c r="G2" t="s">
        <v>184</v>
      </c>
      <c r="H2" t="s">
        <v>186</v>
      </c>
      <c r="I2" s="16" t="s">
        <v>345</v>
      </c>
      <c r="J2" t="s">
        <v>0</v>
      </c>
      <c r="K2" s="16" t="s">
        <v>326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445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355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446</v>
      </c>
      <c r="D5" s="13" t="s">
        <v>257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447</v>
      </c>
      <c r="D6" s="13" t="s">
        <v>276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438</v>
      </c>
      <c r="C7" s="21" t="s">
        <v>150</v>
      </c>
      <c r="D7" s="21" t="s">
        <v>280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339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439</v>
      </c>
      <c r="C8" s="21" t="s">
        <v>151</v>
      </c>
      <c r="D8" s="21" t="s">
        <v>280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339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448</v>
      </c>
      <c r="D9" s="13" t="s">
        <v>279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440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509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449</v>
      </c>
      <c r="D11" s="13" t="s">
        <v>282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450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430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444</v>
      </c>
      <c r="U12">
        <v>1.4</v>
      </c>
      <c r="V12">
        <v>7</v>
      </c>
    </row>
    <row r="13" spans="2:22">
      <c r="B13" s="39">
        <v>551</v>
      </c>
      <c r="C13" s="40" t="s">
        <v>451</v>
      </c>
      <c r="D13" s="40" t="s">
        <v>258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436</v>
      </c>
      <c r="U13" s="39">
        <v>1.6</v>
      </c>
      <c r="V13" s="39">
        <v>7</v>
      </c>
    </row>
    <row r="14" spans="2:22">
      <c r="B14">
        <v>552</v>
      </c>
      <c r="C14" s="13" t="s">
        <v>452</v>
      </c>
      <c r="D14" s="13" t="s">
        <v>277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442</v>
      </c>
      <c r="U14">
        <v>1.4</v>
      </c>
      <c r="V14">
        <v>7</v>
      </c>
    </row>
    <row r="15" spans="2:22">
      <c r="B15">
        <v>553</v>
      </c>
      <c r="C15" s="14" t="s">
        <v>453</v>
      </c>
      <c r="D15" s="13" t="s">
        <v>278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441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434</v>
      </c>
      <c r="C16" s="22" t="s">
        <v>281</v>
      </c>
      <c r="D16" s="21" t="s">
        <v>280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338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304</v>
      </c>
    </row>
    <row r="3" spans="2:9">
      <c r="B3">
        <v>600</v>
      </c>
      <c r="C3" s="15" t="s">
        <v>296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259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259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259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259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259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259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259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259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259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292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300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300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300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291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290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297</v>
      </c>
      <c r="D23">
        <v>725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298</v>
      </c>
      <c r="D24">
        <v>725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299</v>
      </c>
      <c r="D25">
        <v>725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315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315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315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315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315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315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315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315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315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315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315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315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315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315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315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315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301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302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303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285</v>
      </c>
      <c r="D45">
        <v>700</v>
      </c>
      <c r="E45" t="s">
        <v>90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285</v>
      </c>
      <c r="D46">
        <v>701</v>
      </c>
      <c r="E46" t="s">
        <v>90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285</v>
      </c>
      <c r="D47">
        <v>700</v>
      </c>
      <c r="E47" t="s">
        <v>90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285</v>
      </c>
      <c r="D48">
        <v>701</v>
      </c>
      <c r="E48" t="s">
        <v>90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285</v>
      </c>
      <c r="D49">
        <v>700</v>
      </c>
      <c r="E49" t="s">
        <v>90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285</v>
      </c>
      <c r="D50">
        <v>701</v>
      </c>
      <c r="E50" t="s">
        <v>90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285</v>
      </c>
      <c r="D51">
        <v>700</v>
      </c>
      <c r="E51" t="s">
        <v>90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285</v>
      </c>
      <c r="D52">
        <v>701</v>
      </c>
      <c r="E52" t="s">
        <v>90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285</v>
      </c>
      <c r="D53">
        <v>700</v>
      </c>
      <c r="E53" t="s">
        <v>90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285</v>
      </c>
      <c r="D54">
        <v>701</v>
      </c>
      <c r="E54" t="s">
        <v>90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285</v>
      </c>
      <c r="D55">
        <v>700</v>
      </c>
      <c r="E55" t="s">
        <v>90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285</v>
      </c>
      <c r="D56">
        <v>727</v>
      </c>
      <c r="E56" t="s">
        <v>90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286</v>
      </c>
      <c r="D57">
        <v>725</v>
      </c>
      <c r="E57" s="16" t="s">
        <v>283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7" t="s">
        <v>286</v>
      </c>
      <c r="D58">
        <v>725</v>
      </c>
      <c r="E58" s="16" t="s">
        <v>283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7" t="s">
        <v>287</v>
      </c>
      <c r="D59">
        <v>999</v>
      </c>
      <c r="E59" s="16" t="s">
        <v>284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I104"/>
  <sheetViews>
    <sheetView topLeftCell="A4" zoomScaleNormal="75" zoomScaleSheetLayoutView="100" workbookViewId="0">
      <selection activeCell="E100" sqref="E100:E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267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270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271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260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261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293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3" t="s">
        <v>256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3" t="s">
        <v>256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3" t="s">
        <v>255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3" t="s">
        <v>255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3" t="s">
        <v>255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3" t="s">
        <v>255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3" t="s">
        <v>255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3" t="s">
        <v>255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19" t="s">
        <v>215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4" t="s">
        <v>324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323</v>
      </c>
      <c r="D80">
        <v>-135</v>
      </c>
      <c r="E80">
        <v>401</v>
      </c>
      <c r="F80">
        <v>0</v>
      </c>
      <c r="G80">
        <v>6.5</v>
      </c>
    </row>
    <row r="81" spans="2:9">
      <c r="B81">
        <v>727</v>
      </c>
      <c r="C81" s="14" t="s">
        <v>324</v>
      </c>
      <c r="D81">
        <v>22.5</v>
      </c>
      <c r="E81">
        <v>401</v>
      </c>
      <c r="F81">
        <v>0</v>
      </c>
      <c r="G81">
        <v>6.5</v>
      </c>
    </row>
    <row r="82" spans="2:9">
      <c r="B82">
        <v>727</v>
      </c>
      <c r="C82" s="14" t="s">
        <v>324</v>
      </c>
      <c r="D82">
        <v>112.5</v>
      </c>
      <c r="E82">
        <v>401</v>
      </c>
      <c r="F82">
        <v>0</v>
      </c>
      <c r="G82">
        <v>6.5</v>
      </c>
    </row>
    <row r="83" spans="2:9">
      <c r="B83">
        <v>727</v>
      </c>
      <c r="C83" s="14" t="s">
        <v>323</v>
      </c>
      <c r="D83">
        <v>202.5</v>
      </c>
      <c r="E83">
        <v>401</v>
      </c>
      <c r="F83">
        <v>0</v>
      </c>
      <c r="G83">
        <v>6.5</v>
      </c>
    </row>
    <row r="84" spans="2:9">
      <c r="B84">
        <v>727</v>
      </c>
      <c r="C84" s="14" t="s">
        <v>323</v>
      </c>
      <c r="D84">
        <v>-67.5</v>
      </c>
      <c r="E84">
        <v>401</v>
      </c>
      <c r="F84">
        <v>0</v>
      </c>
      <c r="G84">
        <v>6.5</v>
      </c>
    </row>
    <row r="85" spans="2:9">
      <c r="B85">
        <v>727</v>
      </c>
      <c r="C85" s="14" t="s">
        <v>323</v>
      </c>
      <c r="D85">
        <v>67.5</v>
      </c>
      <c r="E85">
        <v>401</v>
      </c>
      <c r="F85">
        <v>0</v>
      </c>
      <c r="G85">
        <v>6.5</v>
      </c>
    </row>
    <row r="86" spans="2:9">
      <c r="B86">
        <v>727</v>
      </c>
      <c r="C86" s="14" t="s">
        <v>323</v>
      </c>
      <c r="D86">
        <v>-22.5</v>
      </c>
      <c r="E86">
        <v>401</v>
      </c>
      <c r="F86">
        <v>0</v>
      </c>
      <c r="G86">
        <v>6.5</v>
      </c>
    </row>
    <row r="87" spans="2:9">
      <c r="B87">
        <v>727</v>
      </c>
      <c r="C87" s="14" t="s">
        <v>323</v>
      </c>
      <c r="D87">
        <v>157.5</v>
      </c>
      <c r="E87">
        <v>401</v>
      </c>
      <c r="F87">
        <v>0</v>
      </c>
      <c r="G87">
        <v>6.5</v>
      </c>
    </row>
    <row r="88" spans="2:9">
      <c r="B88">
        <v>727</v>
      </c>
      <c r="C88" s="14" t="s">
        <v>323</v>
      </c>
      <c r="D88">
        <v>-112.5</v>
      </c>
      <c r="E88">
        <v>401</v>
      </c>
      <c r="F88">
        <v>0</v>
      </c>
      <c r="G88">
        <v>6.5</v>
      </c>
    </row>
    <row r="89" spans="2:9">
      <c r="B89">
        <v>800</v>
      </c>
      <c r="C89" s="11" t="s">
        <v>380</v>
      </c>
      <c r="D89">
        <v>30</v>
      </c>
      <c r="E89">
        <v>201</v>
      </c>
      <c r="F89">
        <v>0</v>
      </c>
      <c r="G89">
        <v>6.5</v>
      </c>
    </row>
    <row r="90" spans="2:9">
      <c r="B90">
        <v>800</v>
      </c>
      <c r="C90" s="11" t="s">
        <v>380</v>
      </c>
      <c r="D90">
        <v>0</v>
      </c>
      <c r="E90">
        <v>201</v>
      </c>
      <c r="F90">
        <v>0</v>
      </c>
      <c r="G90">
        <v>6.5</v>
      </c>
    </row>
    <row r="91" spans="2:9">
      <c r="B91">
        <v>800</v>
      </c>
      <c r="C91" s="11" t="s">
        <v>380</v>
      </c>
      <c r="D91">
        <v>-30</v>
      </c>
      <c r="E91">
        <v>201</v>
      </c>
      <c r="F91">
        <v>0</v>
      </c>
      <c r="G91">
        <v>6.5</v>
      </c>
    </row>
    <row r="92" spans="2:9">
      <c r="B92">
        <v>804</v>
      </c>
      <c r="C92" s="11" t="s">
        <v>413</v>
      </c>
      <c r="D92">
        <v>0</v>
      </c>
      <c r="E92">
        <v>204</v>
      </c>
      <c r="F92">
        <v>2</v>
      </c>
      <c r="G92">
        <v>8</v>
      </c>
    </row>
    <row r="93" spans="2:9">
      <c r="B93">
        <v>804</v>
      </c>
      <c r="C93" s="11" t="s">
        <v>413</v>
      </c>
      <c r="D93">
        <v>90</v>
      </c>
      <c r="E93">
        <v>204</v>
      </c>
      <c r="F93">
        <v>2</v>
      </c>
      <c r="G93">
        <v>8</v>
      </c>
    </row>
    <row r="94" spans="2:9">
      <c r="B94">
        <v>804</v>
      </c>
      <c r="C94" s="11" t="s">
        <v>413</v>
      </c>
      <c r="D94">
        <v>180</v>
      </c>
      <c r="E94">
        <v>204</v>
      </c>
      <c r="F94">
        <v>2</v>
      </c>
      <c r="G94">
        <v>8</v>
      </c>
    </row>
    <row r="95" spans="2:9">
      <c r="B95">
        <v>804</v>
      </c>
      <c r="C95" s="11" t="s">
        <v>413</v>
      </c>
      <c r="D95">
        <v>-90</v>
      </c>
      <c r="E95">
        <v>204</v>
      </c>
      <c r="F95">
        <v>2</v>
      </c>
      <c r="G95">
        <v>8</v>
      </c>
    </row>
    <row r="96" spans="2:9">
      <c r="B96">
        <v>804</v>
      </c>
      <c r="C96" s="11" t="s">
        <v>413</v>
      </c>
      <c r="D96">
        <v>45</v>
      </c>
      <c r="E96">
        <v>204</v>
      </c>
      <c r="F96">
        <v>2</v>
      </c>
      <c r="G96">
        <v>8</v>
      </c>
      <c r="I96">
        <v>45</v>
      </c>
    </row>
    <row r="97" spans="2:7">
      <c r="B97">
        <v>804</v>
      </c>
      <c r="C97" s="11" t="s">
        <v>413</v>
      </c>
      <c r="D97">
        <v>-45</v>
      </c>
      <c r="E97">
        <v>204</v>
      </c>
      <c r="F97">
        <v>2</v>
      </c>
      <c r="G97">
        <v>8</v>
      </c>
    </row>
    <row r="98" spans="2:7">
      <c r="B98">
        <v>804</v>
      </c>
      <c r="C98" s="11" t="s">
        <v>413</v>
      </c>
      <c r="D98">
        <v>135</v>
      </c>
      <c r="E98">
        <v>204</v>
      </c>
      <c r="F98">
        <v>2</v>
      </c>
      <c r="G98">
        <v>8</v>
      </c>
    </row>
    <row r="99" spans="2:7">
      <c r="B99">
        <v>804</v>
      </c>
      <c r="C99" s="11" t="s">
        <v>413</v>
      </c>
      <c r="D99">
        <v>-135</v>
      </c>
      <c r="E99">
        <v>204</v>
      </c>
      <c r="F99">
        <v>2</v>
      </c>
      <c r="G99">
        <v>8</v>
      </c>
    </row>
    <row r="100" spans="2:7">
      <c r="B100">
        <v>805</v>
      </c>
      <c r="C100" s="11" t="s">
        <v>460</v>
      </c>
      <c r="D100">
        <v>45</v>
      </c>
      <c r="E100">
        <v>205</v>
      </c>
      <c r="F100">
        <v>1</v>
      </c>
      <c r="G100">
        <v>8</v>
      </c>
    </row>
    <row r="101" spans="2:7">
      <c r="B101">
        <v>805</v>
      </c>
      <c r="C101" s="11" t="s">
        <v>460</v>
      </c>
      <c r="D101">
        <v>-45</v>
      </c>
      <c r="E101">
        <v>205</v>
      </c>
      <c r="F101">
        <v>1</v>
      </c>
      <c r="G101">
        <v>8</v>
      </c>
    </row>
    <row r="102" spans="2:7">
      <c r="B102">
        <v>805</v>
      </c>
      <c r="C102" s="11" t="s">
        <v>460</v>
      </c>
      <c r="D102">
        <v>225</v>
      </c>
      <c r="E102">
        <v>205</v>
      </c>
      <c r="F102">
        <v>1</v>
      </c>
      <c r="G102">
        <v>8</v>
      </c>
    </row>
    <row r="103" spans="2:7">
      <c r="B103">
        <v>805</v>
      </c>
      <c r="C103" s="11" t="s">
        <v>460</v>
      </c>
      <c r="D103">
        <v>-225</v>
      </c>
      <c r="E103">
        <v>205</v>
      </c>
      <c r="F103">
        <v>1</v>
      </c>
      <c r="G103">
        <v>8</v>
      </c>
    </row>
    <row r="104" spans="2:7">
      <c r="B104">
        <v>999</v>
      </c>
      <c r="C104" s="16" t="s">
        <v>288</v>
      </c>
      <c r="D104">
        <v>0</v>
      </c>
      <c r="E104">
        <v>999</v>
      </c>
      <c r="F104">
        <v>8</v>
      </c>
      <c r="G104">
        <v>15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C4" sqref="C4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381</v>
      </c>
      <c r="D4" t="b">
        <v>1</v>
      </c>
      <c r="E4">
        <v>0.8</v>
      </c>
      <c r="F4">
        <v>15</v>
      </c>
      <c r="G4" s="11" t="s">
        <v>415</v>
      </c>
    </row>
    <row r="5" spans="2:7">
      <c r="B5">
        <v>204</v>
      </c>
      <c r="C5" s="14" t="s">
        <v>414</v>
      </c>
      <c r="D5" t="b">
        <v>1</v>
      </c>
      <c r="E5">
        <v>1.5</v>
      </c>
      <c r="F5">
        <v>30</v>
      </c>
      <c r="G5" s="11" t="s">
        <v>426</v>
      </c>
    </row>
    <row r="6" spans="2:7">
      <c r="B6">
        <v>205</v>
      </c>
      <c r="C6" s="14" t="s">
        <v>461</v>
      </c>
      <c r="D6" t="b">
        <v>1</v>
      </c>
      <c r="E6">
        <v>1.2</v>
      </c>
      <c r="F6">
        <v>30</v>
      </c>
      <c r="G6" s="11" t="s">
        <v>426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294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295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289</v>
      </c>
      <c r="D14" t="b">
        <v>1</v>
      </c>
      <c r="E14">
        <v>1</v>
      </c>
      <c r="F14">
        <v>25</v>
      </c>
      <c r="G14" s="16" t="s">
        <v>316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12" zoomScaleNormal="100" zoomScaleSheetLayoutView="100" workbookViewId="0">
      <selection activeCell="D8" sqref="D8:E27"/>
    </sheetView>
  </sheetViews>
  <sheetFormatPr defaultColWidth="8.875" defaultRowHeight="16.5"/>
  <cols>
    <col min="1" max="1" width="8.875" style="42"/>
    <col min="2" max="2" width="18.125" style="42" customWidth="1"/>
    <col min="3" max="3" width="24.125" style="42" customWidth="1"/>
    <col min="4" max="4" width="40.875" style="42" customWidth="1"/>
    <col min="5" max="5" width="17.625" style="42" customWidth="1"/>
    <col min="6" max="6" width="11.5" style="42" customWidth="1"/>
    <col min="7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469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607</v>
      </c>
      <c r="C2" s="64" t="s">
        <v>608</v>
      </c>
      <c r="D2" s="64" t="s">
        <v>609</v>
      </c>
      <c r="E2" s="64" t="s">
        <v>610</v>
      </c>
      <c r="F2" s="58" t="s">
        <v>41</v>
      </c>
      <c r="G2" s="58" t="s">
        <v>44</v>
      </c>
      <c r="H2" s="58" t="s">
        <v>105</v>
      </c>
      <c r="I2" s="58" t="s">
        <v>367</v>
      </c>
      <c r="J2" s="58" t="s">
        <v>368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532</v>
      </c>
      <c r="R2" s="59" t="s">
        <v>533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626</v>
      </c>
      <c r="Q8" s="57" t="s">
        <v>519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485</v>
      </c>
      <c r="Q9" s="57" t="s">
        <v>520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486</v>
      </c>
      <c r="Q10" s="57" t="s">
        <v>521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487</v>
      </c>
      <c r="Q11" s="57" t="s">
        <v>522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488</v>
      </c>
      <c r="Q12" s="57" t="s">
        <v>535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체력을 한칸 회복합니다.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489</v>
      </c>
      <c r="Q13" s="57" t="s">
        <v>536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455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490</v>
      </c>
      <c r="Q14" s="57" t="s">
        <v>523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491</v>
      </c>
      <c r="Q15" s="57" t="s">
        <v>538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492</v>
      </c>
      <c r="Q16" s="57" t="s">
        <v>540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493</v>
      </c>
      <c r="Q17" s="57" t="s">
        <v>541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494</v>
      </c>
      <c r="Q18" s="57" t="s">
        <v>542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495</v>
      </c>
      <c r="Q19" s="57" t="s">
        <v>524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496</v>
      </c>
      <c r="Q20" s="57" t="s">
        <v>543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-20%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497</v>
      </c>
      <c r="Q21" s="57" t="s">
        <v>525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498</v>
      </c>
      <c r="Q22" s="57" t="s">
        <v>526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499</v>
      </c>
      <c r="Q23" s="57" t="s">
        <v>618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2칸의 피해를 받습니다.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500</v>
      </c>
      <c r="Q24" s="57" t="s">
        <v>527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501</v>
      </c>
      <c r="Q25" s="57" t="s">
        <v>544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506</v>
      </c>
      <c r="Q26" s="57" t="s">
        <v>545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507</v>
      </c>
      <c r="Q27" s="57" t="s">
        <v>623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366</v>
      </c>
      <c r="L28" s="42">
        <v>1</v>
      </c>
      <c r="M28" s="42">
        <v>50</v>
      </c>
      <c r="N28" s="42">
        <v>100</v>
      </c>
      <c r="O28" s="42">
        <v>10000</v>
      </c>
      <c r="P28" s="42" t="s">
        <v>502</v>
      </c>
      <c r="Q28" s="57" t="s">
        <v>528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366</v>
      </c>
      <c r="L29" s="42">
        <v>1</v>
      </c>
      <c r="M29" s="42">
        <v>50</v>
      </c>
      <c r="N29" s="42">
        <v>100</v>
      </c>
      <c r="O29" s="42">
        <v>10001</v>
      </c>
      <c r="P29" s="42" t="s">
        <v>503</v>
      </c>
      <c r="Q29" s="57" t="s">
        <v>546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366</v>
      </c>
      <c r="L30" s="42">
        <v>1</v>
      </c>
      <c r="M30" s="42">
        <v>50</v>
      </c>
      <c r="N30" s="42">
        <v>100</v>
      </c>
      <c r="O30" s="42">
        <v>10002</v>
      </c>
      <c r="P30" s="42" t="s">
        <v>504</v>
      </c>
      <c r="Q30" s="57" t="s">
        <v>529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366</v>
      </c>
      <c r="L31" s="42">
        <v>1</v>
      </c>
      <c r="M31" s="42">
        <v>50</v>
      </c>
      <c r="N31" s="42">
        <v>100</v>
      </c>
      <c r="O31" s="42">
        <v>10003</v>
      </c>
      <c r="P31" s="42" t="s">
        <v>505</v>
      </c>
      <c r="Q31" s="57" t="s">
        <v>530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477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366</v>
      </c>
      <c r="L32" s="42">
        <v>1</v>
      </c>
      <c r="M32" s="42">
        <v>50</v>
      </c>
      <c r="N32" s="42">
        <v>100</v>
      </c>
      <c r="O32" s="42">
        <v>10004</v>
      </c>
      <c r="P32" s="42" t="s">
        <v>505</v>
      </c>
      <c r="Q32" s="57" t="s">
        <v>531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366</v>
      </c>
      <c r="L33" s="42">
        <v>1</v>
      </c>
      <c r="M33" s="42">
        <v>50</v>
      </c>
      <c r="N33" s="42">
        <v>100</v>
      </c>
      <c r="O33" s="42">
        <v>10005</v>
      </c>
      <c r="P33" s="42" t="s">
        <v>508</v>
      </c>
      <c r="Q33" s="57" t="s">
        <v>548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A4" zoomScaleNormal="100" zoomScaleSheetLayoutView="100" workbookViewId="0">
      <selection activeCell="A21" sqref="A21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26</v>
      </c>
      <c r="E1" s="16" t="s">
        <v>325</v>
      </c>
      <c r="F1" s="16" t="s">
        <v>325</v>
      </c>
      <c r="G1" s="16" t="s">
        <v>327</v>
      </c>
      <c r="H1" t="s">
        <v>68</v>
      </c>
      <c r="I1" s="16" t="s">
        <v>341</v>
      </c>
      <c r="J1" t="s">
        <v>68</v>
      </c>
      <c r="K1" s="16" t="s">
        <v>327</v>
      </c>
    </row>
    <row r="2" spans="2:19">
      <c r="B2" s="72" t="s">
        <v>69</v>
      </c>
      <c r="C2" s="72" t="s">
        <v>71</v>
      </c>
      <c r="D2" t="s">
        <v>41</v>
      </c>
      <c r="E2" s="16" t="s">
        <v>350</v>
      </c>
      <c r="F2" s="16" t="s">
        <v>351</v>
      </c>
      <c r="G2" s="16" t="s">
        <v>328</v>
      </c>
      <c r="H2" s="16" t="s">
        <v>329</v>
      </c>
      <c r="I2" s="30" t="s">
        <v>331</v>
      </c>
      <c r="J2" s="16" t="s">
        <v>330</v>
      </c>
      <c r="K2" s="30" t="s">
        <v>346</v>
      </c>
      <c r="L2" s="71" t="s">
        <v>745</v>
      </c>
      <c r="M2" s="71" t="s">
        <v>747</v>
      </c>
      <c r="N2" s="71" t="s">
        <v>746</v>
      </c>
      <c r="O2" s="71" t="s">
        <v>845</v>
      </c>
      <c r="P2" s="71" t="s">
        <v>846</v>
      </c>
      <c r="Q2" s="71" t="s">
        <v>847</v>
      </c>
      <c r="R2" s="71" t="s">
        <v>848</v>
      </c>
      <c r="S2" s="71" t="s">
        <v>849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348</v>
      </c>
      <c r="I3" s="16"/>
      <c r="J3" s="16" t="s">
        <v>347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348</v>
      </c>
      <c r="J4" s="16" t="s">
        <v>347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348</v>
      </c>
      <c r="I5" s="16"/>
      <c r="J5" s="16" t="s">
        <v>347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395</v>
      </c>
      <c r="J6" s="16" t="s">
        <v>347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348</v>
      </c>
      <c r="J7" s="16" t="s">
        <v>347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348</v>
      </c>
      <c r="J8" s="16" t="s">
        <v>347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376</v>
      </c>
      <c r="J9" s="16" t="s">
        <v>347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456</v>
      </c>
      <c r="J10" s="16" t="s">
        <v>347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376</v>
      </c>
      <c r="J11" s="16" t="s">
        <v>457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348</v>
      </c>
      <c r="J12" s="16" t="s">
        <v>347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348</v>
      </c>
      <c r="J13" s="16" t="s">
        <v>347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348</v>
      </c>
      <c r="J14" s="16" t="s">
        <v>347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364</v>
      </c>
      <c r="J15" s="16" t="s">
        <v>457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348</v>
      </c>
      <c r="J16" s="16" t="s">
        <v>347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397</v>
      </c>
      <c r="J17" s="16" t="s">
        <v>347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348</v>
      </c>
      <c r="J18" s="16" t="s">
        <v>347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348</v>
      </c>
      <c r="J19" s="16" t="s">
        <v>347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348</v>
      </c>
      <c r="J20" s="16" t="s">
        <v>347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478</v>
      </c>
      <c r="J21" s="16" t="s">
        <v>347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348</v>
      </c>
      <c r="J22" s="16" t="s">
        <v>347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420</v>
      </c>
      <c r="J23" s="16" t="s">
        <v>347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348</v>
      </c>
      <c r="J24" s="16" t="s">
        <v>347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348</v>
      </c>
      <c r="I25" s="39"/>
      <c r="J25" s="16" t="s">
        <v>347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364</v>
      </c>
      <c r="I26" s="39"/>
      <c r="J26" s="16" t="s">
        <v>347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354</v>
      </c>
      <c r="I27" s="16"/>
      <c r="J27" s="16" t="s">
        <v>347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354</v>
      </c>
      <c r="I28" s="16" t="s">
        <v>360</v>
      </c>
      <c r="J28" s="16" t="s">
        <v>359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354</v>
      </c>
      <c r="J29" s="16" t="s">
        <v>347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354</v>
      </c>
      <c r="J30" s="16" t="s">
        <v>347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354</v>
      </c>
      <c r="J31" s="16" t="s">
        <v>347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354</v>
      </c>
      <c r="J32" s="16" t="s">
        <v>347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49"/>
  <sheetViews>
    <sheetView tabSelected="1" zoomScaleNormal="100" zoomScaleSheetLayoutView="100" workbookViewId="0">
      <selection activeCell="G46" sqref="G46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735</v>
      </c>
      <c r="E1" s="16" t="s">
        <v>736</v>
      </c>
      <c r="F1" s="16" t="s">
        <v>336</v>
      </c>
      <c r="G1" s="16" t="s">
        <v>343</v>
      </c>
      <c r="H1" s="16" t="s">
        <v>336</v>
      </c>
    </row>
    <row r="2" spans="2:21" s="42" customFormat="1">
      <c r="B2" s="69" t="s">
        <v>855</v>
      </c>
      <c r="C2" s="69" t="s">
        <v>713</v>
      </c>
      <c r="D2" s="58" t="s">
        <v>41</v>
      </c>
      <c r="E2" s="58" t="s">
        <v>332</v>
      </c>
      <c r="F2" s="58" t="s">
        <v>342</v>
      </c>
      <c r="G2" s="60" t="s">
        <v>4</v>
      </c>
      <c r="H2" s="60" t="s">
        <v>344</v>
      </c>
      <c r="I2" s="69" t="s">
        <v>715</v>
      </c>
      <c r="J2" s="69" t="s">
        <v>714</v>
      </c>
      <c r="K2" s="70" t="s">
        <v>737</v>
      </c>
      <c r="L2" s="69" t="s">
        <v>734</v>
      </c>
      <c r="M2" s="69" t="s">
        <v>744</v>
      </c>
      <c r="N2" s="69" t="s">
        <v>850</v>
      </c>
      <c r="O2" s="69" t="s">
        <v>851</v>
      </c>
      <c r="P2" s="69" t="s">
        <v>716</v>
      </c>
      <c r="Q2" s="69" t="s">
        <v>854</v>
      </c>
      <c r="R2" s="69" t="s">
        <v>857</v>
      </c>
      <c r="S2" s="79" t="s">
        <v>862</v>
      </c>
      <c r="T2" s="69" t="s">
        <v>853</v>
      </c>
      <c r="U2" s="69" t="s">
        <v>852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422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7">
        <f>ItemEffectTable23[[#This Row],['#종합 효력]]/ItemEffectTable23[[#This Row],['#기준 효력]]</f>
        <v>1</v>
      </c>
    </row>
    <row r="4" spans="2:21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511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7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356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7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394</v>
      </c>
      <c r="F6" s="42">
        <v>0.2</v>
      </c>
      <c r="G6" s="42" t="s">
        <v>349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7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7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8" s="42">
        <v>7005</v>
      </c>
      <c r="E8" s="53" t="s">
        <v>427</v>
      </c>
      <c r="F8" s="42">
        <v>0</v>
      </c>
      <c r="G8" s="42" t="s">
        <v>349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7">
        <f>ItemEffectTable23[[#This Row],['#종합 효력]]/ItemEffectTable23[[#This Row],['#기준 효력]]</f>
        <v>2</v>
      </c>
    </row>
    <row r="9" spans="2:21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349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7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738</v>
      </c>
      <c r="G10" s="42" t="s">
        <v>349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7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349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7">
        <f>ItemEffectTable23[[#This Row],['#종합 효력]]/ItemEffectTable23[[#This Row],['#기준 효력]]</f>
        <v>1</v>
      </c>
    </row>
    <row r="12" spans="2:21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417</v>
      </c>
      <c r="F12" s="42">
        <v>3</v>
      </c>
      <c r="G12" s="42" t="s">
        <v>349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7">
        <f>ItemEffectTable23[[#This Row],['#종합 효력]]/ItemEffectTable23[[#This Row],['#기준 효력]]</f>
        <v>0.9</v>
      </c>
    </row>
    <row r="13" spans="2:21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13" s="42">
        <v>8005</v>
      </c>
      <c r="E13" s="53" t="s">
        <v>427</v>
      </c>
      <c r="F13" s="42">
        <v>0</v>
      </c>
      <c r="G13" s="42" t="s">
        <v>349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7">
        <f>ItemEffectTable23[[#This Row],['#종합 효력]]/ItemEffectTable23[[#This Row],['#기준 효력]]</f>
        <v>24</v>
      </c>
    </row>
    <row r="14" spans="2:21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-0.4</v>
      </c>
      <c r="D14" s="42">
        <v>9000</v>
      </c>
      <c r="E14" s="53" t="s">
        <v>137</v>
      </c>
      <c r="F14" s="42">
        <v>1.4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-149.99999999999997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-149.99999999999997</v>
      </c>
      <c r="Q14" s="19">
        <f>SUMIF(ItemEffectTable23['#아이템 명칭],ItemEffectTable23[[#This Row],['#아이템 명칭]],ItemEffectTable23['#총 가치판단])</f>
        <v>50.000000000000057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50.000000000000057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7">
        <f>ItemEffectTable23[[#This Row],['#종합 효력]]/ItemEffectTable23[[#This Row],['#기준 효력]]</f>
        <v>1.0000000000000011</v>
      </c>
    </row>
    <row r="15" spans="2:21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50.000000000000057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50.000000000000057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7">
        <f>ItemEffectTable23[[#This Row],['#종합 효력]]/ItemEffectTable23[[#This Row],['#기준 효력]]</f>
        <v>1.0000000000000011</v>
      </c>
    </row>
    <row r="16" spans="2:21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398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7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398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7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349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7">
        <f>ItemEffectTable23[[#This Row],['#종합 효력]]/ItemEffectTable23[[#This Row],['#기준 효력]]</f>
        <v>1</v>
      </c>
    </row>
    <row r="19" spans="2:21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19" s="42">
        <v>9003</v>
      </c>
      <c r="E19" s="53" t="s">
        <v>394</v>
      </c>
      <c r="F19" s="42">
        <v>0.45</v>
      </c>
      <c r="G19" s="42" t="s">
        <v>349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112.49999999999999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52.499999999999986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7">
        <f>ItemEffectTable23[[#This Row],['#종합 효력]]/ItemEffectTable23[[#This Row],['#기준 효력]]</f>
        <v>1.0499999999999998</v>
      </c>
    </row>
    <row r="20" spans="2:21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464</v>
      </c>
      <c r="F20">
        <v>0.95</v>
      </c>
      <c r="G20" s="11" t="s">
        <v>416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-16.250000000000007</v>
      </c>
      <c r="Q20" s="19">
        <f>SUMIF(ItemEffectTable23['#아이템 명칭],ItemEffectTable23[[#This Row],['#아이템 명칭]],ItemEffectTable23['#총 가치판단])</f>
        <v>-16.250000000000007</v>
      </c>
      <c r="R20" s="19">
        <f>IFERROR(INDEX(ItemEffectTable2324['#가치판단],MATCH(ItemEffectTable23[[#This Row],['#아이템 명칭]],ItemEffectTable2324['#명칭],0)),0)</f>
        <v>70</v>
      </c>
      <c r="S20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7">
        <f>ItemEffectTable23[[#This Row],['#종합 효력]]/ItemEffectTable23[[#This Row],['#기준 효력]]</f>
        <v>1.075</v>
      </c>
    </row>
    <row r="21" spans="2:21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425</v>
      </c>
      <c r="F21">
        <v>1.5</v>
      </c>
      <c r="G21" s="11" t="s">
        <v>416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53.124999999999993</v>
      </c>
      <c r="Q21" s="19">
        <f>SUMIF(ItemEffectTable23['#아이템 명칭],ItemEffectTable23[[#This Row],['#아이템 명칭]],ItemEffectTable23['#총 가치판단])</f>
        <v>53.124999999999993</v>
      </c>
      <c r="R21" s="19">
        <f>IFERROR(INDEX(ItemEffectTable2324['#가치판단],MATCH(ItemEffectTable23[[#This Row],['#아이템 명칭]],ItemEffectTable2324['#명칭],0)),0)</f>
        <v>0</v>
      </c>
      <c r="S21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7">
        <f>ItemEffectTable23[[#This Row],['#종합 효력]]/ItemEffectTable23[[#This Row],['#기준 효력]]</f>
        <v>1.0624999999999998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2" s="16">
        <v>9106</v>
      </c>
      <c r="E22" s="9" t="s">
        <v>200</v>
      </c>
      <c r="F22">
        <v>1.6</v>
      </c>
      <c r="G22" s="11" t="s">
        <v>511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159.99999999999997</v>
      </c>
      <c r="Q22" s="19">
        <f>SUMIF(ItemEffectTable23['#아이템 명칭],ItemEffectTable23[[#This Row],['#아이템 명칭]],ItemEffectTable23['#총 가치판단])</f>
        <v>84.999999999999986</v>
      </c>
      <c r="R22" s="19">
        <f>IFERROR(INDEX(ItemEffectTable2324['#가치판단],MATCH(ItemEffectTable23[[#This Row],['#아이템 명칭]],ItemEffectTable2324['#명칭],0)),0)</f>
        <v>-61</v>
      </c>
      <c r="S22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7">
        <f>ItemEffectTable23[[#This Row],['#종합 효력]]/ItemEffectTable23[[#This Row],['#기준 효력]]</f>
        <v>1.0899999999999996</v>
      </c>
    </row>
    <row r="23" spans="2:21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-74.999999999999986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7">
        <f>ItemEffectTable23[[#This Row],['#종합 효력]]/ItemEffectTable23[[#This Row],['#기준 효력]]</f>
        <v>1.0899999999999996</v>
      </c>
    </row>
    <row r="24" spans="2:21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4" s="19">
        <f>INDEX(ItemEffectTable[CoolTime],MATCH(ItemEffectTable23[[#This Row],[Index]],ItemEffectTable[ApplyBuffId],0))</f>
        <v>15</v>
      </c>
      <c r="O24" s="19">
        <f>IF(ItemEffectTable23[[#This Row],['#발동율]]=-1,-1,(ItemEffectTable23[[#This Row],['#발동율]]+ItemEffectTable23[[#This Row],['#쿨타임]])/ItemEffectTable23[[#This Row],[Duration]])</f>
        <v>5</v>
      </c>
      <c r="P24" s="19">
        <f>ItemEffectTable23[[#This Row],['#효력 가치 판단]]/IF(ItemEffectTable23[[#This Row],['#발동량]]=-1,1,ItemEffectTable23[[#This Row],['#발동량]])</f>
        <v>65</v>
      </c>
      <c r="Q24" s="19">
        <f>SUMIF(ItemEffectTable23['#아이템 명칭],ItemEffectTable23[[#This Row],['#아이템 명칭]],ItemEffectTable23['#총 가치판단])</f>
        <v>41.300000000000011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7">
        <f>ItemEffectTable23[[#This Row],['#종합 효력]]/ItemEffectTable23[[#This Row],['#기준 효력]]</f>
        <v>0.82600000000000018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707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-1.2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7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240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7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37.5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7">
        <f>ItemEffectTable23[[#This Row],['#종합 효력]]/ItemEffectTable23[[#This Row],['#기준 효력]]</f>
        <v>0.82600000000000018</v>
      </c>
    </row>
    <row r="28" spans="2:21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-300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7">
        <f>ItemEffectTable23[[#This Row],['#종합 효력]]/ItemEffectTable23[[#This Row],['#기준 효력]]</f>
        <v>0.82600000000000018</v>
      </c>
    </row>
    <row r="29" spans="2:21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16</v>
      </c>
      <c r="O29" s="19">
        <f>IF(ItemEffectTable23[[#This Row],['#발동율]]=-1,-1,(ItemEffectTable23[[#This Row],['#발동율]]+ItemEffectTable23[[#This Row],['#쿨타임]])/ItemEffectTable23[[#This Row],[Duration]])</f>
        <v>10.666666666666666</v>
      </c>
      <c r="P29" s="19">
        <f>ItemEffectTable23[[#This Row],['#효력 가치 판단]]/IF(ItemEffectTable23[[#This Row],['#발동량]]=-1,1,ItemEffectTable23[[#This Row],['#발동량]])</f>
        <v>-15.234375</v>
      </c>
      <c r="Q29" s="19">
        <f>SUMIF(ItemEffectTable23['#아이템 명칭],ItemEffectTable23[[#This Row],['#아이템 명칭]],ItemEffectTable23['#총 가치판단])</f>
        <v>-15.234375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-15.234375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7">
        <f>ItemEffectTable23[[#This Row],['#종합 효력]]/ItemEffectTable23[[#This Row],['#기준 효력]]</f>
        <v>-0.3046875</v>
      </c>
    </row>
    <row r="30" spans="2:21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482</v>
      </c>
      <c r="F30">
        <v>2.5</v>
      </c>
      <c r="G30" s="11" t="s">
        <v>511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18</v>
      </c>
      <c r="O30" s="19">
        <f>IF(ItemEffectTable23[[#This Row],['#발동율]]=-1,-1,(ItemEffectTable23[[#This Row],['#발동율]]+ItemEffectTable23[[#This Row],['#쿨타임]])/ItemEffectTable23[[#This Row],[Duration]])</f>
        <v>1.8</v>
      </c>
      <c r="P30" s="19">
        <f>ItemEffectTable23[[#This Row],['#효력 가치 판단]]/IF(ItemEffectTable23[[#This Row],['#발동량]]=-1,1,ItemEffectTable23[[#This Row],['#발동량]])</f>
        <v>138.88888888888889</v>
      </c>
      <c r="Q30" s="19">
        <f>SUMIF(ItemEffectTable23['#아이템 명칭],ItemEffectTable23[[#This Row],['#아이템 명칭]],ItemEffectTable23['#총 가치판단])</f>
        <v>138.88888888888889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7">
        <f>ItemEffectTable23[[#This Row],['#종합 효력]]/ItemEffectTable23[[#This Row],['#기준 효력]]</f>
        <v>2.7777777777777777</v>
      </c>
    </row>
    <row r="32" spans="2:21">
      <c r="F32" s="11"/>
      <c r="G32" s="11"/>
      <c r="H32" s="68"/>
    </row>
    <row r="33" spans="3:9">
      <c r="E33" s="11"/>
    </row>
    <row r="34" spans="3:9">
      <c r="C34" s="11"/>
    </row>
    <row r="35" spans="3:9">
      <c r="C35" s="11"/>
    </row>
    <row r="37" spans="3:9">
      <c r="C37" s="11"/>
    </row>
    <row r="38" spans="3:9">
      <c r="C38" s="11"/>
    </row>
    <row r="44" spans="3:9">
      <c r="C44" s="11"/>
    </row>
    <row r="46" spans="3:9">
      <c r="D46" s="11"/>
    </row>
    <row r="47" spans="3:9">
      <c r="I47" s="11"/>
    </row>
    <row r="49" spans="3:4">
      <c r="C49" s="11"/>
      <c r="D49" s="11"/>
    </row>
  </sheetData>
  <phoneticPr fontId="12" type="noConversion"/>
  <conditionalFormatting sqref="U3:U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topLeftCell="B1" zoomScaleNormal="100" zoomScaleSheetLayoutView="100" workbookViewId="0">
      <selection activeCell="E6" sqref="E6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3" width="14.125" customWidth="1"/>
    <col min="14" max="14" width="14.25" customWidth="1"/>
  </cols>
  <sheetData>
    <row r="1" spans="1:14">
      <c r="B1" t="s">
        <v>26</v>
      </c>
      <c r="D1" t="s">
        <v>68</v>
      </c>
      <c r="E1" s="16" t="s">
        <v>327</v>
      </c>
      <c r="F1" s="16"/>
      <c r="G1" s="16" t="s">
        <v>336</v>
      </c>
      <c r="H1" s="16"/>
      <c r="I1" s="16" t="s">
        <v>336</v>
      </c>
      <c r="J1" s="16"/>
      <c r="K1" s="16" t="s">
        <v>336</v>
      </c>
    </row>
    <row r="2" spans="1:14">
      <c r="B2" t="s">
        <v>41</v>
      </c>
      <c r="C2" s="36" t="s">
        <v>379</v>
      </c>
      <c r="D2" s="16" t="s">
        <v>357</v>
      </c>
      <c r="E2" s="16" t="s">
        <v>333</v>
      </c>
      <c r="F2" s="34" t="s">
        <v>369</v>
      </c>
      <c r="G2" s="30" t="s">
        <v>334</v>
      </c>
      <c r="H2" s="34" t="s">
        <v>370</v>
      </c>
      <c r="I2" s="30" t="s">
        <v>335</v>
      </c>
      <c r="J2" s="34" t="s">
        <v>371</v>
      </c>
      <c r="K2" s="30" t="s">
        <v>385</v>
      </c>
      <c r="L2" s="34" t="s">
        <v>384</v>
      </c>
      <c r="M2" s="69" t="s">
        <v>856</v>
      </c>
      <c r="N2" s="78" t="s">
        <v>863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365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365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365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352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484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337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358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353</v>
      </c>
      <c r="E14">
        <v>0.5</v>
      </c>
      <c r="F14" s="14" t="s">
        <v>372</v>
      </c>
      <c r="G14">
        <v>3</v>
      </c>
      <c r="H14" s="14" t="s">
        <v>468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363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479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473</v>
      </c>
      <c r="E16" s="20">
        <v>70</v>
      </c>
      <c r="F16" s="22" t="s">
        <v>474</v>
      </c>
      <c r="G16" s="20">
        <v>5</v>
      </c>
      <c r="H16" s="22" t="s">
        <v>475</v>
      </c>
      <c r="I16" s="20">
        <v>18</v>
      </c>
      <c r="J16" s="22" t="s">
        <v>476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opLeftCell="A111" zoomScaleNormal="100" zoomScaleSheetLayoutView="100" workbookViewId="0">
      <selection activeCell="C130" sqref="C130"/>
    </sheetView>
  </sheetViews>
  <sheetFormatPr defaultColWidth="8.875" defaultRowHeight="16.5"/>
  <cols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>
      <c r="B2" s="11" t="s">
        <v>620</v>
      </c>
      <c r="C2" s="9" t="s">
        <v>172</v>
      </c>
      <c r="D2" t="s">
        <v>171</v>
      </c>
      <c r="E2" s="36" t="s">
        <v>550</v>
      </c>
      <c r="F2" s="36" t="s">
        <v>551</v>
      </c>
      <c r="G2" s="36" t="s">
        <v>552</v>
      </c>
      <c r="H2" s="36" t="s">
        <v>553</v>
      </c>
      <c r="I2" s="36" t="s">
        <v>591</v>
      </c>
    </row>
    <row r="3" spans="2:9">
      <c r="B3" t="str">
        <f>LocaleTable[[#This Row],['#인덱스제너레이터]]</f>
        <v>UI_Title_Button_Start</v>
      </c>
      <c r="C3" s="53" t="s">
        <v>584</v>
      </c>
      <c r="D3" s="53" t="s">
        <v>577</v>
      </c>
      <c r="E3" s="14" t="s">
        <v>555</v>
      </c>
      <c r="F3" s="14" t="s">
        <v>589</v>
      </c>
      <c r="G3" s="14" t="s">
        <v>581</v>
      </c>
      <c r="H3" s="14" t="s">
        <v>578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585</v>
      </c>
      <c r="D4" s="53" t="s">
        <v>579</v>
      </c>
      <c r="E4" s="14" t="s">
        <v>555</v>
      </c>
      <c r="F4" s="14" t="s">
        <v>589</v>
      </c>
      <c r="G4" s="14" t="s">
        <v>581</v>
      </c>
      <c r="H4" s="14" t="s">
        <v>580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586</v>
      </c>
      <c r="D5" s="53" t="s">
        <v>582</v>
      </c>
      <c r="E5" s="14" t="s">
        <v>555</v>
      </c>
      <c r="F5" s="14" t="s">
        <v>589</v>
      </c>
      <c r="G5" s="56" t="s">
        <v>581</v>
      </c>
      <c r="H5" s="14" t="s">
        <v>583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683</v>
      </c>
      <c r="D6" s="53" t="s">
        <v>678</v>
      </c>
      <c r="E6" s="14" t="s">
        <v>555</v>
      </c>
      <c r="F6" s="14" t="s">
        <v>589</v>
      </c>
      <c r="G6" s="56" t="s">
        <v>581</v>
      </c>
      <c r="H6" s="14" t="s">
        <v>678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793</v>
      </c>
      <c r="D7" s="53" t="s">
        <v>582</v>
      </c>
      <c r="E7" s="14" t="s">
        <v>555</v>
      </c>
      <c r="F7" s="56" t="s">
        <v>580</v>
      </c>
      <c r="G7" s="56" t="s">
        <v>589</v>
      </c>
      <c r="H7" s="14" t="s">
        <v>583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774</v>
      </c>
      <c r="D8" s="53" t="s">
        <v>794</v>
      </c>
      <c r="E8" s="14" t="s">
        <v>555</v>
      </c>
      <c r="F8" s="56" t="s">
        <v>580</v>
      </c>
      <c r="G8" s="56" t="s">
        <v>589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775</v>
      </c>
      <c r="D9" s="53" t="s">
        <v>795</v>
      </c>
      <c r="E9" s="14" t="s">
        <v>555</v>
      </c>
      <c r="F9" s="56" t="s">
        <v>580</v>
      </c>
      <c r="G9" s="56" t="s">
        <v>589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776</v>
      </c>
      <c r="D10" s="53" t="s">
        <v>796</v>
      </c>
      <c r="E10" s="14" t="s">
        <v>555</v>
      </c>
      <c r="F10" s="56" t="s">
        <v>580</v>
      </c>
      <c r="G10" s="56" t="s">
        <v>589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777</v>
      </c>
      <c r="D11" s="53" t="s">
        <v>797</v>
      </c>
      <c r="E11" s="14" t="s">
        <v>555</v>
      </c>
      <c r="F11" s="56" t="s">
        <v>580</v>
      </c>
      <c r="G11" s="56" t="s">
        <v>589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778</v>
      </c>
      <c r="D12" s="53" t="s">
        <v>798</v>
      </c>
      <c r="E12" s="14" t="s">
        <v>555</v>
      </c>
      <c r="F12" s="56" t="s">
        <v>580</v>
      </c>
      <c r="G12" s="56" t="s">
        <v>589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779</v>
      </c>
      <c r="D13" s="53" t="s">
        <v>799</v>
      </c>
      <c r="E13" s="14" t="s">
        <v>555</v>
      </c>
      <c r="F13" s="56" t="s">
        <v>580</v>
      </c>
      <c r="G13" s="56" t="s">
        <v>589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780</v>
      </c>
      <c r="D14" s="53" t="s">
        <v>800</v>
      </c>
      <c r="E14" s="14" t="s">
        <v>555</v>
      </c>
      <c r="F14" s="56" t="s">
        <v>580</v>
      </c>
      <c r="G14" s="56" t="s">
        <v>589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590</v>
      </c>
      <c r="D15" s="53" t="s">
        <v>549</v>
      </c>
      <c r="E15" s="14" t="s">
        <v>555</v>
      </c>
      <c r="F15" s="56" t="s">
        <v>580</v>
      </c>
      <c r="G15" s="56" t="s">
        <v>589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555</v>
      </c>
      <c r="F16" s="56" t="s">
        <v>580</v>
      </c>
      <c r="G16" s="56" t="s">
        <v>781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>
      <c r="B17" t="str">
        <f>LocaleTable[[#This Row],['#인덱스제너레이터]]</f>
        <v>UI_Tutorial_MainText_2</v>
      </c>
      <c r="C17" s="53" t="s">
        <v>782</v>
      </c>
      <c r="D17" s="53" t="s">
        <v>801</v>
      </c>
      <c r="E17" s="14" t="s">
        <v>555</v>
      </c>
      <c r="F17" s="56" t="s">
        <v>580</v>
      </c>
      <c r="G17" s="56" t="s">
        <v>781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>
      <c r="B18" t="str">
        <f>LocaleTable[[#This Row],['#인덱스제너레이터]]</f>
        <v>UI_Tutorial_MainText_3</v>
      </c>
      <c r="C18" s="53" t="s">
        <v>783</v>
      </c>
      <c r="D18" s="53" t="s">
        <v>802</v>
      </c>
      <c r="E18" s="14" t="s">
        <v>555</v>
      </c>
      <c r="F18" s="56" t="s">
        <v>580</v>
      </c>
      <c r="G18" s="56" t="s">
        <v>781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>
      <c r="B19" t="str">
        <f>LocaleTable[[#This Row],['#인덱스제너레이터]]</f>
        <v>UI_Tutorial_MainText_4</v>
      </c>
      <c r="C19" s="53" t="s">
        <v>784</v>
      </c>
      <c r="D19" s="53" t="s">
        <v>803</v>
      </c>
      <c r="E19" s="14" t="s">
        <v>555</v>
      </c>
      <c r="F19" s="56" t="s">
        <v>580</v>
      </c>
      <c r="G19" s="56" t="s">
        <v>781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>
      <c r="B20" t="str">
        <f>LocaleTable[[#This Row],['#인덱스제너레이터]]</f>
        <v>UI_Tutorial_MainText_5</v>
      </c>
      <c r="C20" s="53" t="s">
        <v>785</v>
      </c>
      <c r="D20" s="53" t="s">
        <v>804</v>
      </c>
      <c r="E20" s="14" t="s">
        <v>555</v>
      </c>
      <c r="F20" s="56" t="s">
        <v>580</v>
      </c>
      <c r="G20" s="56" t="s">
        <v>781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>
      <c r="B21" t="str">
        <f>LocaleTable[[#This Row],['#인덱스제너레이터]]</f>
        <v>UI_Tutorial_MainText_6</v>
      </c>
      <c r="C21" s="53" t="s">
        <v>786</v>
      </c>
      <c r="D21" s="53" t="s">
        <v>805</v>
      </c>
      <c r="E21" s="14" t="s">
        <v>555</v>
      </c>
      <c r="F21" s="56" t="s">
        <v>580</v>
      </c>
      <c r="G21" s="56" t="s">
        <v>781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>
      <c r="B22" t="str">
        <f>LocaleTable[[#This Row],['#인덱스제너레이터]]</f>
        <v>UI_Tutorial_MainText_7</v>
      </c>
      <c r="C22" s="53" t="s">
        <v>787</v>
      </c>
      <c r="D22" s="53" t="s">
        <v>806</v>
      </c>
      <c r="E22" s="14" t="s">
        <v>555</v>
      </c>
      <c r="F22" s="56" t="s">
        <v>580</v>
      </c>
      <c r="G22" s="56" t="s">
        <v>781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>
      <c r="B23" t="str">
        <f>LocaleTable[[#This Row],['#인덱스제너레이터]]</f>
        <v>UI_Tutorial_MainText_8</v>
      </c>
      <c r="C23" s="53" t="s">
        <v>788</v>
      </c>
      <c r="D23" s="53" t="s">
        <v>807</v>
      </c>
      <c r="E23" s="14" t="s">
        <v>555</v>
      </c>
      <c r="F23" s="56" t="s">
        <v>580</v>
      </c>
      <c r="G23" s="56" t="s">
        <v>781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555</v>
      </c>
      <c r="F24" s="56" t="s">
        <v>580</v>
      </c>
      <c r="G24" s="56" t="s">
        <v>789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3">
      <c r="B25" t="str">
        <f>LocaleTable[[#This Row],['#인덱스제너레이터]]</f>
        <v>UI_Tutorial_SubText_2</v>
      </c>
      <c r="C25" s="53" t="s">
        <v>813</v>
      </c>
      <c r="D25" s="53" t="s">
        <v>814</v>
      </c>
      <c r="E25" s="14" t="s">
        <v>555</v>
      </c>
      <c r="F25" s="56" t="s">
        <v>580</v>
      </c>
      <c r="G25" s="56" t="s">
        <v>789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>
      <c r="B26" t="str">
        <f>LocaleTable[[#This Row],['#인덱스제너레이터]]</f>
        <v>UI_Tutorial_SubText_3</v>
      </c>
      <c r="C26" s="53" t="s">
        <v>790</v>
      </c>
      <c r="D26" s="53" t="s">
        <v>808</v>
      </c>
      <c r="E26" s="14" t="s">
        <v>555</v>
      </c>
      <c r="F26" s="56" t="s">
        <v>580</v>
      </c>
      <c r="G26" s="56" t="s">
        <v>789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3">
      <c r="B27" t="str">
        <f>LocaleTable[[#This Row],['#인덱스제너레이터]]</f>
        <v>UI_Tutorial_SubText_4</v>
      </c>
      <c r="C27" s="53" t="s">
        <v>817</v>
      </c>
      <c r="D27" s="53" t="s">
        <v>816</v>
      </c>
      <c r="E27" s="14" t="s">
        <v>555</v>
      </c>
      <c r="F27" s="56" t="s">
        <v>580</v>
      </c>
      <c r="G27" s="56" t="s">
        <v>789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3">
      <c r="B28" t="str">
        <f>LocaleTable[[#This Row],['#인덱스제너레이터]]</f>
        <v>UI_Tutorial_SubText_5</v>
      </c>
      <c r="C28" s="53" t="s">
        <v>818</v>
      </c>
      <c r="D28" s="53" t="s">
        <v>815</v>
      </c>
      <c r="E28" s="14" t="s">
        <v>555</v>
      </c>
      <c r="F28" s="56" t="s">
        <v>580</v>
      </c>
      <c r="G28" s="56" t="s">
        <v>789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>
      <c r="B29" t="str">
        <f>LocaleTable[[#This Row],['#인덱스제너레이터]]</f>
        <v>UI_Tutorial_SubText_6</v>
      </c>
      <c r="C29" s="53" t="s">
        <v>791</v>
      </c>
      <c r="D29" s="53" t="s">
        <v>809</v>
      </c>
      <c r="E29" s="14" t="s">
        <v>555</v>
      </c>
      <c r="F29" s="56" t="s">
        <v>580</v>
      </c>
      <c r="G29" s="56" t="s">
        <v>789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>
      <c r="B30" t="str">
        <f>LocaleTable[[#This Row],['#인덱스제너레이터]]</f>
        <v>UI_Tutorial_SubText_7</v>
      </c>
      <c r="C30" s="53" t="s">
        <v>811</v>
      </c>
      <c r="D30" s="53" t="s">
        <v>812</v>
      </c>
      <c r="E30" s="14" t="s">
        <v>555</v>
      </c>
      <c r="F30" s="56" t="s">
        <v>580</v>
      </c>
      <c r="G30" s="56" t="s">
        <v>789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>
      <c r="B31" t="str">
        <f>LocaleTable[[#This Row],['#인덱스제너레이터]]</f>
        <v>UI_Tutorial_SubText_8</v>
      </c>
      <c r="C31" s="53" t="s">
        <v>792</v>
      </c>
      <c r="D31" s="53" t="s">
        <v>810</v>
      </c>
      <c r="E31" s="14" t="s">
        <v>555</v>
      </c>
      <c r="F31" s="56" t="s">
        <v>580</v>
      </c>
      <c r="G31" s="56" t="s">
        <v>789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>
      <c r="B32" t="str">
        <f>LocaleTable[[#This Row],['#인덱스제너레이터]]</f>
        <v>UI_Setting_Title</v>
      </c>
      <c r="C32" s="53" t="s">
        <v>683</v>
      </c>
      <c r="D32" s="53" t="s">
        <v>678</v>
      </c>
      <c r="E32" s="14" t="s">
        <v>555</v>
      </c>
      <c r="F32" s="14" t="s">
        <v>678</v>
      </c>
      <c r="G32" s="56" t="s">
        <v>589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>
      <c r="B33" t="str">
        <f>LocaleTable[[#This Row],['#인덱스제너레이터]]</f>
        <v>UI_Setting_MasterVolume</v>
      </c>
      <c r="C33" s="53" t="s">
        <v>685</v>
      </c>
      <c r="D33" s="53" t="s">
        <v>684</v>
      </c>
      <c r="E33" s="14" t="s">
        <v>555</v>
      </c>
      <c r="F33" s="14" t="s">
        <v>678</v>
      </c>
      <c r="G33" s="56" t="s">
        <v>679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>
      <c r="B34" t="str">
        <f>LocaleTable[[#This Row],['#인덱스제너레이터]]</f>
        <v>UI_Setting_BGMVolume</v>
      </c>
      <c r="C34" s="53" t="s">
        <v>686</v>
      </c>
      <c r="D34" s="53" t="s">
        <v>689</v>
      </c>
      <c r="E34" s="14" t="s">
        <v>555</v>
      </c>
      <c r="F34" s="14" t="s">
        <v>678</v>
      </c>
      <c r="G34" s="56" t="s">
        <v>680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>
      <c r="B35" t="str">
        <f>LocaleTable[[#This Row],['#인덱스제너레이터]]</f>
        <v>UI_Setting_SFXVolume</v>
      </c>
      <c r="C35" s="53" t="s">
        <v>687</v>
      </c>
      <c r="D35" s="53" t="s">
        <v>688</v>
      </c>
      <c r="E35" s="14" t="s">
        <v>555</v>
      </c>
      <c r="F35" s="14" t="s">
        <v>678</v>
      </c>
      <c r="G35" s="56" t="s">
        <v>681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>
      <c r="B36" t="str">
        <f>LocaleTable[[#This Row],['#인덱스제너레이터]]</f>
        <v>UI_Setting_Language</v>
      </c>
      <c r="C36" s="53" t="s">
        <v>690</v>
      </c>
      <c r="D36" s="53" t="s">
        <v>682</v>
      </c>
      <c r="E36" s="14" t="s">
        <v>555</v>
      </c>
      <c r="F36" s="14" t="s">
        <v>678</v>
      </c>
      <c r="G36" s="56" t="s">
        <v>682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>
      <c r="B37" t="str">
        <f>LocaleTable[[#This Row],['#인덱스제너레이터]]</f>
        <v>UI_Setting_GoToTitle</v>
      </c>
      <c r="C37" s="53" t="s">
        <v>692</v>
      </c>
      <c r="D37" s="53" t="s">
        <v>693</v>
      </c>
      <c r="E37" s="14" t="s">
        <v>555</v>
      </c>
      <c r="F37" s="14" t="s">
        <v>678</v>
      </c>
      <c r="G37" s="56" t="s">
        <v>691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>
      <c r="B38" t="str">
        <f>LocaleTable[[#This Row],['#인덱스제너레이터]]</f>
        <v>UI_Setting_Tutorial</v>
      </c>
      <c r="C38" s="53" t="s">
        <v>694</v>
      </c>
      <c r="D38" s="53" t="s">
        <v>580</v>
      </c>
      <c r="E38" s="14" t="s">
        <v>555</v>
      </c>
      <c r="F38" s="14" t="s">
        <v>678</v>
      </c>
      <c r="G38" s="56" t="s">
        <v>580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>
      <c r="B39" t="str">
        <f>LocaleTable[[#This Row],['#인덱스제너레이터]]</f>
        <v>UI_Tap_Subtitle_Items</v>
      </c>
      <c r="C39" s="53" t="s">
        <v>590</v>
      </c>
      <c r="D39" s="53" t="s">
        <v>705</v>
      </c>
      <c r="E39" s="14" t="s">
        <v>555</v>
      </c>
      <c r="F39" s="14" t="s">
        <v>587</v>
      </c>
      <c r="G39" s="14" t="s">
        <v>588</v>
      </c>
      <c r="H39" s="14" t="s">
        <v>705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>
      <c r="B40" t="str">
        <f>LocaleTable[[#This Row],['#인덱스제너레이터]]</f>
        <v>UI_Tap_Subtitle_Map</v>
      </c>
      <c r="C40" s="53" t="s">
        <v>570</v>
      </c>
      <c r="D40" s="53" t="s">
        <v>556</v>
      </c>
      <c r="E40" s="14" t="s">
        <v>555</v>
      </c>
      <c r="F40" s="14" t="s">
        <v>587</v>
      </c>
      <c r="G40" s="14" t="s">
        <v>588</v>
      </c>
      <c r="H40" s="14" t="s">
        <v>557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>
      <c r="B41" t="str">
        <f>LocaleTable[[#This Row],['#인덱스제너레이터]]</f>
        <v>UI_Tap_Stat_AtkDmg</v>
      </c>
      <c r="C41" s="53" t="s">
        <v>571</v>
      </c>
      <c r="D41" s="53" t="s">
        <v>559</v>
      </c>
      <c r="E41" s="19" t="s">
        <v>555</v>
      </c>
      <c r="F41" s="14" t="s">
        <v>587</v>
      </c>
      <c r="G41" s="19" t="s">
        <v>558</v>
      </c>
      <c r="H41" s="14" t="s">
        <v>560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>
      <c r="B42" t="str">
        <f>LocaleTable[[#This Row],['#인덱스제너레이터]]</f>
        <v>UI_Tap_Stat_AtkSpd</v>
      </c>
      <c r="C42" s="53" t="s">
        <v>572</v>
      </c>
      <c r="D42" s="53" t="s">
        <v>566</v>
      </c>
      <c r="E42" s="19" t="s">
        <v>555</v>
      </c>
      <c r="F42" s="14" t="s">
        <v>587</v>
      </c>
      <c r="G42" s="19" t="s">
        <v>558</v>
      </c>
      <c r="H42" s="14" t="s">
        <v>567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>
      <c r="B43" t="str">
        <f>LocaleTable[[#This Row],['#인덱스제너레이터]]</f>
        <v>UI_Tap_Stat_AtkLength</v>
      </c>
      <c r="C43" s="53" t="s">
        <v>573</v>
      </c>
      <c r="D43" s="53" t="s">
        <v>563</v>
      </c>
      <c r="E43" s="14" t="s">
        <v>555</v>
      </c>
      <c r="F43" s="14" t="s">
        <v>587</v>
      </c>
      <c r="G43" s="14" t="s">
        <v>558</v>
      </c>
      <c r="H43" s="14" t="s">
        <v>564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>
      <c r="B44" t="str">
        <f>LocaleTable[[#This Row],['#인덱스제너레이터]]</f>
        <v>UI_Tap_Stat_ChargeSpd</v>
      </c>
      <c r="C44" s="53" t="s">
        <v>575</v>
      </c>
      <c r="D44" s="53" t="s">
        <v>561</v>
      </c>
      <c r="E44" s="14" t="s">
        <v>555</v>
      </c>
      <c r="F44" s="14" t="s">
        <v>587</v>
      </c>
      <c r="G44" s="14" t="s">
        <v>558</v>
      </c>
      <c r="H44" s="14" t="s">
        <v>562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>
      <c r="B45" t="str">
        <f>LocaleTable[[#This Row],['#인덱스제너레이터]]</f>
        <v>UI_Tap_Stat_MoveSpd</v>
      </c>
      <c r="C45" s="53" t="s">
        <v>574</v>
      </c>
      <c r="D45" s="53" t="s">
        <v>568</v>
      </c>
      <c r="E45" s="14" t="s">
        <v>555</v>
      </c>
      <c r="F45" s="14" t="s">
        <v>587</v>
      </c>
      <c r="G45" s="14" t="s">
        <v>558</v>
      </c>
      <c r="H45" s="14" t="s">
        <v>569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>
      <c r="B46" t="str">
        <f>LocaleTable[[#This Row],['#인덱스제너레이터]]</f>
        <v>UI_Tap_Stat_GoldGain</v>
      </c>
      <c r="C46" s="53" t="s">
        <v>576</v>
      </c>
      <c r="D46" s="53" t="s">
        <v>167</v>
      </c>
      <c r="E46" s="14" t="s">
        <v>555</v>
      </c>
      <c r="F46" s="14" t="s">
        <v>587</v>
      </c>
      <c r="G46" s="14" t="s">
        <v>558</v>
      </c>
      <c r="H46" s="14" t="s">
        <v>565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>
      <c r="B47" t="str">
        <f>LocaleTable[[#This Row],['#인덱스제너레이터]]</f>
        <v>UI_GameOver_Title</v>
      </c>
      <c r="C47" s="53" t="s">
        <v>704</v>
      </c>
      <c r="D47" s="53" t="s">
        <v>589</v>
      </c>
      <c r="E47" s="14" t="s">
        <v>555</v>
      </c>
      <c r="F47" s="14" t="s">
        <v>701</v>
      </c>
      <c r="G47" s="14" t="s">
        <v>589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>
      <c r="B48" t="str">
        <f>LocaleTable[[#This Row],['#인덱스제너레이터]]</f>
        <v>UI_GameOver_Restart</v>
      </c>
      <c r="C48" s="53" t="s">
        <v>703</v>
      </c>
      <c r="D48" s="53" t="s">
        <v>702</v>
      </c>
      <c r="E48" s="14" t="s">
        <v>555</v>
      </c>
      <c r="F48" s="14" t="s">
        <v>701</v>
      </c>
      <c r="G48" s="14" t="s">
        <v>702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>
      <c r="B49" t="str">
        <f>LocaleTable[[#This Row],['#인덱스제너레이터]]</f>
        <v>UI_Loading_Tip_1</v>
      </c>
      <c r="C49" s="53" t="s">
        <v>750</v>
      </c>
      <c r="D49" s="53" t="s">
        <v>762</v>
      </c>
      <c r="E49" s="14" t="s">
        <v>555</v>
      </c>
      <c r="F49" s="14" t="s">
        <v>748</v>
      </c>
      <c r="G49" s="14" t="s">
        <v>749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>
      <c r="B50" t="str">
        <f>LocaleTable[[#This Row],['#인덱스제너레이터]]</f>
        <v>UI_Loading_Tip_2</v>
      </c>
      <c r="C50" s="53" t="s">
        <v>751</v>
      </c>
      <c r="D50" s="53" t="s">
        <v>763</v>
      </c>
      <c r="E50" s="14" t="s">
        <v>555</v>
      </c>
      <c r="F50" s="14" t="s">
        <v>748</v>
      </c>
      <c r="G50" s="14" t="s">
        <v>749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3">
      <c r="B51" t="str">
        <f>LocaleTable[[#This Row],['#인덱스제너레이터]]</f>
        <v>UI_Loading_Tip_3</v>
      </c>
      <c r="C51" s="53" t="s">
        <v>752</v>
      </c>
      <c r="D51" s="53" t="s">
        <v>764</v>
      </c>
      <c r="E51" s="14" t="s">
        <v>555</v>
      </c>
      <c r="F51" s="14" t="s">
        <v>748</v>
      </c>
      <c r="G51" s="14" t="s">
        <v>749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>
      <c r="B52" t="str">
        <f>LocaleTable[[#This Row],['#인덱스제너레이터]]</f>
        <v>UI_Loading_Tip_4</v>
      </c>
      <c r="C52" s="53" t="s">
        <v>753</v>
      </c>
      <c r="D52" s="53" t="s">
        <v>765</v>
      </c>
      <c r="E52" s="14" t="s">
        <v>555</v>
      </c>
      <c r="F52" s="14" t="s">
        <v>748</v>
      </c>
      <c r="G52" s="14" t="s">
        <v>749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3">
      <c r="B53" t="str">
        <f>LocaleTable[[#This Row],['#인덱스제너레이터]]</f>
        <v>UI_Loading_Tip_5</v>
      </c>
      <c r="C53" s="53" t="s">
        <v>754</v>
      </c>
      <c r="D53" s="53" t="s">
        <v>766</v>
      </c>
      <c r="E53" s="14" t="s">
        <v>555</v>
      </c>
      <c r="F53" s="14" t="s">
        <v>748</v>
      </c>
      <c r="G53" s="14" t="s">
        <v>749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>
      <c r="B54" t="str">
        <f>LocaleTable[[#This Row],['#인덱스제너레이터]]</f>
        <v>UI_Loading_Tip_6</v>
      </c>
      <c r="C54" s="53" t="s">
        <v>755</v>
      </c>
      <c r="D54" s="53" t="s">
        <v>767</v>
      </c>
      <c r="E54" s="14" t="s">
        <v>555</v>
      </c>
      <c r="F54" s="14" t="s">
        <v>748</v>
      </c>
      <c r="G54" s="14" t="s">
        <v>749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3">
      <c r="B55" t="str">
        <f>LocaleTable[[#This Row],['#인덱스제너레이터]]</f>
        <v>UI_Loading_Tip_7</v>
      </c>
      <c r="C55" s="53" t="s">
        <v>756</v>
      </c>
      <c r="D55" s="53" t="s">
        <v>768</v>
      </c>
      <c r="E55" s="14" t="s">
        <v>555</v>
      </c>
      <c r="F55" s="14" t="s">
        <v>748</v>
      </c>
      <c r="G55" s="14" t="s">
        <v>749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>
      <c r="B56" t="str">
        <f>LocaleTable[[#This Row],['#인덱스제너레이터]]</f>
        <v>UI_Loading_Tip_8</v>
      </c>
      <c r="C56" s="53" t="s">
        <v>757</v>
      </c>
      <c r="D56" s="53" t="s">
        <v>769</v>
      </c>
      <c r="E56" s="14" t="s">
        <v>555</v>
      </c>
      <c r="F56" s="14" t="s">
        <v>748</v>
      </c>
      <c r="G56" s="14" t="s">
        <v>749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>
      <c r="B57" t="str">
        <f>LocaleTable[[#This Row],['#인덱스제너레이터]]</f>
        <v>UI_Loading_Tip_9</v>
      </c>
      <c r="C57" s="53" t="s">
        <v>758</v>
      </c>
      <c r="D57" s="53" t="s">
        <v>770</v>
      </c>
      <c r="E57" s="14" t="s">
        <v>555</v>
      </c>
      <c r="F57" s="14" t="s">
        <v>748</v>
      </c>
      <c r="G57" s="14" t="s">
        <v>749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>
      <c r="B58" t="str">
        <f>LocaleTable[[#This Row],['#인덱스제너레이터]]</f>
        <v>UI_Loading_Tip_10</v>
      </c>
      <c r="C58" s="53" t="s">
        <v>759</v>
      </c>
      <c r="D58" s="53" t="s">
        <v>771</v>
      </c>
      <c r="E58" s="14" t="s">
        <v>555</v>
      </c>
      <c r="F58" s="14" t="s">
        <v>748</v>
      </c>
      <c r="G58" s="14" t="s">
        <v>749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>
      <c r="B59" t="str">
        <f>LocaleTable[[#This Row],['#인덱스제너레이터]]</f>
        <v>UI_Loading_Tip_11</v>
      </c>
      <c r="C59" s="53" t="s">
        <v>760</v>
      </c>
      <c r="D59" s="53" t="s">
        <v>772</v>
      </c>
      <c r="E59" s="14" t="s">
        <v>555</v>
      </c>
      <c r="F59" s="14" t="s">
        <v>748</v>
      </c>
      <c r="G59" s="14" t="s">
        <v>749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>
      <c r="B60" t="str">
        <f>LocaleTable[[#This Row],['#인덱스제너레이터]]</f>
        <v>UI_Loading_Tip_12</v>
      </c>
      <c r="C60" s="53" t="s">
        <v>761</v>
      </c>
      <c r="D60" s="53" t="s">
        <v>773</v>
      </c>
      <c r="E60" s="14" t="s">
        <v>555</v>
      </c>
      <c r="F60" s="14" t="s">
        <v>748</v>
      </c>
      <c r="G60" s="14" t="s">
        <v>749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>
      <c r="B61" t="str">
        <f>LocaleTable[[#This Row],['#인덱스제너레이터]]</f>
        <v>UI_Boss_Dulahan_Title</v>
      </c>
      <c r="C61" s="53" t="s">
        <v>697</v>
      </c>
      <c r="D61" s="53" t="s">
        <v>700</v>
      </c>
      <c r="E61" s="14" t="s">
        <v>555</v>
      </c>
      <c r="F61" s="14" t="s">
        <v>695</v>
      </c>
      <c r="G61" s="14" t="s">
        <v>696</v>
      </c>
      <c r="H61" s="14" t="s">
        <v>589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>
      <c r="B62" t="str">
        <f>LocaleTable[[#This Row],['#인덱스제너레이터]]</f>
        <v>UI_Boss_Dulahan_Name</v>
      </c>
      <c r="C62" s="53" t="s">
        <v>698</v>
      </c>
      <c r="D62" s="53" t="s">
        <v>699</v>
      </c>
      <c r="E62" s="14" t="s">
        <v>555</v>
      </c>
      <c r="F62" s="14" t="s">
        <v>695</v>
      </c>
      <c r="G62" s="14" t="s">
        <v>696</v>
      </c>
      <c r="H62" s="14" t="s">
        <v>340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>
      <c r="B63" t="str">
        <f>LocaleTable[[#This Row],['#인덱스제너레이터]]</f>
        <v>Item_Name_2000</v>
      </c>
      <c r="C63" s="53" t="s">
        <v>219</v>
      </c>
      <c r="D63" s="53" t="s">
        <v>519</v>
      </c>
      <c r="E63" s="14" t="s">
        <v>549</v>
      </c>
      <c r="F63" s="14" t="s">
        <v>340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>
      <c r="B64" t="str">
        <f>LocaleTable[[#This Row],['#인덱스제너레이터]]</f>
        <v>Item_Name_2001</v>
      </c>
      <c r="C64" s="53" t="s">
        <v>100</v>
      </c>
      <c r="D64" s="53" t="s">
        <v>592</v>
      </c>
      <c r="E64" s="14" t="s">
        <v>549</v>
      </c>
      <c r="F64" s="14" t="s">
        <v>340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>
      <c r="B65" t="str">
        <f>LocaleTable[[#This Row],['#인덱스제너레이터]]</f>
        <v>Item_Name_2002</v>
      </c>
      <c r="C65" s="53" t="s">
        <v>103</v>
      </c>
      <c r="D65" s="53" t="s">
        <v>521</v>
      </c>
      <c r="E65" s="14" t="s">
        <v>549</v>
      </c>
      <c r="F65" s="14" t="s">
        <v>340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>
      <c r="B66" t="str">
        <f>LocaleTable[[#This Row],['#인덱스제너레이터]]</f>
        <v>Item_Name_2003</v>
      </c>
      <c r="C66" s="53" t="s">
        <v>102</v>
      </c>
      <c r="D66" s="53" t="s">
        <v>593</v>
      </c>
      <c r="E66" s="14" t="s">
        <v>549</v>
      </c>
      <c r="F66" s="14" t="s">
        <v>340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>
      <c r="B67" t="str">
        <f>LocaleTable[[#This Row],['#인덱스제너레이터]]</f>
        <v>Item_Name_2004</v>
      </c>
      <c r="C67" s="53" t="s">
        <v>98</v>
      </c>
      <c r="D67" s="53" t="s">
        <v>534</v>
      </c>
      <c r="E67" s="14" t="s">
        <v>549</v>
      </c>
      <c r="F67" s="14" t="s">
        <v>340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>
      <c r="B68" t="str">
        <f>LocaleTable[[#This Row],['#인덱스제너레이터]]</f>
        <v>Item_Name_2005</v>
      </c>
      <c r="C68" s="53" t="s">
        <v>104</v>
      </c>
      <c r="D68" s="53" t="s">
        <v>604</v>
      </c>
      <c r="E68" s="14" t="s">
        <v>549</v>
      </c>
      <c r="F68" s="14" t="s">
        <v>340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>
      <c r="B69" t="str">
        <f>LocaleTable[[#This Row],['#인덱스제너레이터]]</f>
        <v>Item_Name_3000</v>
      </c>
      <c r="C69" s="53" t="s">
        <v>36</v>
      </c>
      <c r="D69" s="53" t="s">
        <v>523</v>
      </c>
      <c r="E69" s="14" t="s">
        <v>549</v>
      </c>
      <c r="F69" s="14" t="s">
        <v>340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>
      <c r="B70" t="str">
        <f>LocaleTable[[#This Row],['#인덱스제너레이터]]</f>
        <v>Item_Name_3001</v>
      </c>
      <c r="C70" s="53" t="s">
        <v>241</v>
      </c>
      <c r="D70" s="53" t="s">
        <v>537</v>
      </c>
      <c r="E70" s="14" t="s">
        <v>549</v>
      </c>
      <c r="F70" s="14" t="s">
        <v>340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>
      <c r="B71" t="str">
        <f>LocaleTable[[#This Row],['#인덱스제너레이터]]</f>
        <v>Item_Name_3002</v>
      </c>
      <c r="C71" s="53" t="s">
        <v>38</v>
      </c>
      <c r="D71" s="53" t="s">
        <v>539</v>
      </c>
      <c r="E71" s="14" t="s">
        <v>549</v>
      </c>
      <c r="F71" s="14" t="s">
        <v>340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>
      <c r="B72" t="str">
        <f>LocaleTable[[#This Row],['#인덱스제너레이터]]</f>
        <v>Item_Name_3003</v>
      </c>
      <c r="C72" s="53" t="s">
        <v>216</v>
      </c>
      <c r="D72" s="53" t="s">
        <v>594</v>
      </c>
      <c r="E72" s="14" t="s">
        <v>549</v>
      </c>
      <c r="F72" s="14" t="s">
        <v>340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>
      <c r="B73" t="str">
        <f>LocaleTable[[#This Row],['#인덱스제너레이터]]</f>
        <v>Item_Name_3004</v>
      </c>
      <c r="C73" s="53" t="s">
        <v>227</v>
      </c>
      <c r="D73" s="53" t="s">
        <v>595</v>
      </c>
      <c r="E73" s="14" t="s">
        <v>549</v>
      </c>
      <c r="F73" s="14" t="s">
        <v>340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>
      <c r="B74" t="str">
        <f>LocaleTable[[#This Row],['#인덱스제너레이터]]</f>
        <v>Item_Name_3005</v>
      </c>
      <c r="C74" s="53" t="s">
        <v>106</v>
      </c>
      <c r="D74" s="53" t="s">
        <v>596</v>
      </c>
      <c r="E74" s="14" t="s">
        <v>549</v>
      </c>
      <c r="F74" s="14" t="s">
        <v>340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>
      <c r="B75" t="str">
        <f>LocaleTable[[#This Row],['#인덱스제너레이터]]</f>
        <v>Item_Name_3006</v>
      </c>
      <c r="C75" s="54" t="s">
        <v>377</v>
      </c>
      <c r="D75" s="53" t="s">
        <v>597</v>
      </c>
      <c r="E75" s="14" t="s">
        <v>549</v>
      </c>
      <c r="F75" s="14" t="s">
        <v>340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>
      <c r="B76" t="str">
        <f>LocaleTable[[#This Row],['#인덱스제너레이터]]</f>
        <v>Item_Name_4000</v>
      </c>
      <c r="C76" s="53" t="s">
        <v>101</v>
      </c>
      <c r="D76" s="53" t="s">
        <v>598</v>
      </c>
      <c r="E76" s="14" t="s">
        <v>549</v>
      </c>
      <c r="F76" s="14" t="s">
        <v>340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>
      <c r="B77" t="str">
        <f>LocaleTable[[#This Row],['#인덱스제너레이터]]</f>
        <v>Item_Name_4001</v>
      </c>
      <c r="C77" s="53" t="s">
        <v>97</v>
      </c>
      <c r="D77" s="53" t="s">
        <v>526</v>
      </c>
      <c r="E77" s="14" t="s">
        <v>549</v>
      </c>
      <c r="F77" s="14" t="s">
        <v>340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>
      <c r="B78" t="str">
        <f>LocaleTable[[#This Row],['#인덱스제너레이터]]</f>
        <v>Item_Name_4002</v>
      </c>
      <c r="C78" s="53" t="s">
        <v>225</v>
      </c>
      <c r="D78" s="53" t="s">
        <v>619</v>
      </c>
      <c r="E78" s="14" t="s">
        <v>549</v>
      </c>
      <c r="F78" s="14" t="s">
        <v>340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>
      <c r="B79" t="str">
        <f>LocaleTable[[#This Row],['#인덱스제너레이터]]</f>
        <v>Item_Name_4003</v>
      </c>
      <c r="C79" s="53" t="s">
        <v>217</v>
      </c>
      <c r="D79" s="53" t="s">
        <v>605</v>
      </c>
      <c r="E79" s="14" t="s">
        <v>549</v>
      </c>
      <c r="F79" s="14" t="s">
        <v>340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>
      <c r="B80" t="str">
        <f>LocaleTable[[#This Row],['#인덱스제너레이터]]</f>
        <v>Item_Name_4004</v>
      </c>
      <c r="C80" s="53" t="s">
        <v>382</v>
      </c>
      <c r="D80" s="53" t="s">
        <v>599</v>
      </c>
      <c r="E80" s="14" t="s">
        <v>549</v>
      </c>
      <c r="F80" s="14" t="s">
        <v>340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>
      <c r="B81" t="str">
        <f>LocaleTable[[#This Row],['#인덱스제너레이터]]</f>
        <v>Item_Name_4005</v>
      </c>
      <c r="C81" s="53" t="s">
        <v>461</v>
      </c>
      <c r="D81" s="53" t="s">
        <v>600</v>
      </c>
      <c r="E81" s="14" t="s">
        <v>549</v>
      </c>
      <c r="F81" s="14" t="s">
        <v>340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>
      <c r="B82" t="str">
        <f>LocaleTable[[#This Row],['#인덱스제너레이터]]</f>
        <v>Item_Name_4006</v>
      </c>
      <c r="C82" s="53" t="s">
        <v>466</v>
      </c>
      <c r="D82" s="53" t="s">
        <v>623</v>
      </c>
      <c r="E82" s="14" t="s">
        <v>549</v>
      </c>
      <c r="F82" s="14" t="s">
        <v>340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>
      <c r="B83" t="str">
        <f>LocaleTable[[#This Row],['#인덱스제너레이터]]</f>
        <v>Item_Name_10000</v>
      </c>
      <c r="C83" s="53" t="s">
        <v>373</v>
      </c>
      <c r="D83" s="53" t="s">
        <v>601</v>
      </c>
      <c r="E83" s="14" t="s">
        <v>549</v>
      </c>
      <c r="F83" s="14" t="s">
        <v>340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>
      <c r="B84" t="str">
        <f>LocaleTable[[#This Row],['#인덱스제너레이터]]</f>
        <v>Item_Name_10001</v>
      </c>
      <c r="C84" s="54" t="s">
        <v>387</v>
      </c>
      <c r="D84" s="53" t="s">
        <v>602</v>
      </c>
      <c r="E84" s="14" t="s">
        <v>549</v>
      </c>
      <c r="F84" s="14" t="s">
        <v>340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>
      <c r="B85" t="str">
        <f>LocaleTable[[#This Row],['#인덱스제너레이터]]</f>
        <v>Item_Name_10002</v>
      </c>
      <c r="C85" s="54" t="s">
        <v>516</v>
      </c>
      <c r="D85" s="53" t="s">
        <v>529</v>
      </c>
      <c r="E85" s="14" t="s">
        <v>549</v>
      </c>
      <c r="F85" s="14" t="s">
        <v>340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>
      <c r="B86" t="str">
        <f>LocaleTable[[#This Row],['#인덱스제너레이터]]</f>
        <v>Item_Name_10003</v>
      </c>
      <c r="C86" s="54" t="s">
        <v>375</v>
      </c>
      <c r="D86" s="53" t="s">
        <v>603</v>
      </c>
      <c r="E86" s="14" t="s">
        <v>549</v>
      </c>
      <c r="F86" s="14" t="s">
        <v>340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>
      <c r="B87" t="str">
        <f>LocaleTable[[#This Row],['#인덱스제너레이터]]</f>
        <v>Item_Name_10004</v>
      </c>
      <c r="C87" s="53" t="s">
        <v>470</v>
      </c>
      <c r="D87" s="53" t="s">
        <v>531</v>
      </c>
      <c r="E87" s="14" t="s">
        <v>549</v>
      </c>
      <c r="F87" s="14" t="s">
        <v>340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>
      <c r="B88" t="str">
        <f>LocaleTable[[#This Row],['#인덱스제너레이터]]</f>
        <v>Item_Name_10005</v>
      </c>
      <c r="C88" s="53" t="s">
        <v>480</v>
      </c>
      <c r="D88" s="53" t="s">
        <v>547</v>
      </c>
      <c r="E88" s="14" t="s">
        <v>549</v>
      </c>
      <c r="F88" s="14" t="s">
        <v>340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>
      <c r="B89" t="str">
        <f>LocaleTable[[#This Row],['#인덱스제너레이터]]</f>
        <v>Item_Desc_2000</v>
      </c>
      <c r="C89" s="53" t="s">
        <v>418</v>
      </c>
      <c r="D89" s="53" t="s">
        <v>611</v>
      </c>
      <c r="E89" s="14" t="s">
        <v>549</v>
      </c>
      <c r="F89" s="14" t="s">
        <v>554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>
      <c r="B90" t="str">
        <f>LocaleTable[[#This Row],['#인덱스제너레이터]]</f>
        <v>Item_Desc_2001</v>
      </c>
      <c r="C90" s="54" t="s">
        <v>248</v>
      </c>
      <c r="D90" s="53" t="s">
        <v>627</v>
      </c>
      <c r="E90" s="14" t="s">
        <v>549</v>
      </c>
      <c r="F90" s="14" t="s">
        <v>554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>
      <c r="B91" t="str">
        <f>LocaleTable[[#This Row],['#인덱스제너레이터]]</f>
        <v>Item_Desc_2002</v>
      </c>
      <c r="C91" s="54" t="s">
        <v>239</v>
      </c>
      <c r="D91" s="53" t="s">
        <v>612</v>
      </c>
      <c r="E91" s="14" t="s">
        <v>549</v>
      </c>
      <c r="F91" s="14" t="s">
        <v>554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3">
      <c r="B92" t="str">
        <f>LocaleTable[[#This Row],['#인덱스제너레이터]]</f>
        <v>Item_Desc_2003</v>
      </c>
      <c r="C92" s="53" t="s">
        <v>240</v>
      </c>
      <c r="D92" s="53" t="s">
        <v>819</v>
      </c>
      <c r="E92" s="14" t="s">
        <v>549</v>
      </c>
      <c r="F92" s="14" t="s">
        <v>554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3">
      <c r="B93" t="str">
        <f>LocaleTable[[#This Row],['#인덱스제너레이터]]</f>
        <v>Item_Desc_2004</v>
      </c>
      <c r="C93" s="55" t="s">
        <v>389</v>
      </c>
      <c r="D93" s="53" t="s">
        <v>613</v>
      </c>
      <c r="E93" s="14" t="s">
        <v>549</v>
      </c>
      <c r="F93" s="14" t="s">
        <v>554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3">
      <c r="B94" t="str">
        <f>LocaleTable[[#This Row],['#인덱스제너레이터]]</f>
        <v>Item_Desc_2005</v>
      </c>
      <c r="C94" s="53" t="s">
        <v>247</v>
      </c>
      <c r="D94" s="53" t="s">
        <v>820</v>
      </c>
      <c r="E94" s="14" t="s">
        <v>549</v>
      </c>
      <c r="F94" s="14" t="s">
        <v>554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>
      <c r="B95" t="str">
        <f>LocaleTable[[#This Row],['#인덱스제너레이터]]</f>
        <v>Item_Desc_3000</v>
      </c>
      <c r="C95" s="55" t="s">
        <v>614</v>
      </c>
      <c r="D95" s="53" t="s">
        <v>821</v>
      </c>
      <c r="E95" s="14" t="s">
        <v>549</v>
      </c>
      <c r="F95" s="14" t="s">
        <v>554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3">
      <c r="B96" t="str">
        <f>LocaleTable[[#This Row],['#인덱스제너레이터]]</f>
        <v>Item_Desc_3001</v>
      </c>
      <c r="C96" s="54" t="s">
        <v>250</v>
      </c>
      <c r="D96" s="53" t="s">
        <v>822</v>
      </c>
      <c r="E96" s="14" t="s">
        <v>549</v>
      </c>
      <c r="F96" s="14" t="s">
        <v>554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3">
      <c r="B97" t="str">
        <f>LocaleTable[[#This Row],['#인덱스제너레이터]]</f>
        <v>Item_Desc_3002</v>
      </c>
      <c r="C97" s="54" t="s">
        <v>390</v>
      </c>
      <c r="D97" s="53" t="s">
        <v>823</v>
      </c>
      <c r="E97" s="14" t="s">
        <v>549</v>
      </c>
      <c r="F97" s="14" t="s">
        <v>554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3">
      <c r="B98" t="str">
        <f>LocaleTable[[#This Row],['#인덱스제너레이터]]</f>
        <v>Item_Desc_3003</v>
      </c>
      <c r="C98" s="54" t="s">
        <v>242</v>
      </c>
      <c r="D98" s="53" t="s">
        <v>824</v>
      </c>
      <c r="E98" s="14" t="s">
        <v>549</v>
      </c>
      <c r="F98" s="14" t="s">
        <v>554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>
      <c r="B99" t="str">
        <f>LocaleTable[[#This Row],['#인덱스제너레이터]]</f>
        <v>Item_Desc_3004</v>
      </c>
      <c r="C99" s="54" t="s">
        <v>244</v>
      </c>
      <c r="D99" s="53" t="s">
        <v>830</v>
      </c>
      <c r="E99" s="14" t="s">
        <v>549</v>
      </c>
      <c r="F99" s="14" t="s">
        <v>554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>
      <c r="B100" t="str">
        <f>LocaleTable[[#This Row],['#인덱스제너레이터]]</f>
        <v>Item_Desc_3005</v>
      </c>
      <c r="C100" s="54" t="s">
        <v>606</v>
      </c>
      <c r="D100" s="53" t="s">
        <v>615</v>
      </c>
      <c r="E100" s="14" t="s">
        <v>549</v>
      </c>
      <c r="F100" s="14" t="s">
        <v>554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>
      <c r="B101" t="str">
        <f>LocaleTable[[#This Row],['#인덱스제너레이터]]</f>
        <v>Item_Desc_3006</v>
      </c>
      <c r="C101" s="54" t="s">
        <v>378</v>
      </c>
      <c r="D101" s="53" t="s">
        <v>616</v>
      </c>
      <c r="E101" s="14" t="s">
        <v>549</v>
      </c>
      <c r="F101" s="14" t="s">
        <v>554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3">
      <c r="B102" t="str">
        <f>LocaleTable[[#This Row],['#인덱스제너레이터]]</f>
        <v>Item_Desc_4000</v>
      </c>
      <c r="C102" s="53" t="s">
        <v>246</v>
      </c>
      <c r="D102" s="53" t="s">
        <v>829</v>
      </c>
      <c r="E102" s="14" t="s">
        <v>549</v>
      </c>
      <c r="F102" s="14" t="s">
        <v>554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>
      <c r="B103" t="str">
        <f>LocaleTable[[#This Row],['#인덱스제너레이터]]</f>
        <v>Item_Desc_4001</v>
      </c>
      <c r="C103" s="53" t="s">
        <v>393</v>
      </c>
      <c r="D103" s="53" t="s">
        <v>617</v>
      </c>
      <c r="E103" s="14" t="s">
        <v>549</v>
      </c>
      <c r="F103" s="14" t="s">
        <v>554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3">
      <c r="B104" t="str">
        <f>LocaleTable[[#This Row],['#인덱스제너레이터]]</f>
        <v>Item_Desc_4002</v>
      </c>
      <c r="C104" s="54" t="s">
        <v>245</v>
      </c>
      <c r="D104" s="53" t="s">
        <v>825</v>
      </c>
      <c r="E104" s="14" t="s">
        <v>549</v>
      </c>
      <c r="F104" s="14" t="s">
        <v>554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3">
      <c r="B105" t="str">
        <f>LocaleTable[[#This Row],['#인덱스제너레이터]]</f>
        <v>Item_Desc_4003</v>
      </c>
      <c r="C105" s="53" t="s">
        <v>243</v>
      </c>
      <c r="D105" s="53" t="s">
        <v>622</v>
      </c>
      <c r="E105" s="14" t="s">
        <v>549</v>
      </c>
      <c r="F105" s="14" t="s">
        <v>554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3">
      <c r="B106" t="str">
        <f>LocaleTable[[#This Row],['#인덱스제너레이터]]</f>
        <v>Item_Desc_4004</v>
      </c>
      <c r="C106" s="53" t="s">
        <v>249</v>
      </c>
      <c r="D106" s="53" t="s">
        <v>621</v>
      </c>
      <c r="E106" s="14" t="s">
        <v>549</v>
      </c>
      <c r="F106" s="14" t="s">
        <v>554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>
      <c r="B107" t="str">
        <f>LocaleTable[[#This Row],['#인덱스제너레이터]]</f>
        <v>Item_Desc_4005</v>
      </c>
      <c r="C107" s="53" t="s">
        <v>462</v>
      </c>
      <c r="D107" s="53" t="s">
        <v>826</v>
      </c>
      <c r="E107" s="14" t="s">
        <v>549</v>
      </c>
      <c r="F107" s="14" t="s">
        <v>554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3">
      <c r="B108" t="str">
        <f>LocaleTable[[#This Row],['#인덱스제너레이터]]</f>
        <v>Item_Desc_4006</v>
      </c>
      <c r="C108" s="53" t="s">
        <v>467</v>
      </c>
      <c r="D108" s="53" t="s">
        <v>624</v>
      </c>
      <c r="E108" s="14" t="s">
        <v>549</v>
      </c>
      <c r="F108" s="14" t="s">
        <v>554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3">
      <c r="B109" t="str">
        <f>LocaleTable[[#This Row],['#인덱스제너레이터]]</f>
        <v>Item_Desc_10000</v>
      </c>
      <c r="C109" s="53" t="s">
        <v>400</v>
      </c>
      <c r="D109" s="53" t="s">
        <v>827</v>
      </c>
      <c r="E109" s="14" t="s">
        <v>549</v>
      </c>
      <c r="F109" s="14" t="s">
        <v>554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>
      <c r="B110" t="str">
        <f>LocaleTable[[#This Row],['#인덱스제너레이터]]</f>
        <v>Item_Desc_10001</v>
      </c>
      <c r="C110" s="54" t="s">
        <v>391</v>
      </c>
      <c r="D110" s="53" t="s">
        <v>625</v>
      </c>
      <c r="E110" s="14" t="s">
        <v>549</v>
      </c>
      <c r="F110" s="14" t="s">
        <v>554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3">
      <c r="B111" t="str">
        <f>LocaleTable[[#This Row],['#인덱스제너레이터]]</f>
        <v>Item_Desc_10002</v>
      </c>
      <c r="C111" s="54" t="s">
        <v>517</v>
      </c>
      <c r="D111" s="55" t="s">
        <v>828</v>
      </c>
      <c r="E111" s="14" t="s">
        <v>549</v>
      </c>
      <c r="F111" s="14" t="s">
        <v>554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3">
      <c r="B112" t="str">
        <f>LocaleTable[[#This Row],['#인덱스제너레이터]]</f>
        <v>Item_Desc_10003</v>
      </c>
      <c r="C112" s="54" t="s">
        <v>388</v>
      </c>
      <c r="D112" s="53" t="s">
        <v>632</v>
      </c>
      <c r="E112" s="14" t="s">
        <v>549</v>
      </c>
      <c r="F112" s="14" t="s">
        <v>554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>
      <c r="B113" t="str">
        <f>LocaleTable[[#This Row],['#인덱스제너레이터]]</f>
        <v>Item_Desc_10004</v>
      </c>
      <c r="C113" s="53" t="s">
        <v>471</v>
      </c>
      <c r="D113" s="53" t="s">
        <v>633</v>
      </c>
      <c r="E113" s="14" t="s">
        <v>549</v>
      </c>
      <c r="F113" s="14" t="s">
        <v>554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>
      <c r="B114" t="str">
        <f>LocaleTable[[#This Row],['#인덱스제너레이터]]</f>
        <v>Item_Desc_10005</v>
      </c>
      <c r="C114" s="53" t="s">
        <v>481</v>
      </c>
      <c r="D114" s="53" t="s">
        <v>634</v>
      </c>
      <c r="E114" s="14" t="s">
        <v>549</v>
      </c>
      <c r="F114" s="14" t="s">
        <v>554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>
      <c r="B115" t="str">
        <f>LocaleTable[[#This Row],['#인덱스제너레이터]]</f>
        <v>Item_PlusDesc_2000</v>
      </c>
      <c r="C115" s="54" t="s">
        <v>423</v>
      </c>
      <c r="D115" s="53" t="s">
        <v>635</v>
      </c>
      <c r="E115" s="14" t="s">
        <v>549</v>
      </c>
      <c r="F115" s="14" t="s">
        <v>367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>
      <c r="B116" t="str">
        <f>LocaleTable[[#This Row],['#인덱스제너레이터]]</f>
        <v>Item_PlusDesc_2001</v>
      </c>
      <c r="C116" s="53" t="s">
        <v>865</v>
      </c>
      <c r="D116" s="53" t="s">
        <v>636</v>
      </c>
      <c r="E116" s="14" t="s">
        <v>549</v>
      </c>
      <c r="F116" s="14" t="s">
        <v>367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>
      <c r="B117" t="str">
        <f>LocaleTable[[#This Row],['#인덱스제너레이터]]</f>
        <v>Item_PlusDesc_2002</v>
      </c>
      <c r="C117" s="53" t="s">
        <v>866</v>
      </c>
      <c r="D117" s="53" t="s">
        <v>637</v>
      </c>
      <c r="E117" s="14" t="s">
        <v>549</v>
      </c>
      <c r="F117" s="14" t="s">
        <v>367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>
      <c r="B118" t="str">
        <f>LocaleTable[[#This Row],['#인덱스제너레이터]]</f>
        <v>Item_PlusDesc_2003</v>
      </c>
      <c r="C118" s="53" t="s">
        <v>419</v>
      </c>
      <c r="D118" s="53" t="s">
        <v>638</v>
      </c>
      <c r="E118" s="14" t="s">
        <v>549</v>
      </c>
      <c r="F118" s="14" t="s">
        <v>367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>
      <c r="B119" t="str">
        <f>LocaleTable[[#This Row],['#인덱스제너레이터]]</f>
        <v>Item_PlusDesc_2004</v>
      </c>
      <c r="C119" s="53" t="s">
        <v>867</v>
      </c>
      <c r="D119" s="53" t="s">
        <v>639</v>
      </c>
      <c r="E119" s="14" t="s">
        <v>549</v>
      </c>
      <c r="F119" s="14" t="s">
        <v>367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>
      <c r="B120" t="str">
        <f>LocaleTable[[#This Row],['#인덱스제너레이터]]</f>
        <v>Item_PlusDesc_2005</v>
      </c>
      <c r="C120" t="s">
        <v>864</v>
      </c>
      <c r="D120" s="53" t="s">
        <v>640</v>
      </c>
      <c r="E120" s="14" t="s">
        <v>549</v>
      </c>
      <c r="F120" s="14" t="s">
        <v>367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3">
      <c r="B121" t="str">
        <f>LocaleTable[[#This Row],['#인덱스제너레이터]]</f>
        <v>Item_PlusDesc_3000</v>
      </c>
      <c r="C121" s="55" t="s">
        <v>458</v>
      </c>
      <c r="D121" s="53" t="s">
        <v>641</v>
      </c>
      <c r="E121" s="14" t="s">
        <v>549</v>
      </c>
      <c r="F121" s="14" t="s">
        <v>367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>
      <c r="B122" t="str">
        <f>LocaleTable[[#This Row],['#인덱스제너레이터]]</f>
        <v>Item_PlusDesc_3001</v>
      </c>
      <c r="C122" s="53" t="s">
        <v>739</v>
      </c>
      <c r="D122" s="53" t="s">
        <v>740</v>
      </c>
      <c r="E122" s="14" t="s">
        <v>549</v>
      </c>
      <c r="F122" s="14" t="s">
        <v>367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3">
      <c r="B123" t="str">
        <f>LocaleTable[[#This Row],['#인덱스제너레이터]]</f>
        <v>Item_PlusDesc_3002</v>
      </c>
      <c r="C123" s="53" t="s">
        <v>870</v>
      </c>
      <c r="D123" s="53" t="s">
        <v>642</v>
      </c>
      <c r="E123" s="14" t="s">
        <v>549</v>
      </c>
      <c r="F123" s="14" t="s">
        <v>367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>
      <c r="B124" t="str">
        <f>LocaleTable[[#This Row],['#인덱스제너레이터]]</f>
        <v>Item_PlusDesc_3003</v>
      </c>
      <c r="C124" s="53" t="s">
        <v>386</v>
      </c>
      <c r="D124" s="53" t="s">
        <v>643</v>
      </c>
      <c r="E124" s="14" t="s">
        <v>549</v>
      </c>
      <c r="F124" s="14" t="s">
        <v>367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>
      <c r="B125" t="str">
        <f>LocaleTable[[#This Row],['#인덱스제너레이터]]</f>
        <v>Item_PlusDesc_3004</v>
      </c>
      <c r="C125" s="53" t="s">
        <v>396</v>
      </c>
      <c r="D125" s="53" t="s">
        <v>644</v>
      </c>
      <c r="E125" s="14" t="s">
        <v>549</v>
      </c>
      <c r="F125" s="14" t="s">
        <v>367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>
      <c r="B126" t="str">
        <f>LocaleTable[[#This Row],['#인덱스제너레이터]]</f>
        <v>Item_PlusDesc_3005</v>
      </c>
      <c r="C126" s="11" t="s">
        <v>871</v>
      </c>
      <c r="D126" s="53" t="s">
        <v>645</v>
      </c>
      <c r="E126" s="14" t="s">
        <v>549</v>
      </c>
      <c r="F126" s="14" t="s">
        <v>367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>
      <c r="B127" t="str">
        <f>LocaleTable[[#This Row],['#인덱스제너레이터]]</f>
        <v>Item_PlusDesc_3006</v>
      </c>
      <c r="C127" s="54" t="s">
        <v>459</v>
      </c>
      <c r="D127" s="53" t="s">
        <v>646</v>
      </c>
      <c r="E127" s="14" t="s">
        <v>549</v>
      </c>
      <c r="F127" s="14" t="s">
        <v>367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>
      <c r="B128" t="str">
        <f>LocaleTable[[#This Row],['#인덱스제너레이터]]</f>
        <v>Item_PlusDesc_4000</v>
      </c>
      <c r="C128" s="53" t="s">
        <v>429</v>
      </c>
      <c r="D128" s="53" t="s">
        <v>647</v>
      </c>
      <c r="E128" s="14" t="s">
        <v>549</v>
      </c>
      <c r="F128" s="14" t="s">
        <v>367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3">
      <c r="B129" t="str">
        <f>LocaleTable[[#This Row],['#인덱스제너레이터]]</f>
        <v>Item_PlusDesc_4001</v>
      </c>
      <c r="C129" s="53" t="s">
        <v>872</v>
      </c>
      <c r="D129" s="53" t="s">
        <v>648</v>
      </c>
      <c r="E129" s="14" t="s">
        <v>549</v>
      </c>
      <c r="F129" s="14" t="s">
        <v>367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>
      <c r="B130" t="str">
        <f>LocaleTable[[#This Row],['#인덱스제너레이터]]</f>
        <v>Item_PlusDesc_4002</v>
      </c>
      <c r="C130" s="53" t="s">
        <v>314</v>
      </c>
      <c r="D130" s="53" t="s">
        <v>649</v>
      </c>
      <c r="E130" s="14" t="s">
        <v>549</v>
      </c>
      <c r="F130" s="14" t="s">
        <v>367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>
      <c r="B131" t="str">
        <f>LocaleTable[[#This Row],['#인덱스제너레이터]]</f>
        <v>Item_PlusDesc_4003</v>
      </c>
      <c r="C131" s="53" t="s">
        <v>399</v>
      </c>
      <c r="D131" s="53" t="s">
        <v>650</v>
      </c>
      <c r="E131" s="14" t="s">
        <v>549</v>
      </c>
      <c r="F131" s="14" t="s">
        <v>367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>
      <c r="B132" t="str">
        <f>LocaleTable[[#This Row],['#인덱스제너레이터]]</f>
        <v>Item_PlusDesc_4004</v>
      </c>
      <c r="C132" s="53" t="s">
        <v>463</v>
      </c>
      <c r="D132" s="53" t="s">
        <v>651</v>
      </c>
      <c r="E132" s="14" t="s">
        <v>549</v>
      </c>
      <c r="F132" s="14" t="s">
        <v>367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>
      <c r="B133" t="str">
        <f>LocaleTable[[#This Row],['#인덱스제너레이터]]</f>
        <v>Item_PlusDesc_4005</v>
      </c>
      <c r="C133" s="53" t="s">
        <v>421</v>
      </c>
      <c r="D133" s="53" t="s">
        <v>652</v>
      </c>
      <c r="E133" s="14" t="s">
        <v>549</v>
      </c>
      <c r="F133" s="14" t="s">
        <v>367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>
      <c r="B134" t="str">
        <f>LocaleTable[[#This Row],['#인덱스제너레이터]]</f>
        <v>Item_PlusDesc_4006</v>
      </c>
      <c r="C134" s="53" t="s">
        <v>869</v>
      </c>
      <c r="D134" s="53" t="s">
        <v>653</v>
      </c>
      <c r="E134" s="14" t="s">
        <v>549</v>
      </c>
      <c r="F134" s="14" t="s">
        <v>367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>
      <c r="B135" t="str">
        <f>LocaleTable[[#This Row],['#인덱스제너레이터]]</f>
        <v>Item_PlusDesc_10000</v>
      </c>
      <c r="C135" s="54" t="s">
        <v>374</v>
      </c>
      <c r="D135" s="53" t="s">
        <v>654</v>
      </c>
      <c r="E135" s="14" t="s">
        <v>549</v>
      </c>
      <c r="F135" s="14" t="s">
        <v>367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>
      <c r="B136" t="str">
        <f>LocaleTable[[#This Row],['#인덱스제너레이터]]</f>
        <v>Item_PlusDesc_10001</v>
      </c>
      <c r="C136" s="54" t="s">
        <v>514</v>
      </c>
      <c r="D136" s="53" t="s">
        <v>655</v>
      </c>
      <c r="E136" s="14" t="s">
        <v>549</v>
      </c>
      <c r="F136" s="14" t="s">
        <v>367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>
      <c r="B137" t="str">
        <f>LocaleTable[[#This Row],['#인덱스제너레이터]]</f>
        <v>Item_PlusDesc_10002</v>
      </c>
      <c r="C137" s="54" t="s">
        <v>518</v>
      </c>
      <c r="D137" s="53" t="s">
        <v>656</v>
      </c>
      <c r="E137" s="14" t="s">
        <v>549</v>
      </c>
      <c r="F137" s="14" t="s">
        <v>367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>
      <c r="B138" t="str">
        <f>LocaleTable[[#This Row],['#인덱스제너레이터]]</f>
        <v>Item_PlusDesc_10003</v>
      </c>
      <c r="C138" s="54" t="s">
        <v>512</v>
      </c>
      <c r="D138" s="53" t="s">
        <v>657</v>
      </c>
      <c r="E138" s="14" t="s">
        <v>549</v>
      </c>
      <c r="F138" s="14" t="s">
        <v>367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>
      <c r="B139" t="str">
        <f>LocaleTable[[#This Row],['#인덱스제너레이터]]</f>
        <v>Item_PlusDesc_10004</v>
      </c>
      <c r="C139" s="53" t="s">
        <v>472</v>
      </c>
      <c r="D139" s="53" t="s">
        <v>658</v>
      </c>
      <c r="E139" s="14" t="s">
        <v>549</v>
      </c>
      <c r="F139" s="14" t="s">
        <v>367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>
      <c r="B140" t="str">
        <f>LocaleTable[[#This Row],['#인덱스제너레이터]]</f>
        <v>Item_PlusDesc_10005</v>
      </c>
      <c r="C140" s="53" t="s">
        <v>513</v>
      </c>
      <c r="D140" s="53" t="s">
        <v>659</v>
      </c>
      <c r="E140" s="14" t="s">
        <v>549</v>
      </c>
      <c r="F140" s="14" t="s">
        <v>367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>
      <c r="B141" t="str">
        <f>LocaleTable[[#This Row],['#인덱스제너레이터]]</f>
        <v>Item_MinusDesc_4000</v>
      </c>
      <c r="C141" s="53" t="s">
        <v>428</v>
      </c>
      <c r="D141" s="63" t="s">
        <v>660</v>
      </c>
      <c r="E141" s="14" t="s">
        <v>549</v>
      </c>
      <c r="F141" s="14" t="s">
        <v>368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>
      <c r="B142" t="str">
        <f>LocaleTable[[#This Row],['#인덱스제너레이터]]</f>
        <v>Item_MinusDesc_4001</v>
      </c>
      <c r="C142" s="53" t="s">
        <v>392</v>
      </c>
      <c r="D142" s="63" t="s">
        <v>661</v>
      </c>
      <c r="E142" s="14" t="s">
        <v>549</v>
      </c>
      <c r="F142" s="14" t="s">
        <v>368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>
      <c r="B143" t="str">
        <f>LocaleTable[[#This Row],['#인덱스제너레이터]]</f>
        <v>Item_MinusDesc_4002</v>
      </c>
      <c r="C143" s="53" t="s">
        <v>155</v>
      </c>
      <c r="D143" s="53" t="s">
        <v>662</v>
      </c>
      <c r="E143" s="14" t="s">
        <v>549</v>
      </c>
      <c r="F143" s="14" t="s">
        <v>368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>
      <c r="B144" t="str">
        <f>LocaleTable[[#This Row],['#인덱스제너레이터]]</f>
        <v>Item_MinusDesc_4003</v>
      </c>
      <c r="C144" s="53" t="s">
        <v>868</v>
      </c>
      <c r="D144" s="53" t="s">
        <v>663</v>
      </c>
      <c r="E144" s="14" t="s">
        <v>549</v>
      </c>
      <c r="F144" s="14" t="s">
        <v>368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>
      <c r="B145" t="str">
        <f>LocaleTable[[#This Row],['#인덱스제너레이터]]</f>
        <v>Item_MinusDesc_4004</v>
      </c>
      <c r="C145" s="53" t="s">
        <v>510</v>
      </c>
      <c r="D145" s="53" t="s">
        <v>664</v>
      </c>
      <c r="E145" s="14" t="s">
        <v>549</v>
      </c>
      <c r="F145" s="14" t="s">
        <v>368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>
      <c r="B146" t="str">
        <f>LocaleTable[[#This Row],['#인덱스제너레이터]]</f>
        <v>Item_MinusDesc_4005</v>
      </c>
      <c r="C146" s="53" t="s">
        <v>465</v>
      </c>
      <c r="D146" s="53" t="s">
        <v>665</v>
      </c>
      <c r="E146" s="14" t="s">
        <v>549</v>
      </c>
      <c r="F146" s="14" t="s">
        <v>368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>
      <c r="B147" t="str">
        <f>LocaleTable[[#This Row],['#인덱스제너레이터]]</f>
        <v>Item_MinusDesc_4006</v>
      </c>
      <c r="C147" s="53" t="s">
        <v>515</v>
      </c>
      <c r="D147" s="53" t="s">
        <v>666</v>
      </c>
      <c r="E147" s="14" t="s">
        <v>549</v>
      </c>
      <c r="F147" s="14" t="s">
        <v>368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2023-10-16T14:30:51Z</dcterms:modified>
  <cp:version>1200.0100.01</cp:version>
</cp:coreProperties>
</file>