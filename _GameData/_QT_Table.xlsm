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F3C6CDFC-EB14-0348-9582-98223020DFBE}" xr6:coauthVersionLast="47" xr6:coauthVersionMax="47" xr10:uidLastSave="{00000000-0000-0000-0000-000000000000}"/>
  <bookViews>
    <workbookView xWindow="0" yWindow="500" windowWidth="51200" windowHeight="28300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<sst xmlns="http://schemas.openxmlformats.org/spreadsheetml/2006/main" count="1205" uniqueCount="654">
  <si>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</si>
  <si>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</si>
  <si>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</si>
  <si>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</si>
  <si>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</si>
  <si>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</si>
  <si>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</si>
  <si>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</si>
  <si>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</si>
  <si>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</si>
  <si>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</si>
  <si>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</si>
  <si>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</si>
  <si>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</si>
  <si>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</si>
  <si>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</si>
  <si>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</si>
  <si>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</si>
  <si>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</si>
  <si>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</si>
  <si>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</si>
  <si>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</si>
  <si>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</si>
  <si>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</si>
  <si>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</si>
  <si>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</si>
  <si>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</si>
  <si>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</si>
  <si>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</si>
  <si>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</si>
  <si>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</si>
  <si>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</si>
  <si>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</si>
  <si>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</si>
  <si>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</si>
  <si>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</si>
  <si>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</si>
  <si>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</si>
  <si>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</si>
  <si>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</si>
  <si>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</si>
  <si>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</si>
  <si>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</si>
  <si>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</si>
  <si>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</si>
  <si>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</si>
  <si>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</si>
  <si>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</si>
  <si>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</si>
  <si>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</si>
  <si>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</si>
  <si>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</si>
  <si>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</si>
  <si>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</si>
  <si>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</si>
  <si>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</si>
  <si>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</si>
  <si>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</si>
  <si>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</si>
  <si>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</si>
  <si>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</si>
  <si>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</si>
  <si>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</si>
  <si>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</si>
  <si>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</si>
  <si>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</si>
  <si>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</si>
  <si>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</si>
  <si>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</si>
  <si>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</si>
  <si>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</si>
  <si>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</si>
  <si>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</si>
  <si>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</si>
  <si>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</si>
  <si>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</si>
  <si>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</si>
  <si>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</si>
  <si>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</si>
  <si>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</si>
  <si>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</si>
  <si>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</si>
  <si>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</si>
  <si>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</si>
  <si>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</si>
  <si>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</si>
  <si>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</si>
  <si>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</si>
  <si>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</si>
  <si>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</si>
  <si>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</si>
  <si>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</si>
  <si>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</si>
  <si>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</si>
  <si>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</si>
  <si>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</si>
  <si>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</si>
  <si>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</si>
  <si>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</si>
  <si>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</si>
  <si>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</si>
  <si>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</si>
  <si>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</si>
  <si>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</si>
  <si>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</si>
  <si>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</si>
  <si>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</si>
  <si>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</si>
  <si>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</si>
  <si>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</si>
  <si>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</si>
  <si>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</si>
  <si>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</si>
  <si>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</si>
  <si>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</si>
  <si>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</si>
  <si>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</si>
  <si>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</si>
  <si>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</si>
  <si>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</si>
  <si>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</si>
  <si>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</si>
  <si>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</si>
  <si>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</si>
  <si>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</si>
  <si>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</si>
  <si>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</si>
  <si>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</si>
  <si>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</si>
  <si>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</si>
  <si>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</si>
  <si>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</si>
  <si>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</si>
  <si>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</si>
  <si>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</si>
  <si>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</si>
  <si>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</si>
  <si>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</si>
  <si>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</si>
  <si>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</si>
  <si>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</si>
  <si>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</si>
  <si>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</si>
  <si>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</si>
  <si>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</si>
  <si>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</si>
  <si>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</si>
  <si>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</si>
  <si>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</si>
  <si>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</si>
  <si>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</si>
  <si>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</si>
  <si>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</si>
  <si>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</si>
  <si>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</si>
  <si>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</si>
  <si>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</si>
  <si>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</si>
  <si>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</si>
  <si>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</si>
  <si>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</si>
  <si>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</si>
  <si>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</si>
  <si>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</si>
  <si>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</si>
  <si>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</si>
  <si>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</si>
  <si>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</si>
  <si>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</si>
  <si>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</si>
  <si>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</si>
  <si>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</si>
  <si>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</si>
  <si>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</si>
  <si>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</si>
  <si>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</si>
  <si>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</si>
  <si>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</si>
  <si>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</si>
  <si>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</si>
  <si>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</si>
  <si>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</si>
  <si>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</si>
  <si>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</si>
  <si>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</si>
  <si>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</si>
  <si>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</si>
  <si>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</si>
  <si>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</si>
  <si>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</si>
  <si>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</si>
  <si>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</si>
  <si>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</si>
  <si>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</si>
  <si>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</si>
  <si>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</si>
  <si>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</si>
  <si>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</si>
  <si>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</si>
  <si>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</si>
  <si>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</si>
  <si>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</si>
  <si>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</si>
  <si>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</si>
  <si>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</si>
  <si>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</si>
  <si>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</si>
  <si>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</si>
  <si>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</si>
  <si>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</si>
  <si>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</si>
  <si>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</si>
  <si>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</si>
  <si>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</si>
  <si>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</si>
  <si>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</si>
  <si>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</si>
  <si>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</si>
  <si>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</si>
  <si>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</si>
  <si>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</si>
  <si>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</si>
  <si>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</si>
  <si>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</si>
  <si>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</si>
  <si>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</si>
  <si>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</si>
  <si>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</si>
  <si>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</si>
  <si>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</si>
  <si>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</si>
  <si>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</si>
  <si>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</si>
  <si>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</si>
  <si>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</si>
  <si>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</si>
  <si>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</si>
  <si>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</si>
  <si>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</si>
  <si>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</si>
  <si>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</si>
  <si>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</si>
  <si>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</si>
  <si>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</si>
  <si>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</si>
  <si>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</si>
  <si>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</si>
  <si>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</si>
  <si>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</si>
  <si>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</si>
  <si>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</si>
  <si>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</si>
  <si>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</si>
  <si>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</si>
  <si>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</si>
  <si>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</si>
  <si>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</si>
  <si>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</si>
  <si>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</si>
  <si>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</si>
  <si>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</si>
  <si>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</si>
  <si>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</si>
  <si>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</si>
  <si>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</si>
  <si>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</si>
  <si>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</si>
  <si>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</si>
  <si>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</si>
  <si>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</si>
  <si>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</si>
  <si>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</si>
  <si>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</si>
  <si>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</si>
  <si>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</si>
  <si>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</si>
  <si>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</si>
  <si>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</si>
  <si>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</si>
  <si>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</si>
  <si>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</si>
  <si>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</si>
  <si>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</si>
  <si>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</si>
  <si>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</si>
  <si>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</si>
  <si>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</si>
  <si>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</si>
  <si>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</si>
  <si>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</si>
  <si>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</si>
  <si>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</si>
  <si>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</si>
  <si>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</si>
  <si>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</si>
  <si>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</si>
  <si>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</si>
  <si>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</si>
  <si>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</si>
  <si>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</si>
  <si>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</si>
  <si>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</si>
  <si>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</si>
  <si>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</si>
  <si>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</si>
  <si>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</si>
  <si>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</si>
  <si>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</si>
  <si>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</si>
  <si>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</si>
  <si>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</si>
  <si>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</si>
  <si>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</si>
  <si>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</si>
  <si>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</si>
  <si>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</si>
  <si>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</si>
  <si>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</si>
  <si>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</si>
  <si>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</si>
  <si>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</si>
  <si>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</si>
  <si>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</si>
  <si>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</si>
  <si>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</si>
  <si>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</si>
  <si>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</si>
  <si>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</si>
  <si>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</si>
  <si>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</si>
  <si>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</si>
  <si>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</si>
  <si>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</si>
  <si>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</si>
  <si>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</si>
  <si>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</si>
  <si>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</si>
  <si>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</si>
  <si>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</si>
  <si>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</si>
  <si>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</si>
  <si>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</si>
  <si>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</si>
  <si>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</si>
  <si>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</si>
  <si>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</si>
  <si>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</si>
  <si>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</si>
  <si>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</si>
  <si>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</si>
  <si>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</si>
  <si>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</si>
  <si>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</si>
  <si>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</si>
  <si>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</si>
  <si>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</si>
  <si>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</si>
  <si>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</si>
  <si>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</si>
  <si>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</si>
  <si>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</si>
  <si>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</si>
  <si>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</si>
  <si>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</si>
  <si>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</si>
  <si>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</si>
  <si>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</si>
  <si>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</si>
  <si>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</si>
  <si>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</si>
  <si>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</si>
  <si>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</si>
  <si>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</si>
  <si>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</si>
  <si>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</si>
  <si>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</si>
  <si>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</si>
  <si>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</si>
  <si>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</si>
  <si>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</si>
  <si>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</si>
  <si>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</si>
  <si>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</si>
  <si>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</si>
  <si>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</si>
  <si>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</si>
  <si>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</si>
  <si>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</si>
  <si>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</si>
  <si>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</si>
  <si>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</si>
  <si>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</si>
  <si>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</si>
  <si>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</si>
  <si>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</si>
  <si>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</si>
  <si>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</si>
  <si>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</si>
  <si>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</si>
  <si>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</si>
  <si>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</si>
  <si>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</si>
  <si>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</si>
  <si>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</si>
  <si>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</si>
  <si>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</si>
  <si>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</si>
  <si>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</si>
  <si>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</si>
  <si>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</si>
  <si>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</si>
  <si>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</si>
  <si>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</si>
  <si>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</si>
  <si>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</si>
  <si>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</si>
  <si>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</si>
  <si>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</si>
  <si>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</si>
  <si>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</si>
  <si>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</si>
  <si>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</si>
  <si>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</si>
  <si>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</si>
  <si>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</si>
  <si>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</si>
  <si>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</si>
  <si>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</si>
  <si>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</si>
  <si>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</si>
  <si>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</si>
  <si>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</si>
  <si>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</si>
  <si>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</si>
  <si>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</si>
  <si>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</si>
  <si>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</si>
  <si>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</si>
  <si>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</si>
  <si>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</si>
  <si>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</si>
  <si>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</si>
  <si>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</si>
  <si>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</si>
  <si>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</si>
  <si>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</si>
  <si>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</si>
  <si>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</si>
  <si>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</si>
  <si>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</si>
  <si>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</si>
  <si>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</si>
  <si>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</si>
  <si>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</si>
  <si>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</si>
  <si>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</si>
  <si>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</si>
  <si>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</si>
  <si>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</si>
  <si>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</si>
  <si>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</si>
  <si>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</si>
  <si>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</si>
  <si>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</si>
  <si>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</si>
  <si>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</si>
  <si>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</si>
  <si>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</si>
  <si>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</si>
  <si>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</si>
  <si>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</si>
  <si>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</si>
  <si>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</si>
  <si>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</si>
  <si>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</si>
  <si>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</si>
  <si>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</si>
  <si>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</si>
  <si>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</si>
  <si>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</si>
  <si>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</si>
  <si>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</si>
  <si>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</si>
  <si>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</si>
  <si>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</si>
  <si>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</si>
  <si>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</si>
  <si>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</si>
  <si>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</si>
  <si>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</si>
  <si>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</si>
  <si>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</si>
  <si>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</si>
  <si>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</si>
  <si>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</si>
  <si>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</si>
  <si>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</si>
  <si>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</si>
  <si>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</si>
  <si>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</si>
  <si>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</si>
  <si>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</si>
  <si>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</si>
  <si>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Equip, OnHpChanged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</si>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</sst>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5">
  <autoFilter ref="B12:G42" xr:uid="{B73D1EB2-9631-41EE-AD58-6E2FFBE46994}"/>
  <tableColumns count="6">
    <tableColumn id="11" xr3:uid="{55B6F8E8-6B8B-4ED9-8F5F-483F1DB1EECB}" name="층" dataDxfId="94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3"/>
    <tableColumn id="6" xr3:uid="{4137F677-A56C-450D-803F-BB4DD6A6869A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1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0" totalsRowDxfId="89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100-000001000000}" name="스텟" dataDxfId="84"/>
    <tableColumn id="2" xr3:uid="{00000000-0010-0000-0100-000002000000}" name="참조 테이블" dataDxfId="83"/>
    <tableColumn id="3" xr3:uid="{00000000-0010-0000-0100-000003000000}" name="설명" dataDxfId="82"/>
    <tableColumn id="4" xr3:uid="{00000000-0010-0000-01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0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9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8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7"/>
    <tableColumn id="4" xr3:uid="{00000000-0010-0000-0400-000004000000}" name="획득 무기"/>
    <tableColumn id="5" xr3:uid="{00000000-0010-0000-0400-000005000000}" name="획득 골드" dataDxfId="76">
      <calculatedColumnFormula array="1">밸런스시트[[#This Row],[방 개수]]*표10[방 평균 골드]</calculatedColumnFormula>
    </tableColumn>
    <tableColumn id="6" xr3:uid="{00000000-0010-0000-0400-000006000000}" name="적 체력" dataDxfId="75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4">
      <calculatedColumnFormula array="1">CharacterAtkTable['#던진공 차징1 튕겨내기 DPS]</calculatedColumnFormula>
    </tableColumn>
    <tableColumn id="10" xr3:uid="{00000000-0010-0000-04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2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0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9"/>
    <tableColumn id="3" xr3:uid="{00000000-0010-0000-0600-000003000000}" name="value"/>
    <tableColumn id="4" xr3:uid="{00000000-0010-0000-06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M3" totalsRowShown="0" headerRowDxfId="67">
  <autoFilter ref="B2:M3" xr:uid="{00000000-0009-0000-0100-000006000000}"/>
  <tableColumns count="12">
    <tableColumn id="1" xr3:uid="{00000000-0010-0000-0700-000001000000}" name="Index"/>
    <tableColumn id="2" xr3:uid="{00000000-0010-0000-0700-000002000000}" name="#설명" dataDxfId="66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4" xr3:uid="{00000000-0010-0000-07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W3" totalsRowShown="0" headerRowDxfId="65">
  <autoFilter ref="B2:W3" xr:uid="{00000000-0009-0000-0100-000007000000}"/>
  <tableColumns count="22">
    <tableColumn id="1" xr3:uid="{00000000-0010-0000-0800-000001000000}" name="Index"/>
    <tableColumn id="2" xr3:uid="{00000000-0010-0000-0800-000002000000}" name="#설명" dataDxfId="64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4" xr3:uid="{00000000-0010-0000-0800-00000E000000}" name="ChargeShootSpd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1" xr3:uid="{00000000-0010-0000-0800-000015000000}" name="ChargeProjectileDmg"/>
    <tableColumn id="32" xr3:uid="{72CE4178-5CF6-4FE9-B891-32C6A23D3487}" name="EnemyProjectileDmg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1" t="s">
        <v>305</v>
      </c>
      <c r="C1" s="52"/>
      <c r="D1" s="52"/>
      <c r="E1" s="52"/>
    </row>
    <row r="2" spans="2:5" s="1" customFormat="1">
      <c r="B2" s="52"/>
      <c r="C2" s="52"/>
      <c r="D2" s="52"/>
      <c r="E2" s="52"/>
    </row>
    <row r="3" spans="2:5" s="1" customFormat="1">
      <c r="B3" s="52"/>
      <c r="C3" s="52"/>
      <c r="D3" s="52"/>
      <c r="E3" s="52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1" t="s">
        <v>198</v>
      </c>
      <c r="C1" s="52"/>
      <c r="D1" s="52"/>
      <c r="E1" s="52"/>
    </row>
    <row r="2" spans="2:13" s="1" customFormat="1">
      <c r="B2" s="52"/>
      <c r="C2" s="52"/>
      <c r="D2" s="52"/>
      <c r="E2" s="52"/>
    </row>
    <row r="3" spans="2:13" s="1" customFormat="1">
      <c r="B3" s="52"/>
      <c r="C3" s="52"/>
      <c r="D3" s="52"/>
      <c r="E3" s="52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585</v>
      </c>
    </row>
    <row r="12" spans="2:13">
      <c r="B12" s="12" t="s">
        <v>584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593</v>
      </c>
      <c r="H12" s="12"/>
      <c r="J12" s="12" t="s">
        <v>584</v>
      </c>
      <c r="K12" s="12" t="s">
        <v>592</v>
      </c>
      <c r="L12" s="12" t="s">
        <v>594</v>
      </c>
      <c r="M12" s="12" t="s">
        <v>595</v>
      </c>
    </row>
    <row r="13" spans="2:13">
      <c r="B13" s="12" t="s">
        <v>587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587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587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589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586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591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586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586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586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596</v>
      </c>
      <c r="M18" s="12">
        <f>표24[[#Totals],[층 완료 획득]]/30</f>
        <v>16.933333333333334</v>
      </c>
    </row>
    <row r="19" spans="2:13">
      <c r="B19" s="12" t="s">
        <v>586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597</v>
      </c>
      <c r="M19" s="12">
        <f>표24[[#Totals],[층 완료 획득]]/50</f>
        <v>10.16</v>
      </c>
    </row>
    <row r="20" spans="2:13">
      <c r="B20" s="12" t="s">
        <v>586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586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586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589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589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588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588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588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588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588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588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588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588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591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591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590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590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590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590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590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590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590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590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1" t="s">
        <v>283</v>
      </c>
      <c r="C1" s="52"/>
      <c r="D1" s="52"/>
      <c r="E1" s="52"/>
      <c r="F1" s="52"/>
    </row>
    <row r="2" spans="1:21" s="1" customFormat="1">
      <c r="B2" s="52"/>
      <c r="C2" s="52"/>
      <c r="D2" s="52"/>
      <c r="E2" s="52"/>
      <c r="F2" s="52"/>
    </row>
    <row r="3" spans="1:21" s="1" customFormat="1">
      <c r="B3" s="52"/>
      <c r="C3" s="52"/>
      <c r="D3" s="52"/>
      <c r="E3" s="52"/>
      <c r="F3" s="52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 ht="18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 ht="18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topLeftCell="B1" zoomScaleNormal="75" zoomScaleSheetLayoutView="100" workbookViewId="0">
      <selection activeCell="L7" sqref="L7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547</v>
      </c>
      <c r="H2" t="s">
        <v>14</v>
      </c>
      <c r="I2" s="17" t="s">
        <v>510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5"/>
  <sheetViews>
    <sheetView zoomScaleNormal="75" zoomScaleSheetLayoutView="100" workbookViewId="0">
      <selection activeCell="K7" sqref="K7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511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633</v>
      </c>
      <c r="J2" s="49" t="s">
        <v>617</v>
      </c>
      <c r="K2" s="6" t="s">
        <v>29</v>
      </c>
      <c r="L2" s="7" t="s">
        <v>216</v>
      </c>
      <c r="M2" s="7" t="s">
        <v>224</v>
      </c>
      <c r="N2" s="50" t="s">
        <v>631</v>
      </c>
      <c r="O2" s="31" t="s">
        <v>632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1.2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20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16.666666666666668</v>
      </c>
      <c r="S3">
        <f>CharacterAtkTable[[#This Row],[ChargeRigidDmg2]]/(CharacterAtkTable[[#This Row],[SwingCooldown]]+CharacterAtkTable[[#This Row],[ChargeTime]])</f>
        <v>22.222222222222225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587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589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591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515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D28" sqref="D28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12</v>
      </c>
      <c r="G3" t="s">
        <v>120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645</v>
      </c>
      <c r="D4" s="14" t="s">
        <v>392</v>
      </c>
      <c r="E4">
        <f>표14[적 기준 체력]*EnemyGameData[[#This Row],['#기준 적 체력 비율]]</f>
        <v>80</v>
      </c>
      <c r="F4">
        <v>12</v>
      </c>
      <c r="G4" t="s">
        <v>120</v>
      </c>
      <c r="H4">
        <v>6</v>
      </c>
      <c r="I4">
        <v>2</v>
      </c>
      <c r="J4">
        <v>2</v>
      </c>
      <c r="K4">
        <v>0</v>
      </c>
      <c r="L4">
        <v>1.8</v>
      </c>
      <c r="M4" s="17" t="s">
        <v>504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635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5" t="s">
        <v>646</v>
      </c>
      <c r="D5" s="14" t="s">
        <v>395</v>
      </c>
      <c r="E5">
        <f>표14[적 기준 체력]*EnemyGameData[[#This Row],['#기준 적 체력 비율]]</f>
        <v>100</v>
      </c>
      <c r="F5">
        <v>12</v>
      </c>
      <c r="G5" t="s">
        <v>120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636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5" t="s">
        <v>647</v>
      </c>
      <c r="D6" s="14" t="s">
        <v>414</v>
      </c>
      <c r="E6">
        <f>표14[적 기준 체력]*EnemyGameData[[#This Row],['#기준 적 체력 비율]]</f>
        <v>80</v>
      </c>
      <c r="F6">
        <v>12</v>
      </c>
      <c r="G6" t="s">
        <v>301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637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638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12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639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12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5" t="s">
        <v>648</v>
      </c>
      <c r="D9" s="14" t="s">
        <v>417</v>
      </c>
      <c r="E9">
        <f>표14[적 기준 체력]*EnemyGameData[[#This Row],['#기준 적 체력 비율]]</f>
        <v>100</v>
      </c>
      <c r="F9">
        <v>12</v>
      </c>
      <c r="G9" t="s">
        <v>301</v>
      </c>
      <c r="H9">
        <v>2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640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12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649</v>
      </c>
      <c r="D11" s="14" t="s">
        <v>420</v>
      </c>
      <c r="E11">
        <f>표14[적 기준 체력]*EnemyGameData[[#This Row],['#기준 적 체력 비율]]</f>
        <v>80</v>
      </c>
      <c r="F11">
        <v>12</v>
      </c>
      <c r="G11" t="s">
        <v>301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643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650</v>
      </c>
      <c r="D12" s="14" t="s">
        <v>391</v>
      </c>
      <c r="E12">
        <f>표14[적 기준 체력]*EnemyGameData[[#This Row],['#기준 적 체력 비율]]</f>
        <v>140</v>
      </c>
      <c r="F12">
        <v>12</v>
      </c>
      <c r="G12" s="17" t="s">
        <v>630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644</v>
      </c>
      <c r="U12">
        <v>1.4</v>
      </c>
      <c r="V12">
        <v>7</v>
      </c>
    </row>
    <row r="13" spans="2:22">
      <c r="B13" s="53">
        <v>551</v>
      </c>
      <c r="C13" s="54" t="s">
        <v>651</v>
      </c>
      <c r="D13" s="54" t="s">
        <v>396</v>
      </c>
      <c r="E13" s="53">
        <f>표14[적 기준 체력]*EnemyGameData[[#This Row],['#기준 적 체력 비율]]</f>
        <v>160</v>
      </c>
      <c r="F13" s="53">
        <v>12</v>
      </c>
      <c r="G13" s="53" t="s">
        <v>120</v>
      </c>
      <c r="H13" s="53">
        <v>4</v>
      </c>
      <c r="I13" s="53">
        <v>1.2</v>
      </c>
      <c r="J13" s="53">
        <v>3</v>
      </c>
      <c r="K13" s="53">
        <v>0</v>
      </c>
      <c r="L13" s="53">
        <v>1.5</v>
      </c>
      <c r="M13" s="53" t="s">
        <v>121</v>
      </c>
      <c r="N13" s="53">
        <v>5</v>
      </c>
      <c r="O13" s="53">
        <v>651</v>
      </c>
      <c r="P13" s="53">
        <v>0</v>
      </c>
      <c r="Q13" s="53">
        <v>3</v>
      </c>
      <c r="R13" s="53">
        <v>5</v>
      </c>
      <c r="S13" s="53">
        <v>501</v>
      </c>
      <c r="T13" s="53" t="s">
        <v>636</v>
      </c>
      <c r="U13" s="53">
        <v>1.6</v>
      </c>
      <c r="V13" s="53">
        <v>7</v>
      </c>
    </row>
    <row r="14" spans="2:22">
      <c r="B14">
        <v>552</v>
      </c>
      <c r="C14" s="14" t="s">
        <v>652</v>
      </c>
      <c r="D14" s="14" t="s">
        <v>415</v>
      </c>
      <c r="E14">
        <f>표14[적 기준 체력]*EnemyGameData[[#This Row],['#기준 적 체력 비율]]</f>
        <v>140</v>
      </c>
      <c r="F14">
        <v>12</v>
      </c>
      <c r="G14" t="s">
        <v>301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642</v>
      </c>
      <c r="U14">
        <v>1.4</v>
      </c>
      <c r="V14">
        <v>7</v>
      </c>
    </row>
    <row r="15" spans="2:22">
      <c r="B15">
        <v>553</v>
      </c>
      <c r="C15" s="15" t="s">
        <v>653</v>
      </c>
      <c r="D15" s="14" t="s">
        <v>416</v>
      </c>
      <c r="E15">
        <f>표14[적 기준 체력]*EnemyGameData[[#This Row],['#기준 적 체력 비율]]</f>
        <v>160</v>
      </c>
      <c r="F15">
        <v>12</v>
      </c>
      <c r="G15" t="s">
        <v>301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641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634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12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543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543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543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601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601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601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601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544</v>
      </c>
      <c r="D4" t="b">
        <v>1</v>
      </c>
      <c r="E4">
        <v>0.8</v>
      </c>
      <c r="F4">
        <v>15</v>
      </c>
      <c r="G4" s="12" t="s">
        <v>603</v>
      </c>
    </row>
    <row r="5" spans="2:7">
      <c r="B5">
        <v>203</v>
      </c>
      <c r="C5" s="12" t="s">
        <v>602</v>
      </c>
      <c r="D5" t="b">
        <v>1</v>
      </c>
      <c r="E5">
        <v>1.2</v>
      </c>
      <c r="F5">
        <v>30</v>
      </c>
      <c r="G5" s="12" t="s">
        <v>620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D1" zoomScale="136" zoomScaleNormal="136" zoomScaleSheetLayoutView="100" workbookViewId="0">
      <selection activeCell="E21" sqref="E21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516</v>
      </c>
      <c r="F2" s="17" t="s">
        <v>517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608</v>
      </c>
      <c r="E8" s="17" t="s">
        <v>616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611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561</v>
      </c>
      <c r="E12" s="12" t="s">
        <v>518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576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575</v>
      </c>
      <c r="F14" s="26"/>
      <c r="G14" t="s">
        <v>79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600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562</v>
      </c>
      <c r="E16" s="12" t="s">
        <v>628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553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568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570</v>
      </c>
      <c r="E19" s="25" t="s">
        <v>581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539</v>
      </c>
      <c r="D20" s="17" t="s">
        <v>540</v>
      </c>
      <c r="E20" s="17" t="s">
        <v>619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555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629</v>
      </c>
      <c r="F21" s="25" t="s">
        <v>627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565</v>
      </c>
      <c r="E22" s="25" t="s">
        <v>606</v>
      </c>
      <c r="F22" s="25" t="s">
        <v>564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580</v>
      </c>
      <c r="F24" s="48" t="s">
        <v>579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546</v>
      </c>
      <c r="D25" s="25" t="s">
        <v>386</v>
      </c>
      <c r="E25" s="25" t="s">
        <v>613</v>
      </c>
      <c r="F25" s="25" t="s">
        <v>622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535</v>
      </c>
      <c r="D26" s="15" t="s">
        <v>582</v>
      </c>
      <c r="E26" s="19" t="s">
        <v>536</v>
      </c>
      <c r="F26" s="19"/>
      <c r="G26" s="17" t="s">
        <v>515</v>
      </c>
      <c r="H26">
        <v>1</v>
      </c>
      <c r="I26">
        <v>50</v>
      </c>
      <c r="J26">
        <v>100</v>
      </c>
      <c r="K26">
        <v>10000</v>
      </c>
      <c r="L26" s="12" t="s">
        <v>551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556</v>
      </c>
      <c r="D27" s="36" t="s">
        <v>563</v>
      </c>
      <c r="E27" s="36" t="s">
        <v>554</v>
      </c>
      <c r="F27" s="36"/>
      <c r="G27" s="17" t="s">
        <v>515</v>
      </c>
      <c r="H27">
        <v>1</v>
      </c>
      <c r="I27">
        <v>50</v>
      </c>
      <c r="J27">
        <v>100</v>
      </c>
      <c r="K27">
        <v>10001</v>
      </c>
      <c r="L27" s="12" t="s">
        <v>552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557</v>
      </c>
      <c r="D28" s="36" t="s">
        <v>559</v>
      </c>
      <c r="E28" s="36" t="s">
        <v>560</v>
      </c>
      <c r="F28" s="36"/>
      <c r="G28" s="17" t="s">
        <v>515</v>
      </c>
      <c r="H28">
        <v>1</v>
      </c>
      <c r="I28">
        <v>50</v>
      </c>
      <c r="J28">
        <v>100</v>
      </c>
      <c r="K28">
        <v>10002</v>
      </c>
      <c r="L28" s="12" t="s">
        <v>583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537</v>
      </c>
      <c r="D29" s="36" t="s">
        <v>558</v>
      </c>
      <c r="E29" s="36" t="s">
        <v>545</v>
      </c>
      <c r="F29" s="36"/>
      <c r="G29" s="17" t="s">
        <v>515</v>
      </c>
      <c r="H29">
        <v>1</v>
      </c>
      <c r="I29">
        <v>50</v>
      </c>
      <c r="J29">
        <v>100</v>
      </c>
      <c r="K29">
        <v>10003</v>
      </c>
      <c r="L29" s="12" t="s">
        <v>550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J34" sqref="J34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567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/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538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503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496</v>
      </c>
      <c r="J11" s="17" t="s">
        <v>495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/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513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573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612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509</v>
      </c>
      <c r="J24" s="17" t="s">
        <v>508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D25" sqref="D25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44</v>
      </c>
      <c r="C1" t="s">
        <v>122</v>
      </c>
      <c r="D1" s="17" t="s">
        <v>489</v>
      </c>
      <c r="E1" s="17" t="s">
        <v>491</v>
      </c>
      <c r="F1" s="17" t="s">
        <v>484</v>
      </c>
      <c r="G1" s="17"/>
      <c r="H1" s="17"/>
    </row>
    <row r="2" spans="2:11">
      <c r="B2" t="s">
        <v>73</v>
      </c>
      <c r="C2" s="17" t="s">
        <v>480</v>
      </c>
      <c r="D2" s="17" t="s">
        <v>490</v>
      </c>
      <c r="E2" s="1" t="s">
        <v>13</v>
      </c>
      <c r="F2" s="33" t="s">
        <v>492</v>
      </c>
      <c r="G2" s="40" t="s">
        <v>519</v>
      </c>
      <c r="H2" s="33" t="s">
        <v>528</v>
      </c>
    </row>
    <row r="3" spans="2:11">
      <c r="B3">
        <v>7000</v>
      </c>
      <c r="C3" s="17" t="s">
        <v>184</v>
      </c>
      <c r="D3" s="17">
        <v>1</v>
      </c>
      <c r="E3" s="12" t="s">
        <v>614</v>
      </c>
      <c r="F3" s="17">
        <v>-1</v>
      </c>
      <c r="G3" s="19" t="s">
        <v>615</v>
      </c>
      <c r="H3" s="19"/>
    </row>
    <row r="4" spans="2:11" ht="18">
      <c r="B4" s="17">
        <v>7001</v>
      </c>
      <c r="C4" s="9" t="s">
        <v>309</v>
      </c>
      <c r="D4" s="9">
        <v>1.2</v>
      </c>
      <c r="E4" t="s">
        <v>337</v>
      </c>
      <c r="F4">
        <v>-1</v>
      </c>
      <c r="G4" s="15" t="s">
        <v>526</v>
      </c>
      <c r="H4" s="15"/>
    </row>
    <row r="5" spans="2:11">
      <c r="B5" s="17">
        <v>7002</v>
      </c>
      <c r="C5" s="17" t="s">
        <v>505</v>
      </c>
      <c r="D5" s="9">
        <v>0.5</v>
      </c>
      <c r="E5" t="s">
        <v>337</v>
      </c>
      <c r="F5">
        <v>-1</v>
      </c>
      <c r="G5" s="15" t="s">
        <v>625</v>
      </c>
      <c r="H5" s="15"/>
    </row>
    <row r="6" spans="2:11" ht="18">
      <c r="B6" s="25">
        <v>7003</v>
      </c>
      <c r="C6" s="44" t="s">
        <v>566</v>
      </c>
      <c r="D6" s="25">
        <v>0.2</v>
      </c>
      <c r="E6" t="s">
        <v>497</v>
      </c>
      <c r="F6" s="25">
        <v>5</v>
      </c>
      <c r="G6" s="18" t="s">
        <v>609</v>
      </c>
      <c r="H6" s="15"/>
    </row>
    <row r="7" spans="2:11" ht="18">
      <c r="B7" s="17">
        <v>7004</v>
      </c>
      <c r="C7" s="9" t="s">
        <v>213</v>
      </c>
      <c r="D7">
        <v>0.7</v>
      </c>
      <c r="E7" t="s">
        <v>337</v>
      </c>
      <c r="F7">
        <v>-1</v>
      </c>
      <c r="G7" s="15" t="s">
        <v>525</v>
      </c>
      <c r="H7" s="15"/>
    </row>
    <row r="8" spans="2:11" ht="18">
      <c r="B8" s="17">
        <v>7005</v>
      </c>
      <c r="C8" s="9" t="s">
        <v>53</v>
      </c>
      <c r="D8">
        <v>25</v>
      </c>
      <c r="E8" t="s">
        <v>497</v>
      </c>
      <c r="F8">
        <v>-1</v>
      </c>
      <c r="G8" s="15" t="s">
        <v>527</v>
      </c>
      <c r="H8" s="15"/>
    </row>
    <row r="9" spans="2:11" ht="18">
      <c r="B9" s="25">
        <v>8000</v>
      </c>
      <c r="C9" s="44" t="s">
        <v>310</v>
      </c>
      <c r="D9" s="25">
        <v>0.4</v>
      </c>
      <c r="E9" s="25" t="s">
        <v>497</v>
      </c>
      <c r="F9" s="25">
        <v>4</v>
      </c>
      <c r="G9" s="18" t="s">
        <v>598</v>
      </c>
      <c r="H9" s="42"/>
    </row>
    <row r="10" spans="2:11" ht="18">
      <c r="B10" s="17">
        <v>8001</v>
      </c>
      <c r="C10" s="9" t="s">
        <v>310</v>
      </c>
      <c r="D10" s="12" t="s">
        <v>599</v>
      </c>
      <c r="E10" t="s">
        <v>497</v>
      </c>
      <c r="F10">
        <v>-1</v>
      </c>
      <c r="G10" s="15" t="s">
        <v>529</v>
      </c>
      <c r="H10" s="20"/>
      <c r="K10" s="12"/>
    </row>
    <row r="11" spans="2:11">
      <c r="B11" s="17">
        <v>8002</v>
      </c>
      <c r="C11" t="s">
        <v>310</v>
      </c>
      <c r="D11">
        <v>0.1</v>
      </c>
      <c r="E11" t="s">
        <v>497</v>
      </c>
      <c r="F11">
        <v>-1</v>
      </c>
      <c r="G11" s="15" t="s">
        <v>532</v>
      </c>
      <c r="H11" s="20"/>
    </row>
    <row r="12" spans="2:11">
      <c r="B12" s="17">
        <v>8002</v>
      </c>
      <c r="C12" t="s">
        <v>2</v>
      </c>
      <c r="D12">
        <v>0.5</v>
      </c>
      <c r="E12" t="s">
        <v>497</v>
      </c>
      <c r="F12">
        <v>-1</v>
      </c>
      <c r="G12" s="15" t="s">
        <v>530</v>
      </c>
      <c r="H12" s="20"/>
    </row>
    <row r="13" spans="2:11">
      <c r="B13" s="17">
        <v>8002</v>
      </c>
      <c r="C13" t="s">
        <v>213</v>
      </c>
      <c r="D13">
        <v>-0.1</v>
      </c>
      <c r="E13" t="s">
        <v>497</v>
      </c>
      <c r="F13">
        <v>-1</v>
      </c>
      <c r="G13" s="15" t="s">
        <v>531</v>
      </c>
      <c r="H13" s="20"/>
    </row>
    <row r="14" spans="2:11">
      <c r="B14" s="17">
        <v>8003</v>
      </c>
      <c r="C14" t="s">
        <v>272</v>
      </c>
      <c r="D14">
        <v>0.5</v>
      </c>
      <c r="E14" t="s">
        <v>497</v>
      </c>
      <c r="F14">
        <v>-1</v>
      </c>
      <c r="G14" s="15" t="s">
        <v>533</v>
      </c>
      <c r="H14" s="20"/>
    </row>
    <row r="15" spans="2:11" ht="18">
      <c r="B15" s="17">
        <v>8004</v>
      </c>
      <c r="C15" s="47" t="s">
        <v>607</v>
      </c>
      <c r="D15">
        <v>3</v>
      </c>
      <c r="E15" t="s">
        <v>497</v>
      </c>
      <c r="F15">
        <v>-1</v>
      </c>
      <c r="G15" s="15" t="s">
        <v>569</v>
      </c>
      <c r="H15" s="20"/>
    </row>
    <row r="16" spans="2:11" ht="18">
      <c r="B16" s="17">
        <v>8005</v>
      </c>
      <c r="C16" s="47" t="s">
        <v>623</v>
      </c>
      <c r="D16">
        <v>50</v>
      </c>
      <c r="E16" t="s">
        <v>497</v>
      </c>
      <c r="F16">
        <v>-1</v>
      </c>
      <c r="G16" s="15" t="s">
        <v>624</v>
      </c>
      <c r="H16" s="20"/>
    </row>
    <row r="17" spans="2:8" ht="18">
      <c r="B17" s="25">
        <v>9000</v>
      </c>
      <c r="C17" s="44" t="s">
        <v>213</v>
      </c>
      <c r="D17" s="25">
        <v>1.2</v>
      </c>
      <c r="E17" s="25" t="s">
        <v>337</v>
      </c>
      <c r="F17" s="25">
        <v>-1</v>
      </c>
      <c r="G17" s="18" t="s">
        <v>626</v>
      </c>
      <c r="H17" s="20"/>
    </row>
    <row r="18" spans="2:8" ht="18">
      <c r="B18" s="25">
        <v>9000</v>
      </c>
      <c r="C18" s="44" t="s">
        <v>329</v>
      </c>
      <c r="D18" s="25">
        <v>0</v>
      </c>
      <c r="E18" s="25" t="s">
        <v>337</v>
      </c>
      <c r="F18" s="25">
        <v>-1</v>
      </c>
      <c r="G18" s="18" t="s">
        <v>571</v>
      </c>
      <c r="H18" s="20"/>
    </row>
    <row r="19" spans="2:8" ht="18">
      <c r="B19" s="25">
        <v>9001</v>
      </c>
      <c r="C19" s="44" t="s">
        <v>574</v>
      </c>
      <c r="D19" s="25">
        <v>0.85</v>
      </c>
      <c r="E19" s="25" t="s">
        <v>337</v>
      </c>
      <c r="F19" s="25">
        <v>4</v>
      </c>
      <c r="G19" s="18" t="s">
        <v>605</v>
      </c>
      <c r="H19" s="20"/>
    </row>
    <row r="20" spans="2:8" ht="18">
      <c r="B20" s="25">
        <v>9101</v>
      </c>
      <c r="C20" s="44" t="s">
        <v>574</v>
      </c>
      <c r="D20" s="25">
        <v>1.3</v>
      </c>
      <c r="E20" s="25" t="s">
        <v>337</v>
      </c>
      <c r="F20" s="25">
        <v>-1</v>
      </c>
      <c r="G20" s="18" t="s">
        <v>572</v>
      </c>
      <c r="H20" s="20"/>
    </row>
    <row r="21" spans="2:8">
      <c r="B21" s="17">
        <v>9002</v>
      </c>
      <c r="C21" t="s">
        <v>310</v>
      </c>
      <c r="D21">
        <v>1</v>
      </c>
      <c r="E21" t="s">
        <v>497</v>
      </c>
      <c r="F21">
        <v>-1</v>
      </c>
      <c r="G21" s="15" t="s">
        <v>534</v>
      </c>
      <c r="H21" s="20"/>
    </row>
    <row r="22" spans="2:8" ht="18">
      <c r="B22" s="17">
        <v>9003</v>
      </c>
      <c r="C22" s="9" t="s">
        <v>53</v>
      </c>
      <c r="D22">
        <v>-50</v>
      </c>
      <c r="E22" t="s">
        <v>497</v>
      </c>
      <c r="F22">
        <v>-1</v>
      </c>
      <c r="G22" s="15" t="s">
        <v>577</v>
      </c>
      <c r="H22" s="20"/>
    </row>
    <row r="23" spans="2:8" ht="18">
      <c r="B23" s="17">
        <v>9003</v>
      </c>
      <c r="C23" s="47" t="s">
        <v>566</v>
      </c>
      <c r="D23">
        <v>0.6</v>
      </c>
      <c r="E23" t="s">
        <v>497</v>
      </c>
      <c r="F23">
        <v>-1</v>
      </c>
      <c r="G23" s="15" t="s">
        <v>578</v>
      </c>
      <c r="H23" s="20"/>
    </row>
    <row r="24" spans="2:8">
      <c r="B24" s="17">
        <v>9104</v>
      </c>
      <c r="C24" s="12" t="s">
        <v>618</v>
      </c>
      <c r="D24">
        <v>2</v>
      </c>
      <c r="E24" s="12" t="s">
        <v>604</v>
      </c>
      <c r="F24">
        <v>-1</v>
      </c>
      <c r="G24" s="15" t="s">
        <v>621</v>
      </c>
      <c r="H24" s="20"/>
    </row>
    <row r="25" spans="2:8">
      <c r="B25" s="35">
        <v>10002</v>
      </c>
      <c r="C25" t="s">
        <v>2</v>
      </c>
      <c r="D25">
        <v>2.5</v>
      </c>
      <c r="E25" t="s">
        <v>337</v>
      </c>
      <c r="F25">
        <v>5</v>
      </c>
      <c r="G25" s="20"/>
      <c r="H25" s="20"/>
    </row>
    <row r="26" spans="2:8">
      <c r="B26" s="35">
        <v>10002</v>
      </c>
      <c r="C26" t="s">
        <v>26</v>
      </c>
      <c r="D26">
        <v>0.2</v>
      </c>
      <c r="E26" t="s">
        <v>337</v>
      </c>
      <c r="F26">
        <v>5</v>
      </c>
      <c r="G26" s="20"/>
      <c r="H26" s="20"/>
    </row>
    <row r="27" spans="2:8">
      <c r="B27" s="35">
        <v>10002</v>
      </c>
      <c r="C27" t="s">
        <v>222</v>
      </c>
      <c r="D27">
        <v>3</v>
      </c>
      <c r="E27" t="s">
        <v>337</v>
      </c>
      <c r="F27">
        <v>5</v>
      </c>
      <c r="G27" s="20"/>
      <c r="H27" s="20"/>
    </row>
    <row r="28" spans="2:8">
      <c r="B28" s="35">
        <v>10002</v>
      </c>
      <c r="C28" t="s">
        <v>213</v>
      </c>
      <c r="D28">
        <v>0.3</v>
      </c>
      <c r="E28" t="s">
        <v>337</v>
      </c>
      <c r="F28">
        <v>5</v>
      </c>
      <c r="G28" s="20"/>
      <c r="H28" s="20"/>
    </row>
    <row r="29" spans="2:8">
      <c r="B29" s="35">
        <v>10002</v>
      </c>
      <c r="C29" t="s">
        <v>27</v>
      </c>
      <c r="D29">
        <v>2.5</v>
      </c>
      <c r="E29" t="s">
        <v>337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200" zoomScaleNormal="200" zoomScaleSheetLayoutView="100" workbookViewId="0">
      <selection activeCell="F16" sqref="F16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541</v>
      </c>
      <c r="D2" s="17" t="s">
        <v>506</v>
      </c>
      <c r="E2" s="17" t="s">
        <v>481</v>
      </c>
      <c r="F2" s="17" t="s">
        <v>520</v>
      </c>
      <c r="G2" s="33" t="s">
        <v>482</v>
      </c>
      <c r="H2" s="17" t="s">
        <v>521</v>
      </c>
      <c r="I2" s="33" t="s">
        <v>483</v>
      </c>
      <c r="J2" s="33" t="s">
        <v>522</v>
      </c>
      <c r="K2" s="33" t="s">
        <v>549</v>
      </c>
      <c r="L2" s="33" t="s">
        <v>548</v>
      </c>
    </row>
    <row r="3" spans="2:12">
      <c r="B3" s="17">
        <v>8006</v>
      </c>
      <c r="C3" s="19" t="s">
        <v>542</v>
      </c>
      <c r="D3" s="17" t="s">
        <v>514</v>
      </c>
      <c r="E3">
        <v>800</v>
      </c>
      <c r="F3" s="15"/>
      <c r="G3">
        <v>1</v>
      </c>
      <c r="H3" s="20"/>
      <c r="J3" s="20"/>
      <c r="L3" s="20"/>
    </row>
    <row r="4" spans="2:12">
      <c r="B4" s="17">
        <v>9004</v>
      </c>
      <c r="C4" s="19" t="s">
        <v>610</v>
      </c>
      <c r="D4" s="17" t="s">
        <v>514</v>
      </c>
      <c r="E4">
        <v>802</v>
      </c>
      <c r="F4" s="15"/>
      <c r="G4">
        <v>0</v>
      </c>
      <c r="H4" s="20"/>
      <c r="J4" s="20"/>
      <c r="L4" s="20"/>
    </row>
    <row r="5" spans="2:12">
      <c r="B5" s="17">
        <v>9002</v>
      </c>
      <c r="C5" s="19"/>
      <c r="D5" s="17" t="s">
        <v>500</v>
      </c>
      <c r="E5" s="9"/>
      <c r="F5" s="41"/>
      <c r="H5" s="41"/>
      <c r="J5" s="20"/>
      <c r="L5" s="20"/>
    </row>
    <row r="6" spans="2:12">
      <c r="B6" s="17">
        <v>10000</v>
      </c>
      <c r="C6" s="19"/>
      <c r="D6" s="17" t="s">
        <v>485</v>
      </c>
      <c r="E6" s="9">
        <v>8</v>
      </c>
      <c r="F6" s="41"/>
      <c r="H6" s="41"/>
      <c r="J6" s="20"/>
      <c r="L6" s="20"/>
    </row>
    <row r="7" spans="2:12">
      <c r="B7">
        <v>10001</v>
      </c>
      <c r="C7" s="20"/>
      <c r="D7" s="17" t="s">
        <v>507</v>
      </c>
      <c r="E7">
        <v>6</v>
      </c>
      <c r="F7" s="20"/>
      <c r="G7">
        <v>30</v>
      </c>
      <c r="H7" s="20"/>
      <c r="I7">
        <v>3</v>
      </c>
      <c r="J7" s="20"/>
      <c r="K7">
        <v>4</v>
      </c>
      <c r="L7" s="20"/>
    </row>
    <row r="8" spans="2:12">
      <c r="B8">
        <v>10002</v>
      </c>
      <c r="C8" s="20"/>
      <c r="D8" s="17" t="s">
        <v>501</v>
      </c>
      <c r="E8">
        <v>0.5</v>
      </c>
      <c r="F8" s="15" t="s">
        <v>523</v>
      </c>
      <c r="G8">
        <v>5</v>
      </c>
      <c r="H8" s="15" t="s">
        <v>524</v>
      </c>
      <c r="J8" s="20"/>
      <c r="L8" s="20"/>
    </row>
    <row r="9" spans="2:12">
      <c r="B9">
        <v>10003</v>
      </c>
      <c r="C9" s="20"/>
      <c r="D9" s="17" t="s">
        <v>512</v>
      </c>
      <c r="E9">
        <v>10</v>
      </c>
      <c r="F9" s="20"/>
      <c r="G9">
        <v>90</v>
      </c>
      <c r="H9" s="20"/>
      <c r="I9">
        <v>1.2</v>
      </c>
      <c r="J9" s="20"/>
      <c r="L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2023-09-05T18:57:31Z</dcterms:modified>
  <cp:version>1200.0100.01</cp:version>
</cp:coreProperties>
</file>