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85CCF5F0-9F50-4BF3-AAC8-DC80E3303A91}" xr6:coauthVersionLast="47" xr6:coauthVersionMax="47" xr10:uidLastSave="{00000000-0000-0000-0000-000000000000}"/>
  <bookViews>
    <workbookView xWindow="-108" yWindow="-108" windowWidth="23256" windowHeight="12456" firstSheet="10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4" l="1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M9" i="2"/>
  <c r="L9" i="2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M19" i="2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<sst xmlns="http://schemas.openxmlformats.org/spreadsheetml/2006/main" count="1225" uniqueCount="647">
  <si>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</si>
  <si>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</si>
  <si>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</si>
  <si>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</si>
  <si>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</si>
  <si>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</si>
  <si>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</si>
  <si>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</si>
  <si>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</si>
  <si>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</si>
  <si>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</si>
  <si>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</si>
  <si>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</si>
  <si>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</si>
  <si>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</si>
  <si>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</si>
  <si>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</si>
  <si>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</si>
  <si>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</si>
  <si>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</si>
  <si>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</si>
  <si>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</si>
  <si>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</si>
  <si>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</si>
  <si>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</si>
  <si>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</si>
  <si>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</si>
  <si>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</si>
  <si>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</si>
  <si>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</si>
  <si>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</si>
  <si>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</si>
  <si>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</si>
  <si>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</si>
  <si>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</si>
  <si>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</si>
  <si>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</si>
  <si>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</si>
  <si>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</si>
  <si>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</si>
  <si>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</si>
  <si>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</si>
  <si>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</si>
  <si>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</si>
  <si>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</si>
  <si>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</si>
  <si>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</si>
  <si>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</si>
  <si>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</si>
  <si>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</si>
  <si>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</si>
  <si>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</si>
  <si>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</si>
  <si>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</si>
  <si>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</si>
  <si>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</si>
  <si>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</si>
  <si>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</si>
  <si>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</si>
  <si>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</si>
  <si>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</si>
  <si>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</si>
  <si>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</si>
  <si>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</si>
  <si>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</si>
  <si>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</si>
  <si>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</si>
  <si>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</si>
  <si>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</si>
  <si>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</si>
  <si>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</si>
  <si>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</si>
  <si>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</si>
  <si>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</si>
  <si>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</si>
  <si>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</si>
  <si>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</si>
  <si>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</si>
  <si>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</si>
  <si>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</si>
  <si>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</si>
  <si>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</si>
  <si>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</si>
  <si>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</si>
  <si>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</si>
  <si>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</si>
  <si>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</si>
  <si>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</si>
  <si>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</si>
  <si>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</si>
  <si>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</si>
  <si>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</si>
  <si>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</si>
  <si>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</si>
  <si>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</si>
  <si>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</si>
  <si>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</si>
  <si>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</si>
  <si>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</si>
  <si>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</si>
  <si>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</si>
  <si>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</si>
  <si>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</si>
  <si>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</si>
  <si>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</si>
  <si>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</si>
  <si>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</si>
  <si>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</si>
  <si>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</si>
  <si>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</si>
  <si>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</si>
  <si>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</si>
  <si>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</si>
  <si>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</si>
  <si>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</si>
  <si>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</si>
  <si>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</si>
  <si>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</si>
  <si>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</si>
  <si>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</si>
  <si>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</si>
  <si>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</si>
  <si>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</si>
  <si>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</si>
  <si>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</si>
  <si>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</si>
  <si>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</si>
  <si>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</si>
  <si>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</si>
  <si>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</si>
  <si>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</si>
  <si>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</si>
  <si>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</si>
  <si>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</si>
  <si>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</si>
  <si>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</si>
  <si>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</si>
  <si>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</si>
  <si>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</si>
  <si>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</si>
  <si>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</si>
  <si>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</si>
  <si>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</si>
  <si>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</si>
  <si>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</si>
  <si>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</si>
  <si>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</si>
  <si>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</si>
  <si>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</si>
  <si>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</si>
  <si>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</si>
  <si>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</si>
  <si>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</si>
  <si>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</si>
  <si>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</si>
  <si>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</si>
  <si>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</si>
  <si>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</si>
  <si>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</si>
  <si>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</si>
  <si>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</si>
  <si>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</si>
  <si>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</si>
  <si>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</si>
  <si>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</si>
  <si>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</si>
  <si>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</si>
  <si>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</si>
  <si>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</si>
  <si>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</si>
  <si>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</si>
  <si>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</si>
  <si>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</si>
  <si>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</si>
  <si>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</si>
  <si>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</si>
  <si>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</si>
  <si>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</si>
  <si>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</si>
  <si>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</si>
  <si>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</si>
  <si>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</si>
  <si>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</si>
  <si>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</si>
  <si>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</si>
  <si>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</si>
  <si>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</si>
  <si>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</si>
  <si>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</si>
  <si>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</si>
  <si>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</si>
  <si>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</si>
  <si>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</si>
  <si>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</si>
  <si>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</si>
  <si>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</si>
  <si>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</si>
  <si>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</si>
  <si>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</si>
  <si>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</si>
  <si>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</si>
  <si>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</si>
  <si>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</si>
  <si>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</si>
  <si>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</si>
  <si>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</si>
  <si>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</si>
  <si>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</si>
  <si>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</si>
  <si>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</si>
  <si>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</si>
  <si>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</si>
  <si>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</si>
  <si>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</si>
  <si>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</si>
  <si>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</si>
  <si>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</si>
  <si>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</si>
  <si>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</si>
  <si>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</si>
  <si>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</si>
  <si>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</si>
  <si>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</si>
  <si>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</si>
  <si>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</si>
  <si>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</si>
  <si>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</si>
  <si>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</si>
  <si>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</si>
  <si>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</si>
  <si>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</si>
  <si>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</si>
  <si>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</si>
  <si>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</si>
  <si>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</si>
  <si>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</si>
  <si>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</si>
  <si>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</si>
  <si>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</si>
  <si>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</si>
  <si>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</si>
  <si>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</si>
  <si>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</si>
  <si>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</si>
  <si>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</si>
  <si>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</si>
  <si>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</si>
  <si>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</si>
  <si>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</si>
  <si>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</si>
  <si>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</si>
  <si>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</si>
  <si>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</si>
  <si>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</si>
  <si>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</si>
  <si>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</si>
  <si>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</si>
  <si>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</si>
  <si>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</si>
  <si>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</si>
  <si>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</si>
  <si>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</si>
  <si>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</si>
  <si>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</si>
  <si>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</si>
  <si>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</si>
  <si>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</si>
  <si>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</si>
  <si>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</si>
  <si>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</si>
  <si>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</si>
  <si>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</si>
  <si>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</si>
  <si>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</si>
  <si>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</si>
  <si>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</si>
  <si>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</si>
  <si>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</si>
  <si>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</si>
  <si>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</si>
  <si>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</si>
  <si>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</si>
  <si>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</si>
  <si>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</si>
  <si>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</si>
  <si>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</si>
  <si>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</si>
  <si>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</si>
  <si>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</si>
  <si>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</si>
  <si>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</si>
  <si>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</si>
  <si>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</si>
  <si>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</si>
  <si>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</si>
  <si>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</si>
  <si>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</si>
  <si>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</si>
  <si>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</si>
  <si>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</si>
  <si>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</si>
  <si>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</si>
  <si>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</si>
  <si>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</si>
  <si>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</si>
  <si>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</si>
  <si>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</si>
  <si>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</si>
  <si>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</si>
  <si>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</si>
  <si>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</si>
  <si>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</si>
  <si>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</si>
  <si>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</si>
  <si>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</si>
  <si>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</si>
  <si>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</si>
  <si>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</si>
  <si>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</si>
  <si>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</si>
  <si>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</si>
  <si>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</si>
  <si>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</si>
  <si>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</si>
  <si>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</si>
  <si>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</si>
  <si>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</si>
  <si>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</si>
  <si>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</si>
  <si>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</si>
  <si>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</si>
  <si>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</si>
  <si>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</si>
  <si>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</si>
  <si>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</si>
  <si>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</si>
  <si>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</si>
  <si>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</si>
  <si>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</si>
  <si>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</si>
  <si>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</si>
  <si>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</si>
  <si>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</si>
  <si>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</si>
  <si>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</si>
  <si>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</si>
  <si>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</si>
  <si>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</si>
  <si>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</si>
  <si>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</si>
  <si>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</si>
  <si>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</si>
  <si>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</si>
  <si>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</si>
  <si>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</si>
  <si>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</si>
  <si>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</si>
  <si>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</si>
  <si>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</si>
  <si>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</si>
  <si>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</si>
  <si>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</si>
  <si>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</si>
  <si>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</si>
  <si>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</si>
  <si>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</si>
  <si>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</si>
  <si>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</si>
  <si>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</si>
  <si>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</si>
  <si>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</si>
  <si>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</si>
  <si>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</si>
  <si>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</si>
  <si>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</si>
  <si>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</si>
  <si>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</si>
  <si>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</si>
  <si>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</si>
  <si>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</si>
  <si>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</si>
  <si>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</si>
  <si>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</si>
  <si>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</si>
  <si>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</si>
  <si>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</si>
  <si>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</si>
  <si>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</si>
  <si>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</si>
  <si>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</si>
  <si>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</si>
  <si>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</si>
  <si>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</si>
  <si>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</si>
  <si>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</si>
  <si>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</si>
  <si>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</si>
  <si>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</si>
  <si>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</si>
  <si>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</si>
  <si>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</si>
  <si>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</si>
  <si>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</si>
  <si>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</si>
  <si>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</si>
  <si>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</si>
  <si>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</si>
  <si>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</si>
  <si>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</si>
  <si>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</si>
  <si>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</si>
  <si>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</si>
  <si>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</si>
  <si>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</si>
  <si>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</si>
  <si>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</si>
  <si>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</si>
  <si>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</si>
  <si>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</si>
  <si>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</si>
  <si>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</si>
  <si>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</si>
  <si>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</si>
  <si>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</si>
  <si>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</si>
  <si>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</si>
  <si>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</si>
  <si>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</si>
  <si>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</si>
  <si>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</si>
  <si>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</si>
  <si>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</si>
  <si>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</si>
  <si>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</si>
  <si>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</si>
  <si>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</si>
  <si>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</si>
  <si>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</si>
  <si>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</si>
  <si>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</si>
  <si>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</si>
  <si>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</si>
  <si>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</si>
  <si>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</si>
  <si>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</si>
  <si>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</si>
  <si>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</si>
  <si>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</si>
  <si>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</si>
  <si>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</si>
  <si>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</si>
  <si>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</si>
  <si>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</si>
  <si>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</si>
  <si>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</si>
  <si>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</si>
  <si>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</si>
  <si>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</si>
  <si>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</si>
  <si>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</si>
  <si>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</si>
  <si>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</si>
  <si>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</si>
  <si>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</si>
  <si>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</si>
  <si>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</si>
  <si>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</si>
  <si>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</si>
  <si>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</si>
  <si>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</si>
  <si>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</si>
  <si>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</si>
  <si>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</si>
  <si>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</si>
  <si>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</si>
  <si>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</si>
  <si>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</si>
  <si>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</si>
  <si>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</si>
  <si>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</si>
  <si>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</si>
  <si>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</si>
  <si>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</si>
  <si>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</si>
  <si>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</si>
  <si>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</si>
  <si>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</si>
  <si>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</si>
  <si>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</si>
  <si>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</si>
  <si>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</si>
  <si>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</si>
  <si>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</si>
  <si>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</si>
  <si>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</si>
  <si>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</si>
  <si>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</si>
  <si>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</si>
  <si>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</si>
  <si>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</si>
  <si>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</si>
  <si>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</si>
  <si>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</si>
  <si>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</si>
  <si>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</si>
  <si>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</si>
  <si>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</si>
  <si>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</si>
  <si>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</si>
  <si>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</si>
  <si>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</si>
  <si>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</si>
  <si>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</si>
  <si>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</si>
  <si>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</si>
  <si>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</si>
  <si>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</si>
  <si>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</si>
  <si>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</si>
  <si>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</si>
  <si>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</si>
  <si>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</si>
  <si>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</si>
  <si>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</si>
  <si>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</si>
  <si>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</si>
  <si>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</si>
  <si>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</si>
  <si>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</si>
  <si>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</si>
  <si>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</si>
  <si>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</si>
  <si>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</si>
  <si>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</si>
  <si>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</si>
  <si>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</si>
  <si>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</si>
  <si>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</si>
  <si>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</si>
  <si>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</si>
  <si>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</si>
  <si>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</si>
  <si>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</si>
  <si>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</si>
  <si>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</si>
  <si>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</si>
  <si>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</si>
  <si>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</si>
  <si>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</si>
  <si>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</si>
  <si>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</si>
  <si>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</si>
  <si>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</si>
  <si>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</si>
  <si>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</si>
  <si>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</si>
  <si>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</si>
  <si>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</si>
  <si>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</si>
  <si>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</si>
  <si>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</si>
  <si>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</si>
  <si>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</si>
  <si>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</si>
  <si>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</si>
  <si>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</si>
  <si>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</si>
  <si>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</si>
  <si>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</si>
  <si>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</si>
  <si>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</si>
  <si>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</si>
  <si>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</si>
  <si>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</si>
  <si>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</si>
  <si>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</si>
  <si>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</si>
  <si>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</si>
  <si>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</si>
  <si>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</si>
  <si>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</si>
  <si>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</si>
  <si>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</si>
  <si>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</si>
  <si>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</si>
  <si>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</si>
  <si>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</si>
  <si>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</si>
  <si>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</si>
  <si>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</si>
  <si>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</si>
  <si>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</si>
  <si>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</si>
  <si>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</si>
  <si>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</si>
  <si>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</si>
  <si>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</si>
  <si>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</si>
  <si>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</si>
  <si>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</si>
  <si>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</si>
  <si>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</si>
  <si>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</si>
  <si>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</si>
  <si>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</si>
  <si>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HP</t>
    <phoneticPr fontId="19" type="noConversion"/>
  </si>
  <si>
    <t>체력+2</t>
    <phoneticPr fontId="19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</si>
  <si>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</si>
  <si>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</si>
  <si>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</si>
  <si>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</si>
  <si>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</si>
  <si>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</si>
  <si>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</si>
  <si>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</si>
  <si>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</si>
  <si>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</si>
  <si>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</si>
  <si>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</si>
  <si>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</si>
  <si>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</si>
  <si>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</si>
  <si>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</si>
  <si>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일반5 희귀5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</si>
  <si>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</si>
  <si>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</si>
  <si>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</si>
  <si>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메탈 유니콘 키링</t>
    <phoneticPr fontId="19" type="noConversion"/>
  </si>
  <si>
    <t>유니콘 키링 투사체</t>
    <phoneticPr fontId="8" type="noConversion"/>
  </si>
  <si>
    <t>메탈 유니콘 키링 아이템 효과</t>
    <phoneticPr fontId="8" type="noConversion"/>
  </si>
  <si>
    <t>공격시 거대한 공을 1개 발사</t>
    <phoneticPr fontId="8" type="noConversion"/>
  </si>
  <si>
    <t>타격 시 공 3개 발사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</si>
  <si>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</si>
  <si>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</si>
  <si>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Prefabs/ItemProjectile2.prefab</t>
    <phoneticPr fontId="8" type="noConversion"/>
  </si>
  <si>
    <t>Prefabs/ItemProjectile3.prefab</t>
    <phoneticPr fontId="8" type="noConversion"/>
  </si>
  <si>
    <t>Prefabs/ItemProjectile1.prefab</t>
    <phoneticPr fontId="8" type="noConversion"/>
  </si>
  <si>
    <t>공격속도 40%감소</t>
    <phoneticPr fontId="19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</si>
  <si>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</si>
  <si>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</si>
  <si>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</si>
  <si>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</si>
  <si>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</si>
  <si>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</si>
  <si>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</si>
  <si>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</si>
  <si>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차징 타격 시 공 1개 발사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</si>
</sst>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4" totalsRowShown="0">
  <autoFilter ref="B2:G94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4" totalsRowShown="0" headerRowDxfId="43">
  <autoFilter ref="B2:G14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10" totalsRowShown="0" headerRowDxfId="13">
  <autoFilter ref="B2:L10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3" t="s">
        <v>313</v>
      </c>
      <c r="C1" s="54"/>
      <c r="D1" s="54"/>
      <c r="E1" s="54"/>
    </row>
    <row r="2" spans="2:5" s="1" customFormat="1">
      <c r="B2" s="54"/>
      <c r="C2" s="54"/>
      <c r="D2" s="54"/>
      <c r="E2" s="54"/>
    </row>
    <row r="3" spans="2:5" s="1" customFormat="1">
      <c r="B3" s="54"/>
      <c r="C3" s="54"/>
      <c r="D3" s="54"/>
      <c r="E3" s="5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10" sqref="L10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3" t="s">
        <v>201</v>
      </c>
      <c r="C1" s="54"/>
      <c r="D1" s="54"/>
      <c r="E1" s="54"/>
    </row>
    <row r="2" spans="2:13" s="1" customFormat="1">
      <c r="B2" s="54"/>
      <c r="C2" s="54"/>
      <c r="D2" s="54"/>
      <c r="E2" s="54"/>
    </row>
    <row r="3" spans="2:13" s="1" customFormat="1">
      <c r="B3" s="54"/>
      <c r="C3" s="54"/>
      <c r="D3" s="54"/>
      <c r="E3" s="54"/>
    </row>
    <row r="5" spans="2:13">
      <c r="B5" s="2" t="s">
        <v>89</v>
      </c>
      <c r="J5" s="2" t="s">
        <v>464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465</v>
      </c>
      <c r="K6" s="14" t="s">
        <v>462</v>
      </c>
      <c r="L6" s="14" t="s">
        <v>459</v>
      </c>
      <c r="M6" s="14" t="s">
        <v>460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466</v>
      </c>
      <c r="K7">
        <v>0</v>
      </c>
      <c r="L7">
        <v>3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467</v>
      </c>
      <c r="K8">
        <v>0</v>
      </c>
      <c r="L8">
        <v>4</v>
      </c>
      <c r="M8">
        <v>12</v>
      </c>
    </row>
    <row r="9" spans="2:13">
      <c r="J9" t="s">
        <v>468</v>
      </c>
      <c r="K9">
        <f>SUBTOTAL(101,표20[박쥐])</f>
        <v>0</v>
      </c>
      <c r="L9">
        <f>SUBTOTAL(101,표20[일반])</f>
        <v>3.5</v>
      </c>
      <c r="M9">
        <f>SUBTOTAL(101,표20[정예])</f>
        <v>9.5</v>
      </c>
    </row>
    <row r="11" spans="2:13">
      <c r="B11" s="2" t="s">
        <v>463</v>
      </c>
      <c r="C11" s="2"/>
      <c r="D11" s="2"/>
      <c r="J11" s="2" t="s">
        <v>610</v>
      </c>
    </row>
    <row r="12" spans="2:13">
      <c r="B12" s="14" t="s">
        <v>609</v>
      </c>
      <c r="C12" s="14" t="s">
        <v>461</v>
      </c>
      <c r="D12" s="14" t="s">
        <v>462</v>
      </c>
      <c r="E12" s="14" t="s">
        <v>459</v>
      </c>
      <c r="F12" s="14" t="s">
        <v>460</v>
      </c>
      <c r="G12" s="14" t="s">
        <v>618</v>
      </c>
      <c r="H12" s="14"/>
      <c r="J12" s="14" t="s">
        <v>609</v>
      </c>
      <c r="K12" s="14" t="s">
        <v>617</v>
      </c>
      <c r="L12" s="14" t="s">
        <v>619</v>
      </c>
      <c r="M12" s="14" t="s">
        <v>620</v>
      </c>
    </row>
    <row r="13" spans="2:13">
      <c r="B13" s="14" t="s">
        <v>612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10.5</v>
      </c>
      <c r="J13" s="14" t="s">
        <v>612</v>
      </c>
      <c r="K13">
        <f>INDEX(ProductialTable[MaxRoomValue],MATCH(표24[[#This Row],[층]],ProductialTable['#이름],0))</f>
        <v>10</v>
      </c>
      <c r="L13">
        <f>(SUMIFS(표11[평균획득골드],표11[층],표24[[#This Row],[층]])/_xlfn.MAXIFS(표11[스테이지],표11[층],표24[[#This Row],[층]]))</f>
        <v>9.4499999999999993</v>
      </c>
      <c r="M13">
        <f>(SUMIFS(표11[평균획득골드],표11[층],표24[[#This Row],[층]])/_xlfn.MAXIFS(표11[스테이지],표11[층],표24[[#This Row],[층]]))*
(표24[[#This Row],[개수]]-3)</f>
        <v>66.149999999999991</v>
      </c>
    </row>
    <row r="14" spans="2:13">
      <c r="B14" s="14" t="s">
        <v>612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10.5</v>
      </c>
      <c r="J14" s="14" t="s">
        <v>614</v>
      </c>
      <c r="K14">
        <f>INDEX(ProductialTable[MaxRoomValue],MATCH(표24[[#This Row],[층]],ProductialTable['#이름],0))</f>
        <v>12</v>
      </c>
      <c r="L14">
        <f>(SUMIFS(표11[평균획득골드],표11[층],표24[[#This Row],[층]])/_xlfn.MAXIFS(표11[스테이지],표11[층],표24[[#This Row],[층]]))</f>
        <v>14.35</v>
      </c>
      <c r="M14">
        <f>(SUMIFS(표11[평균획득골드],표11[층],표24[[#This Row],[층]])/_xlfn.MAXIFS(표11[스테이지],표11[층],표24[[#This Row],[층]]))*
(표24[[#This Row],[개수]]-3)</f>
        <v>129.15</v>
      </c>
    </row>
    <row r="15" spans="2:13">
      <c r="B15" s="14" t="s">
        <v>611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7</v>
      </c>
      <c r="J15" s="14" t="s">
        <v>616</v>
      </c>
      <c r="K15">
        <f>INDEX(ProductialTable[MaxRoomValue],MATCH(표24[[#This Row],[층]],ProductialTable['#이름],0))</f>
        <v>14</v>
      </c>
      <c r="L15">
        <f>(SUMIFS(표11[평균획득골드],표11[층],표24[[#This Row],[층]])/_xlfn.MAXIFS(표11[스테이지],표11[층],표24[[#This Row],[층]]))</f>
        <v>25.95</v>
      </c>
      <c r="M15">
        <f>(SUMIFS(표11[평균획득골드],표11[층],표24[[#This Row],[층]])/_xlfn.MAXIFS(표11[스테이지],표11[층],표24[[#This Row],[층]]))*
(표24[[#This Row],[개수]]-3)</f>
        <v>285.45</v>
      </c>
    </row>
    <row r="16" spans="2:13">
      <c r="B16" s="14" t="s">
        <v>611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10.5</v>
      </c>
      <c r="J16" s="14" t="s">
        <v>468</v>
      </c>
      <c r="M16">
        <f>SUBTOTAL(109,표24[층 완료 획득])</f>
        <v>480.75</v>
      </c>
    </row>
    <row r="17" spans="2:13">
      <c r="B17" s="14" t="s">
        <v>611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10.5</v>
      </c>
    </row>
    <row r="18" spans="2:13">
      <c r="B18" s="14" t="s">
        <v>611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7</v>
      </c>
      <c r="L18" s="14" t="s">
        <v>621</v>
      </c>
      <c r="M18" s="14">
        <f>표24[[#Totals],[층 완료 획득]]/30</f>
        <v>16.024999999999999</v>
      </c>
    </row>
    <row r="19" spans="2:13">
      <c r="B19" s="14" t="s">
        <v>611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10.5</v>
      </c>
      <c r="L19" s="14" t="s">
        <v>622</v>
      </c>
      <c r="M19" s="14">
        <f>표24[[#Totals],[층 완료 획득]]/60</f>
        <v>8.0124999999999993</v>
      </c>
    </row>
    <row r="20" spans="2:13">
      <c r="B20" s="14" t="s">
        <v>611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10.5</v>
      </c>
      <c r="L20" s="14" t="s">
        <v>623</v>
      </c>
    </row>
    <row r="21" spans="2:13">
      <c r="B21" s="14" t="s">
        <v>611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7</v>
      </c>
    </row>
    <row r="22" spans="2:13">
      <c r="B22" s="14" t="s">
        <v>611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10.5</v>
      </c>
    </row>
    <row r="23" spans="2:13">
      <c r="B23" s="14" t="s">
        <v>614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14</v>
      </c>
    </row>
    <row r="24" spans="2:13">
      <c r="B24" s="14" t="s">
        <v>614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17.5</v>
      </c>
    </row>
    <row r="25" spans="2:13">
      <c r="B25" s="14" t="s">
        <v>613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10.5</v>
      </c>
    </row>
    <row r="26" spans="2:13">
      <c r="B26" s="14" t="s">
        <v>613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14</v>
      </c>
    </row>
    <row r="27" spans="2:13">
      <c r="B27" s="14" t="s">
        <v>613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14</v>
      </c>
    </row>
    <row r="28" spans="2:13">
      <c r="B28" s="14" t="s">
        <v>613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14</v>
      </c>
    </row>
    <row r="29" spans="2:13">
      <c r="B29" s="14" t="s">
        <v>613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14</v>
      </c>
    </row>
    <row r="30" spans="2:13">
      <c r="B30" s="14" t="s">
        <v>613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14</v>
      </c>
    </row>
    <row r="31" spans="2:13">
      <c r="B31" s="14" t="s">
        <v>613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14</v>
      </c>
    </row>
    <row r="32" spans="2:13">
      <c r="B32" s="14" t="s">
        <v>613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17.5</v>
      </c>
    </row>
    <row r="33" spans="2:7">
      <c r="B33" s="14" t="s">
        <v>616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23.5</v>
      </c>
    </row>
    <row r="34" spans="2:7">
      <c r="B34" s="14" t="s">
        <v>616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27</v>
      </c>
    </row>
    <row r="35" spans="2:7">
      <c r="B35" s="14" t="s">
        <v>615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27</v>
      </c>
    </row>
    <row r="36" spans="2:7">
      <c r="B36" s="14" t="s">
        <v>615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23.5</v>
      </c>
    </row>
    <row r="37" spans="2:7">
      <c r="B37" s="14" t="s">
        <v>615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27</v>
      </c>
    </row>
    <row r="38" spans="2:7">
      <c r="B38" s="14" t="s">
        <v>615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27</v>
      </c>
    </row>
    <row r="39" spans="2:7">
      <c r="B39" s="14" t="s">
        <v>615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30.5</v>
      </c>
    </row>
    <row r="40" spans="2:7">
      <c r="B40" s="14" t="s">
        <v>615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27</v>
      </c>
    </row>
    <row r="41" spans="2:7">
      <c r="B41" s="14" t="s">
        <v>615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20</v>
      </c>
    </row>
    <row r="42" spans="2:7">
      <c r="B42" s="14" t="s">
        <v>615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27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3" t="s">
        <v>291</v>
      </c>
      <c r="C1" s="54"/>
      <c r="D1" s="54"/>
      <c r="E1" s="54"/>
      <c r="F1" s="54"/>
    </row>
    <row r="2" spans="1:21" s="1" customFormat="1">
      <c r="B2" s="54"/>
      <c r="C2" s="54"/>
      <c r="D2" s="54"/>
      <c r="E2" s="54"/>
      <c r="F2" s="54"/>
    </row>
    <row r="3" spans="1:21" s="1" customFormat="1">
      <c r="B3" s="54"/>
      <c r="C3" s="54"/>
      <c r="D3" s="54"/>
      <c r="E3" s="54"/>
      <c r="F3" s="54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469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45.833333333333329</v>
      </c>
      <c r="P7">
        <f>(밸런스시트[[#This Row],[레벨당 평균 적]]*밸런스시트[[#This Row],[방 개수]]*밸런스시트[[#This Row],[적 체력]])/밸런스시트[[#This Row],[PC 최대 DPS]]</f>
        <v>109.09090909090911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45.833333333333329</v>
      </c>
      <c r="P8">
        <f>(밸런스시트[[#This Row],[레벨당 평균 적]]*밸런스시트[[#This Row],[방 개수]]*밸런스시트[[#This Row],[적 체력]])/밸런스시트[[#This Row],[PC 최대 DPS]]</f>
        <v>157.09090909090909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45.833333333333329</v>
      </c>
      <c r="P9">
        <f>(밸런스시트[[#This Row],[레벨당 평균 적]]*밸런스시트[[#This Row],[방 개수]]*밸런스시트[[#This Row],[적 체력]])/밸런스시트[[#This Row],[PC 최대 DPS]]</f>
        <v>213.81818181818184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45.833333333333329</v>
      </c>
      <c r="P10">
        <f>(밸런스시트[[#This Row],[레벨당 평균 적]]*밸런스시트[[#This Row],[방 개수]]*밸런스시트[[#This Row],[적 체력]])/밸런스시트[[#This Row],[PC 최대 DPS]]</f>
        <v>279.27272727272731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45.833333333333329</v>
      </c>
      <c r="P11">
        <f>(밸런스시트[[#This Row],[레벨당 평균 적]]*밸런스시트[[#This Row],[방 개수]]*밸런스시트[[#This Row],[적 체력]])/밸런스시트[[#This Row],[PC 최대 DPS]]</f>
        <v>353.4545454545455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45.833333333333329</v>
      </c>
      <c r="P12">
        <f>(밸런스시트[[#This Row],[레벨당 평균 적]]*밸런스시트[[#This Row],[방 개수]]*밸런스시트[[#This Row],[적 체력]])/밸런스시트[[#This Row],[PC 최대 DPS]]</f>
        <v>436.36363636363643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C3" sqref="C3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566</v>
      </c>
      <c r="H2" t="s">
        <v>14</v>
      </c>
      <c r="I2" s="19" t="s">
        <v>528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K4" sqref="K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1" t="s">
        <v>529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487</v>
      </c>
      <c r="W2" s="33" t="s">
        <v>488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16.666666666666668</v>
      </c>
      <c r="AA3">
        <f>CharacterAtkTable[[#This Row],[ChargeRigidDmg2]]/(CharacterAtkTable[[#This Row],[SwingCooldown]]+CharacterAtkTable[[#This Row],[ChargeTime]])</f>
        <v>22.222222222222225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43.466666666666669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45.833333333333329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E1" zoomScaleNormal="75" zoomScaleSheetLayoutView="100" workbookViewId="0">
      <selection activeCell="N4" sqref="N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612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614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616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533</v>
      </c>
      <c r="H2" t="s">
        <v>48</v>
      </c>
      <c r="I2" t="s">
        <v>93</v>
      </c>
    </row>
    <row r="3" spans="1:11">
      <c r="B3" s="27">
        <v>9001</v>
      </c>
      <c r="C3" s="30" t="s">
        <v>486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484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507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491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506</v>
      </c>
      <c r="D2" s="15" t="s">
        <v>399</v>
      </c>
      <c r="E2" t="s">
        <v>128</v>
      </c>
      <c r="F2" s="19" t="s">
        <v>481</v>
      </c>
      <c r="G2" t="s">
        <v>300</v>
      </c>
      <c r="H2" t="s">
        <v>302</v>
      </c>
      <c r="I2" s="19" t="s">
        <v>511</v>
      </c>
      <c r="J2" t="s">
        <v>2</v>
      </c>
      <c r="K2" s="19" t="s">
        <v>492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12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522</v>
      </c>
      <c r="N4">
        <v>2</v>
      </c>
      <c r="O4">
        <v>600</v>
      </c>
      <c r="P4">
        <v>0</v>
      </c>
      <c r="Q4">
        <v>3</v>
      </c>
      <c r="R4">
        <v>4</v>
      </c>
      <c r="S4">
        <v>501</v>
      </c>
      <c r="T4" s="19" t="s">
        <v>505</v>
      </c>
      <c r="U4">
        <v>0.8</v>
      </c>
      <c r="V4">
        <f>AVERAGE(EnemyGameData[[#This Row],[GoldDropMin]],EnemyGameData[[#This Row],[GoldDropMax]])</f>
        <v>3.5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3</v>
      </c>
      <c r="R5">
        <v>4</v>
      </c>
      <c r="S5">
        <v>501</v>
      </c>
      <c r="T5" s="19" t="s">
        <v>505</v>
      </c>
      <c r="U5">
        <v>1</v>
      </c>
      <c r="V5">
        <f>AVERAGE(EnemyGameData[[#This Row],[GoldDropMin]],EnemyGameData[[#This Row],[GoldDropMax]])</f>
        <v>3.5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12</v>
      </c>
      <c r="G6" t="s">
        <v>309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3</v>
      </c>
      <c r="R6">
        <v>4</v>
      </c>
      <c r="S6">
        <v>501</v>
      </c>
      <c r="T6" s="19" t="s">
        <v>505</v>
      </c>
      <c r="U6">
        <v>0.8</v>
      </c>
      <c r="V6">
        <f>AVERAGE(EnemyGameData[[#This Row],[GoldDropMin]],EnemyGameData[[#This Row],[GoldDropMax]])</f>
        <v>3.5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12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505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12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505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12</v>
      </c>
      <c r="G9" t="s">
        <v>309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3</v>
      </c>
      <c r="R9">
        <v>4</v>
      </c>
      <c r="S9">
        <v>501</v>
      </c>
      <c r="T9" s="19" t="s">
        <v>505</v>
      </c>
      <c r="U9">
        <v>1</v>
      </c>
      <c r="V9">
        <f>AVERAGE(EnemyGameData[[#This Row],[GoldDropMin]],EnemyGameData[[#This Row],[GoldDropMax]])</f>
        <v>3.5</v>
      </c>
    </row>
    <row r="10" spans="2:22">
      <c r="B10">
        <v>507</v>
      </c>
      <c r="C10" s="4" t="s">
        <v>360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12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3</v>
      </c>
      <c r="R11">
        <v>4</v>
      </c>
      <c r="S11">
        <v>501</v>
      </c>
      <c r="T11" s="19" t="s">
        <v>505</v>
      </c>
      <c r="U11">
        <v>0.8</v>
      </c>
      <c r="V11">
        <f>AVERAGE(EnemyGameData[[#This Row],[GoldDropMin]],EnemyGameData[[#This Row],[GoldDropMax]])</f>
        <v>3.5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12</v>
      </c>
      <c r="G12" t="s">
        <v>309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505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505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12</v>
      </c>
      <c r="G14" t="s">
        <v>309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>
        <v>12</v>
      </c>
      <c r="S14">
        <v>501</v>
      </c>
      <c r="T14" s="19" t="s">
        <v>505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12</v>
      </c>
      <c r="G15" t="s">
        <v>309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505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504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475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475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475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475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475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475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475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475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475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475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475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475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475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475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475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475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4"/>
  <sheetViews>
    <sheetView topLeftCell="A82" zoomScaleNormal="75" zoomScaleSheetLayoutView="100" workbookViewId="0">
      <selection activeCell="E93" sqref="E93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489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490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490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489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489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489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489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489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489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562</v>
      </c>
      <c r="D91">
        <v>-30</v>
      </c>
      <c r="E91">
        <v>201</v>
      </c>
      <c r="F91">
        <v>0</v>
      </c>
      <c r="G91">
        <v>6.5</v>
      </c>
    </row>
    <row r="92" spans="2:7">
      <c r="B92">
        <v>801</v>
      </c>
      <c r="C92" s="14" t="s">
        <v>629</v>
      </c>
      <c r="D92">
        <v>0</v>
      </c>
      <c r="E92">
        <v>202</v>
      </c>
      <c r="F92">
        <v>0</v>
      </c>
      <c r="G92">
        <v>6.5</v>
      </c>
    </row>
    <row r="93" spans="2:7">
      <c r="B93">
        <v>802</v>
      </c>
      <c r="C93" s="14" t="s">
        <v>632</v>
      </c>
      <c r="D93">
        <v>0</v>
      </c>
      <c r="E93">
        <v>203</v>
      </c>
      <c r="F93">
        <v>0</v>
      </c>
      <c r="G93">
        <v>5</v>
      </c>
    </row>
    <row r="94" spans="2:7">
      <c r="B94">
        <v>999</v>
      </c>
      <c r="C94" s="19" t="s">
        <v>442</v>
      </c>
      <c r="D94">
        <v>0</v>
      </c>
      <c r="E94">
        <v>999</v>
      </c>
      <c r="F94">
        <v>8</v>
      </c>
      <c r="G94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6" sqref="B6:G6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563</v>
      </c>
      <c r="D4" t="b">
        <v>1</v>
      </c>
      <c r="E4">
        <v>0.8</v>
      </c>
      <c r="F4">
        <v>20</v>
      </c>
      <c r="G4" s="14" t="s">
        <v>636</v>
      </c>
    </row>
    <row r="5" spans="2:7">
      <c r="B5">
        <v>202</v>
      </c>
      <c r="C5" s="14" t="s">
        <v>628</v>
      </c>
      <c r="D5" t="b">
        <v>1</v>
      </c>
      <c r="E5">
        <v>1.2</v>
      </c>
      <c r="F5">
        <v>30</v>
      </c>
      <c r="G5" s="14" t="s">
        <v>634</v>
      </c>
    </row>
    <row r="6" spans="2:7">
      <c r="B6">
        <v>203</v>
      </c>
      <c r="C6" s="14" t="s">
        <v>633</v>
      </c>
      <c r="D6" t="b">
        <v>1</v>
      </c>
      <c r="E6">
        <v>2</v>
      </c>
      <c r="F6">
        <v>40</v>
      </c>
      <c r="G6" s="14" t="s">
        <v>635</v>
      </c>
    </row>
    <row r="7" spans="2:7">
      <c r="B7">
        <v>500</v>
      </c>
      <c r="C7" s="4" t="s">
        <v>40</v>
      </c>
      <c r="D7" s="3" t="b">
        <v>0</v>
      </c>
      <c r="E7">
        <v>1</v>
      </c>
      <c r="F7">
        <v>60</v>
      </c>
      <c r="G7" t="s">
        <v>365</v>
      </c>
    </row>
    <row r="8" spans="2:7">
      <c r="B8">
        <v>501</v>
      </c>
      <c r="C8" s="4" t="s">
        <v>151</v>
      </c>
      <c r="D8" s="3" t="b">
        <v>0</v>
      </c>
      <c r="E8">
        <v>1</v>
      </c>
      <c r="F8">
        <v>60</v>
      </c>
      <c r="G8" t="s">
        <v>365</v>
      </c>
    </row>
    <row r="9" spans="2:7">
      <c r="B9">
        <v>400</v>
      </c>
      <c r="C9" s="4" t="s">
        <v>132</v>
      </c>
      <c r="D9" s="3" t="b">
        <v>0</v>
      </c>
      <c r="E9">
        <v>0.25</v>
      </c>
      <c r="F9">
        <v>25</v>
      </c>
      <c r="G9" t="s">
        <v>365</v>
      </c>
    </row>
    <row r="10" spans="2:7">
      <c r="B10">
        <v>401</v>
      </c>
      <c r="C10" s="4" t="s">
        <v>343</v>
      </c>
      <c r="D10" s="3" t="b">
        <v>1</v>
      </c>
      <c r="E10">
        <v>0.25</v>
      </c>
      <c r="F10">
        <v>25</v>
      </c>
      <c r="G10" t="s">
        <v>365</v>
      </c>
    </row>
    <row r="11" spans="2:7">
      <c r="B11">
        <v>402</v>
      </c>
      <c r="C11" s="4" t="s">
        <v>129</v>
      </c>
      <c r="D11" s="3" t="b">
        <v>0</v>
      </c>
      <c r="E11">
        <v>0.4</v>
      </c>
      <c r="F11">
        <v>25</v>
      </c>
      <c r="G11" t="s">
        <v>365</v>
      </c>
    </row>
    <row r="12" spans="2:7">
      <c r="B12">
        <v>403</v>
      </c>
      <c r="C12" s="16" t="s">
        <v>448</v>
      </c>
      <c r="D12" s="3" t="b">
        <v>0</v>
      </c>
      <c r="E12">
        <v>0.8</v>
      </c>
      <c r="F12">
        <v>25</v>
      </c>
      <c r="G12" t="s">
        <v>365</v>
      </c>
    </row>
    <row r="13" spans="2:7">
      <c r="B13">
        <v>404</v>
      </c>
      <c r="C13" s="16" t="s">
        <v>449</v>
      </c>
      <c r="D13" s="3" t="b">
        <v>1</v>
      </c>
      <c r="E13">
        <v>0.8</v>
      </c>
      <c r="F13">
        <v>25</v>
      </c>
      <c r="G13" t="s">
        <v>365</v>
      </c>
    </row>
    <row r="14" spans="2:7">
      <c r="B14">
        <v>999</v>
      </c>
      <c r="C14" s="21" t="s">
        <v>443</v>
      </c>
      <c r="D14" t="b">
        <v>1</v>
      </c>
      <c r="E14">
        <v>1</v>
      </c>
      <c r="F14">
        <v>25</v>
      </c>
      <c r="G14" s="19" t="s">
        <v>480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E9" sqref="E9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534</v>
      </c>
      <c r="F2" s="19" t="s">
        <v>535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476</v>
      </c>
      <c r="S2" s="26" t="s">
        <v>471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642</v>
      </c>
      <c r="E8" s="19" t="s">
        <v>646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3" t="s">
        <v>379</v>
      </c>
      <c r="O8" s="42" t="s">
        <v>356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3" t="s">
        <v>395</v>
      </c>
      <c r="O9" s="42" t="s">
        <v>363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3" t="s">
        <v>377</v>
      </c>
      <c r="O10" s="42" t="s">
        <v>352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378</v>
      </c>
      <c r="E11" s="27" t="s">
        <v>645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3" t="s">
        <v>378</v>
      </c>
      <c r="O11" s="42" t="s">
        <v>351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581</v>
      </c>
      <c r="E12" s="14" t="s">
        <v>536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3" t="s">
        <v>478</v>
      </c>
      <c r="O12" s="43" t="s">
        <v>472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s="14" t="s">
        <v>599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3" t="s">
        <v>391</v>
      </c>
      <c r="O13" s="42" t="s">
        <v>349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398</v>
      </c>
      <c r="E14" s="49" t="s">
        <v>598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3" t="s">
        <v>398</v>
      </c>
      <c r="O14" s="43" t="s">
        <v>473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479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574</v>
      </c>
      <c r="E15" s="14" t="s">
        <v>626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3" t="s">
        <v>397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582</v>
      </c>
      <c r="E16" s="14" t="s">
        <v>474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3" t="s">
        <v>390</v>
      </c>
      <c r="O16" s="43" t="s">
        <v>474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s="14" t="s">
        <v>572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3" t="s">
        <v>381</v>
      </c>
      <c r="O17" s="42" t="s">
        <v>348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s="14" t="s">
        <v>590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3" t="s">
        <v>385</v>
      </c>
      <c r="O18" s="42" t="s">
        <v>350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592</v>
      </c>
      <c r="E19" s="27" t="s">
        <v>604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3" t="s">
        <v>382</v>
      </c>
      <c r="O19" s="43" t="s">
        <v>386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558</v>
      </c>
      <c r="D20" s="19" t="s">
        <v>559</v>
      </c>
      <c r="E20" s="19" t="s">
        <v>631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575</v>
      </c>
      <c r="M20" s="22" t="str">
        <f>MID(ItemTable[[#This Row],[ItemIconPath]],FIND("icon",ItemTable[[#This Row],[ItemIconPath]]),999)</f>
        <v>icon/item/item_18.png</v>
      </c>
      <c r="N20" s="43" t="s">
        <v>382</v>
      </c>
      <c r="O20" s="43" t="s">
        <v>386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389</v>
      </c>
      <c r="E21" s="27" t="s">
        <v>586</v>
      </c>
      <c r="F21" s="27" t="s">
        <v>587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3" t="s">
        <v>389</v>
      </c>
      <c r="O21" s="42" t="s">
        <v>362</v>
      </c>
      <c r="P21" s="42" t="s">
        <v>358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585</v>
      </c>
      <c r="E22" s="27" t="s">
        <v>640</v>
      </c>
      <c r="F22" s="27" t="s">
        <v>584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3" t="s">
        <v>383</v>
      </c>
      <c r="O22" s="42" t="s">
        <v>357</v>
      </c>
      <c r="P22" s="42" t="s">
        <v>359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388</v>
      </c>
      <c r="E23" s="14" t="s">
        <v>470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3" t="s">
        <v>388</v>
      </c>
      <c r="O23" s="43" t="s">
        <v>470</v>
      </c>
      <c r="P23" s="42" t="s">
        <v>241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477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338</v>
      </c>
      <c r="D24" s="52" t="s">
        <v>384</v>
      </c>
      <c r="E24" s="52" t="s">
        <v>603</v>
      </c>
      <c r="F24" s="52" t="s">
        <v>602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3" t="s">
        <v>384</v>
      </c>
      <c r="O24" s="42" t="s">
        <v>353</v>
      </c>
      <c r="P24" s="42" t="s">
        <v>361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565</v>
      </c>
      <c r="D25" s="27" t="s">
        <v>396</v>
      </c>
      <c r="E25" s="27" t="s">
        <v>630</v>
      </c>
      <c r="F25" s="27" t="s">
        <v>587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3" t="s">
        <v>396</v>
      </c>
      <c r="O25" s="43" t="s">
        <v>387</v>
      </c>
      <c r="P25" s="42" t="s">
        <v>364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554</v>
      </c>
      <c r="D26" s="17" t="s">
        <v>607</v>
      </c>
      <c r="E26" s="21" t="s">
        <v>555</v>
      </c>
      <c r="F26" s="21"/>
      <c r="G26" s="19" t="s">
        <v>533</v>
      </c>
      <c r="H26">
        <v>1</v>
      </c>
      <c r="I26">
        <v>50</v>
      </c>
      <c r="J26">
        <v>100</v>
      </c>
      <c r="K26">
        <v>10000</v>
      </c>
      <c r="L26" s="14" t="s">
        <v>570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576</v>
      </c>
      <c r="D27" s="40" t="s">
        <v>583</v>
      </c>
      <c r="E27" s="40" t="s">
        <v>573</v>
      </c>
      <c r="F27" s="40"/>
      <c r="G27" s="19" t="s">
        <v>533</v>
      </c>
      <c r="H27">
        <v>1</v>
      </c>
      <c r="I27">
        <v>50</v>
      </c>
      <c r="J27">
        <v>100</v>
      </c>
      <c r="K27">
        <v>10001</v>
      </c>
      <c r="L27" s="14" t="s">
        <v>571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577</v>
      </c>
      <c r="D28" s="40" t="s">
        <v>579</v>
      </c>
      <c r="E28" s="40" t="s">
        <v>580</v>
      </c>
      <c r="F28" s="40"/>
      <c r="G28" s="19" t="s">
        <v>533</v>
      </c>
      <c r="H28">
        <v>1</v>
      </c>
      <c r="I28">
        <v>50</v>
      </c>
      <c r="J28">
        <v>100</v>
      </c>
      <c r="K28">
        <v>10002</v>
      </c>
      <c r="L28" s="14" t="s">
        <v>608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556</v>
      </c>
      <c r="D29" s="40" t="s">
        <v>578</v>
      </c>
      <c r="E29" s="40" t="s">
        <v>564</v>
      </c>
      <c r="F29" s="40"/>
      <c r="G29" s="19" t="s">
        <v>533</v>
      </c>
      <c r="H29">
        <v>1</v>
      </c>
      <c r="I29">
        <v>50</v>
      </c>
      <c r="J29">
        <v>100</v>
      </c>
      <c r="K29">
        <v>10003</v>
      </c>
      <c r="L29" s="14" t="s">
        <v>569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tabSelected="1" zoomScale="70" zoomScaleNormal="70" zoomScaleSheetLayoutView="100" workbookViewId="0">
      <selection activeCell="F13" sqref="F13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491</v>
      </c>
      <c r="F1" s="19" t="s">
        <v>491</v>
      </c>
      <c r="G1" s="19" t="s">
        <v>493</v>
      </c>
      <c r="H1" t="s">
        <v>124</v>
      </c>
      <c r="I1" s="19" t="s">
        <v>507</v>
      </c>
      <c r="J1" t="s">
        <v>124</v>
      </c>
      <c r="K1" s="19" t="s">
        <v>493</v>
      </c>
    </row>
    <row r="2" spans="2:11">
      <c r="B2" s="5" t="s">
        <v>125</v>
      </c>
      <c r="C2" s="5" t="s">
        <v>127</v>
      </c>
      <c r="D2" t="s">
        <v>75</v>
      </c>
      <c r="E2" s="19" t="s">
        <v>516</v>
      </c>
      <c r="F2" s="19" t="s">
        <v>517</v>
      </c>
      <c r="G2" s="19" t="s">
        <v>494</v>
      </c>
      <c r="H2" s="19" t="s">
        <v>495</v>
      </c>
      <c r="I2" s="37" t="s">
        <v>497</v>
      </c>
      <c r="J2" s="19" t="s">
        <v>496</v>
      </c>
      <c r="K2" s="37" t="s">
        <v>512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/>
      <c r="F3" s="19">
        <v>7000</v>
      </c>
      <c r="G3">
        <v>0</v>
      </c>
      <c r="H3" s="19" t="s">
        <v>589</v>
      </c>
      <c r="I3" s="19"/>
      <c r="J3" s="19" t="s">
        <v>513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514</v>
      </c>
      <c r="J4" s="19" t="s">
        <v>513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514</v>
      </c>
      <c r="I5" s="19"/>
      <c r="J5" s="19" t="s">
        <v>513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589</v>
      </c>
      <c r="J6" s="19" t="s">
        <v>513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514</v>
      </c>
      <c r="J7" s="19" t="s">
        <v>513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514</v>
      </c>
      <c r="J8" s="19" t="s">
        <v>513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557</v>
      </c>
      <c r="J9" s="19" t="s">
        <v>513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521</v>
      </c>
      <c r="J10" s="19" t="s">
        <v>513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514</v>
      </c>
      <c r="J11" s="19" t="s">
        <v>513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514</v>
      </c>
      <c r="J12" s="19" t="s">
        <v>513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514</v>
      </c>
      <c r="J13" s="19" t="s">
        <v>513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514</v>
      </c>
      <c r="J14" s="19" t="s">
        <v>513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595</v>
      </c>
      <c r="J15" s="19" t="s">
        <v>513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514</v>
      </c>
      <c r="J16" s="19" t="s">
        <v>513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595</v>
      </c>
      <c r="J17" s="19" t="s">
        <v>513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514</v>
      </c>
      <c r="J18" s="19" t="s">
        <v>513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514</v>
      </c>
      <c r="J19" s="19" t="s">
        <v>513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514</v>
      </c>
      <c r="J20" s="19" t="s">
        <v>513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531</v>
      </c>
      <c r="J21" s="19" t="s">
        <v>513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514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520</v>
      </c>
      <c r="J23" s="19" t="s">
        <v>513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520</v>
      </c>
      <c r="I24" s="19" t="s">
        <v>527</v>
      </c>
      <c r="J24" s="19" t="s">
        <v>526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520</v>
      </c>
      <c r="J25" s="19" t="s">
        <v>513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520</v>
      </c>
      <c r="J26" s="19" t="s">
        <v>513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zoomScale="70" zoomScaleNormal="70" zoomScaleSheetLayoutView="100" workbookViewId="0">
      <selection activeCell="F25" sqref="F25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11">
      <c r="B1" t="s">
        <v>46</v>
      </c>
      <c r="C1" t="s">
        <v>124</v>
      </c>
      <c r="D1" s="19" t="s">
        <v>507</v>
      </c>
      <c r="E1" s="19" t="s">
        <v>509</v>
      </c>
      <c r="F1" s="19" t="s">
        <v>502</v>
      </c>
      <c r="G1" s="19"/>
      <c r="H1" s="19"/>
    </row>
    <row r="2" spans="2:11">
      <c r="B2" t="s">
        <v>75</v>
      </c>
      <c r="C2" s="19" t="s">
        <v>498</v>
      </c>
      <c r="D2" s="19" t="s">
        <v>508</v>
      </c>
      <c r="E2" s="1" t="s">
        <v>13</v>
      </c>
      <c r="F2" s="37" t="s">
        <v>510</v>
      </c>
      <c r="G2" s="44" t="s">
        <v>537</v>
      </c>
      <c r="H2" s="37" t="s">
        <v>547</v>
      </c>
    </row>
    <row r="3" spans="2:11">
      <c r="B3" s="19">
        <v>7001</v>
      </c>
      <c r="C3" s="11" t="s">
        <v>317</v>
      </c>
      <c r="D3" s="11">
        <v>1.2</v>
      </c>
      <c r="E3" t="s">
        <v>347</v>
      </c>
      <c r="F3">
        <v>-1</v>
      </c>
      <c r="G3" s="17" t="s">
        <v>544</v>
      </c>
      <c r="H3" s="17"/>
    </row>
    <row r="4" spans="2:11">
      <c r="B4" s="19">
        <v>7002</v>
      </c>
      <c r="C4" s="19" t="s">
        <v>523</v>
      </c>
      <c r="D4" s="11">
        <v>0.8</v>
      </c>
      <c r="E4" t="s">
        <v>347</v>
      </c>
      <c r="F4">
        <v>-1</v>
      </c>
      <c r="G4" s="17" t="s">
        <v>545</v>
      </c>
      <c r="H4" s="17"/>
    </row>
    <row r="5" spans="2:11">
      <c r="B5" s="27">
        <v>7003</v>
      </c>
      <c r="C5" s="48" t="s">
        <v>588</v>
      </c>
      <c r="D5" s="27">
        <v>0.2</v>
      </c>
      <c r="E5" t="s">
        <v>515</v>
      </c>
      <c r="F5" s="27">
        <v>5</v>
      </c>
      <c r="G5" s="20" t="s">
        <v>643</v>
      </c>
      <c r="H5" s="17"/>
    </row>
    <row r="6" spans="2:11">
      <c r="B6" s="19">
        <v>7004</v>
      </c>
      <c r="C6" s="11" t="s">
        <v>218</v>
      </c>
      <c r="D6">
        <v>0.7</v>
      </c>
      <c r="E6" t="s">
        <v>515</v>
      </c>
      <c r="F6">
        <v>-1</v>
      </c>
      <c r="G6" s="17" t="s">
        <v>543</v>
      </c>
      <c r="H6" s="17"/>
    </row>
    <row r="7" spans="2:11">
      <c r="B7" s="19">
        <v>7005</v>
      </c>
      <c r="C7" s="11" t="s">
        <v>55</v>
      </c>
      <c r="D7">
        <v>25</v>
      </c>
      <c r="E7" t="s">
        <v>515</v>
      </c>
      <c r="F7">
        <v>-1</v>
      </c>
      <c r="G7" s="17" t="s">
        <v>546</v>
      </c>
      <c r="H7" s="17"/>
    </row>
    <row r="8" spans="2:11">
      <c r="B8" s="27">
        <v>8000</v>
      </c>
      <c r="C8" s="48" t="s">
        <v>318</v>
      </c>
      <c r="D8" s="27">
        <v>0.4</v>
      </c>
      <c r="E8" s="27" t="s">
        <v>515</v>
      </c>
      <c r="F8" s="27">
        <v>4</v>
      </c>
      <c r="G8" s="20" t="s">
        <v>624</v>
      </c>
      <c r="H8" s="46"/>
    </row>
    <row r="9" spans="2:11">
      <c r="B9" s="19">
        <v>8001</v>
      </c>
      <c r="C9" s="11" t="s">
        <v>318</v>
      </c>
      <c r="D9" s="14" t="s">
        <v>625</v>
      </c>
      <c r="E9" t="s">
        <v>515</v>
      </c>
      <c r="F9">
        <v>-1</v>
      </c>
      <c r="G9" s="17" t="s">
        <v>548</v>
      </c>
      <c r="H9" s="22"/>
      <c r="K9" s="14"/>
    </row>
    <row r="10" spans="2:11">
      <c r="B10" s="19">
        <v>8002</v>
      </c>
      <c r="C10" t="s">
        <v>318</v>
      </c>
      <c r="D10">
        <v>0.1</v>
      </c>
      <c r="E10" t="s">
        <v>515</v>
      </c>
      <c r="F10">
        <v>-1</v>
      </c>
      <c r="G10" s="17" t="s">
        <v>551</v>
      </c>
      <c r="H10" s="22"/>
    </row>
    <row r="11" spans="2:11">
      <c r="B11" s="19">
        <v>8002</v>
      </c>
      <c r="C11" t="s">
        <v>2</v>
      </c>
      <c r="D11">
        <v>0.5</v>
      </c>
      <c r="E11" t="s">
        <v>515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218</v>
      </c>
      <c r="D12">
        <v>-0.1</v>
      </c>
      <c r="E12" t="s">
        <v>515</v>
      </c>
      <c r="F12">
        <v>-1</v>
      </c>
      <c r="G12" s="17" t="s">
        <v>550</v>
      </c>
      <c r="H12" s="22"/>
    </row>
    <row r="13" spans="2:11">
      <c r="B13" s="19">
        <v>8003</v>
      </c>
      <c r="C13" t="s">
        <v>279</v>
      </c>
      <c r="D13">
        <v>0.5</v>
      </c>
      <c r="E13" t="s">
        <v>515</v>
      </c>
      <c r="F13">
        <v>-1</v>
      </c>
      <c r="G13" s="17" t="s">
        <v>552</v>
      </c>
      <c r="H13" s="22"/>
    </row>
    <row r="14" spans="2:11">
      <c r="B14" s="19">
        <v>8004</v>
      </c>
      <c r="C14" s="51" t="s">
        <v>641</v>
      </c>
      <c r="D14">
        <v>3</v>
      </c>
      <c r="E14" t="s">
        <v>515</v>
      </c>
      <c r="F14">
        <v>-1</v>
      </c>
      <c r="G14" s="17" t="s">
        <v>591</v>
      </c>
      <c r="H14" s="22"/>
    </row>
    <row r="15" spans="2:11">
      <c r="B15" s="27">
        <v>8004</v>
      </c>
      <c r="C15" s="48" t="s">
        <v>605</v>
      </c>
      <c r="D15" s="27">
        <v>50</v>
      </c>
      <c r="E15" s="27" t="s">
        <v>515</v>
      </c>
      <c r="F15" s="27">
        <v>-1</v>
      </c>
      <c r="G15" s="20" t="s">
        <v>606</v>
      </c>
      <c r="H15" s="46"/>
    </row>
    <row r="16" spans="2:11">
      <c r="B16" s="27">
        <v>9000</v>
      </c>
      <c r="C16" s="48" t="s">
        <v>218</v>
      </c>
      <c r="D16" s="27">
        <v>1.4</v>
      </c>
      <c r="E16" s="27" t="s">
        <v>347</v>
      </c>
      <c r="F16" s="27">
        <v>-1</v>
      </c>
      <c r="G16" s="20" t="s">
        <v>597</v>
      </c>
      <c r="H16" s="22"/>
    </row>
    <row r="17" spans="2:8">
      <c r="B17" s="27">
        <v>9000</v>
      </c>
      <c r="C17" s="48" t="s">
        <v>339</v>
      </c>
      <c r="D17" s="27">
        <v>0</v>
      </c>
      <c r="E17" s="27" t="s">
        <v>347</v>
      </c>
      <c r="F17" s="27">
        <v>-1</v>
      </c>
      <c r="G17" s="20" t="s">
        <v>593</v>
      </c>
      <c r="H17" s="22"/>
    </row>
    <row r="18" spans="2:8">
      <c r="B18" s="27">
        <v>9001</v>
      </c>
      <c r="C18" s="48" t="s">
        <v>596</v>
      </c>
      <c r="D18" s="27">
        <v>0.85</v>
      </c>
      <c r="E18" s="27" t="s">
        <v>347</v>
      </c>
      <c r="F18" s="27">
        <v>4</v>
      </c>
      <c r="G18" s="20" t="s">
        <v>639</v>
      </c>
      <c r="H18" s="22"/>
    </row>
    <row r="19" spans="2:8">
      <c r="B19" s="27">
        <v>9101</v>
      </c>
      <c r="C19" s="48" t="s">
        <v>596</v>
      </c>
      <c r="D19" s="27">
        <v>1.3</v>
      </c>
      <c r="E19" s="27" t="s">
        <v>347</v>
      </c>
      <c r="F19" s="27">
        <v>-1</v>
      </c>
      <c r="G19" s="20" t="s">
        <v>594</v>
      </c>
      <c r="H19" s="22"/>
    </row>
    <row r="20" spans="2:8">
      <c r="B20" s="19">
        <v>9002</v>
      </c>
      <c r="C20" t="s">
        <v>318</v>
      </c>
      <c r="D20">
        <v>1</v>
      </c>
      <c r="E20" t="s">
        <v>515</v>
      </c>
      <c r="F20">
        <v>-1</v>
      </c>
      <c r="G20" s="17" t="s">
        <v>553</v>
      </c>
      <c r="H20" s="22"/>
    </row>
    <row r="21" spans="2:8">
      <c r="B21" s="19">
        <v>9003</v>
      </c>
      <c r="C21" s="11" t="s">
        <v>55</v>
      </c>
      <c r="D21">
        <v>-50</v>
      </c>
      <c r="E21" t="s">
        <v>515</v>
      </c>
      <c r="F21">
        <v>-1</v>
      </c>
      <c r="G21" s="17" t="s">
        <v>600</v>
      </c>
      <c r="H21" s="22"/>
    </row>
    <row r="22" spans="2:8">
      <c r="B22" s="19">
        <v>9003</v>
      </c>
      <c r="C22" s="51" t="s">
        <v>588</v>
      </c>
      <c r="D22">
        <v>0.6</v>
      </c>
      <c r="E22" t="s">
        <v>515</v>
      </c>
      <c r="F22">
        <v>-1</v>
      </c>
      <c r="G22" s="17" t="s">
        <v>601</v>
      </c>
      <c r="H22" s="22"/>
    </row>
    <row r="23" spans="2:8">
      <c r="B23" s="19">
        <v>9104</v>
      </c>
      <c r="C23" s="14" t="s">
        <v>596</v>
      </c>
      <c r="D23">
        <v>1.4</v>
      </c>
      <c r="E23" s="14" t="s">
        <v>638</v>
      </c>
      <c r="F23">
        <v>-1</v>
      </c>
      <c r="G23" s="17" t="s">
        <v>637</v>
      </c>
      <c r="H23" s="22"/>
    </row>
    <row r="24" spans="2:8">
      <c r="B24" s="39">
        <v>10002</v>
      </c>
      <c r="C24" t="s">
        <v>2</v>
      </c>
      <c r="D24">
        <v>2.5</v>
      </c>
      <c r="E24" t="s">
        <v>347</v>
      </c>
      <c r="F24">
        <v>5</v>
      </c>
      <c r="G24" s="22"/>
      <c r="H24" s="22"/>
    </row>
    <row r="25" spans="2:8">
      <c r="B25" s="39">
        <v>10002</v>
      </c>
      <c r="C25" t="s">
        <v>28</v>
      </c>
      <c r="D25">
        <v>0.2</v>
      </c>
      <c r="E25" t="s">
        <v>347</v>
      </c>
      <c r="F25">
        <v>5</v>
      </c>
      <c r="G25" s="22"/>
      <c r="H25" s="22"/>
    </row>
    <row r="26" spans="2:8">
      <c r="B26" s="39">
        <v>10002</v>
      </c>
      <c r="C26" t="s">
        <v>227</v>
      </c>
      <c r="D26">
        <v>3</v>
      </c>
      <c r="E26" t="s">
        <v>347</v>
      </c>
      <c r="F26">
        <v>5</v>
      </c>
      <c r="G26" s="22"/>
      <c r="H26" s="22"/>
    </row>
    <row r="27" spans="2:8">
      <c r="B27" s="39">
        <v>10002</v>
      </c>
      <c r="C27" t="s">
        <v>197</v>
      </c>
      <c r="D27">
        <v>0.05</v>
      </c>
      <c r="E27" t="s">
        <v>347</v>
      </c>
      <c r="F27">
        <v>5</v>
      </c>
      <c r="G27" s="22"/>
      <c r="H27" s="22"/>
    </row>
    <row r="28" spans="2:8">
      <c r="B28" s="39">
        <v>10002</v>
      </c>
      <c r="C28" t="s">
        <v>218</v>
      </c>
      <c r="D28">
        <v>0.3</v>
      </c>
      <c r="E28" t="s">
        <v>347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347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10"/>
  <sheetViews>
    <sheetView zoomScale="85" zoomScaleNormal="85" zoomScaleSheetLayoutView="100" workbookViewId="0">
      <selection activeCell="E5" sqref="E5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493</v>
      </c>
      <c r="F1" s="19"/>
      <c r="G1" s="19" t="s">
        <v>502</v>
      </c>
      <c r="H1" s="19"/>
      <c r="I1" s="19" t="s">
        <v>502</v>
      </c>
      <c r="J1" s="19"/>
      <c r="K1" s="19" t="s">
        <v>502</v>
      </c>
    </row>
    <row r="2" spans="2:12">
      <c r="B2" t="s">
        <v>75</v>
      </c>
      <c r="C2" s="47" t="s">
        <v>560</v>
      </c>
      <c r="D2" s="19" t="s">
        <v>524</v>
      </c>
      <c r="E2" s="19" t="s">
        <v>499</v>
      </c>
      <c r="F2" s="19" t="s">
        <v>538</v>
      </c>
      <c r="G2" s="37" t="s">
        <v>500</v>
      </c>
      <c r="H2" s="19" t="s">
        <v>539</v>
      </c>
      <c r="I2" s="37" t="s">
        <v>501</v>
      </c>
      <c r="J2" s="37" t="s">
        <v>540</v>
      </c>
      <c r="K2" s="37" t="s">
        <v>568</v>
      </c>
      <c r="L2" s="37" t="s">
        <v>567</v>
      </c>
    </row>
    <row r="3" spans="2:12">
      <c r="B3">
        <v>7000</v>
      </c>
      <c r="C3" s="17" t="s">
        <v>627</v>
      </c>
      <c r="D3" s="19" t="s">
        <v>532</v>
      </c>
      <c r="E3">
        <v>801</v>
      </c>
      <c r="F3" s="21"/>
      <c r="G3" s="19">
        <v>1</v>
      </c>
      <c r="H3" s="21"/>
      <c r="J3" s="21"/>
      <c r="K3" s="19"/>
      <c r="L3" s="21"/>
    </row>
    <row r="4" spans="2:12">
      <c r="B4" s="19">
        <v>8006</v>
      </c>
      <c r="C4" s="21" t="s">
        <v>561</v>
      </c>
      <c r="D4" s="19" t="s">
        <v>532</v>
      </c>
      <c r="E4">
        <v>800</v>
      </c>
      <c r="F4" s="17"/>
      <c r="G4">
        <v>1</v>
      </c>
      <c r="H4" s="22"/>
      <c r="J4" s="22"/>
      <c r="L4" s="22"/>
    </row>
    <row r="5" spans="2:12">
      <c r="B5" s="19">
        <v>9004</v>
      </c>
      <c r="C5" s="21" t="s">
        <v>644</v>
      </c>
      <c r="D5" s="19" t="s">
        <v>532</v>
      </c>
      <c r="E5">
        <v>802</v>
      </c>
      <c r="F5" s="17"/>
      <c r="G5">
        <v>1</v>
      </c>
      <c r="H5" s="22"/>
      <c r="J5" s="22"/>
      <c r="L5" s="22"/>
    </row>
    <row r="6" spans="2:12">
      <c r="B6" s="19">
        <v>9002</v>
      </c>
      <c r="C6" s="21"/>
      <c r="D6" s="19" t="s">
        <v>518</v>
      </c>
      <c r="E6" s="11"/>
      <c r="F6" s="45"/>
      <c r="H6" s="45"/>
      <c r="J6" s="22"/>
      <c r="L6" s="22"/>
    </row>
    <row r="7" spans="2:12">
      <c r="B7" s="19">
        <v>10000</v>
      </c>
      <c r="C7" s="21"/>
      <c r="D7" s="19" t="s">
        <v>503</v>
      </c>
      <c r="E7" s="11">
        <v>8</v>
      </c>
      <c r="F7" s="45"/>
      <c r="H7" s="45"/>
      <c r="J7" s="22"/>
      <c r="L7" s="22"/>
    </row>
    <row r="8" spans="2:12">
      <c r="B8">
        <v>10001</v>
      </c>
      <c r="C8" s="22"/>
      <c r="D8" s="19" t="s">
        <v>525</v>
      </c>
      <c r="E8">
        <v>6</v>
      </c>
      <c r="F8" s="22"/>
      <c r="G8">
        <v>30</v>
      </c>
      <c r="H8" s="22"/>
      <c r="I8">
        <v>3</v>
      </c>
      <c r="J8" s="22"/>
      <c r="K8">
        <v>4</v>
      </c>
      <c r="L8" s="22"/>
    </row>
    <row r="9" spans="2:12">
      <c r="B9">
        <v>10002</v>
      </c>
      <c r="C9" s="22"/>
      <c r="D9" s="19" t="s">
        <v>519</v>
      </c>
      <c r="E9">
        <v>0.5</v>
      </c>
      <c r="F9" s="17" t="s">
        <v>541</v>
      </c>
      <c r="G9">
        <v>5</v>
      </c>
      <c r="H9" s="17" t="s">
        <v>542</v>
      </c>
      <c r="J9" s="22"/>
      <c r="L9" s="22"/>
    </row>
    <row r="10" spans="2:12">
      <c r="B10">
        <v>10003</v>
      </c>
      <c r="C10" s="22"/>
      <c r="D10" s="19" t="s">
        <v>530</v>
      </c>
      <c r="E10">
        <v>10</v>
      </c>
      <c r="F10" s="22"/>
      <c r="G10">
        <v>90</v>
      </c>
      <c r="H10" s="22"/>
      <c r="I10">
        <v>1.2</v>
      </c>
      <c r="J10" s="22"/>
      <c r="L10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2023-08-23T10:33:38Z</dcterms:modified>
  <cp:version>1200.0100.01</cp:version>
</cp:coreProperties>
</file>