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D7A2A3FF-4A67-1446-B538-604767D76E98}" xr6:coauthVersionLast="47" xr6:coauthVersionMax="47" xr10:uidLastSave="{00000000-0000-0000-0000-000000000000}"/>
  <bookViews>
    <workbookView xWindow="0" yWindow="760" windowWidth="30240" windowHeight="18880" firstSheet="9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1" i="13" l="1"/>
  <c r="Q31" i="13" s="1"/>
  <c r="O30" i="13"/>
  <c r="Q30" i="13" s="1"/>
  <c r="Q27" i="13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19" i="13" a="1"/>
  <c r="B19" i="13" s="1"/>
  <c r="I19" i="13" s="1" a="1"/>
  <c r="I19" i="13" s="1"/>
  <c r="B26" i="14" s="1"/>
  <c r="B25" i="14" l="1"/>
  <c r="C26" i="14"/>
  <c r="C19" i="14"/>
  <c r="C24" i="14"/>
  <c r="C25" i="14"/>
  <c r="B24" i="14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<sst xmlns="http://schemas.openxmlformats.org/spreadsheetml/2006/main" count="1107" uniqueCount="570">
  <si>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</si>
  <si>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</si>
  <si>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</si>
  <si>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</si>
  <si>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</si>
  <si>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</si>
  <si>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</si>
  <si>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</si>
  <si>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</si>
  <si>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</si>
  <si>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</si>
  <si>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</si>
  <si>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</si>
  <si>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</si>
  <si>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</si>
  <si>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</si>
  <si>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</si>
  <si>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</si>
  <si>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</si>
  <si>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</si>
  <si>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</si>
  <si>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</si>
  <si>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</si>
  <si>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</si>
  <si>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</si>
  <si>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</si>
  <si>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</si>
  <si>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</si>
  <si>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</si>
  <si>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</si>
  <si>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</si>
  <si>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</si>
  <si>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</si>
  <si>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</si>
  <si>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</si>
  <si>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</si>
  <si>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</si>
  <si>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</si>
  <si>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</si>
  <si>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</si>
  <si>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</si>
  <si>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</si>
  <si>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</si>
  <si>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</si>
  <si>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</si>
  <si>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</si>
  <si>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</si>
  <si>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</si>
  <si>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</si>
  <si>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</si>
  <si>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</si>
  <si>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</si>
  <si>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</si>
  <si>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</si>
  <si>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</si>
  <si>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</si>
  <si>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</si>
  <si>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</si>
  <si>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</si>
  <si>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</si>
  <si>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</si>
  <si>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</si>
  <si>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</si>
  <si>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</si>
  <si>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</si>
  <si>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</si>
  <si>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</si>
  <si>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</si>
  <si>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</si>
  <si>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</si>
  <si>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</si>
  <si>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</si>
  <si>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</si>
  <si>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</si>
  <si>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</si>
  <si>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</si>
  <si>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</si>
  <si>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</si>
  <si>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</si>
  <si>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</si>
  <si>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</si>
  <si>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</si>
  <si>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</si>
  <si>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</si>
  <si>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</si>
  <si>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</si>
  <si>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</si>
  <si>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</si>
  <si>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</si>
  <si>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</si>
  <si>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</si>
  <si>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</si>
  <si>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</si>
  <si>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</si>
  <si>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</si>
  <si>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</si>
  <si>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</si>
  <si>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</si>
  <si>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</si>
  <si>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</si>
  <si>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</si>
  <si>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</si>
  <si>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</si>
  <si>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</si>
  <si>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</si>
  <si>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</si>
  <si>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</si>
  <si>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</si>
  <si>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</si>
  <si>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</si>
  <si>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</si>
  <si>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</si>
  <si>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</si>
  <si>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</si>
  <si>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</si>
  <si>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</si>
  <si>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</si>
  <si>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</si>
  <si>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</si>
  <si>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</si>
  <si>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</si>
  <si>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</si>
  <si>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</si>
  <si>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</si>
  <si>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</si>
  <si>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</si>
  <si>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</si>
  <si>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</si>
  <si>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</si>
  <si>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</si>
  <si>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</si>
  <si>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</si>
  <si>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</si>
  <si>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</si>
  <si>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</si>
  <si>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</si>
  <si>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</si>
  <si>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</si>
  <si>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</si>
  <si>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</si>
  <si>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</si>
  <si>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</si>
  <si>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</si>
  <si>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</si>
  <si>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</si>
  <si>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</si>
  <si>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</si>
  <si>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</si>
  <si>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</si>
  <si>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</si>
  <si>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</si>
  <si>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</si>
  <si>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</si>
  <si>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</si>
  <si>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</si>
  <si>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</si>
  <si>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</si>
  <si>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</si>
  <si>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</si>
  <si>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</si>
  <si>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</si>
  <si>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</si>
  <si>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</si>
  <si>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</si>
  <si>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</si>
  <si>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</si>
  <si>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</si>
  <si>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</si>
  <si>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</si>
  <si>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</si>
  <si>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</si>
  <si>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</si>
  <si>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</si>
  <si>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</si>
  <si>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</si>
  <si>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</si>
  <si>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</si>
  <si>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</si>
  <si>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</si>
  <si>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</si>
  <si>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</si>
  <si>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</si>
  <si>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</si>
  <si>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</si>
  <si>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</si>
  <si>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</si>
  <si>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</si>
  <si>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</si>
  <si>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</si>
  <si>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</si>
  <si>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</si>
  <si>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</si>
  <si>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</si>
  <si>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</si>
  <si>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</si>
  <si>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</si>
  <si>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</si>
  <si>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</si>
  <si>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</si>
  <si>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</si>
  <si>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</si>
  <si>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</si>
  <si>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</si>
  <si>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</si>
  <si>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</si>
  <si>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</si>
  <si>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</si>
  <si>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</si>
  <si>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</si>
  <si>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</si>
  <si>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</si>
  <si>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</si>
  <si>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</si>
  <si>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</si>
  <si>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</si>
  <si>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</si>
  <si>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</si>
  <si>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</si>
  <si>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</si>
  <si>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</si>
  <si>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</si>
  <si>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</si>
  <si>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</si>
  <si>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</si>
  <si>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</si>
  <si>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</si>
  <si>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</si>
  <si>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</si>
  <si>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</si>
  <si>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</si>
  <si>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</si>
  <si>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</si>
  <si>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</si>
  <si>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</si>
  <si>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</si>
  <si>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</si>
  <si>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</si>
  <si>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</si>
  <si>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</si>
  <si>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</si>
  <si>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</si>
  <si>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</si>
  <si>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</si>
  <si>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</si>
  <si>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</si>
  <si>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</si>
  <si>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</si>
  <si>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</si>
  <si>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</si>
  <si>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</si>
  <si>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</si>
  <si>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</si>
  <si>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</si>
  <si>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</si>
  <si>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</si>
  <si>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</si>
  <si>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</si>
  <si>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</si>
  <si>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</si>
  <si>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</si>
  <si>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</si>
  <si>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</si>
  <si>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</si>
  <si>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</si>
  <si>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</si>
  <si>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</si>
  <si>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</si>
  <si>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</si>
  <si>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</si>
  <si>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</si>
  <si>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</si>
  <si>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</si>
  <si>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</si>
  <si>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</si>
  <si>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</si>
  <si>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</si>
  <si>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</si>
  <si>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</si>
  <si>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</si>
  <si>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</si>
  <si>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</si>
  <si>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</si>
  <si>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</si>
  <si>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</si>
  <si>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</si>
  <si>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</si>
  <si>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</si>
  <si>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</si>
  <si>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</si>
  <si>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</si>
  <si>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</si>
  <si>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</si>
  <si>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</si>
  <si>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</si>
  <si>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</si>
  <si>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</si>
  <si>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</si>
  <si>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</si>
  <si>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</si>
  <si>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</si>
  <si>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</si>
  <si>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</si>
  <si>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</si>
  <si>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</si>
  <si>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</si>
  <si>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</si>
  <si>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</si>
  <si>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</si>
  <si>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</si>
  <si>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</si>
  <si>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</si>
  <si>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</si>
  <si>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</si>
  <si>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</si>
  <si>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</si>
  <si>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</si>
  <si>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</si>
  <si>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</si>
  <si>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</si>
  <si>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</si>
  <si>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</si>
  <si>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</si>
  <si>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</si>
  <si>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</si>
  <si>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</si>
  <si>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</si>
  <si>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</si>
  <si>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</si>
  <si>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</si>
  <si>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</si>
  <si>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</si>
  <si>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</si>
  <si>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</si>
  <si>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</si>
  <si>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</si>
  <si>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</si>
  <si>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</si>
  <si>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</si>
  <si>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</si>
  <si>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</si>
  <si>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</si>
  <si>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</si>
  <si>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</si>
  <si>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</si>
  <si>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</si>
  <si>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</si>
  <si>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</si>
  <si>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</si>
  <si>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</si>
  <si>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</si>
  <si>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</si>
  <si>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</si>
  <si>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</si>
  <si>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</si>
  <si>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</si>
  <si>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</si>
  <si>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</si>
  <si>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</si>
  <si>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</si>
  <si>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</si>
  <si>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</si>
  <si>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</si>
  <si>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</si>
  <si>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</si>
  <si>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</si>
  <si>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</si>
  <si>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</si>
  <si>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</si>
  <si>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</si>
  <si>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</si>
  <si>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</si>
  <si>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</si>
  <si>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</si>
  <si>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</si>
  <si>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</si>
  <si>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</si>
  <si>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</si>
  <si>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</si>
  <si>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</si>
  <si>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</si>
  <si>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</si>
  <si>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</si>
  <si>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</si>
  <si>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</si>
  <si>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</si>
  <si>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</si>
  <si>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</si>
  <si>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</si>
  <si>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</si>
  <si>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</si>
  <si>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</si>
  <si>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</si>
  <si>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</si>
  <si>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</si>
  <si>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</si>
  <si>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</si>
  <si>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</si>
  <si>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</si>
  <si>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</si>
  <si>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</si>
  <si>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</si>
  <si>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</si>
  <si>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</si>
  <si>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</si>
  <si>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</si>
  <si>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</si>
  <si>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</si>
  <si>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</si>
  <si>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</si>
  <si>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</si>
  <si>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</si>
  <si>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</si>
  <si>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</si>
  <si>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</si>
  <si>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</si>
  <si>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</si>
  <si>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</si>
  <si>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</si>
  <si>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</si>
  <si>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</si>
  <si>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</si>
  <si>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</si>
  <si>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</si>
  <si>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</si>
  <si>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</si>
  <si>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</si>
  <si>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</si>
  <si>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</si>
  <si>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</si>
  <si>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</si>
  <si>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</si>
  <si>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</si>
  <si>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</si>
  <si>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</si>
  <si>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</si>
  <si>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</si>
  <si>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</si>
  <si>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</si>
  <si>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</si>
  <si>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</si>
  <si>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</si>
  <si>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</si>
  <si>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</si>
  <si>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</si>
  <si>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</si>
  <si>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</si>
  <si>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</si>
  <si>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</si>
  <si>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</si>
  <si>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</si>
  <si>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</si>
  <si>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</si>
  <si>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</si>
  <si>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</si>
  <si>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</si>
  <si>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</si>
  <si>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</si>
  <si>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</si>
  <si>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</si>
  <si>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</si>
  <si>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</si>
  <si>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</si>
  <si>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</si>
  <si>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</si>
  <si>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</si>
  <si>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</si>
  <si>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</si>
  <si>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</si>
  <si>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</si>
  <si>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</si>
  <si>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</si>
  <si>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</si>
  <si>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</si>
  <si>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</si>
  <si>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</si>
  <si>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</si>
  <si>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</si>
  <si>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</si>
  <si>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</si>
  <si>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</si>
  <si>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</si>
  <si>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</si>
  <si>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</si>
  <si>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</si>
  <si>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</si>
  <si>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</si>
  <si>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</si>
  <si>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</si>
  <si>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</si>
  <si>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</si>
  <si>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</si>
  <si>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</si>
  <si>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</si>
  <si>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</si>
  <si>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</si>
  <si>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</si>
  <si>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</si>
  <si>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</si>
  <si>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</si>
  <si>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</si>
  <si>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</si>
  <si>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</si>
  <si>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</si>
  <si>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</si>
  <si>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</si>
  <si>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</si>
  <si>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</si>
  <si>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</si>
  <si>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</si>
  <si>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</si>
  <si>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</si>
  <si>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</si>
  <si>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</si>
  <si>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</si>
  <si>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</si>
  <si>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</si>
  <si>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</si>
  <si>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</si>
  <si>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</si>
  <si>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</si>
  <si>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</si>
  <si>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</si>
  <si>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</si>
  <si>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</si>
  <si>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</si>
  <si>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</si>
  <si>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</si>
  <si>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</si>
  <si>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</si>
  <si>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</si>
  <si>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</si>
  <si>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</si>
  <si>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</si>
  <si>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</si>
  <si>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</si>
  <si>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</si>
  <si>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</si>
  <si>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</si>
  <si>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</si>
  <si>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</si>
  <si>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</si>
  <si>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</si>
  <si>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</si>
  <si>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</si>
  <si>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</si>
  <si>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</si>
  <si>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</si>
  <si>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</si>
  <si>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</si>
  <si>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</si>
  <si>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</si>
  <si>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</si>
  <si>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</si>
  <si>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</si>
  <si>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</si>
  <si>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</si>
  <si>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</si>
  <si>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</si>
  <si>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</si>
  <si>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</si>
  <si>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</si>
  <si>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</si>
  <si>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</si>
  <si>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</si>
  <si>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소닉 더 배트매스터</t>
    <phoneticPr fontId="8" type="noConversion"/>
  </si>
  <si>
    <t>액티브 버튼을 누르면 주변 투사체를 가져와 발사합니다</t>
    <phoneticPr fontId="8" type="noConversion"/>
  </si>
  <si>
    <t>원기옥</t>
    <phoneticPr fontId="8" type="noConversion"/>
  </si>
  <si>
    <t>액티브 버튼을 누르면 시간이 느려지고 이동속도와 대쉬 속도가 증가합니다.</t>
    <phoneticPr fontId="8" type="noConversion"/>
  </si>
  <si>
    <t>DodgeCooldown</t>
    <phoneticPr fontId="8" type="noConversion"/>
  </si>
  <si>
    <t>SwingCooldown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</si>
</sst>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14" fillId="10" borderId="0" xfId="0" applyFont="1" applyFill="1">
      <alignment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8" borderId="0" xfId="0" applyNumberFormat="1" applyFill="1">
      <alignment vertical="center"/>
    </xf>
    <xf numFmtId="0" fontId="14" fillId="10" borderId="0" xfId="0" applyNumberFormat="1" applyFont="1" applyFill="1">
      <alignment vertical="center"/>
    </xf>
    <xf numFmtId="0" fontId="14" fillId="6" borderId="0" xfId="0" applyFont="1" applyFill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31" totalsRowShown="0" headerRowDxfId="31">
  <autoFilter ref="B2:Q31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14">
  <autoFilter ref="B2:K26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6" totalsRowShown="0" headerRowDxfId="9">
  <autoFilter ref="B2:F36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9" totalsRowShown="0" headerRowDxfId="7">
  <autoFilter ref="B2:F9" xr:uid="{00000000-0009-0000-0100-000001000000}"/>
  <tableColumns count="5">
    <tableColumn id="4" xr3:uid="{9F0C2145-5739-D948-B51C-59C2F70F8333}" name="Index" dataDxfId="6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2" t="s">
        <v>315</v>
      </c>
      <c r="C1" s="53"/>
      <c r="D1" s="53"/>
      <c r="E1" s="53"/>
    </row>
    <row r="2" spans="2:5" s="1" customFormat="1">
      <c r="B2" s="53"/>
      <c r="C2" s="53"/>
      <c r="D2" s="53"/>
      <c r="E2" s="53"/>
    </row>
    <row r="3" spans="2:5" s="1" customFormat="1">
      <c r="B3" s="53"/>
      <c r="C3" s="53"/>
      <c r="D3" s="53"/>
      <c r="E3" s="53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52" t="s">
        <v>202</v>
      </c>
      <c r="C1" s="53"/>
      <c r="D1" s="53"/>
      <c r="E1" s="53"/>
    </row>
    <row r="2" spans="2:12" s="1" customFormat="1">
      <c r="B2" s="53"/>
      <c r="C2" s="53"/>
      <c r="D2" s="53"/>
      <c r="E2" s="53"/>
    </row>
    <row r="3" spans="2:12" s="1" customFormat="1">
      <c r="B3" s="53"/>
      <c r="C3" s="53"/>
      <c r="D3" s="53"/>
      <c r="E3" s="53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2" t="s">
        <v>293</v>
      </c>
      <c r="C1" s="53"/>
      <c r="D1" s="53"/>
      <c r="E1" s="53"/>
      <c r="F1" s="53"/>
    </row>
    <row r="2" spans="1:21" s="1" customFormat="1">
      <c r="B2" s="53"/>
      <c r="C2" s="53"/>
      <c r="D2" s="53"/>
      <c r="E2" s="53"/>
      <c r="F2" s="53"/>
    </row>
    <row r="3" spans="1:21" s="1" customFormat="1">
      <c r="B3" s="53"/>
      <c r="C3" s="53"/>
      <c r="D3" s="53"/>
      <c r="E3" s="53"/>
      <c r="F3" s="53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E1" zoomScaleNormal="75" zoomScaleSheetLayoutView="100" workbookViewId="0">
      <selection activeCell="I2" sqref="I2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s="21" t="s">
        <v>568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D1" zoomScaleNormal="75" zoomScaleSheetLayoutView="100" workbookViewId="0">
      <selection activeCell="H2" sqref="H2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56" t="s">
        <v>569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530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529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534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528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528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528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528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528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528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528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528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528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528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528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527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6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31"/>
  <sheetViews>
    <sheetView zoomScaleNormal="75" zoomScaleSheetLayoutView="100" workbookViewId="0">
      <selection activeCell="D34" sqref="D34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47" customFormat="1" ht="18">
      <c r="B25" s="47">
        <v>5000</v>
      </c>
      <c r="C25" s="47" t="s">
        <v>545</v>
      </c>
      <c r="D25" s="47" t="s">
        <v>554</v>
      </c>
      <c r="E25" s="47" t="s">
        <v>82</v>
      </c>
      <c r="F25" s="47">
        <v>1</v>
      </c>
      <c r="G25" s="47">
        <v>50</v>
      </c>
      <c r="H25" s="47">
        <v>60</v>
      </c>
      <c r="I25" s="47">
        <v>9005</v>
      </c>
      <c r="J25" s="47" t="s">
        <v>262</v>
      </c>
      <c r="K25" s="48"/>
      <c r="L25" s="48"/>
      <c r="M25" s="48"/>
      <c r="N25" s="48"/>
      <c r="O25" s="48"/>
      <c r="P25" s="49"/>
      <c r="Q25" s="48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51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555</v>
      </c>
      <c r="D29" s="21" t="s">
        <v>557</v>
      </c>
      <c r="E29" s="21" t="s">
        <v>556</v>
      </c>
      <c r="F29">
        <v>1</v>
      </c>
      <c r="G29">
        <v>50</v>
      </c>
      <c r="H29">
        <v>100</v>
      </c>
      <c r="I29">
        <v>10000</v>
      </c>
      <c r="J29" t="s">
        <v>262</v>
      </c>
      <c r="Q29" t="str">
        <f>IF(ItemTable[[#This Row],['#4]]=ItemTable[[#This Row],[Desc]],"T","F")</f>
        <v>F</v>
      </c>
    </row>
    <row r="30" spans="2:17">
      <c r="B30" s="41">
        <v>10001</v>
      </c>
      <c r="C30" s="44" t="s">
        <v>566</v>
      </c>
      <c r="D30" s="44" t="s">
        <v>565</v>
      </c>
      <c r="E30" s="21" t="s">
        <v>556</v>
      </c>
      <c r="F30">
        <v>1</v>
      </c>
      <c r="G30">
        <v>50</v>
      </c>
      <c r="H30">
        <v>100</v>
      </c>
      <c r="I30">
        <v>10001</v>
      </c>
      <c r="J30" t="s">
        <v>277</v>
      </c>
      <c r="K30" s="15"/>
      <c r="L30" s="15"/>
      <c r="M30" s="15"/>
      <c r="N30" s="15"/>
      <c r="O30" s="15" t="str">
        <f>_xlfn.CONCAT(
_xlfn.CONCAT("&lt;size=16&gt;",L30,"&lt;/size&gt;\n\n",
"&lt;size=20&gt;&lt;color=#97C456&gt;",M30,"&lt;/color&gt;&lt;/size&gt;"),
IF(ISBLANK(N30),"",_xlfn.CONCAT("\n","&lt;size=24&gt;&lt;color=#FF6A6A&gt;",N30,"&lt;/color&gt;&lt;/size&gt;"))
)</f>
        <v>&lt;size=16&gt;&lt;/size&gt;\n\n&lt;size=20&gt;&lt;color=#97C456&gt;&lt;/color&gt;&lt;/size&gt;</v>
      </c>
      <c r="P30" s="43"/>
      <c r="Q30" s="15" t="str">
        <f>IF(ItemTable[[#This Row],['#4]]=ItemTable[[#This Row],[Desc]],"T","F")</f>
        <v>F</v>
      </c>
    </row>
    <row r="31" spans="2:17">
      <c r="B31" s="41">
        <v>10002</v>
      </c>
      <c r="C31" s="55" t="s">
        <v>564</v>
      </c>
      <c r="D31" s="55" t="s">
        <v>567</v>
      </c>
      <c r="E31" s="21" t="s">
        <v>556</v>
      </c>
      <c r="F31">
        <v>1</v>
      </c>
      <c r="G31">
        <v>50</v>
      </c>
      <c r="H31">
        <v>100</v>
      </c>
      <c r="I31">
        <v>10002</v>
      </c>
      <c r="J31" t="s">
        <v>277</v>
      </c>
      <c r="K31" s="54"/>
      <c r="L31" s="54"/>
      <c r="M31" s="54"/>
      <c r="N31" s="54"/>
      <c r="O31" s="54" t="str">
        <f>_xlfn.CONCAT(
_xlfn.CONCAT("&lt;size=16&gt;",L31,"&lt;/size&gt;\n\n",
"&lt;size=20&gt;&lt;color=#97C456&gt;",M31,"&lt;/color&gt;&lt;/size&gt;"),
IF(ISBLANK(N31),"",_xlfn.CONCAT("\n","&lt;size=24&gt;&lt;color=#FF6A6A&gt;",N31,"&lt;/color&gt;&lt;/size&gt;"))
)</f>
        <v>&lt;size=16&gt;&lt;/size&gt;\n\n&lt;size=20&gt;&lt;color=#97C456&gt;&lt;/color&gt;&lt;/size&gt;</v>
      </c>
      <c r="P31" s="43"/>
      <c r="Q31" s="54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6"/>
  <sheetViews>
    <sheetView tabSelected="1" topLeftCell="B4" zoomScale="129" zoomScaleNormal="129" zoomScaleSheetLayoutView="100" workbookViewId="0">
      <selection activeCell="H28" sqref="H28:H29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530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546</v>
      </c>
      <c r="F2" s="21" t="s">
        <v>547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535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537</v>
      </c>
      <c r="I3" s="21"/>
      <c r="J3" s="21" t="s">
        <v>536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537</v>
      </c>
      <c r="J4" s="21" t="s">
        <v>536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537</v>
      </c>
      <c r="I5" s="21"/>
      <c r="J5" s="21" t="s">
        <v>536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537</v>
      </c>
      <c r="J6" s="21" t="s">
        <v>536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537</v>
      </c>
      <c r="J7" s="21" t="s">
        <v>536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537</v>
      </c>
      <c r="J8" s="21" t="s">
        <v>536</v>
      </c>
    </row>
    <row r="9" spans="2:11" s="46" customFormat="1">
      <c r="D9" s="50"/>
      <c r="J9" s="50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553</v>
      </c>
      <c r="J10" s="21" t="s">
        <v>536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552</v>
      </c>
      <c r="J11" s="21" t="s">
        <v>536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537</v>
      </c>
      <c r="J12" s="21" t="s">
        <v>536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537</v>
      </c>
      <c r="J13" s="21" t="s">
        <v>536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537</v>
      </c>
      <c r="J14" s="21" t="s">
        <v>536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551</v>
      </c>
      <c r="J15" s="21" t="s">
        <v>536</v>
      </c>
    </row>
    <row r="16" spans="2:11" s="46" customFormat="1">
      <c r="D16" s="50"/>
      <c r="J16" s="50"/>
    </row>
    <row r="17" spans="2:11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537</v>
      </c>
      <c r="J17" s="21" t="s">
        <v>536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537</v>
      </c>
      <c r="J18" s="21" t="s">
        <v>536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537</v>
      </c>
      <c r="J19" s="21" t="s">
        <v>536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537</v>
      </c>
      <c r="J20" s="21" t="s">
        <v>536</v>
      </c>
    </row>
    <row r="21" spans="2:11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537</v>
      </c>
      <c r="J21" s="21" t="s">
        <v>536</v>
      </c>
    </row>
    <row r="22" spans="2:11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550</v>
      </c>
      <c r="I22" s="21"/>
      <c r="J22" s="21" t="s">
        <v>536</v>
      </c>
    </row>
    <row r="23" spans="2:11" s="46" customFormat="1">
      <c r="J23" s="50"/>
    </row>
    <row r="24" spans="2:11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550</v>
      </c>
      <c r="J24" s="21" t="s">
        <v>536</v>
      </c>
    </row>
    <row r="25" spans="2:11">
      <c r="B25" s="4" t="str">
        <f>INDEX(ItemTable[Name],MATCH(ItemEffectTable[[#This Row],[Index]],ItemTable[ItemEffectDataId],0))</f>
        <v>원기옥</v>
      </c>
      <c r="C25" s="41" t="str">
        <f>INDEX(ItemTable[GradeType],MATCH(ItemEffectTable[[#This Row],[Index]],ItemTable[ItemEffectDataId],0))</f>
        <v>Rare</v>
      </c>
      <c r="D25" s="41">
        <v>10001</v>
      </c>
      <c r="F25">
        <v>10001</v>
      </c>
      <c r="G25">
        <v>3.5</v>
      </c>
      <c r="H25" s="21" t="s">
        <v>550</v>
      </c>
      <c r="I25" s="21" t="s">
        <v>563</v>
      </c>
      <c r="J25" s="21" t="s">
        <v>562</v>
      </c>
      <c r="K25">
        <v>3</v>
      </c>
    </row>
    <row r="26" spans="2:11">
      <c r="B26" s="4" t="str">
        <f>INDEX(ItemTable[Name],MATCH(ItemEffectTable[[#This Row],[Index]],ItemTable[ItemEffectDataId],0))</f>
        <v>소닉 더 배트매스터</v>
      </c>
      <c r="C26" s="41" t="str">
        <f>INDEX(ItemTable[GradeType],MATCH(ItemEffectTable[[#This Row],[Index]],ItemTable[ItemEffectDataId],0))</f>
        <v>Rare</v>
      </c>
      <c r="D26" s="41">
        <v>10002</v>
      </c>
      <c r="E26">
        <v>10002</v>
      </c>
      <c r="F26">
        <v>10002</v>
      </c>
      <c r="G26">
        <v>8</v>
      </c>
      <c r="H26" s="21" t="s">
        <v>550</v>
      </c>
      <c r="J26" s="21" t="s">
        <v>536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6"/>
  <sheetViews>
    <sheetView topLeftCell="A11" zoomScale="129" zoomScaleNormal="129" zoomScaleSheetLayoutView="100" workbookViewId="0">
      <selection activeCell="D36" sqref="D3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530</v>
      </c>
      <c r="E1" s="21" t="s">
        <v>532</v>
      </c>
      <c r="F1" s="21" t="s">
        <v>525</v>
      </c>
    </row>
    <row r="2" spans="2:6">
      <c r="B2" t="s">
        <v>76</v>
      </c>
      <c r="C2" s="21" t="s">
        <v>521</v>
      </c>
      <c r="D2" s="21" t="s">
        <v>531</v>
      </c>
      <c r="E2" s="1" t="s">
        <v>13</v>
      </c>
      <c r="F2" s="39" t="s">
        <v>533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559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538</v>
      </c>
      <c r="D6">
        <v>1</v>
      </c>
      <c r="E6" t="s">
        <v>540</v>
      </c>
      <c r="F6">
        <v>-1</v>
      </c>
    </row>
    <row r="7" spans="2:6" ht="18">
      <c r="B7" s="21">
        <v>7003</v>
      </c>
      <c r="C7" s="42" t="s">
        <v>539</v>
      </c>
      <c r="D7">
        <v>1</v>
      </c>
      <c r="E7" t="s">
        <v>540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540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540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541</v>
      </c>
      <c r="E11" t="s">
        <v>540</v>
      </c>
      <c r="F11">
        <v>-1</v>
      </c>
    </row>
    <row r="12" spans="2:6" ht="18">
      <c r="B12" s="21">
        <v>8001</v>
      </c>
      <c r="C12" s="11" t="s">
        <v>320</v>
      </c>
      <c r="D12" s="14" t="s">
        <v>542</v>
      </c>
      <c r="E12" t="s">
        <v>540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540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540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540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540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540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540</v>
      </c>
      <c r="F18">
        <v>-1</v>
      </c>
    </row>
    <row r="19" spans="2:6" ht="18">
      <c r="B19" s="21">
        <v>8005</v>
      </c>
      <c r="C19" s="11" t="s">
        <v>320</v>
      </c>
      <c r="D19" t="s">
        <v>543</v>
      </c>
      <c r="E19" t="s">
        <v>540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540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540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540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540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540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540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544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  <row r="32" spans="2:6">
      <c r="B32" s="41">
        <v>10002</v>
      </c>
      <c r="C32" t="s">
        <v>2</v>
      </c>
      <c r="D32">
        <v>1.2</v>
      </c>
      <c r="E32" t="s">
        <v>349</v>
      </c>
      <c r="F32">
        <v>5</v>
      </c>
    </row>
    <row r="33" spans="2:6">
      <c r="B33" s="41">
        <v>10002</v>
      </c>
      <c r="C33" t="s">
        <v>28</v>
      </c>
      <c r="D33">
        <v>0.4</v>
      </c>
      <c r="E33" t="s">
        <v>349</v>
      </c>
      <c r="F33">
        <v>5</v>
      </c>
    </row>
    <row r="34" spans="2:6">
      <c r="B34" s="41">
        <v>10002</v>
      </c>
      <c r="C34" t="s">
        <v>229</v>
      </c>
      <c r="D34">
        <v>3</v>
      </c>
      <c r="E34" t="s">
        <v>349</v>
      </c>
      <c r="F34">
        <v>5</v>
      </c>
    </row>
    <row r="35" spans="2:6">
      <c r="B35" s="41">
        <v>10002</v>
      </c>
      <c r="C35" t="s">
        <v>198</v>
      </c>
      <c r="D35">
        <v>0.5</v>
      </c>
      <c r="E35" t="s">
        <v>349</v>
      </c>
      <c r="F35">
        <v>5</v>
      </c>
    </row>
    <row r="36" spans="2:6">
      <c r="B36" s="41">
        <v>10002</v>
      </c>
      <c r="C36" t="s">
        <v>219</v>
      </c>
      <c r="D36">
        <v>0.5</v>
      </c>
      <c r="E36" t="s">
        <v>349</v>
      </c>
      <c r="F36">
        <v>5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E9" sqref="E9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525</v>
      </c>
      <c r="F1" s="21" t="s">
        <v>525</v>
      </c>
    </row>
    <row r="2" spans="2:6">
      <c r="B2" t="s">
        <v>76</v>
      </c>
      <c r="C2" s="21" t="s">
        <v>560</v>
      </c>
      <c r="D2" s="21" t="s">
        <v>522</v>
      </c>
      <c r="E2" s="39" t="s">
        <v>523</v>
      </c>
      <c r="F2" s="39" t="s">
        <v>524</v>
      </c>
    </row>
    <row r="3" spans="2:6">
      <c r="B3" s="21">
        <v>9002</v>
      </c>
      <c r="C3" s="21" t="s">
        <v>548</v>
      </c>
      <c r="D3" s="11"/>
    </row>
    <row r="4" spans="2:6">
      <c r="B4" s="21">
        <v>9005</v>
      </c>
      <c r="C4" s="21" t="s">
        <v>549</v>
      </c>
      <c r="D4">
        <v>0.5</v>
      </c>
      <c r="E4">
        <v>2</v>
      </c>
    </row>
    <row r="5" spans="2:6">
      <c r="B5" s="21"/>
      <c r="C5" s="21"/>
      <c r="D5" s="11"/>
    </row>
    <row r="6" spans="2:6" s="46" customFormat="1">
      <c r="B6" s="50"/>
      <c r="C6" s="50"/>
    </row>
    <row r="7" spans="2:6">
      <c r="B7" s="21">
        <v>10000</v>
      </c>
      <c r="C7" s="21" t="s">
        <v>526</v>
      </c>
      <c r="D7" s="11">
        <v>8</v>
      </c>
    </row>
    <row r="8" spans="2:6">
      <c r="B8">
        <v>10001</v>
      </c>
      <c r="C8" s="21" t="s">
        <v>561</v>
      </c>
      <c r="D8">
        <v>3</v>
      </c>
      <c r="E8">
        <v>23</v>
      </c>
      <c r="F8">
        <v>3</v>
      </c>
    </row>
    <row r="9" spans="2:6">
      <c r="B9">
        <v>10002</v>
      </c>
      <c r="C9" s="21" t="s">
        <v>549</v>
      </c>
      <c r="D9">
        <v>0.5</v>
      </c>
      <c r="E9">
        <v>5</v>
      </c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2023-08-07T17:24:48Z</dcterms:modified>
  <cp:version>1200.0100.01</cp:version>
</cp:coreProperties>
</file>