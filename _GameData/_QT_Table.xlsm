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6D2A6C56-AF59-471F-BE3B-D5F8D2892C39}" xr6:coauthVersionLast="47" xr6:coauthVersionMax="47" xr10:uidLastSave="{00000000-0000-0000-0000-000000000000}"/>
  <bookViews>
    <workbookView xWindow="-120" yWindow="-120" windowWidth="29040" windowHeight="15840" firstSheet="6" activeTab="7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5" i="10" l="1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O10" i="14"/>
  <c r="N5" i="7"/>
  <c r="O5" i="7"/>
  <c r="P5" i="7"/>
  <c r="Q5" i="7"/>
  <c r="R5" i="7"/>
  <c r="S5" i="7"/>
  <c r="O11" i="14"/>
  <c r="E9" i="3"/>
  <c r="K8" i="3" a="1"/>
  <c r="K8" i="3"/>
  <c r="I8" i="3" s="1"/>
  <c r="K9" i="3" a="1"/>
  <c r="K9" i="3" s="1"/>
  <c r="K10" i="3" a="1"/>
  <c r="K10" i="3" s="1"/>
  <c r="I10" i="3" s="1"/>
  <c r="K11" i="3" a="1"/>
  <c r="K11" i="3" s="1"/>
  <c r="I11" i="3" s="1"/>
  <c r="K12" i="3" a="1"/>
  <c r="K12" i="3"/>
  <c r="H7" i="3"/>
  <c r="S7" i="3"/>
  <c r="Q3" i="13"/>
  <c r="Q4" i="13"/>
  <c r="Q5" i="13"/>
  <c r="Q6" i="13"/>
  <c r="Q7" i="13"/>
  <c r="K7" i="3" a="1"/>
  <c r="K7" i="3" s="1"/>
  <c r="O8" i="3" a="1"/>
  <c r="O9" i="3" a="1"/>
  <c r="O10" i="3" a="1"/>
  <c r="O11" i="3" a="1"/>
  <c r="O12" i="3" a="1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7" i="10"/>
  <c r="I58" i="10"/>
  <c r="H45" i="10"/>
  <c r="H46" i="10"/>
  <c r="H47" i="10"/>
  <c r="H48" i="10"/>
  <c r="H49" i="10"/>
  <c r="H57" i="10"/>
  <c r="H58" i="10"/>
  <c r="U11" i="9"/>
  <c r="E11" i="9"/>
  <c r="H22" i="10"/>
  <c r="U16" i="9"/>
  <c r="E16" i="9"/>
  <c r="U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U10" i="9"/>
  <c r="E10" i="9"/>
  <c r="U9" i="9"/>
  <c r="E9" i="9"/>
  <c r="U8" i="9"/>
  <c r="E8" i="9"/>
  <c r="U7" i="9"/>
  <c r="E7" i="9"/>
  <c r="U6" i="9"/>
  <c r="E6" i="9"/>
  <c r="U5" i="9"/>
  <c r="E5" i="9"/>
  <c r="U4" i="9"/>
  <c r="E4" i="9"/>
  <c r="U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/>
  <c r="P12" i="3" s="1"/>
  <c r="O11" i="3"/>
  <c r="O10" i="3"/>
  <c r="O9" i="3"/>
  <c r="O8" i="3"/>
  <c r="Q26" i="14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I7" i="3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12" i="3"/>
  <c r="H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24" i="14" l="1" a="1"/>
  <c r="R24" i="14" s="1"/>
  <c r="F22" i="2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D10" i="16" l="1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<sst xmlns="http://schemas.openxmlformats.org/spreadsheetml/2006/main" count="1079" uniqueCount="550">
  <si>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</si>
  <si>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</si>
  <si>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</si>
  <si>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</si>
  <si>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</si>
  <si>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</si>
  <si>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</si>
  <si>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</si>
  <si>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</si>
  <si>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</si>
  <si>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</si>
  <si>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</si>
  <si>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</si>
  <si>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</si>
  <si>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</si>
  <si>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</si>
  <si>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</si>
  <si>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</si>
  <si>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</si>
  <si>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</si>
  <si>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</si>
  <si>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</si>
  <si>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</si>
  <si>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</si>
  <si>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</si>
  <si>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</si>
  <si>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</si>
  <si>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</si>
  <si>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</si>
  <si>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</si>
  <si>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</si>
  <si>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</si>
  <si>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</si>
  <si>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</si>
  <si>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</si>
  <si>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</si>
  <si>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</si>
  <si>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</si>
  <si>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</si>
  <si>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</si>
  <si>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</si>
  <si>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</si>
  <si>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</si>
  <si>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</si>
  <si>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</si>
  <si>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</si>
  <si>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</si>
  <si>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</si>
  <si>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</si>
  <si>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</si>
  <si>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</si>
  <si>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</si>
  <si>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</si>
  <si>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</si>
  <si>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</si>
  <si>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</si>
  <si>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</si>
  <si>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</si>
  <si>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</si>
  <si>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</si>
  <si>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</si>
  <si>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</si>
  <si>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</si>
  <si>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</si>
  <si>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</si>
  <si>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</si>
  <si>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</si>
  <si>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</si>
  <si>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</si>
  <si>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</si>
  <si>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</si>
  <si>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</si>
  <si>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</si>
  <si>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</si>
  <si>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</si>
  <si>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</si>
  <si>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</si>
  <si>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</si>
  <si>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</si>
  <si>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</si>
  <si>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</si>
  <si>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</si>
  <si>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</si>
  <si>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</si>
  <si>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</si>
  <si>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</si>
  <si>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</si>
  <si>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</si>
  <si>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</si>
  <si>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</si>
  <si>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</si>
  <si>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</si>
  <si>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</si>
  <si>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</si>
  <si>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</si>
  <si>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</si>
  <si>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</si>
  <si>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</si>
  <si>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</si>
  <si>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</si>
  <si>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</si>
  <si>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</si>
  <si>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</si>
  <si>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</si>
  <si>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</si>
  <si>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</si>
  <si>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</si>
  <si>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</si>
  <si>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</si>
  <si>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</si>
  <si>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</si>
  <si>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</si>
  <si>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</si>
  <si>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</si>
  <si>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</si>
  <si>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</si>
  <si>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</si>
  <si>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</si>
  <si>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</si>
  <si>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</si>
  <si>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</si>
  <si>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</si>
  <si>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</si>
  <si>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</si>
  <si>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</si>
  <si>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</si>
  <si>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</si>
  <si>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</si>
  <si>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</si>
  <si>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</si>
  <si>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</si>
  <si>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</si>
  <si>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</si>
  <si>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</si>
  <si>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</si>
  <si>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</si>
  <si>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</si>
  <si>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</si>
  <si>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</si>
  <si>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</si>
  <si>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</si>
  <si>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</si>
  <si>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</si>
  <si>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</si>
  <si>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</si>
  <si>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</si>
  <si>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</si>
  <si>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</si>
  <si>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</si>
  <si>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</si>
  <si>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</si>
  <si>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</si>
  <si>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</si>
  <si>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</si>
  <si>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</si>
  <si>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</si>
  <si>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</si>
  <si>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</si>
  <si>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</si>
  <si>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</si>
  <si>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</si>
  <si>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</si>
  <si>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</si>
  <si>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</si>
  <si>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</si>
  <si>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</si>
  <si>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</si>
  <si>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</si>
  <si>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</si>
  <si>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</si>
  <si>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</si>
  <si>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</si>
  <si>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</si>
  <si>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</si>
  <si>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</si>
  <si>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</si>
  <si>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</si>
  <si>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</si>
  <si>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</si>
  <si>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</si>
  <si>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</si>
  <si>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</si>
  <si>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</si>
  <si>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</si>
  <si>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</si>
  <si>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</si>
  <si>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</si>
  <si>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</si>
  <si>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</si>
  <si>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</si>
  <si>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</si>
  <si>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</si>
  <si>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</si>
  <si>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</si>
  <si>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</si>
  <si>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</si>
  <si>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</si>
  <si>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</si>
  <si>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</si>
  <si>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</si>
  <si>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</si>
  <si>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</si>
  <si>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</si>
  <si>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</si>
  <si>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</si>
  <si>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</si>
  <si>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</si>
  <si>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</si>
  <si>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</si>
  <si>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</si>
  <si>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</si>
  <si>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</si>
  <si>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</si>
  <si>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</si>
  <si>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</si>
  <si>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</si>
  <si>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</si>
  <si>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</si>
  <si>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</si>
  <si>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</si>
  <si>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</si>
  <si>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</si>
  <si>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</si>
  <si>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</si>
  <si>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</si>
  <si>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</si>
  <si>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</si>
  <si>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</si>
  <si>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</si>
  <si>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</si>
  <si>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</si>
  <si>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</si>
  <si>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</si>
  <si>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</si>
  <si>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</si>
  <si>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</si>
  <si>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</si>
  <si>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</si>
  <si>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</si>
  <si>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</si>
  <si>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</si>
  <si>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</si>
  <si>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</si>
  <si>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</si>
  <si>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</si>
  <si>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</si>
  <si>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</si>
  <si>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</si>
  <si>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</si>
  <si>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</si>
  <si>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</si>
  <si>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</si>
  <si>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</si>
  <si>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</si>
  <si>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</si>
  <si>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</si>
  <si>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</si>
  <si>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</si>
  <si>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</si>
  <si>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</si>
  <si>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</si>
  <si>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</si>
  <si>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</si>
  <si>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</si>
  <si>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</si>
  <si>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</si>
  <si>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</si>
  <si>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</si>
  <si>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</si>
  <si>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</si>
  <si>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</si>
  <si>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</si>
  <si>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</si>
  <si>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</si>
  <si>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</si>
  <si>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</si>
  <si>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</si>
  <si>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</si>
  <si>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</si>
  <si>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</si>
  <si>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</si>
  <si>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</si>
  <si>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</si>
  <si>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</si>
  <si>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</si>
  <si>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</si>
  <si>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</si>
  <si>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</si>
  <si>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</si>
  <si>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</si>
  <si>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</si>
  <si>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</si>
  <si>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</si>
  <si>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</si>
  <si>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</si>
  <si>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</si>
  <si>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</si>
  <si>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</si>
  <si>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</si>
  <si>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</si>
  <si>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</si>
  <si>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</si>
  <si>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</si>
  <si>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</si>
  <si>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</si>
  <si>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</si>
  <si>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</si>
  <si>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</si>
  <si>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</si>
  <si>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</si>
  <si>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</si>
  <si>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</si>
  <si>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</si>
  <si>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</si>
  <si>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</si>
  <si>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</si>
  <si>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</si>
  <si>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</si>
  <si>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</si>
  <si>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</si>
  <si>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</si>
  <si>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</si>
  <si>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</si>
  <si>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</si>
  <si>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</si>
  <si>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</si>
  <si>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</si>
  <si>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</si>
  <si>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</si>
  <si>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</si>
  <si>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</si>
  <si>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</si>
  <si>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</si>
  <si>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</si>
  <si>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</si>
  <si>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</si>
  <si>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</si>
  <si>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</si>
  <si>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</si>
  <si>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</si>
  <si>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</si>
  <si>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</si>
  <si>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</si>
  <si>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</si>
  <si>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</si>
  <si>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</si>
  <si>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</si>
  <si>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</si>
  <si>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</si>
  <si>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</si>
  <si>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</si>
  <si>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</si>
  <si>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</si>
  <si>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</si>
  <si>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</si>
  <si>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</si>
  <si>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</si>
  <si>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</si>
  <si>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</si>
  <si>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</si>
  <si>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</si>
  <si>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</si>
  <si>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</si>
  <si>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</si>
  <si>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</si>
  <si>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</si>
  <si>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</si>
  <si>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</si>
  <si>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</si>
  <si>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</si>
  <si>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</si>
  <si>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</si>
  <si>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</si>
  <si>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</si>
  <si>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</si>
  <si>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</si>
  <si>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</si>
  <si>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</si>
  <si>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</si>
  <si>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</si>
  <si>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</si>
  <si>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</si>
  <si>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</si>
  <si>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</si>
  <si>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</si>
  <si>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</si>
  <si>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</si>
  <si>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</si>
  <si>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</si>
  <si>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</si>
  <si>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</si>
  <si>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</si>
  <si>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</si>
  <si>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</si>
  <si>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</si>
  <si>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</si>
  <si>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</si>
  <si>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</si>
  <si>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</si>
  <si>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</si>
  <si>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</si>
  <si>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</si>
  <si>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</si>
  <si>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</si>
  <si>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</si>
  <si>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</si>
  <si>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</si>
  <si>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</si>
  <si>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</si>
  <si>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</si>
  <si>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</si>
  <si>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</si>
  <si>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</si>
  <si>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</si>
  <si>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</si>
  <si>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</si>
  <si>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</si>
  <si>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</si>
  <si>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</si>
  <si>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</si>
  <si>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</si>
  <si>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</si>
  <si>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</si>
  <si>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</si>
  <si>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</si>
  <si>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</si>
  <si>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</si>
  <si>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</si>
  <si>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</si>
  <si>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</si>
  <si>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</si>
  <si>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</si>
  <si>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</si>
  <si>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</si>
  <si>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</si>
  <si>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</si>
  <si>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</si>
  <si>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</si>
  <si>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</si>
  <si>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</si>
  <si>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</si>
  <si>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</si>
  <si>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</si>
  <si>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</si>
  <si>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</si>
  <si>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</si>
  <si>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</si>
  <si>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</si>
  <si>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</si>
  <si>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</si>
  <si>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</si>
  <si>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</si>
  <si>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</si>
  <si>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</si>
  <si>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</si>
  <si>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</si>
  <si>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</si>
  <si>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</si>
  <si>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</si>
  <si>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</si>
  <si>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</si>
  <si>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</si>
  <si>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</si>
  <si>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</si>
  <si>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</si>
  <si>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</si>
  <si>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</si>
  <si>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</si>
  <si>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</si>
  <si>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</si>
  <si>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</si>
  <si>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</si>
  <si>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</si>
  <si>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</si>
  <si>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</si>
  <si>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</si>
  <si>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</si>
  <si>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</si>
  <si>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</si>
  <si>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</si>
  <si>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</si>
  <si>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</si>
  <si>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</si>
  <si>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</si>
  <si>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</si>
  <si>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</si>
  <si>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</si>
  <si>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</si>
  <si>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</si>
  <si>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</si>
  <si>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</si>
  <si>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</si>
  <si>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</si>
  <si>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</si>
  <si>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</si>
  <si>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</si>
  <si>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</si>
  <si>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</si>
  <si>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</si>
  <si>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</si>
  <si>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</si>
  <si>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</si>
  <si>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</si>
  <si>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</si>
  <si>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</si>
  <si>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</si>
  <si>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</si>
  <si>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</si>
  <si>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</si>
  <si>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</si>
  <si>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</si>
  <si>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</si>
  <si>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</si>
  <si>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</si>
  <si>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</si>
  <si>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</si>
  <si>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</si>
  <si>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</si>
  <si>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</si>
  <si>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</si>
  <si>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</si>
  <si>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</si>
  <si>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</si>
  <si>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</si>
  <si>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</si>
  <si>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</si>
  <si>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</si>
  <si>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변화된 이동속도 1당 공격력 +18%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</si>
  <si>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</si>
  <si>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</si>
  <si>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</si>
  <si>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</si>
  <si>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</si>
  <si>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</si>
  <si>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</si>
  <si>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</si>
  <si>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</si>
  <si>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</si>
  <si>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</si>
  <si>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시크한 표정이 매력적입니다.\n세 나라 이야기의 붉은 목마 입니다.\n\n&lt;size=20&gt;&lt;color=#97C456&gt;이동속도 +6&lt;/color&gt;&lt;/size&gt;</t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</si>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</sst>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7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1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8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U16" totalsRowShown="0">
  <autoFilter ref="B2:U16" xr:uid="{00000000-0009-0000-0100-000012000000}"/>
  <tableColumns count="20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8" totalsRowShown="0">
  <autoFilter ref="B2:I58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3" totalsRowShown="0">
  <autoFilter ref="B2:G73" xr:uid="{00000000-0009-0000-0100-000013000000}"/>
  <tableColumns count="6">
    <tableColumn id="1" xr3:uid="{00000000-0010-0000-0D00-000001000000}" name="Index"/>
    <tableColumn id="2" xr3:uid="{00000000-0010-0000-0D00-000002000000}" name="#설명" dataDxfId="39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8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7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6">
  <autoFilter ref="B2:Q24" xr:uid="{00000000-0009-0000-0100-000004000000}"/>
  <tableColumns count="16">
    <tableColumn id="1" xr3:uid="{00000000-0010-0000-0F00-000001000000}" name="Index" dataDxfId="35"/>
    <tableColumn id="2" xr3:uid="{00000000-0010-0000-0F00-000002000000}" name="Name" dataDxfId="34"/>
    <tableColumn id="3" xr3:uid="{00000000-0010-0000-0F00-000003000000}" name="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41" t="s">
        <v>337</v>
      </c>
      <c r="C1" s="42"/>
      <c r="D1" s="42"/>
      <c r="E1" s="42"/>
    </row>
    <row r="2" spans="2:5" s="1" customFormat="1" x14ac:dyDescent="0.3">
      <c r="B2" s="42"/>
      <c r="C2" s="42"/>
      <c r="D2" s="42"/>
      <c r="E2" s="42"/>
    </row>
    <row r="3" spans="2:5" s="1" customFormat="1" x14ac:dyDescent="0.3">
      <c r="B3" s="42"/>
      <c r="C3" s="42"/>
      <c r="D3" s="42"/>
      <c r="E3" s="42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H7" sqref="H7"/>
    </sheetView>
  </sheetViews>
  <sheetFormatPr defaultColWidth="8.875" defaultRowHeight="16.5" x14ac:dyDescent="0.3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</cols>
  <sheetData>
    <row r="1" spans="2:12" s="1" customFormat="1" x14ac:dyDescent="0.3">
      <c r="B1" s="41" t="s">
        <v>216</v>
      </c>
      <c r="C1" s="42"/>
      <c r="D1" s="42"/>
      <c r="E1" s="42"/>
    </row>
    <row r="2" spans="2:12" s="1" customFormat="1" x14ac:dyDescent="0.3">
      <c r="B2" s="42"/>
      <c r="C2" s="42"/>
      <c r="D2" s="42"/>
      <c r="E2" s="42"/>
    </row>
    <row r="3" spans="2:12" s="1" customFormat="1" x14ac:dyDescent="0.3">
      <c r="B3" s="42"/>
      <c r="C3" s="42"/>
      <c r="D3" s="42"/>
      <c r="E3" s="42"/>
    </row>
    <row r="5" spans="2:12" x14ac:dyDescent="0.3">
      <c r="B5" s="2" t="s">
        <v>92</v>
      </c>
    </row>
    <row r="6" spans="2:12" x14ac:dyDescent="0.3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 x14ac:dyDescent="0.3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 x14ac:dyDescent="0.3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 x14ac:dyDescent="0.3">
      <c r="B10" s="2" t="s">
        <v>512</v>
      </c>
      <c r="C10" s="2"/>
      <c r="D10" s="2"/>
      <c r="I10" s="2" t="s">
        <v>513</v>
      </c>
      <c r="J10" s="2"/>
      <c r="K10" s="2"/>
    </row>
    <row r="11" spans="2:12" x14ac:dyDescent="0.3">
      <c r="B11" s="19" t="s">
        <v>510</v>
      </c>
      <c r="C11" s="19" t="s">
        <v>511</v>
      </c>
      <c r="D11" s="19" t="s">
        <v>508</v>
      </c>
      <c r="E11" s="19" t="s">
        <v>509</v>
      </c>
      <c r="F11" s="19" t="s">
        <v>514</v>
      </c>
      <c r="I11" s="19" t="s">
        <v>515</v>
      </c>
      <c r="J11" s="19" t="s">
        <v>511</v>
      </c>
      <c r="K11" s="19" t="s">
        <v>508</v>
      </c>
      <c r="L11" s="19" t="s">
        <v>509</v>
      </c>
    </row>
    <row r="12" spans="2:12" x14ac:dyDescent="0.3">
      <c r="B12">
        <v>1</v>
      </c>
      <c r="C12">
        <v>2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9" t="s">
        <v>516</v>
      </c>
      <c r="J12">
        <v>0</v>
      </c>
      <c r="K12">
        <v>0</v>
      </c>
      <c r="L12">
        <v>3</v>
      </c>
    </row>
    <row r="13" spans="2:12" x14ac:dyDescent="0.3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9" t="s">
        <v>517</v>
      </c>
      <c r="J13">
        <v>0</v>
      </c>
      <c r="K13">
        <v>3</v>
      </c>
      <c r="L13">
        <v>5</v>
      </c>
    </row>
    <row r="14" spans="2:12" x14ac:dyDescent="0.3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518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 x14ac:dyDescent="0.3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 x14ac:dyDescent="0.3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 x14ac:dyDescent="0.3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 x14ac:dyDescent="0.3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 x14ac:dyDescent="0.3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 x14ac:dyDescent="0.3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 x14ac:dyDescent="0.3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 x14ac:dyDescent="0.3">
      <c r="B22" t="s">
        <v>518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B5" zoomScaleNormal="75" zoomScaleSheetLayoutView="100" workbookViewId="0">
      <selection activeCell="B9" sqref="B9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41" t="s">
        <v>315</v>
      </c>
      <c r="C1" s="42"/>
      <c r="D1" s="42"/>
      <c r="E1" s="42"/>
      <c r="F1" s="42"/>
    </row>
    <row r="2" spans="1:21" s="1" customFormat="1" x14ac:dyDescent="0.3">
      <c r="B2" s="42"/>
      <c r="C2" s="42"/>
      <c r="D2" s="42"/>
      <c r="E2" s="42"/>
      <c r="F2" s="42"/>
    </row>
    <row r="3" spans="1:21" s="1" customFormat="1" x14ac:dyDescent="0.3">
      <c r="B3" s="42"/>
      <c r="C3" s="42"/>
      <c r="D3" s="42"/>
      <c r="E3" s="42"/>
      <c r="F3" s="42"/>
    </row>
    <row r="5" spans="1:21" x14ac:dyDescent="0.3">
      <c r="B5" s="2" t="s">
        <v>108</v>
      </c>
      <c r="G5" s="2" t="s">
        <v>230</v>
      </c>
      <c r="H5" s="2"/>
      <c r="R5" s="2" t="s">
        <v>115</v>
      </c>
    </row>
    <row r="6" spans="1:21" x14ac:dyDescent="0.3">
      <c r="B6" t="s">
        <v>54</v>
      </c>
      <c r="C6" t="s">
        <v>149</v>
      </c>
      <c r="D6" t="s">
        <v>61</v>
      </c>
      <c r="E6" t="s">
        <v>356</v>
      </c>
      <c r="G6" t="s">
        <v>44</v>
      </c>
      <c r="H6" t="s">
        <v>83</v>
      </c>
      <c r="I6" t="s">
        <v>84</v>
      </c>
      <c r="J6" t="s">
        <v>117</v>
      </c>
      <c r="K6" t="s">
        <v>116</v>
      </c>
      <c r="L6" t="s">
        <v>112</v>
      </c>
      <c r="M6" t="s">
        <v>114</v>
      </c>
      <c r="N6" t="s">
        <v>319</v>
      </c>
      <c r="O6" t="s">
        <v>354</v>
      </c>
      <c r="P6" t="s">
        <v>317</v>
      </c>
      <c r="R6" t="s">
        <v>107</v>
      </c>
      <c r="S6" s="19" t="s">
        <v>519</v>
      </c>
    </row>
    <row r="7" spans="1:21" x14ac:dyDescent="0.3">
      <c r="A7" s="14"/>
      <c r="B7" s="12" t="s">
        <v>199</v>
      </c>
      <c r="C7" s="14" t="s">
        <v>33</v>
      </c>
      <c r="D7" t="s">
        <v>141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129.46428571428572</v>
      </c>
      <c r="P7">
        <f>(밸런스시트[[#This Row],[레벨당 평균 적]]*밸런스시트[[#This Row],[방 개수]]*밸런스시트[[#This Row],[적 체력]])/밸런스시트[[#This Row],[PC 최대 DPS]]</f>
        <v>38.620689655172413</v>
      </c>
      <c r="R7">
        <f>1/15</f>
        <v>6.6666666666666666E-2</v>
      </c>
      <c r="S7">
        <f>표11[[#Totals],[평균 골드]]</f>
        <v>9.15</v>
      </c>
    </row>
    <row r="8" spans="1:21" x14ac:dyDescent="0.3">
      <c r="A8" s="12"/>
      <c r="B8" s="12" t="s">
        <v>2</v>
      </c>
      <c r="C8" s="12" t="s">
        <v>254</v>
      </c>
      <c r="D8" t="s">
        <v>152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129.46428571428572</v>
      </c>
      <c r="P8">
        <f>(밸런스시트[[#This Row],[레벨당 평균 적]]*밸런스시트[[#This Row],[방 개수]]*밸런스시트[[#This Row],[적 체력]])/밸런스시트[[#This Row],[PC 최대 DPS]]</f>
        <v>55.613793103448273</v>
      </c>
    </row>
    <row r="9" spans="1:21" x14ac:dyDescent="0.3">
      <c r="A9" s="12"/>
      <c r="B9" s="12" t="s">
        <v>58</v>
      </c>
      <c r="C9" s="12" t="s">
        <v>254</v>
      </c>
      <c r="D9" t="s">
        <v>154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129.46428571428572</v>
      </c>
      <c r="P9">
        <f>(밸런스시트[[#This Row],[레벨당 평균 적]]*밸런스시트[[#This Row],[방 개수]]*밸런스시트[[#This Row],[적 체력]])/밸런스시트[[#This Row],[PC 최대 DPS]]</f>
        <v>75.696551724137933</v>
      </c>
      <c r="R9" s="2" t="s">
        <v>285</v>
      </c>
      <c r="S9" s="2"/>
      <c r="T9" s="2"/>
    </row>
    <row r="10" spans="1:21" x14ac:dyDescent="0.3">
      <c r="A10" s="12"/>
      <c r="B10" s="12" t="s">
        <v>209</v>
      </c>
      <c r="C10" s="12" t="s">
        <v>254</v>
      </c>
      <c r="D10" t="s">
        <v>351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129.46428571428572</v>
      </c>
      <c r="P10">
        <f>(밸런스시트[[#This Row],[레벨당 평균 적]]*밸런스시트[[#This Row],[방 개수]]*밸런스시트[[#This Row],[적 체력]])/밸런스시트[[#This Row],[PC 최대 DPS]]</f>
        <v>98.868965517241378</v>
      </c>
      <c r="R10" t="s">
        <v>83</v>
      </c>
      <c r="S10" t="s">
        <v>84</v>
      </c>
      <c r="T10" t="s">
        <v>93</v>
      </c>
      <c r="U10" t="s">
        <v>86</v>
      </c>
    </row>
    <row r="11" spans="1:21" x14ac:dyDescent="0.3">
      <c r="A11" s="12"/>
      <c r="B11" s="12" t="s">
        <v>302</v>
      </c>
      <c r="C11" s="12" t="s">
        <v>254</v>
      </c>
      <c r="D11" t="s">
        <v>147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129.46428571428572</v>
      </c>
      <c r="P11">
        <f>(밸런스시트[[#This Row],[레벨당 평균 적]]*밸런스시트[[#This Row],[방 개수]]*밸런스시트[[#This Row],[적 체력]])/밸런스시트[[#This Row],[PC 최대 DPS]]</f>
        <v>125.13103448275861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12"/>
      <c r="B12" s="12" t="s">
        <v>183</v>
      </c>
      <c r="C12" s="12" t="s">
        <v>239</v>
      </c>
      <c r="D12" t="s">
        <v>153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129.46428571428572</v>
      </c>
      <c r="P12">
        <f>(밸런스시트[[#This Row],[레벨당 평균 적]]*밸런스시트[[#This Row],[방 개수]]*밸런스시트[[#This Row],[적 체력]])/밸런스시트[[#This Row],[PC 최대 DPS]]</f>
        <v>154.48275862068965</v>
      </c>
    </row>
    <row r="13" spans="1:21" x14ac:dyDescent="0.3">
      <c r="A13" s="12"/>
      <c r="B13" s="12" t="s">
        <v>341</v>
      </c>
      <c r="C13" s="12" t="s">
        <v>22</v>
      </c>
      <c r="D13" t="s">
        <v>32</v>
      </c>
      <c r="E13">
        <f>30/0.46</f>
        <v>65.217391304347828</v>
      </c>
      <c r="R13" s="2" t="s">
        <v>111</v>
      </c>
    </row>
    <row r="14" spans="1:21" x14ac:dyDescent="0.3">
      <c r="A14" s="12"/>
      <c r="B14" s="12" t="s">
        <v>17</v>
      </c>
      <c r="C14" s="12" t="s">
        <v>22</v>
      </c>
      <c r="D14" t="s">
        <v>34</v>
      </c>
      <c r="E14">
        <f>50/360</f>
        <v>0.1388888888888889</v>
      </c>
      <c r="R14" t="s">
        <v>113</v>
      </c>
      <c r="S14" t="s">
        <v>313</v>
      </c>
    </row>
    <row r="15" spans="1:21" x14ac:dyDescent="0.3">
      <c r="A15" s="12"/>
      <c r="B15" s="12" t="s">
        <v>233</v>
      </c>
      <c r="C15" s="12" t="s">
        <v>22</v>
      </c>
      <c r="D15" t="s">
        <v>247</v>
      </c>
      <c r="E15">
        <f>30/-0.45</f>
        <v>-66.666666666666671</v>
      </c>
      <c r="R15">
        <v>100</v>
      </c>
      <c r="S15">
        <v>0.2</v>
      </c>
    </row>
    <row r="16" spans="1:21" x14ac:dyDescent="0.3">
      <c r="A16" s="12"/>
      <c r="B16" s="12" t="s">
        <v>201</v>
      </c>
      <c r="C16" s="12" t="s">
        <v>22</v>
      </c>
      <c r="D16" t="s">
        <v>259</v>
      </c>
      <c r="E16" s="11">
        <v>40</v>
      </c>
    </row>
    <row r="17" spans="1:5" x14ac:dyDescent="0.3">
      <c r="A17" s="12"/>
      <c r="B17" s="12" t="s">
        <v>342</v>
      </c>
      <c r="C17" s="12" t="s">
        <v>22</v>
      </c>
      <c r="D17" t="s">
        <v>142</v>
      </c>
      <c r="E17">
        <f>50/0.3</f>
        <v>166.66666666666669</v>
      </c>
    </row>
    <row r="18" spans="1:5" x14ac:dyDescent="0.3">
      <c r="A18" s="12"/>
      <c r="B18" s="12" t="s">
        <v>364</v>
      </c>
      <c r="C18" s="12" t="s">
        <v>22</v>
      </c>
      <c r="D18" t="s">
        <v>353</v>
      </c>
      <c r="E18" s="13">
        <f>30/-0.2</f>
        <v>-150</v>
      </c>
    </row>
    <row r="19" spans="1:5" x14ac:dyDescent="0.3">
      <c r="A19" s="12"/>
      <c r="B19" s="12" t="s">
        <v>223</v>
      </c>
      <c r="C19" s="12" t="s">
        <v>22</v>
      </c>
      <c r="D19" t="s">
        <v>246</v>
      </c>
      <c r="E19">
        <f>50/100</f>
        <v>0.5</v>
      </c>
    </row>
    <row r="20" spans="1:5" x14ac:dyDescent="0.3">
      <c r="A20" s="12"/>
      <c r="B20" s="12" t="s">
        <v>256</v>
      </c>
      <c r="C20" s="12" t="s">
        <v>22</v>
      </c>
      <c r="D20" t="s">
        <v>249</v>
      </c>
      <c r="E20">
        <f>50/100</f>
        <v>0.5</v>
      </c>
    </row>
    <row r="21" spans="1:5" x14ac:dyDescent="0.3">
      <c r="A21" s="12"/>
      <c r="B21" s="12" t="s">
        <v>24</v>
      </c>
      <c r="C21" s="12" t="s">
        <v>22</v>
      </c>
      <c r="D21" t="s">
        <v>274</v>
      </c>
      <c r="E21">
        <f>30/1/2</f>
        <v>15</v>
      </c>
    </row>
    <row r="22" spans="1:5" x14ac:dyDescent="0.3">
      <c r="A22" s="12"/>
      <c r="B22" s="12" t="s">
        <v>30</v>
      </c>
      <c r="C22" s="12" t="s">
        <v>22</v>
      </c>
      <c r="D22" t="s">
        <v>266</v>
      </c>
      <c r="E22">
        <f>30/1/2</f>
        <v>15</v>
      </c>
    </row>
    <row r="23" spans="1:5" x14ac:dyDescent="0.3">
      <c r="A23" s="12"/>
      <c r="B23" s="12" t="s">
        <v>237</v>
      </c>
      <c r="C23" s="12" t="s">
        <v>22</v>
      </c>
      <c r="D23" t="s">
        <v>349</v>
      </c>
      <c r="E23">
        <f>50/25</f>
        <v>2</v>
      </c>
    </row>
    <row r="24" spans="1:5" x14ac:dyDescent="0.3">
      <c r="A24" s="12"/>
      <c r="B24" s="12" t="s">
        <v>245</v>
      </c>
      <c r="C24" s="12" t="s">
        <v>22</v>
      </c>
      <c r="D24" t="s">
        <v>350</v>
      </c>
      <c r="E24">
        <f>50/25</f>
        <v>2</v>
      </c>
    </row>
    <row r="25" spans="1:5" x14ac:dyDescent="0.3">
      <c r="A25" s="12"/>
      <c r="B25" s="12" t="s">
        <v>265</v>
      </c>
      <c r="C25" s="12" t="s">
        <v>22</v>
      </c>
      <c r="D25" t="s">
        <v>369</v>
      </c>
      <c r="E25">
        <v>2</v>
      </c>
    </row>
    <row r="26" spans="1:5" x14ac:dyDescent="0.3">
      <c r="A26" s="12"/>
      <c r="B26" s="12" t="s">
        <v>288</v>
      </c>
      <c r="C26" s="12" t="s">
        <v>22</v>
      </c>
      <c r="D26" t="s">
        <v>370</v>
      </c>
      <c r="E26">
        <v>2</v>
      </c>
    </row>
    <row r="27" spans="1:5" x14ac:dyDescent="0.3">
      <c r="A27" s="12"/>
      <c r="B27" s="12" t="s">
        <v>207</v>
      </c>
      <c r="C27" s="12" t="s">
        <v>60</v>
      </c>
      <c r="D27" s="12" t="s">
        <v>25</v>
      </c>
      <c r="E27">
        <v>-50</v>
      </c>
    </row>
    <row r="28" spans="1:5" x14ac:dyDescent="0.3">
      <c r="A28" s="12"/>
      <c r="B28" s="12" t="s">
        <v>150</v>
      </c>
      <c r="C28" s="12" t="s">
        <v>60</v>
      </c>
      <c r="D28" s="12" t="s">
        <v>23</v>
      </c>
      <c r="E28">
        <v>-30</v>
      </c>
    </row>
    <row r="29" spans="1:5" x14ac:dyDescent="0.3">
      <c r="A29" s="12"/>
      <c r="B29" s="12" t="s">
        <v>303</v>
      </c>
      <c r="C29" s="12" t="s">
        <v>60</v>
      </c>
      <c r="D29" s="12" t="s">
        <v>21</v>
      </c>
      <c r="E29">
        <v>50</v>
      </c>
    </row>
    <row r="30" spans="1:5" x14ac:dyDescent="0.3">
      <c r="A30" s="12"/>
      <c r="B30" s="12" t="s">
        <v>52</v>
      </c>
      <c r="C30" s="12" t="s">
        <v>60</v>
      </c>
      <c r="D30" s="12" t="s">
        <v>404</v>
      </c>
      <c r="E30">
        <v>50</v>
      </c>
    </row>
    <row r="31" spans="1:5" x14ac:dyDescent="0.3">
      <c r="A31" s="12"/>
      <c r="B31" s="12" t="s">
        <v>299</v>
      </c>
      <c r="C31" s="12" t="s">
        <v>60</v>
      </c>
      <c r="D31" s="12" t="s">
        <v>194</v>
      </c>
      <c r="E31">
        <v>50</v>
      </c>
    </row>
    <row r="32" spans="1:5" x14ac:dyDescent="0.3">
      <c r="A32" s="12"/>
      <c r="B32" s="12" t="s">
        <v>206</v>
      </c>
      <c r="C32" s="12" t="s">
        <v>60</v>
      </c>
      <c r="D32" s="12" t="s">
        <v>240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102</v>
      </c>
      <c r="B1" t="s">
        <v>51</v>
      </c>
      <c r="C1" t="s">
        <v>103</v>
      </c>
      <c r="D1" t="s">
        <v>51</v>
      </c>
    </row>
    <row r="2" spans="1:4" x14ac:dyDescent="0.3">
      <c r="A2" t="s">
        <v>78</v>
      </c>
      <c r="B2" s="6" t="s">
        <v>118</v>
      </c>
      <c r="C2" t="s">
        <v>74</v>
      </c>
      <c r="D2" s="6" t="s">
        <v>45</v>
      </c>
    </row>
    <row r="3" spans="1:4" x14ac:dyDescent="0.3">
      <c r="A3">
        <v>1</v>
      </c>
      <c r="B3" s="4" t="s">
        <v>196</v>
      </c>
      <c r="C3">
        <v>5</v>
      </c>
      <c r="D3" s="4" t="s">
        <v>220</v>
      </c>
    </row>
    <row r="4" spans="1:4" x14ac:dyDescent="0.3">
      <c r="A4">
        <v>2</v>
      </c>
      <c r="B4" s="4" t="s">
        <v>263</v>
      </c>
      <c r="C4">
        <v>5</v>
      </c>
      <c r="D4" s="4" t="s">
        <v>195</v>
      </c>
    </row>
    <row r="5" spans="1:4" x14ac:dyDescent="0.3">
      <c r="A5">
        <v>3</v>
      </c>
      <c r="B5" s="4" t="s">
        <v>289</v>
      </c>
      <c r="C5">
        <v>20</v>
      </c>
      <c r="D5" s="4" t="s">
        <v>8</v>
      </c>
    </row>
    <row r="6" spans="1:4" x14ac:dyDescent="0.3">
      <c r="A6">
        <v>4</v>
      </c>
      <c r="B6" s="4" t="s">
        <v>291</v>
      </c>
      <c r="C6">
        <v>0.5</v>
      </c>
      <c r="D6" s="4" t="s">
        <v>211</v>
      </c>
    </row>
    <row r="7" spans="1:4" x14ac:dyDescent="0.3">
      <c r="A7">
        <v>5</v>
      </c>
      <c r="B7" s="4" t="s">
        <v>345</v>
      </c>
      <c r="C7">
        <v>50</v>
      </c>
      <c r="D7" s="4" t="s">
        <v>402</v>
      </c>
    </row>
    <row r="8" spans="1:4" x14ac:dyDescent="0.3">
      <c r="A8">
        <v>6</v>
      </c>
      <c r="B8" s="4" t="s">
        <v>348</v>
      </c>
      <c r="C8">
        <v>1</v>
      </c>
      <c r="D8" s="4" t="s">
        <v>184</v>
      </c>
    </row>
    <row r="9" spans="1:4" x14ac:dyDescent="0.3">
      <c r="A9">
        <v>7</v>
      </c>
      <c r="B9" s="4" t="s">
        <v>399</v>
      </c>
      <c r="C9">
        <v>10</v>
      </c>
      <c r="D9" s="4" t="s">
        <v>396</v>
      </c>
    </row>
    <row r="10" spans="1:4" x14ac:dyDescent="0.3">
      <c r="A10">
        <v>8</v>
      </c>
      <c r="B10" s="4" t="s">
        <v>27</v>
      </c>
      <c r="C10">
        <v>5</v>
      </c>
      <c r="D10" s="4" t="s">
        <v>180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3" sqref="G3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165</v>
      </c>
      <c r="L1" t="s">
        <v>165</v>
      </c>
      <c r="M1" t="s">
        <v>48</v>
      </c>
      <c r="N1" t="s">
        <v>48</v>
      </c>
      <c r="O1" t="s">
        <v>48</v>
      </c>
      <c r="P1" t="s">
        <v>48</v>
      </c>
    </row>
    <row r="2" spans="2:16" x14ac:dyDescent="0.3">
      <c r="B2" t="s">
        <v>78</v>
      </c>
      <c r="C2" s="6" t="s">
        <v>45</v>
      </c>
      <c r="D2" t="s">
        <v>162</v>
      </c>
      <c r="E2" t="s">
        <v>311</v>
      </c>
      <c r="F2" t="s">
        <v>2</v>
      </c>
      <c r="G2" t="s">
        <v>29</v>
      </c>
      <c r="H2" t="s">
        <v>14</v>
      </c>
      <c r="I2" t="s">
        <v>212</v>
      </c>
      <c r="J2" t="s">
        <v>12</v>
      </c>
      <c r="K2" t="s">
        <v>28</v>
      </c>
      <c r="L2" t="s">
        <v>243</v>
      </c>
      <c r="M2" t="s">
        <v>307</v>
      </c>
      <c r="N2" t="s">
        <v>209</v>
      </c>
      <c r="O2" t="s">
        <v>302</v>
      </c>
      <c r="P2" t="s">
        <v>18</v>
      </c>
    </row>
    <row r="3" spans="2:16" x14ac:dyDescent="0.3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C1" zoomScaleNormal="75" zoomScaleSheetLayoutView="100" workbookViewId="0">
      <selection activeCell="J4" sqref="J4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14.125" bestFit="1" customWidth="1"/>
    <col min="24" max="24" width="28.875" bestFit="1" customWidth="1"/>
    <col min="25" max="25" width="17" customWidth="1"/>
    <col min="26" max="26" width="26.625" bestFit="1" customWidth="1"/>
    <col min="27" max="27" width="25" bestFit="1" customWidth="1"/>
    <col min="28" max="29" width="26.125" bestFit="1" customWidth="1"/>
    <col min="30" max="30" width="26" bestFit="1" customWidth="1"/>
    <col min="31" max="31" width="27.125" bestFit="1" customWidth="1"/>
  </cols>
  <sheetData>
    <row r="1" spans="2:31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AD1" s="11" t="s">
        <v>181</v>
      </c>
    </row>
    <row r="2" spans="2:31" x14ac:dyDescent="0.3">
      <c r="B2" t="s">
        <v>78</v>
      </c>
      <c r="C2" s="6" t="s">
        <v>45</v>
      </c>
      <c r="D2" s="8" t="s">
        <v>217</v>
      </c>
      <c r="E2" s="7" t="s">
        <v>224</v>
      </c>
      <c r="F2" s="7" t="s">
        <v>344</v>
      </c>
      <c r="G2" s="8" t="s">
        <v>20</v>
      </c>
      <c r="H2" s="9" t="s">
        <v>233</v>
      </c>
      <c r="I2" s="9" t="s">
        <v>236</v>
      </c>
      <c r="J2" s="9" t="s">
        <v>341</v>
      </c>
      <c r="K2" s="9" t="s">
        <v>17</v>
      </c>
      <c r="L2" s="9" t="s">
        <v>364</v>
      </c>
      <c r="M2" s="9" t="s">
        <v>201</v>
      </c>
      <c r="N2" s="9" t="s">
        <v>223</v>
      </c>
      <c r="O2" s="9" t="s">
        <v>256</v>
      </c>
      <c r="P2" s="9" t="s">
        <v>24</v>
      </c>
      <c r="Q2" s="9" t="s">
        <v>30</v>
      </c>
      <c r="R2" s="9" t="s">
        <v>31</v>
      </c>
      <c r="S2" s="10" t="s">
        <v>237</v>
      </c>
      <c r="T2" s="10" t="s">
        <v>245</v>
      </c>
      <c r="U2" s="10" t="s">
        <v>265</v>
      </c>
      <c r="V2" s="10" t="s">
        <v>288</v>
      </c>
      <c r="W2" s="1" t="s">
        <v>342</v>
      </c>
      <c r="X2" s="1" t="s">
        <v>406</v>
      </c>
      <c r="Y2" s="6" t="s">
        <v>357</v>
      </c>
      <c r="Z2" s="6" t="s">
        <v>238</v>
      </c>
      <c r="AA2" s="6" t="s">
        <v>262</v>
      </c>
      <c r="AB2" s="6" t="s">
        <v>241</v>
      </c>
      <c r="AC2" s="6" t="s">
        <v>261</v>
      </c>
      <c r="AD2" s="6" t="s">
        <v>253</v>
      </c>
      <c r="AE2" s="6" t="s">
        <v>26</v>
      </c>
    </row>
    <row r="3" spans="2:31" x14ac:dyDescent="0.3">
      <c r="B3">
        <v>200</v>
      </c>
      <c r="C3" s="4" t="s">
        <v>318</v>
      </c>
      <c r="D3">
        <v>1</v>
      </c>
      <c r="E3">
        <v>1.2</v>
      </c>
      <c r="F3">
        <v>3</v>
      </c>
      <c r="G3">
        <v>2</v>
      </c>
      <c r="H3">
        <v>0.8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1</v>
      </c>
      <c r="X3">
        <v>8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25</v>
      </c>
      <c r="AA3">
        <f>CharacterAtkTable[[#This Row],[ChargeRigidDmg2]]/(CharacterAtkTable[[#This Row],[SwingCooldown]]+CharacterAtkTable[[#This Row],[ChargeTime]])</f>
        <v>25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133.05000000000001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129.46428571428572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H1" zoomScaleNormal="75" zoomScaleSheetLayoutView="100" workbookViewId="0">
      <selection activeCell="R8" sqref="R8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 x14ac:dyDescent="0.3">
      <c r="B2" t="s">
        <v>78</v>
      </c>
      <c r="C2" s="6" t="s">
        <v>63</v>
      </c>
      <c r="D2" t="s">
        <v>229</v>
      </c>
      <c r="E2" s="35" t="s">
        <v>219</v>
      </c>
      <c r="F2" s="35" t="s">
        <v>312</v>
      </c>
      <c r="G2" t="s">
        <v>15</v>
      </c>
      <c r="H2" t="s">
        <v>330</v>
      </c>
      <c r="I2" t="s">
        <v>227</v>
      </c>
      <c r="J2" t="s">
        <v>225</v>
      </c>
      <c r="K2" t="s">
        <v>316</v>
      </c>
      <c r="L2" t="s">
        <v>221</v>
      </c>
      <c r="M2" t="s">
        <v>228</v>
      </c>
      <c r="N2" s="6" t="s">
        <v>135</v>
      </c>
      <c r="O2" s="6" t="s">
        <v>143</v>
      </c>
      <c r="P2" s="6" t="s">
        <v>144</v>
      </c>
      <c r="Q2" s="6" t="s">
        <v>145</v>
      </c>
      <c r="R2" s="6" t="s">
        <v>146</v>
      </c>
      <c r="S2" s="6" t="s">
        <v>138</v>
      </c>
    </row>
    <row r="3" spans="2:19" x14ac:dyDescent="0.3">
      <c r="B3">
        <v>800</v>
      </c>
      <c r="C3" s="23" t="s">
        <v>524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 x14ac:dyDescent="0.3">
      <c r="B4">
        <v>801</v>
      </c>
      <c r="C4" s="23" t="s">
        <v>525</v>
      </c>
      <c r="D4">
        <v>12</v>
      </c>
      <c r="E4">
        <v>0</v>
      </c>
      <c r="F4">
        <v>0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 x14ac:dyDescent="0.3">
      <c r="B5">
        <v>802</v>
      </c>
      <c r="C5" s="23" t="s">
        <v>526</v>
      </c>
      <c r="D5">
        <v>14</v>
      </c>
      <c r="E5">
        <v>0</v>
      </c>
      <c r="F5">
        <v>0</v>
      </c>
      <c r="G5">
        <v>1.4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1"/>
  <sheetViews>
    <sheetView tabSelected="1" zoomScaleNormal="75" zoomScaleSheetLayoutView="100" workbookViewId="0">
      <selection activeCell="E16" sqref="E16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9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 x14ac:dyDescent="0.3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 x14ac:dyDescent="0.3">
      <c r="B3" s="35">
        <v>9001</v>
      </c>
      <c r="C3" s="38" t="s">
        <v>549</v>
      </c>
      <c r="D3" s="35">
        <v>0</v>
      </c>
      <c r="E3" s="35">
        <v>10000</v>
      </c>
      <c r="F3" s="35">
        <v>0</v>
      </c>
      <c r="G3" s="35">
        <v>0</v>
      </c>
      <c r="H3" s="35">
        <v>0</v>
      </c>
      <c r="I3" s="35">
        <v>0</v>
      </c>
    </row>
    <row r="4" spans="1:9" x14ac:dyDescent="0.3">
      <c r="B4">
        <v>9002</v>
      </c>
      <c r="C4" s="37" t="s">
        <v>548</v>
      </c>
      <c r="D4">
        <v>5000</v>
      </c>
      <c r="E4">
        <v>2500</v>
      </c>
      <c r="F4">
        <v>2500</v>
      </c>
      <c r="G4">
        <v>0</v>
      </c>
      <c r="H4">
        <v>0</v>
      </c>
      <c r="I4">
        <v>0</v>
      </c>
    </row>
    <row r="5" spans="1:9" x14ac:dyDescent="0.3">
      <c r="A5" s="19"/>
      <c r="B5">
        <v>9003</v>
      </c>
      <c r="C5" s="37" t="s">
        <v>545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</row>
    <row r="6" spans="1:9" x14ac:dyDescent="0.3">
      <c r="B6">
        <v>9100</v>
      </c>
      <c r="C6" s="23" t="s">
        <v>546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</row>
    <row r="7" spans="1:9" x14ac:dyDescent="0.3">
      <c r="A7" t="s">
        <v>51</v>
      </c>
      <c r="B7" s="39">
        <v>9101</v>
      </c>
      <c r="C7" s="40" t="s">
        <v>547</v>
      </c>
      <c r="D7" s="39">
        <v>4000</v>
      </c>
      <c r="E7" s="39">
        <v>2000</v>
      </c>
      <c r="F7" s="39">
        <v>2000</v>
      </c>
      <c r="G7" s="39">
        <v>0</v>
      </c>
      <c r="H7" s="39">
        <v>2000</v>
      </c>
      <c r="I7" s="39">
        <v>0</v>
      </c>
    </row>
    <row r="8" spans="1:9" x14ac:dyDescent="0.3">
      <c r="A8" t="s">
        <v>51</v>
      </c>
      <c r="B8" s="39">
        <v>9102</v>
      </c>
      <c r="C8" s="40" t="s">
        <v>322</v>
      </c>
      <c r="D8" s="39">
        <v>4000</v>
      </c>
      <c r="E8" s="39">
        <v>2000</v>
      </c>
      <c r="F8" s="39">
        <v>2000</v>
      </c>
      <c r="G8" s="39">
        <v>0</v>
      </c>
      <c r="H8" s="39">
        <v>0</v>
      </c>
      <c r="I8" s="39">
        <v>2000</v>
      </c>
    </row>
    <row r="9" spans="1:9" x14ac:dyDescent="0.3">
      <c r="A9" t="s">
        <v>51</v>
      </c>
      <c r="B9" s="39">
        <v>9103</v>
      </c>
      <c r="C9" s="40" t="s">
        <v>124</v>
      </c>
      <c r="D9" s="39">
        <v>4000</v>
      </c>
      <c r="E9" s="39">
        <v>2000</v>
      </c>
      <c r="F9" s="39">
        <v>2000</v>
      </c>
      <c r="G9" s="39">
        <v>0</v>
      </c>
      <c r="H9" s="39">
        <v>2000</v>
      </c>
      <c r="I9" s="39">
        <v>0</v>
      </c>
    </row>
    <row r="10" spans="1:9" x14ac:dyDescent="0.3">
      <c r="A10" t="s">
        <v>51</v>
      </c>
      <c r="B10" s="39">
        <v>9104</v>
      </c>
      <c r="C10" s="40" t="s">
        <v>123</v>
      </c>
      <c r="D10" s="39">
        <v>0</v>
      </c>
      <c r="E10" s="39">
        <v>7000</v>
      </c>
      <c r="F10" s="39">
        <v>3000</v>
      </c>
      <c r="G10" s="39">
        <v>0</v>
      </c>
      <c r="H10" s="39">
        <v>0</v>
      </c>
      <c r="I10" s="39">
        <v>0</v>
      </c>
    </row>
    <row r="11" spans="1:9" x14ac:dyDescent="0.3">
      <c r="A11" t="s">
        <v>51</v>
      </c>
      <c r="B11" s="39">
        <v>9105</v>
      </c>
      <c r="C11" s="40" t="s">
        <v>331</v>
      </c>
      <c r="D11" s="39">
        <v>0</v>
      </c>
      <c r="E11" s="39">
        <v>0</v>
      </c>
      <c r="F11" s="39">
        <v>0</v>
      </c>
      <c r="G11" s="39">
        <v>10000</v>
      </c>
      <c r="H11" s="39">
        <v>0</v>
      </c>
      <c r="I11" s="39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U16"/>
  <sheetViews>
    <sheetView topLeftCell="B1" zoomScaleNormal="75" zoomScaleSheetLayoutView="100" workbookViewId="0">
      <selection activeCell="K7" sqref="K7"/>
    </sheetView>
  </sheetViews>
  <sheetFormatPr defaultColWidth="8.875" defaultRowHeight="16.5" x14ac:dyDescent="0.3"/>
  <cols>
    <col min="2" max="2" width="8.625" bestFit="1" customWidth="1"/>
    <col min="3" max="4" width="30.375" customWidth="1"/>
    <col min="5" max="5" width="10.125" bestFit="1" customWidth="1"/>
    <col min="6" max="6" width="14.5" customWidth="1"/>
    <col min="7" max="7" width="12.875" bestFit="1" customWidth="1"/>
    <col min="8" max="8" width="14" bestFit="1" customWidth="1"/>
    <col min="9" max="9" width="27.875" bestFit="1" customWidth="1"/>
    <col min="10" max="10" width="17" bestFit="1" customWidth="1"/>
    <col min="11" max="11" width="17.5" bestFit="1" customWidth="1"/>
    <col min="12" max="12" width="15.625" bestFit="1" customWidth="1"/>
    <col min="13" max="13" width="17.125" bestFit="1" customWidth="1"/>
    <col min="14" max="14" width="12.625" bestFit="1" customWidth="1"/>
    <col min="15" max="15" width="17.625" bestFit="1" customWidth="1"/>
    <col min="16" max="16" width="16" bestFit="1" customWidth="1"/>
    <col min="17" max="17" width="16.375" bestFit="1" customWidth="1"/>
    <col min="18" max="18" width="18.375" bestFit="1" customWidth="1"/>
    <col min="19" max="19" width="25" bestFit="1" customWidth="1"/>
    <col min="20" max="20" width="20.625" bestFit="1" customWidth="1"/>
    <col min="21" max="21" width="17.875" bestFit="1" customWidth="1"/>
  </cols>
  <sheetData>
    <row r="1" spans="2:21" x14ac:dyDescent="0.3">
      <c r="B1" t="s">
        <v>48</v>
      </c>
      <c r="C1" t="s">
        <v>51</v>
      </c>
      <c r="D1" s="19" t="s">
        <v>446</v>
      </c>
      <c r="E1" t="s">
        <v>48</v>
      </c>
      <c r="F1" t="s">
        <v>103</v>
      </c>
      <c r="G1" t="s">
        <v>129</v>
      </c>
      <c r="H1" t="s">
        <v>48</v>
      </c>
      <c r="I1" t="s">
        <v>103</v>
      </c>
      <c r="J1" t="s">
        <v>103</v>
      </c>
      <c r="K1" t="s">
        <v>103</v>
      </c>
      <c r="L1" t="s">
        <v>129</v>
      </c>
      <c r="M1" t="s">
        <v>103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102</v>
      </c>
      <c r="T1" t="s">
        <v>51</v>
      </c>
      <c r="U1" t="s">
        <v>51</v>
      </c>
    </row>
    <row r="2" spans="2:21" x14ac:dyDescent="0.3">
      <c r="B2" t="s">
        <v>78</v>
      </c>
      <c r="C2" s="6" t="s">
        <v>63</v>
      </c>
      <c r="D2" s="22" t="s">
        <v>446</v>
      </c>
      <c r="E2" t="s">
        <v>133</v>
      </c>
      <c r="F2" s="26" t="s">
        <v>544</v>
      </c>
      <c r="G2" t="s">
        <v>324</v>
      </c>
      <c r="H2" t="s">
        <v>326</v>
      </c>
      <c r="I2" t="s">
        <v>282</v>
      </c>
      <c r="J2" t="s">
        <v>2</v>
      </c>
      <c r="K2" t="s">
        <v>215</v>
      </c>
      <c r="L2" t="s">
        <v>210</v>
      </c>
      <c r="M2" t="s">
        <v>213</v>
      </c>
      <c r="N2" t="s">
        <v>323</v>
      </c>
      <c r="O2" t="s">
        <v>222</v>
      </c>
      <c r="P2" t="s">
        <v>329</v>
      </c>
      <c r="Q2" t="s">
        <v>327</v>
      </c>
      <c r="R2" t="s">
        <v>11</v>
      </c>
      <c r="S2" t="s">
        <v>332</v>
      </c>
      <c r="T2" s="6" t="s">
        <v>334</v>
      </c>
      <c r="U2" s="6" t="s">
        <v>352</v>
      </c>
    </row>
    <row r="3" spans="2:21" x14ac:dyDescent="0.3">
      <c r="B3">
        <v>500</v>
      </c>
      <c r="C3" s="4" t="s">
        <v>42</v>
      </c>
      <c r="D3" s="23" t="s">
        <v>447</v>
      </c>
      <c r="E3">
        <f>표14[적 기준 체력]*EnemyGameData[[#This Row],['#기준 적 체력 비율]]</f>
        <v>20</v>
      </c>
      <c r="F3">
        <v>10</v>
      </c>
      <c r="G3" t="s">
        <v>125</v>
      </c>
      <c r="H3">
        <v>0.1</v>
      </c>
      <c r="I3">
        <v>0.3</v>
      </c>
      <c r="J3">
        <v>1.8</v>
      </c>
      <c r="K3">
        <v>0</v>
      </c>
      <c r="L3" t="s">
        <v>76</v>
      </c>
      <c r="M3">
        <v>1</v>
      </c>
      <c r="N3">
        <v>0</v>
      </c>
      <c r="O3">
        <v>0</v>
      </c>
      <c r="P3">
        <v>0</v>
      </c>
      <c r="Q3">
        <v>0</v>
      </c>
      <c r="R3">
        <v>501</v>
      </c>
      <c r="S3" t="s">
        <v>400</v>
      </c>
      <c r="T3">
        <v>0.2</v>
      </c>
      <c r="U3">
        <f>AVERAGE(EnemyGameData[[#This Row],[GoldDropMin]],EnemyGameData[[#This Row],[GoldDropMax]])</f>
        <v>0</v>
      </c>
    </row>
    <row r="4" spans="2:21" x14ac:dyDescent="0.3">
      <c r="B4">
        <v>501</v>
      </c>
      <c r="C4" s="23" t="s">
        <v>481</v>
      </c>
      <c r="D4" s="23" t="s">
        <v>449</v>
      </c>
      <c r="E4">
        <f>표14[적 기준 체력]*EnemyGameData[[#This Row],['#기준 적 체력 비율]]</f>
        <v>80</v>
      </c>
      <c r="F4">
        <v>10</v>
      </c>
      <c r="G4" t="s">
        <v>333</v>
      </c>
      <c r="H4">
        <v>6</v>
      </c>
      <c r="I4">
        <v>2</v>
      </c>
      <c r="J4">
        <v>2</v>
      </c>
      <c r="K4">
        <v>1.8</v>
      </c>
      <c r="L4" t="s">
        <v>231</v>
      </c>
      <c r="M4">
        <v>2</v>
      </c>
      <c r="N4">
        <v>600</v>
      </c>
      <c r="O4">
        <v>0</v>
      </c>
      <c r="P4">
        <v>0</v>
      </c>
      <c r="Q4">
        <v>3</v>
      </c>
      <c r="R4">
        <v>501</v>
      </c>
      <c r="S4" t="s">
        <v>394</v>
      </c>
      <c r="T4">
        <v>0.8</v>
      </c>
      <c r="U4">
        <f>AVERAGE(EnemyGameData[[#This Row],[GoldDropMin]],EnemyGameData[[#This Row],[GoldDropMax]])</f>
        <v>1.5</v>
      </c>
    </row>
    <row r="5" spans="2:21" x14ac:dyDescent="0.3">
      <c r="B5">
        <v>502</v>
      </c>
      <c r="C5" s="4" t="s">
        <v>360</v>
      </c>
      <c r="D5" s="23" t="s">
        <v>452</v>
      </c>
      <c r="E5">
        <f>표14[적 기준 체력]*EnemyGameData[[#This Row],['#기준 적 체력 비율]]</f>
        <v>100</v>
      </c>
      <c r="F5">
        <v>10</v>
      </c>
      <c r="G5" t="s">
        <v>125</v>
      </c>
      <c r="H5">
        <v>0.1</v>
      </c>
      <c r="I5">
        <v>1.2</v>
      </c>
      <c r="J5">
        <v>2</v>
      </c>
      <c r="K5">
        <v>1.5</v>
      </c>
      <c r="L5" t="s">
        <v>128</v>
      </c>
      <c r="M5">
        <v>3</v>
      </c>
      <c r="N5">
        <v>601</v>
      </c>
      <c r="O5">
        <v>0</v>
      </c>
      <c r="P5">
        <v>0</v>
      </c>
      <c r="Q5">
        <v>3</v>
      </c>
      <c r="R5">
        <v>501</v>
      </c>
      <c r="S5" t="s">
        <v>394</v>
      </c>
      <c r="T5">
        <v>1</v>
      </c>
      <c r="U5">
        <f>AVERAGE(EnemyGameData[[#This Row],[GoldDropMin]],EnemyGameData[[#This Row],[GoldDropMax]])</f>
        <v>1.5</v>
      </c>
    </row>
    <row r="6" spans="2:21" x14ac:dyDescent="0.3">
      <c r="B6">
        <v>503</v>
      </c>
      <c r="C6" s="4" t="s">
        <v>260</v>
      </c>
      <c r="D6" s="23" t="s">
        <v>471</v>
      </c>
      <c r="E6">
        <f>표14[적 기준 체력]*EnemyGameData[[#This Row],['#기준 적 체력 비율]]</f>
        <v>80</v>
      </c>
      <c r="F6">
        <v>10</v>
      </c>
      <c r="G6" t="s">
        <v>333</v>
      </c>
      <c r="H6">
        <v>6</v>
      </c>
      <c r="I6">
        <v>1.2</v>
      </c>
      <c r="J6">
        <v>2</v>
      </c>
      <c r="K6">
        <v>1.5</v>
      </c>
      <c r="L6" t="s">
        <v>128</v>
      </c>
      <c r="M6">
        <v>5</v>
      </c>
      <c r="N6">
        <v>602</v>
      </c>
      <c r="O6">
        <v>0</v>
      </c>
      <c r="P6">
        <v>0</v>
      </c>
      <c r="Q6">
        <v>3</v>
      </c>
      <c r="R6">
        <v>501</v>
      </c>
      <c r="S6" t="s">
        <v>394</v>
      </c>
      <c r="T6">
        <v>0.8</v>
      </c>
      <c r="U6">
        <f>AVERAGE(EnemyGameData[[#This Row],[GoldDropMin]],EnemyGameData[[#This Row],[GoldDropMax]])</f>
        <v>1.5</v>
      </c>
    </row>
    <row r="7" spans="2:21" s="30" customFormat="1" x14ac:dyDescent="0.3">
      <c r="B7" s="30">
        <v>504</v>
      </c>
      <c r="C7" s="31" t="s">
        <v>251</v>
      </c>
      <c r="D7" s="31" t="s">
        <v>479</v>
      </c>
      <c r="E7" s="30">
        <f>표14[적 기준 체력]*EnemyGameData[[#This Row],['#기준 적 체력 비율]]</f>
        <v>80</v>
      </c>
      <c r="F7">
        <v>10</v>
      </c>
      <c r="G7" s="30" t="s">
        <v>333</v>
      </c>
      <c r="H7" s="30">
        <v>4</v>
      </c>
      <c r="I7" s="30">
        <v>1.5</v>
      </c>
      <c r="J7" s="30">
        <v>2</v>
      </c>
      <c r="K7" s="30">
        <v>3</v>
      </c>
      <c r="L7" s="30" t="s">
        <v>128</v>
      </c>
      <c r="M7" s="30">
        <v>4</v>
      </c>
      <c r="N7" s="30">
        <v>603</v>
      </c>
      <c r="O7" s="30">
        <v>0</v>
      </c>
      <c r="P7" s="30">
        <v>0</v>
      </c>
      <c r="Q7" s="30">
        <v>0</v>
      </c>
      <c r="R7" s="30">
        <v>501</v>
      </c>
      <c r="S7" s="30" t="s">
        <v>394</v>
      </c>
      <c r="T7" s="30">
        <v>0.8</v>
      </c>
      <c r="U7" s="30">
        <f>AVERAGE(EnemyGameData[[#This Row],[GoldDropMin]],EnemyGameData[[#This Row],[GoldDropMax]])</f>
        <v>0</v>
      </c>
    </row>
    <row r="8" spans="2:21" s="30" customFormat="1" x14ac:dyDescent="0.3">
      <c r="B8" s="30">
        <v>505</v>
      </c>
      <c r="C8" s="31" t="s">
        <v>252</v>
      </c>
      <c r="D8" s="31" t="s">
        <v>479</v>
      </c>
      <c r="E8" s="30">
        <f>표14[적 기준 체력]*EnemyGameData[[#This Row],['#기준 적 체력 비율]]</f>
        <v>100</v>
      </c>
      <c r="F8">
        <v>10</v>
      </c>
      <c r="G8" s="30" t="s">
        <v>333</v>
      </c>
      <c r="H8" s="30">
        <v>4</v>
      </c>
      <c r="I8" s="30">
        <v>1.8</v>
      </c>
      <c r="J8" s="30">
        <v>2</v>
      </c>
      <c r="K8" s="30">
        <v>3</v>
      </c>
      <c r="L8" s="30" t="s">
        <v>128</v>
      </c>
      <c r="M8" s="30">
        <v>4</v>
      </c>
      <c r="N8" s="30">
        <v>604</v>
      </c>
      <c r="O8" s="30">
        <v>0</v>
      </c>
      <c r="P8" s="30">
        <v>0</v>
      </c>
      <c r="Q8" s="30">
        <v>0</v>
      </c>
      <c r="R8" s="30">
        <v>501</v>
      </c>
      <c r="S8" s="30" t="s">
        <v>394</v>
      </c>
      <c r="T8" s="30">
        <v>1</v>
      </c>
      <c r="U8" s="30">
        <f>AVERAGE(EnemyGameData[[#This Row],[GoldDropMin]],EnemyGameData[[#This Row],[GoldDropMax]])</f>
        <v>0</v>
      </c>
    </row>
    <row r="9" spans="2:21" x14ac:dyDescent="0.3">
      <c r="B9">
        <v>506</v>
      </c>
      <c r="C9" s="4" t="s">
        <v>255</v>
      </c>
      <c r="D9" s="23" t="s">
        <v>477</v>
      </c>
      <c r="E9">
        <f>표14[적 기준 체력]*EnemyGameData[[#This Row],['#기준 적 체력 비율]]</f>
        <v>100</v>
      </c>
      <c r="F9">
        <v>10</v>
      </c>
      <c r="G9" t="s">
        <v>333</v>
      </c>
      <c r="H9">
        <v>4</v>
      </c>
      <c r="I9">
        <v>1.4</v>
      </c>
      <c r="J9">
        <v>2</v>
      </c>
      <c r="K9">
        <v>1</v>
      </c>
      <c r="L9" t="s">
        <v>128</v>
      </c>
      <c r="M9">
        <v>3.5</v>
      </c>
      <c r="N9">
        <v>605</v>
      </c>
      <c r="O9">
        <v>0</v>
      </c>
      <c r="P9">
        <v>0</v>
      </c>
      <c r="Q9">
        <v>3</v>
      </c>
      <c r="R9">
        <v>501</v>
      </c>
      <c r="S9" t="s">
        <v>394</v>
      </c>
      <c r="T9">
        <v>1</v>
      </c>
      <c r="U9">
        <f>AVERAGE(EnemyGameData[[#This Row],[GoldDropMin]],EnemyGameData[[#This Row],[GoldDropMax]])</f>
        <v>1.5</v>
      </c>
    </row>
    <row r="10" spans="2:21" x14ac:dyDescent="0.3">
      <c r="B10">
        <v>507</v>
      </c>
      <c r="C10" s="4" t="s">
        <v>388</v>
      </c>
      <c r="D10" s="4"/>
      <c r="E10">
        <f>표14[적 기준 체력]*EnemyGameData[[#This Row],['#기준 적 체력 비율]]</f>
        <v>1000</v>
      </c>
      <c r="F10">
        <v>10</v>
      </c>
      <c r="G10" t="s">
        <v>125</v>
      </c>
      <c r="H10">
        <v>0.1</v>
      </c>
      <c r="I10">
        <v>2</v>
      </c>
      <c r="J10">
        <v>1.5</v>
      </c>
      <c r="K10">
        <v>4</v>
      </c>
      <c r="L10" t="s">
        <v>128</v>
      </c>
      <c r="M10">
        <v>6</v>
      </c>
      <c r="N10">
        <v>0</v>
      </c>
      <c r="O10">
        <v>0</v>
      </c>
      <c r="P10">
        <v>25</v>
      </c>
      <c r="Q10">
        <v>25</v>
      </c>
      <c r="R10">
        <v>0</v>
      </c>
      <c r="T10">
        <v>10</v>
      </c>
      <c r="U10">
        <f>AVERAGE(EnemyGameData[[#This Row],[GoldDropMin]],EnemyGameData[[#This Row],[GoldDropMax]])</f>
        <v>25</v>
      </c>
    </row>
    <row r="11" spans="2:21" x14ac:dyDescent="0.3">
      <c r="B11">
        <v>508</v>
      </c>
      <c r="C11" s="24" t="s">
        <v>483</v>
      </c>
      <c r="D11" s="23" t="s">
        <v>482</v>
      </c>
      <c r="E11">
        <f>표14[적 기준 체력]*EnemyGameData[[#This Row],['#기준 적 체력 비율]]</f>
        <v>80</v>
      </c>
      <c r="F11">
        <v>10</v>
      </c>
      <c r="G11" t="s">
        <v>333</v>
      </c>
      <c r="H11">
        <v>6</v>
      </c>
      <c r="I11">
        <v>2</v>
      </c>
      <c r="J11">
        <v>2</v>
      </c>
      <c r="K11">
        <v>1.8</v>
      </c>
      <c r="L11" t="s">
        <v>231</v>
      </c>
      <c r="M11">
        <v>2</v>
      </c>
      <c r="N11">
        <v>607</v>
      </c>
      <c r="O11">
        <v>0</v>
      </c>
      <c r="P11">
        <v>0</v>
      </c>
      <c r="Q11">
        <v>3</v>
      </c>
      <c r="R11">
        <v>501</v>
      </c>
      <c r="S11" t="s">
        <v>394</v>
      </c>
      <c r="T11">
        <v>0.8</v>
      </c>
      <c r="U11">
        <f>AVERAGE(EnemyGameData[[#This Row],[GoldDropMin]],EnemyGameData[[#This Row],[GoldDropMax]])</f>
        <v>1.5</v>
      </c>
    </row>
    <row r="12" spans="2:21" x14ac:dyDescent="0.3">
      <c r="B12">
        <v>550</v>
      </c>
      <c r="C12" s="23" t="s">
        <v>475</v>
      </c>
      <c r="D12" s="23" t="s">
        <v>448</v>
      </c>
      <c r="E12">
        <f>표14[적 기준 체력]*EnemyGameData[[#This Row],['#기준 적 체력 비율]]</f>
        <v>140</v>
      </c>
      <c r="F12">
        <v>10</v>
      </c>
      <c r="G12" t="s">
        <v>333</v>
      </c>
      <c r="H12">
        <v>6</v>
      </c>
      <c r="I12">
        <v>2</v>
      </c>
      <c r="J12">
        <v>3.5</v>
      </c>
      <c r="K12">
        <v>1.5</v>
      </c>
      <c r="L12" t="s">
        <v>231</v>
      </c>
      <c r="M12">
        <v>2</v>
      </c>
      <c r="N12">
        <v>650</v>
      </c>
      <c r="O12">
        <v>0</v>
      </c>
      <c r="P12">
        <v>3</v>
      </c>
      <c r="Q12">
        <v>5</v>
      </c>
      <c r="R12">
        <v>501</v>
      </c>
      <c r="S12" t="s">
        <v>394</v>
      </c>
      <c r="T12">
        <v>1.4</v>
      </c>
      <c r="U12">
        <v>7</v>
      </c>
    </row>
    <row r="13" spans="2:21" x14ac:dyDescent="0.3">
      <c r="B13">
        <v>551</v>
      </c>
      <c r="C13" s="23" t="s">
        <v>473</v>
      </c>
      <c r="D13" s="23" t="s">
        <v>453</v>
      </c>
      <c r="E13">
        <f>표14[적 기준 체력]*EnemyGameData[[#This Row],['#기준 적 체력 비율]]</f>
        <v>160</v>
      </c>
      <c r="F13">
        <v>10</v>
      </c>
      <c r="G13" t="s">
        <v>125</v>
      </c>
      <c r="H13">
        <v>0.1</v>
      </c>
      <c r="I13">
        <v>1.2</v>
      </c>
      <c r="J13">
        <v>3</v>
      </c>
      <c r="K13">
        <v>1.5</v>
      </c>
      <c r="L13" t="s">
        <v>128</v>
      </c>
      <c r="M13">
        <v>3.5</v>
      </c>
      <c r="N13">
        <v>651</v>
      </c>
      <c r="O13">
        <v>0</v>
      </c>
      <c r="P13">
        <v>3</v>
      </c>
      <c r="Q13">
        <v>5</v>
      </c>
      <c r="R13">
        <v>501</v>
      </c>
      <c r="S13" t="s">
        <v>394</v>
      </c>
      <c r="T13">
        <v>1.6</v>
      </c>
      <c r="U13">
        <v>7</v>
      </c>
    </row>
    <row r="14" spans="2:21" x14ac:dyDescent="0.3">
      <c r="B14">
        <v>552</v>
      </c>
      <c r="C14" s="23" t="s">
        <v>474</v>
      </c>
      <c r="D14" s="23" t="s">
        <v>472</v>
      </c>
      <c r="E14">
        <f>표14[적 기준 체력]*EnemyGameData[[#This Row],['#기준 적 체력 비율]]</f>
        <v>140</v>
      </c>
      <c r="F14">
        <v>10</v>
      </c>
      <c r="G14" t="s">
        <v>333</v>
      </c>
      <c r="H14">
        <v>6</v>
      </c>
      <c r="I14">
        <v>1.2</v>
      </c>
      <c r="J14">
        <v>3.5</v>
      </c>
      <c r="K14">
        <v>2</v>
      </c>
      <c r="L14" t="s">
        <v>128</v>
      </c>
      <c r="M14">
        <v>6</v>
      </c>
      <c r="N14">
        <v>652</v>
      </c>
      <c r="O14">
        <v>0</v>
      </c>
      <c r="P14">
        <v>3</v>
      </c>
      <c r="Q14">
        <v>5</v>
      </c>
      <c r="R14">
        <v>501</v>
      </c>
      <c r="S14" t="s">
        <v>394</v>
      </c>
      <c r="T14">
        <v>1.4</v>
      </c>
      <c r="U14">
        <v>7</v>
      </c>
    </row>
    <row r="15" spans="2:21" x14ac:dyDescent="0.3">
      <c r="B15">
        <v>553</v>
      </c>
      <c r="C15" s="24" t="s">
        <v>478</v>
      </c>
      <c r="D15" s="23" t="s">
        <v>476</v>
      </c>
      <c r="E15">
        <f>표14[적 기준 체력]*EnemyGameData[[#This Row],['#기준 적 체력 비율]]</f>
        <v>160</v>
      </c>
      <c r="F15">
        <v>10</v>
      </c>
      <c r="G15" t="s">
        <v>333</v>
      </c>
      <c r="H15">
        <v>4</v>
      </c>
      <c r="I15">
        <v>2.5</v>
      </c>
      <c r="J15">
        <v>3.5</v>
      </c>
      <c r="K15">
        <v>1.5</v>
      </c>
      <c r="L15" t="s">
        <v>128</v>
      </c>
      <c r="M15">
        <v>3.5</v>
      </c>
      <c r="N15">
        <v>604</v>
      </c>
      <c r="O15">
        <v>0</v>
      </c>
      <c r="P15">
        <v>3</v>
      </c>
      <c r="Q15">
        <v>5</v>
      </c>
      <c r="R15">
        <v>501</v>
      </c>
      <c r="S15" t="s">
        <v>394</v>
      </c>
      <c r="T15">
        <v>1.6</v>
      </c>
      <c r="U15">
        <f>AVERAGE(EnemyGameData[[#This Row],[GoldDropMin]],EnemyGameData[[#This Row],[GoldDropMax]])</f>
        <v>4</v>
      </c>
    </row>
    <row r="16" spans="2:21" s="30" customFormat="1" x14ac:dyDescent="0.3">
      <c r="B16" s="30">
        <v>554</v>
      </c>
      <c r="C16" s="32" t="s">
        <v>480</v>
      </c>
      <c r="D16" s="31" t="s">
        <v>479</v>
      </c>
      <c r="E16" s="30">
        <f>표14[적 기준 체력]*EnemyGameData[[#This Row],['#기준 적 체력 비율]]</f>
        <v>20</v>
      </c>
      <c r="F16">
        <v>10</v>
      </c>
      <c r="G16" s="30" t="s">
        <v>125</v>
      </c>
      <c r="H16" s="30">
        <v>1</v>
      </c>
      <c r="I16" s="30">
        <v>0.3</v>
      </c>
      <c r="J16" s="30">
        <v>1.8</v>
      </c>
      <c r="K16" s="30">
        <v>0</v>
      </c>
      <c r="L16" s="30" t="s">
        <v>76</v>
      </c>
      <c r="M16" s="30">
        <v>1</v>
      </c>
      <c r="N16" s="30">
        <v>0</v>
      </c>
      <c r="O16" s="30">
        <v>0</v>
      </c>
      <c r="P16" s="30">
        <v>0</v>
      </c>
      <c r="Q16" s="30">
        <v>0</v>
      </c>
      <c r="R16" s="30">
        <v>501</v>
      </c>
      <c r="S16" s="30" t="s">
        <v>400</v>
      </c>
      <c r="T16" s="30">
        <v>0.2</v>
      </c>
      <c r="U16" s="30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zoomScaleNormal="75" zoomScaleSheetLayoutView="100" workbookViewId="0">
      <selection activeCell="F59" sqref="F59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 x14ac:dyDescent="0.3">
      <c r="B1" t="s">
        <v>48</v>
      </c>
      <c r="C1" t="s">
        <v>51</v>
      </c>
      <c r="D1" t="s">
        <v>48</v>
      </c>
      <c r="E1" t="s">
        <v>129</v>
      </c>
      <c r="F1" t="s">
        <v>103</v>
      </c>
      <c r="G1" t="s">
        <v>103</v>
      </c>
      <c r="H1" s="19" t="s">
        <v>446</v>
      </c>
      <c r="I1" s="19" t="s">
        <v>446</v>
      </c>
    </row>
    <row r="2" spans="2:9" x14ac:dyDescent="0.3">
      <c r="B2" t="s">
        <v>78</v>
      </c>
      <c r="C2" s="6" t="s">
        <v>45</v>
      </c>
      <c r="D2" t="s">
        <v>339</v>
      </c>
      <c r="E2" t="s">
        <v>131</v>
      </c>
      <c r="F2" t="s">
        <v>338</v>
      </c>
      <c r="G2" t="s">
        <v>335</v>
      </c>
      <c r="H2" s="19" t="s">
        <v>446</v>
      </c>
      <c r="I2" s="19" t="s">
        <v>507</v>
      </c>
    </row>
    <row r="3" spans="2:9" x14ac:dyDescent="0.3">
      <c r="B3">
        <v>600</v>
      </c>
      <c r="C3" s="25" t="s">
        <v>497</v>
      </c>
      <c r="D3">
        <v>700</v>
      </c>
      <c r="E3" t="s">
        <v>164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 x14ac:dyDescent="0.3">
      <c r="B4">
        <v>601</v>
      </c>
      <c r="C4" s="23" t="s">
        <v>454</v>
      </c>
      <c r="D4">
        <v>702</v>
      </c>
      <c r="E4" t="s">
        <v>156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 x14ac:dyDescent="0.3">
      <c r="B5">
        <v>601</v>
      </c>
      <c r="C5" s="23" t="s">
        <v>454</v>
      </c>
      <c r="D5">
        <v>706</v>
      </c>
      <c r="E5" t="s">
        <v>156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 x14ac:dyDescent="0.3">
      <c r="B6">
        <v>601</v>
      </c>
      <c r="C6" s="23" t="s">
        <v>454</v>
      </c>
      <c r="D6">
        <v>712</v>
      </c>
      <c r="E6" t="s">
        <v>156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 x14ac:dyDescent="0.3">
      <c r="B7">
        <v>601</v>
      </c>
      <c r="C7" s="23" t="s">
        <v>454</v>
      </c>
      <c r="D7">
        <v>709</v>
      </c>
      <c r="E7" t="s">
        <v>156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 x14ac:dyDescent="0.3">
      <c r="B8">
        <v>601</v>
      </c>
      <c r="C8" s="23" t="s">
        <v>454</v>
      </c>
      <c r="D8">
        <v>711</v>
      </c>
      <c r="E8" t="s">
        <v>156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 x14ac:dyDescent="0.3">
      <c r="B9">
        <v>601</v>
      </c>
      <c r="C9" s="23" t="s">
        <v>454</v>
      </c>
      <c r="D9">
        <v>708</v>
      </c>
      <c r="E9" t="s">
        <v>156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 x14ac:dyDescent="0.3">
      <c r="B10">
        <v>601</v>
      </c>
      <c r="C10" s="23" t="s">
        <v>454</v>
      </c>
      <c r="D10">
        <v>718</v>
      </c>
      <c r="E10" t="s">
        <v>156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 x14ac:dyDescent="0.3">
      <c r="B11">
        <v>601</v>
      </c>
      <c r="C11" s="23" t="s">
        <v>454</v>
      </c>
      <c r="D11">
        <v>710</v>
      </c>
      <c r="E11" t="s">
        <v>156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 x14ac:dyDescent="0.3">
      <c r="B12">
        <v>601</v>
      </c>
      <c r="C12" s="23" t="s">
        <v>454</v>
      </c>
      <c r="D12">
        <v>703</v>
      </c>
      <c r="E12" t="s">
        <v>156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 x14ac:dyDescent="0.3">
      <c r="B13">
        <v>602</v>
      </c>
      <c r="C13" s="25" t="s">
        <v>493</v>
      </c>
      <c r="D13">
        <v>719</v>
      </c>
      <c r="E13" t="s">
        <v>156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 x14ac:dyDescent="0.3">
      <c r="B14">
        <v>603</v>
      </c>
      <c r="C14" s="4" t="s">
        <v>166</v>
      </c>
      <c r="D14">
        <v>720</v>
      </c>
      <c r="E14" t="s">
        <v>156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 x14ac:dyDescent="0.3">
      <c r="B15">
        <v>604</v>
      </c>
      <c r="C15" s="25" t="s">
        <v>501</v>
      </c>
      <c r="D15">
        <v>721</v>
      </c>
      <c r="E15" t="s">
        <v>156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 x14ac:dyDescent="0.3">
      <c r="B16">
        <v>604</v>
      </c>
      <c r="C16" s="25" t="s">
        <v>502</v>
      </c>
      <c r="D16">
        <v>722</v>
      </c>
      <c r="E16" t="s">
        <v>156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 x14ac:dyDescent="0.3">
      <c r="B17">
        <v>604</v>
      </c>
      <c r="C17" s="25" t="s">
        <v>503</v>
      </c>
      <c r="D17">
        <v>723</v>
      </c>
      <c r="E17" t="s">
        <v>156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 x14ac:dyDescent="0.3">
      <c r="B18">
        <v>605</v>
      </c>
      <c r="C18" s="25" t="s">
        <v>492</v>
      </c>
      <c r="D18">
        <v>724</v>
      </c>
      <c r="E18" t="s">
        <v>156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 x14ac:dyDescent="0.3">
      <c r="B19">
        <v>606</v>
      </c>
      <c r="C19" s="4" t="s">
        <v>366</v>
      </c>
      <c r="D19">
        <v>724</v>
      </c>
      <c r="E19" t="s">
        <v>156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 x14ac:dyDescent="0.3">
      <c r="B20">
        <v>606</v>
      </c>
      <c r="C20" s="4" t="s">
        <v>366</v>
      </c>
      <c r="D20">
        <v>724</v>
      </c>
      <c r="E20" t="s">
        <v>156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 x14ac:dyDescent="0.3">
      <c r="B21">
        <v>606</v>
      </c>
      <c r="C21" s="4" t="s">
        <v>366</v>
      </c>
      <c r="D21">
        <v>724</v>
      </c>
      <c r="E21" t="s">
        <v>156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 x14ac:dyDescent="0.3">
      <c r="B22">
        <v>607</v>
      </c>
      <c r="C22" s="27" t="s">
        <v>491</v>
      </c>
      <c r="D22">
        <v>701</v>
      </c>
      <c r="E22" t="s">
        <v>164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 x14ac:dyDescent="0.3">
      <c r="B23">
        <v>650</v>
      </c>
      <c r="C23" s="25" t="s">
        <v>498</v>
      </c>
      <c r="D23">
        <v>725</v>
      </c>
      <c r="E23" t="s">
        <v>164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 x14ac:dyDescent="0.3">
      <c r="B24">
        <v>650</v>
      </c>
      <c r="C24" s="25" t="s">
        <v>499</v>
      </c>
      <c r="D24">
        <v>725</v>
      </c>
      <c r="E24" t="s">
        <v>164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 x14ac:dyDescent="0.3">
      <c r="B25">
        <v>650</v>
      </c>
      <c r="C25" s="25" t="s">
        <v>500</v>
      </c>
      <c r="D25">
        <v>725</v>
      </c>
      <c r="E25" t="s">
        <v>164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 x14ac:dyDescent="0.3">
      <c r="B26">
        <v>651</v>
      </c>
      <c r="C26" s="27" t="s">
        <v>534</v>
      </c>
      <c r="D26">
        <v>716</v>
      </c>
      <c r="E26" t="s">
        <v>156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6.0670000000000002</v>
      </c>
    </row>
    <row r="27" spans="2:9" x14ac:dyDescent="0.3">
      <c r="B27">
        <v>651</v>
      </c>
      <c r="C27" s="27" t="s">
        <v>534</v>
      </c>
      <c r="D27">
        <v>718</v>
      </c>
      <c r="E27" t="s">
        <v>156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6.0670000000000002</v>
      </c>
    </row>
    <row r="28" spans="2:9" x14ac:dyDescent="0.3">
      <c r="B28">
        <v>651</v>
      </c>
      <c r="C28" s="27" t="s">
        <v>534</v>
      </c>
      <c r="D28">
        <v>708</v>
      </c>
      <c r="E28" t="s">
        <v>156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6.0670000000000002</v>
      </c>
    </row>
    <row r="29" spans="2:9" x14ac:dyDescent="0.3">
      <c r="B29">
        <v>651</v>
      </c>
      <c r="C29" s="27" t="s">
        <v>534</v>
      </c>
      <c r="D29">
        <v>712</v>
      </c>
      <c r="E29" t="s">
        <v>156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6.0670000000000002</v>
      </c>
    </row>
    <row r="30" spans="2:9" x14ac:dyDescent="0.3">
      <c r="B30">
        <v>651</v>
      </c>
      <c r="C30" s="27" t="s">
        <v>534</v>
      </c>
      <c r="D30">
        <v>708</v>
      </c>
      <c r="E30" t="s">
        <v>156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6.0670000000000002</v>
      </c>
    </row>
    <row r="31" spans="2:9" x14ac:dyDescent="0.3">
      <c r="B31">
        <v>651</v>
      </c>
      <c r="C31" s="27" t="s">
        <v>534</v>
      </c>
      <c r="D31">
        <v>711</v>
      </c>
      <c r="E31" t="s">
        <v>156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6.0670000000000002</v>
      </c>
    </row>
    <row r="32" spans="2:9" x14ac:dyDescent="0.3">
      <c r="B32">
        <v>651</v>
      </c>
      <c r="C32" s="27" t="s">
        <v>534</v>
      </c>
      <c r="D32">
        <v>713</v>
      </c>
      <c r="E32" t="s">
        <v>156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6.0670000000000002</v>
      </c>
    </row>
    <row r="33" spans="2:9" x14ac:dyDescent="0.3">
      <c r="B33">
        <v>651</v>
      </c>
      <c r="C33" s="27" t="s">
        <v>534</v>
      </c>
      <c r="D33">
        <v>713</v>
      </c>
      <c r="E33" t="s">
        <v>156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6.0670000000000002</v>
      </c>
    </row>
    <row r="34" spans="2:9" x14ac:dyDescent="0.3">
      <c r="B34">
        <v>651</v>
      </c>
      <c r="C34" s="27" t="s">
        <v>534</v>
      </c>
      <c r="D34">
        <v>705</v>
      </c>
      <c r="E34" t="s">
        <v>156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6.0670000000000002</v>
      </c>
    </row>
    <row r="35" spans="2:9" x14ac:dyDescent="0.3">
      <c r="B35">
        <v>651</v>
      </c>
      <c r="C35" s="27" t="s">
        <v>534</v>
      </c>
      <c r="D35">
        <v>706</v>
      </c>
      <c r="E35" t="s">
        <v>156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6.0670000000000002</v>
      </c>
    </row>
    <row r="36" spans="2:9" x14ac:dyDescent="0.3">
      <c r="B36">
        <v>651</v>
      </c>
      <c r="C36" s="27" t="s">
        <v>534</v>
      </c>
      <c r="D36">
        <v>711</v>
      </c>
      <c r="E36" t="s">
        <v>156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6.0670000000000002</v>
      </c>
    </row>
    <row r="37" spans="2:9" x14ac:dyDescent="0.3">
      <c r="B37">
        <v>651</v>
      </c>
      <c r="C37" s="27" t="s">
        <v>534</v>
      </c>
      <c r="D37">
        <v>712</v>
      </c>
      <c r="E37" t="s">
        <v>156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6.0670000000000002</v>
      </c>
    </row>
    <row r="38" spans="2:9" x14ac:dyDescent="0.3">
      <c r="B38">
        <v>651</v>
      </c>
      <c r="C38" s="27" t="s">
        <v>534</v>
      </c>
      <c r="D38">
        <v>708</v>
      </c>
      <c r="E38" t="s">
        <v>156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6.0670000000000002</v>
      </c>
    </row>
    <row r="39" spans="2:9" x14ac:dyDescent="0.3">
      <c r="B39">
        <v>651</v>
      </c>
      <c r="C39" s="27" t="s">
        <v>534</v>
      </c>
      <c r="D39">
        <v>702</v>
      </c>
      <c r="E39" t="s">
        <v>156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6.0670000000000002</v>
      </c>
    </row>
    <row r="40" spans="2:9" x14ac:dyDescent="0.3">
      <c r="B40">
        <v>651</v>
      </c>
      <c r="C40" s="27" t="s">
        <v>534</v>
      </c>
      <c r="D40">
        <v>708</v>
      </c>
      <c r="E40" t="s">
        <v>156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6.0670000000000002</v>
      </c>
    </row>
    <row r="41" spans="2:9" x14ac:dyDescent="0.3">
      <c r="B41">
        <v>651</v>
      </c>
      <c r="C41" s="27" t="s">
        <v>534</v>
      </c>
      <c r="D41">
        <v>717</v>
      </c>
      <c r="E41" t="s">
        <v>156</v>
      </c>
      <c r="F41">
        <v>0</v>
      </c>
      <c r="G41">
        <v>1.5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6.0670000000000002</v>
      </c>
    </row>
    <row r="42" spans="2:9" x14ac:dyDescent="0.3">
      <c r="B42">
        <v>652</v>
      </c>
      <c r="C42" s="27" t="s">
        <v>504</v>
      </c>
      <c r="D42">
        <v>726</v>
      </c>
      <c r="E42" t="s">
        <v>156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 x14ac:dyDescent="0.3">
      <c r="B43">
        <v>652</v>
      </c>
      <c r="C43" s="27" t="s">
        <v>505</v>
      </c>
      <c r="D43">
        <v>726</v>
      </c>
      <c r="E43" t="s">
        <v>156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 x14ac:dyDescent="0.3">
      <c r="B44">
        <v>652</v>
      </c>
      <c r="C44" s="27" t="s">
        <v>506</v>
      </c>
      <c r="D44">
        <v>726</v>
      </c>
      <c r="E44" t="s">
        <v>156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 x14ac:dyDescent="0.3">
      <c r="B45">
        <v>9991</v>
      </c>
      <c r="C45" s="28" t="s">
        <v>486</v>
      </c>
      <c r="D45">
        <v>700</v>
      </c>
      <c r="E45" t="s">
        <v>156</v>
      </c>
      <c r="F45">
        <v>0.7</v>
      </c>
      <c r="G45">
        <v>0.25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6.0500000000000007</v>
      </c>
    </row>
    <row r="46" spans="2:9" x14ac:dyDescent="0.3">
      <c r="B46">
        <v>9991</v>
      </c>
      <c r="C46" s="28" t="s">
        <v>486</v>
      </c>
      <c r="D46">
        <v>701</v>
      </c>
      <c r="E46" t="s">
        <v>156</v>
      </c>
      <c r="F46">
        <v>0.7</v>
      </c>
      <c r="G46">
        <v>0.2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6.0500000000000007</v>
      </c>
    </row>
    <row r="47" spans="2:9" x14ac:dyDescent="0.3">
      <c r="B47">
        <v>9991</v>
      </c>
      <c r="C47" s="28" t="s">
        <v>486</v>
      </c>
      <c r="D47">
        <v>700</v>
      </c>
      <c r="E47" t="s">
        <v>156</v>
      </c>
      <c r="F47">
        <v>0.7</v>
      </c>
      <c r="G47">
        <v>0.1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6.0500000000000007</v>
      </c>
    </row>
    <row r="48" spans="2:9" x14ac:dyDescent="0.3">
      <c r="B48">
        <v>9991</v>
      </c>
      <c r="C48" s="28" t="s">
        <v>486</v>
      </c>
      <c r="D48">
        <v>701</v>
      </c>
      <c r="E48" t="s">
        <v>156</v>
      </c>
      <c r="F48">
        <v>0.6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6.0500000000000007</v>
      </c>
    </row>
    <row r="49" spans="2:9" x14ac:dyDescent="0.3">
      <c r="B49">
        <v>9991</v>
      </c>
      <c r="C49" s="28" t="s">
        <v>486</v>
      </c>
      <c r="D49">
        <v>700</v>
      </c>
      <c r="E49" t="s">
        <v>156</v>
      </c>
      <c r="F49">
        <v>0.5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6.0500000000000007</v>
      </c>
    </row>
    <row r="50" spans="2:9" x14ac:dyDescent="0.3">
      <c r="B50">
        <v>9991</v>
      </c>
      <c r="C50" s="28" t="s">
        <v>486</v>
      </c>
      <c r="D50">
        <v>701</v>
      </c>
      <c r="E50" t="s">
        <v>156</v>
      </c>
      <c r="F50">
        <v>0.5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6.0500000000000007</v>
      </c>
    </row>
    <row r="51" spans="2:9" x14ac:dyDescent="0.3">
      <c r="B51">
        <v>9991</v>
      </c>
      <c r="C51" s="28" t="s">
        <v>486</v>
      </c>
      <c r="D51">
        <v>700</v>
      </c>
      <c r="E51" t="s">
        <v>156</v>
      </c>
      <c r="F51">
        <v>0.4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6.0500000000000007</v>
      </c>
    </row>
    <row r="52" spans="2:9" x14ac:dyDescent="0.3">
      <c r="B52">
        <v>9991</v>
      </c>
      <c r="C52" s="28" t="s">
        <v>486</v>
      </c>
      <c r="D52">
        <v>701</v>
      </c>
      <c r="E52" t="s">
        <v>156</v>
      </c>
      <c r="F52">
        <v>0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6.0500000000000007</v>
      </c>
    </row>
    <row r="53" spans="2:9" x14ac:dyDescent="0.3">
      <c r="B53">
        <v>9991</v>
      </c>
      <c r="C53" s="28" t="s">
        <v>486</v>
      </c>
      <c r="D53">
        <v>700</v>
      </c>
      <c r="E53" t="s">
        <v>156</v>
      </c>
      <c r="F53">
        <v>0.4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6.0500000000000007</v>
      </c>
    </row>
    <row r="54" spans="2:9" x14ac:dyDescent="0.3">
      <c r="B54">
        <v>9991</v>
      </c>
      <c r="C54" s="28" t="s">
        <v>486</v>
      </c>
      <c r="D54">
        <v>701</v>
      </c>
      <c r="E54" t="s">
        <v>156</v>
      </c>
      <c r="F54">
        <v>0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6.0500000000000007</v>
      </c>
    </row>
    <row r="55" spans="2:9" x14ac:dyDescent="0.3">
      <c r="B55">
        <v>9991</v>
      </c>
      <c r="C55" s="28" t="s">
        <v>486</v>
      </c>
      <c r="D55">
        <v>701</v>
      </c>
      <c r="E55" t="s">
        <v>156</v>
      </c>
      <c r="F55">
        <v>0.4</v>
      </c>
      <c r="G55">
        <v>0</v>
      </c>
      <c r="H55" t="str">
        <f>INDEX(ShootTable['#설명],MATCH(EnemyAtkTable[[#This Row],[ShootDataId]],ShootTable[Index],0))</f>
        <v>4발 대각상하좌우 뿌리기</v>
      </c>
      <c r="I55">
        <f>SUMIF(EnemyAtkTable[Index],EnemyAtkTable[[#This Row],[Index]],EnemyAtkTable[BeforeDelay])+SUMIF(EnemyAtkTable[Index],EnemyAtkTable[[#This Row],[Index]],EnemyAtkTable[AfterDelay])</f>
        <v>6.0500000000000007</v>
      </c>
    </row>
    <row r="56" spans="2:9" x14ac:dyDescent="0.3">
      <c r="B56" s="26">
        <v>9991</v>
      </c>
      <c r="C56" s="28" t="s">
        <v>486</v>
      </c>
      <c r="D56">
        <v>700</v>
      </c>
      <c r="E56" t="s">
        <v>156</v>
      </c>
      <c r="F56">
        <v>0</v>
      </c>
      <c r="G56">
        <v>0.6</v>
      </c>
      <c r="H56" t="str">
        <f>INDEX(ShootTable['#설명],MATCH(EnemyAtkTable[[#This Row],[ShootDataId]],ShootTable[Index],0))</f>
        <v>4발 상하좌우 뿌리기</v>
      </c>
      <c r="I56">
        <f>SUMIF(EnemyAtkTable[Index],EnemyAtkTable[[#This Row],[Index]],EnemyAtkTable[BeforeDelay])+SUMIF(EnemyAtkTable[Index],EnemyAtkTable[[#This Row],[Index]],EnemyAtkTable[AfterDelay])</f>
        <v>6.0500000000000007</v>
      </c>
    </row>
    <row r="57" spans="2:9" x14ac:dyDescent="0.3">
      <c r="B57">
        <v>9992</v>
      </c>
      <c r="C57" s="28" t="s">
        <v>487</v>
      </c>
      <c r="D57">
        <v>725</v>
      </c>
      <c r="E57" s="26" t="s">
        <v>484</v>
      </c>
      <c r="F57">
        <v>0</v>
      </c>
      <c r="G57">
        <v>0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</v>
      </c>
    </row>
    <row r="58" spans="2:9" x14ac:dyDescent="0.3">
      <c r="B58">
        <v>9993</v>
      </c>
      <c r="C58" s="28" t="s">
        <v>488</v>
      </c>
      <c r="D58">
        <v>999</v>
      </c>
      <c r="E58" s="26" t="s">
        <v>485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3"/>
  <sheetViews>
    <sheetView topLeftCell="A52" zoomScaleNormal="75" zoomScaleSheetLayoutView="100" workbookViewId="0">
      <selection activeCell="B64" sqref="B64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48</v>
      </c>
      <c r="C1" t="s">
        <v>51</v>
      </c>
      <c r="D1" t="s">
        <v>129</v>
      </c>
      <c r="E1" t="s">
        <v>48</v>
      </c>
      <c r="F1" t="s">
        <v>48</v>
      </c>
      <c r="G1" t="s">
        <v>48</v>
      </c>
    </row>
    <row r="2" spans="2:7" x14ac:dyDescent="0.3">
      <c r="B2" t="s">
        <v>78</v>
      </c>
      <c r="C2" s="6" t="s">
        <v>45</v>
      </c>
      <c r="D2" t="s">
        <v>340</v>
      </c>
      <c r="E2" t="s">
        <v>11</v>
      </c>
      <c r="F2" t="s">
        <v>232</v>
      </c>
      <c r="G2" t="s">
        <v>343</v>
      </c>
    </row>
    <row r="3" spans="2:7" x14ac:dyDescent="0.3">
      <c r="B3">
        <v>700</v>
      </c>
      <c r="C3" s="4" t="s">
        <v>358</v>
      </c>
      <c r="D3">
        <v>0</v>
      </c>
      <c r="E3">
        <v>400</v>
      </c>
      <c r="F3">
        <v>0</v>
      </c>
      <c r="G3">
        <v>6.5</v>
      </c>
    </row>
    <row r="4" spans="2:7" x14ac:dyDescent="0.3">
      <c r="B4">
        <v>700</v>
      </c>
      <c r="C4" s="4" t="s">
        <v>358</v>
      </c>
      <c r="D4">
        <v>90</v>
      </c>
      <c r="E4">
        <v>400</v>
      </c>
      <c r="F4">
        <v>0</v>
      </c>
      <c r="G4">
        <v>6.5</v>
      </c>
    </row>
    <row r="5" spans="2:7" x14ac:dyDescent="0.3">
      <c r="B5">
        <v>700</v>
      </c>
      <c r="C5" s="4" t="s">
        <v>358</v>
      </c>
      <c r="D5">
        <v>180</v>
      </c>
      <c r="E5">
        <v>400</v>
      </c>
      <c r="F5">
        <v>0</v>
      </c>
      <c r="G5">
        <v>6.5</v>
      </c>
    </row>
    <row r="6" spans="2:7" x14ac:dyDescent="0.3">
      <c r="B6">
        <v>700</v>
      </c>
      <c r="C6" s="4" t="s">
        <v>358</v>
      </c>
      <c r="D6">
        <v>-90</v>
      </c>
      <c r="E6">
        <v>400</v>
      </c>
      <c r="F6">
        <v>0</v>
      </c>
      <c r="G6">
        <v>6.5</v>
      </c>
    </row>
    <row r="7" spans="2:7" x14ac:dyDescent="0.3">
      <c r="B7">
        <v>701</v>
      </c>
      <c r="C7" s="4" t="s">
        <v>242</v>
      </c>
      <c r="D7">
        <v>45</v>
      </c>
      <c r="E7">
        <v>401</v>
      </c>
      <c r="F7">
        <v>0</v>
      </c>
      <c r="G7">
        <v>6.5</v>
      </c>
    </row>
    <row r="8" spans="2:7" x14ac:dyDescent="0.3">
      <c r="B8">
        <v>701</v>
      </c>
      <c r="C8" s="4" t="s">
        <v>242</v>
      </c>
      <c r="D8">
        <v>-45</v>
      </c>
      <c r="E8">
        <v>401</v>
      </c>
      <c r="F8">
        <v>0</v>
      </c>
      <c r="G8">
        <v>6.5</v>
      </c>
    </row>
    <row r="9" spans="2:7" x14ac:dyDescent="0.3">
      <c r="B9">
        <v>701</v>
      </c>
      <c r="C9" s="4" t="s">
        <v>242</v>
      </c>
      <c r="D9">
        <v>135</v>
      </c>
      <c r="E9">
        <v>401</v>
      </c>
      <c r="F9">
        <v>0</v>
      </c>
      <c r="G9">
        <v>6.5</v>
      </c>
    </row>
    <row r="10" spans="2:7" x14ac:dyDescent="0.3">
      <c r="B10">
        <v>701</v>
      </c>
      <c r="C10" s="4" t="s">
        <v>242</v>
      </c>
      <c r="D10">
        <v>-135</v>
      </c>
      <c r="E10">
        <v>401</v>
      </c>
      <c r="F10">
        <v>0</v>
      </c>
      <c r="G10">
        <v>6.5</v>
      </c>
    </row>
    <row r="11" spans="2:7" x14ac:dyDescent="0.3">
      <c r="B11">
        <v>702</v>
      </c>
      <c r="C11" s="4" t="s">
        <v>157</v>
      </c>
      <c r="D11">
        <v>0</v>
      </c>
      <c r="E11">
        <v>400</v>
      </c>
      <c r="F11">
        <v>0</v>
      </c>
      <c r="G11">
        <v>6.5</v>
      </c>
    </row>
    <row r="12" spans="2:7" x14ac:dyDescent="0.3">
      <c r="B12">
        <v>703</v>
      </c>
      <c r="C12" s="23" t="s">
        <v>457</v>
      </c>
      <c r="D12">
        <v>5</v>
      </c>
      <c r="E12">
        <v>400</v>
      </c>
      <c r="F12">
        <v>0</v>
      </c>
      <c r="G12">
        <v>5.5</v>
      </c>
    </row>
    <row r="13" spans="2:7" x14ac:dyDescent="0.3">
      <c r="B13">
        <v>704</v>
      </c>
      <c r="C13" s="23" t="s">
        <v>458</v>
      </c>
      <c r="D13">
        <v>10</v>
      </c>
      <c r="E13">
        <v>400</v>
      </c>
      <c r="F13">
        <v>0</v>
      </c>
      <c r="G13">
        <v>5.5</v>
      </c>
    </row>
    <row r="14" spans="2:7" x14ac:dyDescent="0.3">
      <c r="B14">
        <v>705</v>
      </c>
      <c r="C14" s="23" t="s">
        <v>459</v>
      </c>
      <c r="D14">
        <v>15</v>
      </c>
      <c r="E14">
        <v>400</v>
      </c>
      <c r="F14">
        <v>0</v>
      </c>
      <c r="G14">
        <v>5.5</v>
      </c>
    </row>
    <row r="15" spans="2:7" x14ac:dyDescent="0.3">
      <c r="B15">
        <v>706</v>
      </c>
      <c r="C15" s="23" t="s">
        <v>460</v>
      </c>
      <c r="D15">
        <v>20</v>
      </c>
      <c r="E15">
        <v>400</v>
      </c>
      <c r="F15">
        <v>0</v>
      </c>
      <c r="G15">
        <v>5.5</v>
      </c>
    </row>
    <row r="16" spans="2:7" x14ac:dyDescent="0.3">
      <c r="B16">
        <v>707</v>
      </c>
      <c r="C16" s="23" t="s">
        <v>461</v>
      </c>
      <c r="D16">
        <v>25</v>
      </c>
      <c r="E16">
        <v>400</v>
      </c>
      <c r="F16">
        <v>0</v>
      </c>
      <c r="G16">
        <v>5.5</v>
      </c>
    </row>
    <row r="17" spans="2:7" x14ac:dyDescent="0.3">
      <c r="B17">
        <v>708</v>
      </c>
      <c r="C17" s="23" t="s">
        <v>462</v>
      </c>
      <c r="D17" s="19">
        <v>30</v>
      </c>
      <c r="E17">
        <v>400</v>
      </c>
      <c r="F17">
        <v>0</v>
      </c>
      <c r="G17">
        <v>5.5</v>
      </c>
    </row>
    <row r="18" spans="2:7" x14ac:dyDescent="0.3">
      <c r="B18">
        <v>709</v>
      </c>
      <c r="C18" s="23" t="s">
        <v>463</v>
      </c>
      <c r="D18">
        <v>35</v>
      </c>
      <c r="E18">
        <v>400</v>
      </c>
      <c r="F18">
        <v>0</v>
      </c>
      <c r="G18">
        <v>5.5</v>
      </c>
    </row>
    <row r="19" spans="2:7" x14ac:dyDescent="0.3">
      <c r="B19">
        <v>710</v>
      </c>
      <c r="C19" s="23" t="s">
        <v>464</v>
      </c>
      <c r="D19">
        <v>40</v>
      </c>
      <c r="E19">
        <v>400</v>
      </c>
      <c r="F19">
        <v>0</v>
      </c>
      <c r="G19">
        <v>5.5</v>
      </c>
    </row>
    <row r="20" spans="2:7" x14ac:dyDescent="0.3">
      <c r="B20">
        <v>711</v>
      </c>
      <c r="C20" s="23" t="s">
        <v>465</v>
      </c>
      <c r="D20">
        <v>-5</v>
      </c>
      <c r="E20">
        <v>400</v>
      </c>
      <c r="F20">
        <v>0</v>
      </c>
      <c r="G20">
        <v>5.5</v>
      </c>
    </row>
    <row r="21" spans="2:7" x14ac:dyDescent="0.3">
      <c r="B21">
        <v>712</v>
      </c>
      <c r="C21" s="23" t="s">
        <v>466</v>
      </c>
      <c r="D21">
        <v>-10</v>
      </c>
      <c r="E21">
        <v>400</v>
      </c>
      <c r="F21">
        <v>0</v>
      </c>
      <c r="G21">
        <v>5.5</v>
      </c>
    </row>
    <row r="22" spans="2:7" x14ac:dyDescent="0.3">
      <c r="B22">
        <v>713</v>
      </c>
      <c r="C22" s="23" t="s">
        <v>467</v>
      </c>
      <c r="D22">
        <v>-15</v>
      </c>
      <c r="E22">
        <v>400</v>
      </c>
      <c r="F22">
        <v>0</v>
      </c>
      <c r="G22">
        <v>5.5</v>
      </c>
    </row>
    <row r="23" spans="2:7" x14ac:dyDescent="0.3">
      <c r="B23">
        <v>714</v>
      </c>
      <c r="C23" s="23" t="s">
        <v>455</v>
      </c>
      <c r="D23">
        <v>-20</v>
      </c>
      <c r="E23">
        <v>400</v>
      </c>
      <c r="F23">
        <v>0</v>
      </c>
      <c r="G23">
        <v>5.5</v>
      </c>
    </row>
    <row r="24" spans="2:7" x14ac:dyDescent="0.3">
      <c r="B24">
        <v>715</v>
      </c>
      <c r="C24" s="23" t="s">
        <v>468</v>
      </c>
      <c r="D24">
        <v>-25</v>
      </c>
      <c r="E24">
        <v>400</v>
      </c>
      <c r="F24">
        <v>0</v>
      </c>
      <c r="G24">
        <v>5.5</v>
      </c>
    </row>
    <row r="25" spans="2:7" x14ac:dyDescent="0.3">
      <c r="B25">
        <v>716</v>
      </c>
      <c r="C25" s="23" t="s">
        <v>456</v>
      </c>
      <c r="D25">
        <v>-30</v>
      </c>
      <c r="E25">
        <v>400</v>
      </c>
      <c r="F25">
        <v>0</v>
      </c>
      <c r="G25">
        <v>5.5</v>
      </c>
    </row>
    <row r="26" spans="2:7" x14ac:dyDescent="0.3">
      <c r="B26">
        <v>717</v>
      </c>
      <c r="C26" s="23" t="s">
        <v>469</v>
      </c>
      <c r="D26">
        <v>-35</v>
      </c>
      <c r="E26">
        <v>400</v>
      </c>
      <c r="F26">
        <v>0</v>
      </c>
      <c r="G26">
        <v>5.5</v>
      </c>
    </row>
    <row r="27" spans="2:7" x14ac:dyDescent="0.3">
      <c r="B27">
        <v>718</v>
      </c>
      <c r="C27" s="23" t="s">
        <v>470</v>
      </c>
      <c r="D27">
        <v>-40</v>
      </c>
      <c r="E27">
        <v>400</v>
      </c>
      <c r="F27">
        <v>0</v>
      </c>
      <c r="G27">
        <v>5.5</v>
      </c>
    </row>
    <row r="28" spans="2:7" x14ac:dyDescent="0.3">
      <c r="B28">
        <v>719</v>
      </c>
      <c r="C28" s="23" t="s">
        <v>494</v>
      </c>
      <c r="D28">
        <v>0</v>
      </c>
      <c r="E28">
        <v>403</v>
      </c>
      <c r="F28">
        <v>0</v>
      </c>
      <c r="G28">
        <v>6</v>
      </c>
    </row>
    <row r="29" spans="2:7" x14ac:dyDescent="0.3">
      <c r="B29">
        <v>720</v>
      </c>
      <c r="C29" s="4" t="s">
        <v>367</v>
      </c>
      <c r="D29">
        <v>-35</v>
      </c>
      <c r="E29">
        <v>400</v>
      </c>
      <c r="F29">
        <v>0</v>
      </c>
      <c r="G29">
        <v>5.5</v>
      </c>
    </row>
    <row r="30" spans="2:7" x14ac:dyDescent="0.3">
      <c r="B30">
        <v>720</v>
      </c>
      <c r="C30" s="4" t="s">
        <v>367</v>
      </c>
      <c r="D30">
        <v>-25</v>
      </c>
      <c r="E30">
        <v>400</v>
      </c>
      <c r="F30">
        <v>0</v>
      </c>
      <c r="G30">
        <v>5.5</v>
      </c>
    </row>
    <row r="31" spans="2:7" x14ac:dyDescent="0.3">
      <c r="B31">
        <v>720</v>
      </c>
      <c r="C31" s="4" t="s">
        <v>367</v>
      </c>
      <c r="D31">
        <v>-15</v>
      </c>
      <c r="E31">
        <v>400</v>
      </c>
      <c r="F31">
        <v>0</v>
      </c>
      <c r="G31">
        <v>5.5</v>
      </c>
    </row>
    <row r="32" spans="2:7" x14ac:dyDescent="0.3">
      <c r="B32">
        <v>720</v>
      </c>
      <c r="C32" s="4" t="s">
        <v>367</v>
      </c>
      <c r="D32">
        <v>-5</v>
      </c>
      <c r="E32">
        <v>400</v>
      </c>
      <c r="F32">
        <v>0</v>
      </c>
      <c r="G32">
        <v>5.5</v>
      </c>
    </row>
    <row r="33" spans="2:7" x14ac:dyDescent="0.3">
      <c r="B33">
        <v>720</v>
      </c>
      <c r="C33" s="4" t="s">
        <v>367</v>
      </c>
      <c r="D33">
        <v>5</v>
      </c>
      <c r="E33">
        <v>400</v>
      </c>
      <c r="F33">
        <v>0</v>
      </c>
      <c r="G33">
        <v>5.5</v>
      </c>
    </row>
    <row r="34" spans="2:7" x14ac:dyDescent="0.3">
      <c r="B34">
        <v>720</v>
      </c>
      <c r="C34" s="4" t="s">
        <v>367</v>
      </c>
      <c r="D34">
        <v>15</v>
      </c>
      <c r="E34">
        <v>400</v>
      </c>
      <c r="F34">
        <v>0</v>
      </c>
      <c r="G34">
        <v>5.5</v>
      </c>
    </row>
    <row r="35" spans="2:7" x14ac:dyDescent="0.3">
      <c r="B35">
        <v>720</v>
      </c>
      <c r="C35" s="4" t="s">
        <v>367</v>
      </c>
      <c r="D35">
        <v>25</v>
      </c>
      <c r="E35">
        <v>400</v>
      </c>
      <c r="F35">
        <v>0</v>
      </c>
      <c r="G35">
        <v>5.5</v>
      </c>
    </row>
    <row r="36" spans="2:7" x14ac:dyDescent="0.3">
      <c r="B36">
        <v>720</v>
      </c>
      <c r="C36" s="4" t="s">
        <v>367</v>
      </c>
      <c r="D36">
        <v>35</v>
      </c>
      <c r="E36">
        <v>400</v>
      </c>
      <c r="F36">
        <v>0</v>
      </c>
      <c r="G36">
        <v>5.5</v>
      </c>
    </row>
    <row r="37" spans="2:7" x14ac:dyDescent="0.3">
      <c r="B37">
        <v>721</v>
      </c>
      <c r="C37" s="4" t="s">
        <v>244</v>
      </c>
      <c r="D37">
        <v>-26</v>
      </c>
      <c r="E37">
        <v>402</v>
      </c>
      <c r="F37">
        <v>0</v>
      </c>
      <c r="G37">
        <v>5.5</v>
      </c>
    </row>
    <row r="38" spans="2:7" x14ac:dyDescent="0.3">
      <c r="B38">
        <v>721</v>
      </c>
      <c r="C38" s="4" t="s">
        <v>244</v>
      </c>
      <c r="D38">
        <v>-12</v>
      </c>
      <c r="E38">
        <v>402</v>
      </c>
      <c r="F38">
        <v>0</v>
      </c>
      <c r="G38">
        <v>5.5</v>
      </c>
    </row>
    <row r="39" spans="2:7" x14ac:dyDescent="0.3">
      <c r="B39">
        <v>721</v>
      </c>
      <c r="C39" s="4" t="s">
        <v>244</v>
      </c>
      <c r="D39">
        <v>-7</v>
      </c>
      <c r="E39">
        <v>402</v>
      </c>
      <c r="F39">
        <v>0</v>
      </c>
      <c r="G39">
        <v>5.5</v>
      </c>
    </row>
    <row r="40" spans="2:7" x14ac:dyDescent="0.3">
      <c r="B40">
        <v>721</v>
      </c>
      <c r="C40" s="4" t="s">
        <v>244</v>
      </c>
      <c r="D40">
        <v>1</v>
      </c>
      <c r="E40">
        <v>402</v>
      </c>
      <c r="F40">
        <v>0</v>
      </c>
      <c r="G40">
        <v>5.5</v>
      </c>
    </row>
    <row r="41" spans="2:7" x14ac:dyDescent="0.3">
      <c r="B41">
        <v>721</v>
      </c>
      <c r="C41" s="4" t="s">
        <v>244</v>
      </c>
      <c r="D41">
        <v>5</v>
      </c>
      <c r="E41">
        <v>402</v>
      </c>
      <c r="F41">
        <v>0</v>
      </c>
      <c r="G41">
        <v>5.5</v>
      </c>
    </row>
    <row r="42" spans="2:7" x14ac:dyDescent="0.3">
      <c r="B42">
        <v>721</v>
      </c>
      <c r="C42" s="4" t="s">
        <v>244</v>
      </c>
      <c r="D42">
        <v>10</v>
      </c>
      <c r="E42">
        <v>402</v>
      </c>
      <c r="F42">
        <v>0</v>
      </c>
      <c r="G42">
        <v>5.5</v>
      </c>
    </row>
    <row r="43" spans="2:7" x14ac:dyDescent="0.3">
      <c r="B43">
        <v>721</v>
      </c>
      <c r="C43" s="4" t="s">
        <v>244</v>
      </c>
      <c r="D43">
        <v>14</v>
      </c>
      <c r="E43">
        <v>402</v>
      </c>
      <c r="F43">
        <v>0</v>
      </c>
      <c r="G43">
        <v>5.5</v>
      </c>
    </row>
    <row r="44" spans="2:7" x14ac:dyDescent="0.3">
      <c r="B44">
        <v>721</v>
      </c>
      <c r="C44" s="4" t="s">
        <v>244</v>
      </c>
      <c r="D44">
        <v>22</v>
      </c>
      <c r="E44">
        <v>402</v>
      </c>
      <c r="F44">
        <v>0</v>
      </c>
      <c r="G44">
        <v>5.5</v>
      </c>
    </row>
    <row r="45" spans="2:7" x14ac:dyDescent="0.3">
      <c r="B45">
        <v>722</v>
      </c>
      <c r="C45" s="4" t="s">
        <v>257</v>
      </c>
      <c r="D45">
        <v>28</v>
      </c>
      <c r="E45">
        <v>402</v>
      </c>
      <c r="F45">
        <v>0</v>
      </c>
      <c r="G45">
        <v>5.5</v>
      </c>
    </row>
    <row r="46" spans="2:7" x14ac:dyDescent="0.3">
      <c r="B46">
        <v>722</v>
      </c>
      <c r="C46" s="4" t="s">
        <v>257</v>
      </c>
      <c r="D46">
        <v>12</v>
      </c>
      <c r="E46">
        <v>402</v>
      </c>
      <c r="F46">
        <v>0</v>
      </c>
      <c r="G46">
        <v>5.5</v>
      </c>
    </row>
    <row r="47" spans="2:7" x14ac:dyDescent="0.3">
      <c r="B47">
        <v>722</v>
      </c>
      <c r="C47" s="4" t="s">
        <v>257</v>
      </c>
      <c r="D47">
        <v>0</v>
      </c>
      <c r="E47">
        <v>402</v>
      </c>
      <c r="F47">
        <v>0</v>
      </c>
      <c r="G47">
        <v>5.5</v>
      </c>
    </row>
    <row r="48" spans="2:7" x14ac:dyDescent="0.3">
      <c r="B48">
        <v>722</v>
      </c>
      <c r="C48" s="4" t="s">
        <v>257</v>
      </c>
      <c r="D48">
        <v>-21</v>
      </c>
      <c r="E48">
        <v>402</v>
      </c>
      <c r="F48">
        <v>0</v>
      </c>
      <c r="G48">
        <v>5.5</v>
      </c>
    </row>
    <row r="49" spans="2:7" x14ac:dyDescent="0.3">
      <c r="B49">
        <v>722</v>
      </c>
      <c r="C49" s="4" t="s">
        <v>257</v>
      </c>
      <c r="D49">
        <v>24</v>
      </c>
      <c r="E49">
        <v>402</v>
      </c>
      <c r="F49">
        <v>0</v>
      </c>
      <c r="G49">
        <v>5.5</v>
      </c>
    </row>
    <row r="50" spans="2:7" x14ac:dyDescent="0.3">
      <c r="B50">
        <v>722</v>
      </c>
      <c r="C50" s="4" t="s">
        <v>257</v>
      </c>
      <c r="D50">
        <v>26</v>
      </c>
      <c r="E50">
        <v>402</v>
      </c>
      <c r="F50">
        <v>0</v>
      </c>
      <c r="G50">
        <v>5.5</v>
      </c>
    </row>
    <row r="51" spans="2:7" x14ac:dyDescent="0.3">
      <c r="B51">
        <v>722</v>
      </c>
      <c r="C51" s="4" t="s">
        <v>257</v>
      </c>
      <c r="D51">
        <v>-23</v>
      </c>
      <c r="E51">
        <v>402</v>
      </c>
      <c r="F51">
        <v>0</v>
      </c>
      <c r="G51">
        <v>5.5</v>
      </c>
    </row>
    <row r="52" spans="2:7" x14ac:dyDescent="0.3">
      <c r="B52">
        <v>722</v>
      </c>
      <c r="C52" s="4" t="s">
        <v>257</v>
      </c>
      <c r="D52">
        <v>-17</v>
      </c>
      <c r="E52">
        <v>402</v>
      </c>
      <c r="F52">
        <v>0</v>
      </c>
      <c r="G52">
        <v>5.5</v>
      </c>
    </row>
    <row r="53" spans="2:7" x14ac:dyDescent="0.3">
      <c r="B53">
        <v>723</v>
      </c>
      <c r="C53" s="4" t="s">
        <v>248</v>
      </c>
      <c r="D53">
        <v>-5</v>
      </c>
      <c r="E53">
        <v>402</v>
      </c>
      <c r="F53">
        <v>0</v>
      </c>
      <c r="G53">
        <v>5.5</v>
      </c>
    </row>
    <row r="54" spans="2:7" x14ac:dyDescent="0.3">
      <c r="B54">
        <v>723</v>
      </c>
      <c r="C54" s="4" t="s">
        <v>248</v>
      </c>
      <c r="D54">
        <v>-17</v>
      </c>
      <c r="E54">
        <v>402</v>
      </c>
      <c r="F54">
        <v>0</v>
      </c>
      <c r="G54">
        <v>5.5</v>
      </c>
    </row>
    <row r="55" spans="2:7" x14ac:dyDescent="0.3">
      <c r="B55">
        <v>723</v>
      </c>
      <c r="C55" s="4" t="s">
        <v>248</v>
      </c>
      <c r="D55">
        <v>-10</v>
      </c>
      <c r="E55">
        <v>402</v>
      </c>
      <c r="F55">
        <v>0</v>
      </c>
      <c r="G55">
        <v>5.5</v>
      </c>
    </row>
    <row r="56" spans="2:7" x14ac:dyDescent="0.3">
      <c r="B56">
        <v>723</v>
      </c>
      <c r="C56" s="4" t="s">
        <v>248</v>
      </c>
      <c r="D56">
        <v>3</v>
      </c>
      <c r="E56">
        <v>402</v>
      </c>
      <c r="F56">
        <v>0</v>
      </c>
      <c r="G56">
        <v>5.5</v>
      </c>
    </row>
    <row r="57" spans="2:7" x14ac:dyDescent="0.3">
      <c r="B57">
        <v>723</v>
      </c>
      <c r="C57" s="4" t="s">
        <v>248</v>
      </c>
      <c r="D57">
        <v>15</v>
      </c>
      <c r="E57">
        <v>402</v>
      </c>
      <c r="F57">
        <v>0</v>
      </c>
      <c r="G57">
        <v>5.5</v>
      </c>
    </row>
    <row r="58" spans="2:7" x14ac:dyDescent="0.3">
      <c r="B58">
        <v>723</v>
      </c>
      <c r="C58" s="4" t="s">
        <v>248</v>
      </c>
      <c r="D58">
        <v>23</v>
      </c>
      <c r="E58">
        <v>402</v>
      </c>
      <c r="F58">
        <v>0</v>
      </c>
      <c r="G58">
        <v>5.5</v>
      </c>
    </row>
    <row r="59" spans="2:7" x14ac:dyDescent="0.3">
      <c r="B59">
        <v>723</v>
      </c>
      <c r="C59" s="4" t="s">
        <v>248</v>
      </c>
      <c r="D59">
        <v>-4</v>
      </c>
      <c r="E59">
        <v>402</v>
      </c>
      <c r="F59">
        <v>0</v>
      </c>
      <c r="G59">
        <v>5.5</v>
      </c>
    </row>
    <row r="60" spans="2:7" x14ac:dyDescent="0.3">
      <c r="B60">
        <v>723</v>
      </c>
      <c r="C60" s="4" t="s">
        <v>248</v>
      </c>
      <c r="D60">
        <v>-8</v>
      </c>
      <c r="E60">
        <v>402</v>
      </c>
      <c r="F60">
        <v>0</v>
      </c>
      <c r="G60">
        <v>5.5</v>
      </c>
    </row>
    <row r="61" spans="2:7" x14ac:dyDescent="0.3">
      <c r="B61">
        <v>724</v>
      </c>
      <c r="C61" s="4" t="s">
        <v>169</v>
      </c>
      <c r="D61">
        <v>-30</v>
      </c>
      <c r="E61">
        <v>402</v>
      </c>
      <c r="F61">
        <v>0</v>
      </c>
      <c r="G61">
        <v>6.5</v>
      </c>
    </row>
    <row r="62" spans="2:7" x14ac:dyDescent="0.3">
      <c r="B62">
        <v>724</v>
      </c>
      <c r="C62" s="4" t="s">
        <v>169</v>
      </c>
      <c r="D62">
        <v>0</v>
      </c>
      <c r="E62">
        <v>402</v>
      </c>
      <c r="F62">
        <v>0</v>
      </c>
      <c r="G62">
        <v>6.5</v>
      </c>
    </row>
    <row r="63" spans="2:7" x14ac:dyDescent="0.3">
      <c r="B63">
        <v>724</v>
      </c>
      <c r="C63" s="4" t="s">
        <v>169</v>
      </c>
      <c r="D63">
        <v>30</v>
      </c>
      <c r="E63">
        <v>402</v>
      </c>
      <c r="F63">
        <v>0</v>
      </c>
      <c r="G63">
        <v>6.5</v>
      </c>
    </row>
    <row r="64" spans="2:7" x14ac:dyDescent="0.3">
      <c r="B64">
        <v>725</v>
      </c>
      <c r="C64" s="23" t="s">
        <v>451</v>
      </c>
      <c r="D64">
        <v>0</v>
      </c>
      <c r="E64">
        <v>401</v>
      </c>
      <c r="F64">
        <v>0</v>
      </c>
      <c r="G64">
        <v>6.5</v>
      </c>
    </row>
    <row r="65" spans="2:7" x14ac:dyDescent="0.3">
      <c r="B65">
        <v>725</v>
      </c>
      <c r="C65" s="23" t="s">
        <v>451</v>
      </c>
      <c r="D65">
        <v>90</v>
      </c>
      <c r="E65">
        <v>401</v>
      </c>
      <c r="F65">
        <v>0</v>
      </c>
      <c r="G65">
        <v>6.5</v>
      </c>
    </row>
    <row r="66" spans="2:7" x14ac:dyDescent="0.3">
      <c r="B66">
        <v>725</v>
      </c>
      <c r="C66" s="23" t="s">
        <v>450</v>
      </c>
      <c r="D66">
        <v>180</v>
      </c>
      <c r="E66">
        <v>401</v>
      </c>
      <c r="F66">
        <v>0</v>
      </c>
      <c r="G66">
        <v>6.5</v>
      </c>
    </row>
    <row r="67" spans="2:7" x14ac:dyDescent="0.3">
      <c r="B67">
        <v>725</v>
      </c>
      <c r="C67" s="23" t="s">
        <v>450</v>
      </c>
      <c r="D67">
        <v>-90</v>
      </c>
      <c r="E67">
        <v>401</v>
      </c>
      <c r="F67">
        <v>0</v>
      </c>
      <c r="G67">
        <v>6.5</v>
      </c>
    </row>
    <row r="68" spans="2:7" x14ac:dyDescent="0.3">
      <c r="B68">
        <v>725</v>
      </c>
      <c r="C68" s="23" t="s">
        <v>450</v>
      </c>
      <c r="D68">
        <v>45</v>
      </c>
      <c r="E68">
        <v>401</v>
      </c>
      <c r="F68">
        <v>0</v>
      </c>
      <c r="G68">
        <v>6.5</v>
      </c>
    </row>
    <row r="69" spans="2:7" x14ac:dyDescent="0.3">
      <c r="B69">
        <v>725</v>
      </c>
      <c r="C69" s="23" t="s">
        <v>450</v>
      </c>
      <c r="D69">
        <v>-45</v>
      </c>
      <c r="E69">
        <v>401</v>
      </c>
      <c r="F69">
        <v>0</v>
      </c>
      <c r="G69">
        <v>6.5</v>
      </c>
    </row>
    <row r="70" spans="2:7" x14ac:dyDescent="0.3">
      <c r="B70">
        <v>725</v>
      </c>
      <c r="C70" s="23" t="s">
        <v>450</v>
      </c>
      <c r="D70">
        <v>135</v>
      </c>
      <c r="E70">
        <v>401</v>
      </c>
      <c r="F70">
        <v>0</v>
      </c>
      <c r="G70">
        <v>6.5</v>
      </c>
    </row>
    <row r="71" spans="2:7" x14ac:dyDescent="0.3">
      <c r="B71">
        <v>725</v>
      </c>
      <c r="C71" s="23" t="s">
        <v>450</v>
      </c>
      <c r="D71">
        <v>-135</v>
      </c>
      <c r="E71">
        <v>401</v>
      </c>
      <c r="F71">
        <v>0</v>
      </c>
      <c r="G71">
        <v>6.5</v>
      </c>
    </row>
    <row r="72" spans="2:7" x14ac:dyDescent="0.3">
      <c r="B72">
        <v>726</v>
      </c>
      <c r="C72" s="29" t="s">
        <v>359</v>
      </c>
      <c r="D72">
        <v>0</v>
      </c>
      <c r="E72">
        <v>404</v>
      </c>
      <c r="F72">
        <v>1</v>
      </c>
      <c r="G72">
        <v>6.5</v>
      </c>
    </row>
    <row r="73" spans="2:7" x14ac:dyDescent="0.3">
      <c r="B73">
        <v>999</v>
      </c>
      <c r="C73" s="28" t="s">
        <v>489</v>
      </c>
      <c r="D73">
        <v>0</v>
      </c>
      <c r="E73">
        <v>999</v>
      </c>
      <c r="F73">
        <v>8</v>
      </c>
      <c r="G73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11" sqref="E11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48</v>
      </c>
      <c r="C1" t="s">
        <v>51</v>
      </c>
      <c r="D1" t="s">
        <v>136</v>
      </c>
      <c r="E1" t="s">
        <v>103</v>
      </c>
      <c r="F1" t="s">
        <v>48</v>
      </c>
      <c r="G1" t="s">
        <v>102</v>
      </c>
    </row>
    <row r="2" spans="2:7" x14ac:dyDescent="0.3">
      <c r="B2" t="s">
        <v>78</v>
      </c>
      <c r="C2" s="6" t="s">
        <v>45</v>
      </c>
      <c r="D2" t="s">
        <v>355</v>
      </c>
      <c r="E2" t="s">
        <v>183</v>
      </c>
      <c r="F2" t="s">
        <v>325</v>
      </c>
      <c r="G2" t="s">
        <v>332</v>
      </c>
    </row>
    <row r="3" spans="2:7" x14ac:dyDescent="0.3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395</v>
      </c>
    </row>
    <row r="4" spans="2:7" x14ac:dyDescent="0.3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393</v>
      </c>
    </row>
    <row r="5" spans="2:7" x14ac:dyDescent="0.3">
      <c r="B5">
        <v>501</v>
      </c>
      <c r="C5" s="4" t="s">
        <v>163</v>
      </c>
      <c r="D5" s="3" t="b">
        <v>0</v>
      </c>
      <c r="E5">
        <v>1</v>
      </c>
      <c r="F5">
        <v>60</v>
      </c>
      <c r="G5" t="s">
        <v>393</v>
      </c>
    </row>
    <row r="6" spans="2:7" x14ac:dyDescent="0.3">
      <c r="B6">
        <v>400</v>
      </c>
      <c r="C6" s="4" t="s">
        <v>137</v>
      </c>
      <c r="D6" s="3" t="b">
        <v>0</v>
      </c>
      <c r="E6">
        <v>0.25</v>
      </c>
      <c r="F6">
        <v>25</v>
      </c>
      <c r="G6" t="s">
        <v>393</v>
      </c>
    </row>
    <row r="7" spans="2:7" x14ac:dyDescent="0.3">
      <c r="B7">
        <v>401</v>
      </c>
      <c r="C7" s="4" t="s">
        <v>368</v>
      </c>
      <c r="D7" s="3" t="b">
        <v>1</v>
      </c>
      <c r="E7">
        <v>0.25</v>
      </c>
      <c r="F7">
        <v>25</v>
      </c>
      <c r="G7" t="s">
        <v>393</v>
      </c>
    </row>
    <row r="8" spans="2:7" x14ac:dyDescent="0.3">
      <c r="B8">
        <v>402</v>
      </c>
      <c r="C8" s="4" t="s">
        <v>134</v>
      </c>
      <c r="D8" s="3" t="b">
        <v>0</v>
      </c>
      <c r="E8">
        <v>0.4</v>
      </c>
      <c r="F8">
        <v>25</v>
      </c>
      <c r="G8" t="s">
        <v>393</v>
      </c>
    </row>
    <row r="9" spans="2:7" x14ac:dyDescent="0.3">
      <c r="B9">
        <v>403</v>
      </c>
      <c r="C9" s="23" t="s">
        <v>495</v>
      </c>
      <c r="D9" s="3" t="b">
        <v>0</v>
      </c>
      <c r="E9">
        <v>0.8</v>
      </c>
      <c r="F9">
        <v>25</v>
      </c>
      <c r="G9" t="s">
        <v>393</v>
      </c>
    </row>
    <row r="10" spans="2:7" x14ac:dyDescent="0.3">
      <c r="B10">
        <v>404</v>
      </c>
      <c r="C10" s="23" t="s">
        <v>496</v>
      </c>
      <c r="D10" s="3" t="b">
        <v>1</v>
      </c>
      <c r="E10">
        <v>0.8</v>
      </c>
      <c r="F10">
        <v>25</v>
      </c>
      <c r="G10" t="s">
        <v>393</v>
      </c>
    </row>
    <row r="11" spans="2:7" x14ac:dyDescent="0.3">
      <c r="B11">
        <v>999</v>
      </c>
      <c r="C11" s="28" t="s">
        <v>490</v>
      </c>
      <c r="D11" t="b">
        <v>1</v>
      </c>
      <c r="E11">
        <v>1</v>
      </c>
      <c r="F11">
        <v>25</v>
      </c>
      <c r="G11" s="26" t="s">
        <v>543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D7" sqref="D7"/>
    </sheetView>
  </sheetViews>
  <sheetFormatPr defaultColWidth="8.875" defaultRowHeight="16.5" x14ac:dyDescent="0.3"/>
  <cols>
    <col min="2" max="2" width="8.625" bestFit="1" customWidth="1"/>
    <col min="3" max="3" width="15.125" customWidth="1"/>
    <col min="4" max="4" width="94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625" customWidth="1"/>
    <col min="14" max="14" width="24.375" customWidth="1"/>
    <col min="15" max="16" width="64.5" customWidth="1"/>
  </cols>
  <sheetData>
    <row r="1" spans="2:17" x14ac:dyDescent="0.3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 x14ac:dyDescent="0.3">
      <c r="B2" t="s">
        <v>78</v>
      </c>
      <c r="C2" t="s">
        <v>82</v>
      </c>
      <c r="D2" t="s">
        <v>178</v>
      </c>
      <c r="E2" t="s">
        <v>304</v>
      </c>
      <c r="F2" t="s">
        <v>91</v>
      </c>
      <c r="G2" t="s">
        <v>95</v>
      </c>
      <c r="H2" t="s">
        <v>305</v>
      </c>
      <c r="I2" t="s">
        <v>16</v>
      </c>
      <c r="J2" t="s">
        <v>208</v>
      </c>
      <c r="K2" s="6" t="s">
        <v>383</v>
      </c>
      <c r="L2" s="1" t="s">
        <v>51</v>
      </c>
      <c r="M2" s="1" t="s">
        <v>427</v>
      </c>
      <c r="N2" s="1" t="s">
        <v>428</v>
      </c>
      <c r="O2" s="1" t="s">
        <v>429</v>
      </c>
      <c r="P2" s="34" t="s">
        <v>535</v>
      </c>
      <c r="Q2" s="34" t="s">
        <v>522</v>
      </c>
    </row>
    <row r="3" spans="2:17" x14ac:dyDescent="0.3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0"/>
      <c r="M3" s="20"/>
      <c r="N3" s="20"/>
      <c r="O3" s="20"/>
      <c r="P3" s="20"/>
      <c r="Q3" s="20" t="str">
        <f>IF(ItemTable[[#This Row],['#4]]=ItemTable[[#This Row],[Desc]],"T","F")</f>
        <v>T</v>
      </c>
    </row>
    <row r="4" spans="2:17" x14ac:dyDescent="0.3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0"/>
      <c r="M4" s="20"/>
      <c r="N4" s="20"/>
      <c r="O4" s="20"/>
      <c r="P4" s="20"/>
      <c r="Q4" s="20" t="str">
        <f>IF(ItemTable[[#This Row],['#4]]=ItemTable[[#This Row],[Desc]],"T","F")</f>
        <v>T</v>
      </c>
    </row>
    <row r="5" spans="2:17" x14ac:dyDescent="0.3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0"/>
      <c r="M5" s="20"/>
      <c r="N5" s="20"/>
      <c r="O5" s="20"/>
      <c r="P5" s="20"/>
      <c r="Q5" s="20" t="str">
        <f>IF(ItemTable[[#This Row],['#4]]=ItemTable[[#This Row],[Desc]],"T","F")</f>
        <v>T</v>
      </c>
    </row>
    <row r="6" spans="2:17" x14ac:dyDescent="0.3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0"/>
      <c r="M6" s="20"/>
      <c r="N6" s="20"/>
      <c r="O6" s="20"/>
      <c r="P6" s="20"/>
      <c r="Q6" s="20" t="str">
        <f>IF(ItemTable[[#This Row],['#4]]=ItemTable[[#This Row],[Desc]],"T","F")</f>
        <v>T</v>
      </c>
    </row>
    <row r="7" spans="2:17" x14ac:dyDescent="0.3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0"/>
      <c r="M7" s="20"/>
      <c r="N7" s="20"/>
      <c r="O7" s="20"/>
      <c r="P7" s="20"/>
      <c r="Q7" s="20" t="str">
        <f>IF(ItemTable[[#This Row],['#4]]=ItemTable[[#This Row],[Desc]],"T","F")</f>
        <v>T</v>
      </c>
    </row>
    <row r="8" spans="2:17" x14ac:dyDescent="0.3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365</v>
      </c>
      <c r="D8" s="19" t="s">
        <v>431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272</v>
      </c>
      <c r="K8" s="4" t="str">
        <f>MID(ItemTable[[#This Row],[ItemIconPath]],FIND("icon",ItemTable[[#This Row],[ItemIconPath]]),999)</f>
        <v>icon/item/item_02.png</v>
      </c>
      <c r="L8" s="21" t="s">
        <v>414</v>
      </c>
      <c r="M8" s="20" t="s">
        <v>384</v>
      </c>
      <c r="N8" s="20"/>
      <c r="O8" s="20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0"/>
      <c r="Q8" s="20" t="str">
        <f>IF(ItemTable[[#This Row],['#4]]=ItemTable[[#This Row],[Desc]],"T","F")</f>
        <v>T</v>
      </c>
    </row>
    <row r="9" spans="2:17" x14ac:dyDescent="0.3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170</v>
      </c>
      <c r="D9" t="s">
        <v>432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275</v>
      </c>
      <c r="K9" s="4" t="str">
        <f>MID(ItemTable[[#This Row],[ItemIconPath]],FIND("icon",ItemTable[[#This Row],[ItemIconPath]]),999)</f>
        <v>icon/item/item_04.png</v>
      </c>
      <c r="L9" s="21" t="s">
        <v>430</v>
      </c>
      <c r="M9" s="20" t="s">
        <v>391</v>
      </c>
      <c r="N9" s="20"/>
      <c r="O9" s="20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0"/>
      <c r="Q9" s="20" t="str">
        <f>IF(ItemTable[[#This Row],['#4]]=ItemTable[[#This Row],[Desc]],"T","F")</f>
        <v>T</v>
      </c>
    </row>
    <row r="10" spans="2:17" x14ac:dyDescent="0.3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173</v>
      </c>
      <c r="D10" t="s">
        <v>433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269</v>
      </c>
      <c r="K10" s="4" t="str">
        <f>MID(ItemTable[[#This Row],[ItemIconPath]],FIND("icon",ItemTable[[#This Row],[ItemIconPath]]),999)</f>
        <v>icon/item/item_05.png</v>
      </c>
      <c r="L10" s="21" t="s">
        <v>412</v>
      </c>
      <c r="M10" s="20" t="s">
        <v>380</v>
      </c>
      <c r="N10" s="20"/>
      <c r="O10" s="20" t="str">
        <f t="shared" si="0"/>
        <v>얼.죽.아 클럽의 새로운 유행입니다.\n\n&lt;size=20&gt;&lt;color=#97C456&gt;차징속도 +20%&lt;/color&gt;&lt;/size&gt;</v>
      </c>
      <c r="P10" s="20"/>
      <c r="Q10" s="20" t="str">
        <f>IF(ItemTable[[#This Row],['#4]]=ItemTable[[#This Row],[Desc]],"T","F")</f>
        <v>T</v>
      </c>
    </row>
    <row r="11" spans="2:17" x14ac:dyDescent="0.3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172</v>
      </c>
      <c r="D11" t="s">
        <v>434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267</v>
      </c>
      <c r="K11" s="4" t="str">
        <f>MID(ItemTable[[#This Row],[ItemIconPath]],FIND("icon",ItemTable[[#This Row],[ItemIconPath]]),999)</f>
        <v>icon/item/item_07.png</v>
      </c>
      <c r="L11" s="21" t="s">
        <v>413</v>
      </c>
      <c r="M11" s="20" t="s">
        <v>379</v>
      </c>
      <c r="N11" s="20"/>
      <c r="O11" s="20" t="str">
        <f t="shared" si="0"/>
        <v>배트 이외의 물건에 사용하지 마시오\nQT추출물 0.0006% 함유\nQT향 0.1%함유\n\n&lt;size=20&gt;&lt;color=#97C456&gt;공 충돌횟수 +1&lt;/color&gt;&lt;/size&gt;</v>
      </c>
      <c r="P11" s="20"/>
      <c r="Q11" s="20" t="str">
        <f>IF(ItemTable[[#This Row],['#4]]=ItemTable[[#This Row],[Desc]],"T","F")</f>
        <v>T</v>
      </c>
    </row>
    <row r="12" spans="2:17" x14ac:dyDescent="0.3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168</v>
      </c>
      <c r="D12" s="18" t="s">
        <v>539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270</v>
      </c>
      <c r="K12" s="4" t="str">
        <f>MID(ItemTable[[#This Row],[ItemIconPath]],FIND("icon",ItemTable[[#This Row],[ItemIconPath]]),999)</f>
        <v>icon/item/item_11.png</v>
      </c>
      <c r="L12" s="21" t="s">
        <v>538</v>
      </c>
      <c r="M12" s="21" t="s">
        <v>529</v>
      </c>
      <c r="N12" s="20"/>
      <c r="O12" s="20" t="str">
        <f t="shared" si="0"/>
        <v>시크한 표정이 매력적입니다.\n세 나라 이야기의 붉은 목마 입니다.\n\n&lt;size=20&gt;&lt;color=#97C456&gt;이동속도 +6&lt;/color&gt;&lt;/size&gt;</v>
      </c>
      <c r="P12" s="20"/>
      <c r="Q12" s="20" t="str">
        <f>IF(ItemTable[[#This Row],['#4]]=ItemTable[[#This Row],[Desc]],"T","F")</f>
        <v>T</v>
      </c>
    </row>
    <row r="13" spans="2:17" x14ac:dyDescent="0.3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176</v>
      </c>
      <c r="D13" t="s">
        <v>435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271</v>
      </c>
      <c r="K13" s="4" t="str">
        <f>MID(ItemTable[[#This Row],[ItemIconPath]],FIND("icon",ItemTable[[#This Row],[ItemIconPath]]),999)</f>
        <v>icon/item/item_15.png</v>
      </c>
      <c r="L13" s="21" t="s">
        <v>426</v>
      </c>
      <c r="M13" s="20" t="s">
        <v>377</v>
      </c>
      <c r="N13" s="20"/>
      <c r="O13" s="20" t="str">
        <f t="shared" si="0"/>
        <v>대나무 향을 머금은 흰 밥이\n까만 김을 만나 완성된 환상적인 조합.\n\n&lt;size=20&gt;&lt;color=#97C456&gt;최대 체력 +1하트&lt;/color&gt;&lt;/size&gt;</v>
      </c>
      <c r="P13" s="20"/>
      <c r="Q13" s="20" t="str">
        <f>IF(ItemTable[[#This Row],['#4]]=ItemTable[[#This Row],[Desc]],"T","F")</f>
        <v>T</v>
      </c>
    </row>
    <row r="14" spans="2:17" x14ac:dyDescent="0.3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6" t="s">
        <v>541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273</v>
      </c>
      <c r="K14" s="4" t="str">
        <f>MID(ItemTable[[#This Row],[ItemIconPath]],FIND("icon",ItemTable[[#This Row],[ItemIconPath]]),999)</f>
        <v>icon/item/item_17.png</v>
      </c>
      <c r="L14" s="21" t="s">
        <v>444</v>
      </c>
      <c r="M14" s="21" t="s">
        <v>530</v>
      </c>
      <c r="N14" s="20"/>
      <c r="O14" s="20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1" t="s">
        <v>540</v>
      </c>
      <c r="Q14" s="20" t="str">
        <f>IF(ItemTable[[#This Row],['#4]]=ItemTable[[#This Row],[Desc]],"T","F")</f>
        <v>T</v>
      </c>
    </row>
    <row r="15" spans="2:17" x14ac:dyDescent="0.3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9" t="s">
        <v>415</v>
      </c>
      <c r="D15" t="s">
        <v>445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276</v>
      </c>
      <c r="K15" s="4" t="str">
        <f>MID(ItemTable[[#This Row],[ItemIconPath]],FIND("icon",ItemTable[[#This Row],[ItemIconPath]]),999)</f>
        <v>icon/item/item_12.png</v>
      </c>
      <c r="L15" s="21" t="s">
        <v>443</v>
      </c>
      <c r="M15" s="20" t="s">
        <v>37</v>
      </c>
      <c r="N15" s="20"/>
      <c r="O15" s="20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0"/>
      <c r="Q15" s="20" t="str">
        <f>IF(ItemTable[[#This Row],['#4]]=ItemTable[[#This Row],[Desc]],"T","F")</f>
        <v>T</v>
      </c>
    </row>
    <row r="16" spans="2:17" x14ac:dyDescent="0.3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533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278</v>
      </c>
      <c r="K16" s="4" t="str">
        <f>MID(ItemTable[[#This Row],[ItemIconPath]],FIND("icon",ItemTable[[#This Row],[ItemIconPath]]),999)</f>
        <v>icon/item/item_09.png</v>
      </c>
      <c r="L16" s="21" t="s">
        <v>425</v>
      </c>
      <c r="M16" s="21" t="s">
        <v>532</v>
      </c>
      <c r="N16" s="20"/>
      <c r="O16" s="20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20"/>
      <c r="Q16" s="20" t="str">
        <f>IF(ItemTable[[#This Row],['#4]]=ItemTable[[#This Row],[Desc]],"T","F")</f>
        <v>T</v>
      </c>
    </row>
    <row r="17" spans="2:17" x14ac:dyDescent="0.3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362</v>
      </c>
      <c r="D17" t="s">
        <v>436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279</v>
      </c>
      <c r="K17" s="4" t="str">
        <f>MID(ItemTable[[#This Row],[ItemIconPath]],FIND("icon",ItemTable[[#This Row],[ItemIconPath]]),999)</f>
        <v>icon/item/item_10.png</v>
      </c>
      <c r="L17" s="21" t="s">
        <v>416</v>
      </c>
      <c r="M17" s="20" t="s">
        <v>376</v>
      </c>
      <c r="N17" s="20"/>
      <c r="O17" s="20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0"/>
      <c r="Q17" s="20" t="str">
        <f>IF(ItemTable[[#This Row],['#4]]=ItemTable[[#This Row],[Desc]],"T","F")</f>
        <v>T</v>
      </c>
    </row>
    <row r="18" spans="2:17" x14ac:dyDescent="0.3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382</v>
      </c>
      <c r="D18" t="s">
        <v>437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280</v>
      </c>
      <c r="K18" s="4" t="str">
        <f>MID(ItemTable[[#This Row],[ItemIconPath]],FIND("icon",ItemTable[[#This Row],[ItemIconPath]]),999)</f>
        <v>icon/item/item_16.png</v>
      </c>
      <c r="L18" s="21" t="s">
        <v>420</v>
      </c>
      <c r="M18" s="20" t="s">
        <v>378</v>
      </c>
      <c r="N18" s="20"/>
      <c r="O18" s="20" t="str">
        <f t="shared" si="0"/>
        <v>종교적인 용도로 보이는 컵입니다.\n잠깐, 방금 조금 움직인 것 같은데요?\n\n&lt;size=20&gt;&lt;color=#97C456&gt;공 충돌횟수 +2&lt;/color&gt;&lt;/size&gt;</v>
      </c>
      <c r="P18" s="20"/>
      <c r="Q18" s="20" t="str">
        <f>IF(ItemTable[[#This Row],['#4]]=ItemTable[[#This Row],[Desc]],"T","F")</f>
        <v>T</v>
      </c>
    </row>
    <row r="19" spans="2:17" x14ac:dyDescent="0.3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179</v>
      </c>
      <c r="D19" t="s">
        <v>438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283</v>
      </c>
      <c r="K19" s="4" t="str">
        <f>MID(ItemTable[[#This Row],[ItemIconPath]],FIND("icon",ItemTable[[#This Row],[ItemIconPath]]),999)</f>
        <v>icon/item/item_03.png</v>
      </c>
      <c r="L19" s="21" t="s">
        <v>417</v>
      </c>
      <c r="M19" s="21" t="s">
        <v>421</v>
      </c>
      <c r="N19" s="20"/>
      <c r="O19" s="20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0"/>
      <c r="Q19" s="20" t="str">
        <f>IF(ItemTable[[#This Row],['#4]]=ItemTable[[#This Row],[Desc]],"T","F")</f>
        <v>T</v>
      </c>
    </row>
    <row r="20" spans="2:17" x14ac:dyDescent="0.3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171</v>
      </c>
      <c r="D20" t="s">
        <v>439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295</v>
      </c>
      <c r="K20" s="4" t="str">
        <f>MID(ItemTable[[#This Row],[ItemIconPath]],FIND("icon",ItemTable[[#This Row],[ItemIconPath]]),999)</f>
        <v>icon/item/item_06.png</v>
      </c>
      <c r="L20" s="21" t="s">
        <v>424</v>
      </c>
      <c r="M20" s="20" t="s">
        <v>390</v>
      </c>
      <c r="N20" s="20" t="s">
        <v>386</v>
      </c>
      <c r="O20" s="20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0"/>
      <c r="Q20" s="20" t="str">
        <f>IF(ItemTable[[#This Row],['#4]]=ItemTable[[#This Row],[Desc]],"T","F")</f>
        <v>T</v>
      </c>
    </row>
    <row r="21" spans="2:17" x14ac:dyDescent="0.3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167</v>
      </c>
      <c r="D21" t="s">
        <v>440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298</v>
      </c>
      <c r="K21" s="4" t="str">
        <f>MID(ItemTable[[#This Row],[ItemIconPath]],FIND("icon",ItemTable[[#This Row],[ItemIconPath]]),999)</f>
        <v>icon/item/item_08.png</v>
      </c>
      <c r="L21" s="21" t="s">
        <v>418</v>
      </c>
      <c r="M21" s="20" t="s">
        <v>385</v>
      </c>
      <c r="N21" s="20" t="s">
        <v>387</v>
      </c>
      <c r="O21" s="20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0"/>
      <c r="Q21" s="20" t="str">
        <f>IF(ItemTable[[#This Row],['#4]]=ItemTable[[#This Row],[Desc]],"T","F")</f>
        <v>T</v>
      </c>
    </row>
    <row r="22" spans="2:17" x14ac:dyDescent="0.3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372</v>
      </c>
      <c r="D22" t="s">
        <v>536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296</v>
      </c>
      <c r="K22" s="4" t="str">
        <f>MID(ItemTable[[#This Row],[ItemIconPath]],FIND("icon",ItemTable[[#This Row],[ItemIconPath]]),999)</f>
        <v>icon/item/item_14.png</v>
      </c>
      <c r="L22" s="21" t="s">
        <v>423</v>
      </c>
      <c r="M22" s="21" t="s">
        <v>521</v>
      </c>
      <c r="N22" s="20" t="s">
        <v>258</v>
      </c>
      <c r="O22" s="20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1" t="s">
        <v>537</v>
      </c>
      <c r="Q22" s="20" t="str">
        <f>IF(ItemTable[[#This Row],['#4]]=ItemTable[[#This Row],[Desc]],"T","F")</f>
        <v>F</v>
      </c>
    </row>
    <row r="23" spans="2:17" x14ac:dyDescent="0.3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363</v>
      </c>
      <c r="D23" t="s">
        <v>441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297</v>
      </c>
      <c r="K23" s="4" t="str">
        <f>MID(ItemTable[[#This Row],[ItemIconPath]],FIND("icon",ItemTable[[#This Row],[ItemIconPath]]),999)</f>
        <v>icon/item/item_01.png</v>
      </c>
      <c r="L23" s="21" t="s">
        <v>419</v>
      </c>
      <c r="M23" s="20" t="s">
        <v>381</v>
      </c>
      <c r="N23" s="20" t="s">
        <v>389</v>
      </c>
      <c r="O23" s="20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0"/>
      <c r="Q23" s="20" t="str">
        <f>IF(ItemTable[[#This Row],['#4]]=ItemTable[[#This Row],[Desc]],"T","F")</f>
        <v>T</v>
      </c>
    </row>
    <row r="24" spans="2:17" x14ac:dyDescent="0.3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19" t="s">
        <v>542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277</v>
      </c>
      <c r="K24" s="4" t="str">
        <f>MID(ItemTable[[#This Row],[ItemIconPath]],FIND("icon",ItemTable[[#This Row],[ItemIconPath]]),999)</f>
        <v>icon/item/item_13.png</v>
      </c>
      <c r="L24" s="21" t="s">
        <v>442</v>
      </c>
      <c r="M24" s="21" t="s">
        <v>422</v>
      </c>
      <c r="N24" s="20" t="s">
        <v>392</v>
      </c>
      <c r="O24" s="20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0"/>
      <c r="Q24" s="20" t="str">
        <f>IF(ItemTable[[#This Row],['#4]]=ItemTable[[#This Row],[Desc]],"T","F")</f>
        <v>F</v>
      </c>
    </row>
    <row r="26" spans="2:17" x14ac:dyDescent="0.3">
      <c r="I26" s="19"/>
    </row>
    <row r="27" spans="2:17" x14ac:dyDescent="0.3">
      <c r="I27" s="19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E1" zoomScaleNormal="75" zoomScaleSheetLayoutView="100" workbookViewId="0">
      <selection activeCell="M14" sqref="M14"/>
    </sheetView>
  </sheetViews>
  <sheetFormatPr defaultColWidth="8.875" defaultRowHeight="16.5" x14ac:dyDescent="0.3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1" customWidth="1"/>
    <col min="16" max="17" width="20.375" customWidth="1"/>
    <col min="18" max="19" width="17.125" customWidth="1"/>
  </cols>
  <sheetData>
    <row r="1" spans="2:19" x14ac:dyDescent="0.3">
      <c r="E1" t="s">
        <v>48</v>
      </c>
      <c r="F1" t="s">
        <v>129</v>
      </c>
      <c r="G1" t="s">
        <v>102</v>
      </c>
      <c r="J1" t="s">
        <v>102</v>
      </c>
      <c r="K1" t="s">
        <v>129</v>
      </c>
      <c r="L1" t="s">
        <v>129</v>
      </c>
      <c r="M1" s="11" t="s">
        <v>155</v>
      </c>
      <c r="N1" s="11"/>
      <c r="P1" s="11"/>
      <c r="Q1" s="11"/>
    </row>
    <row r="2" spans="2:19" x14ac:dyDescent="0.3">
      <c r="B2" s="6" t="s">
        <v>127</v>
      </c>
      <c r="C2" s="6" t="s">
        <v>130</v>
      </c>
      <c r="D2" s="6" t="s">
        <v>132</v>
      </c>
      <c r="E2" t="s">
        <v>78</v>
      </c>
      <c r="F2" t="s">
        <v>306</v>
      </c>
      <c r="G2" t="s">
        <v>361</v>
      </c>
      <c r="H2" s="6" t="s">
        <v>126</v>
      </c>
      <c r="I2" s="6" t="s">
        <v>174</v>
      </c>
      <c r="J2" t="s">
        <v>300</v>
      </c>
      <c r="K2" t="s">
        <v>13</v>
      </c>
      <c r="L2" t="s">
        <v>301</v>
      </c>
      <c r="M2" s="6" t="s">
        <v>151</v>
      </c>
      <c r="N2" s="6" t="s">
        <v>160</v>
      </c>
      <c r="O2" s="6" t="s">
        <v>250</v>
      </c>
      <c r="P2" s="2" t="s">
        <v>159</v>
      </c>
      <c r="Q2" s="6" t="s">
        <v>148</v>
      </c>
      <c r="R2" s="15" t="s">
        <v>158</v>
      </c>
      <c r="S2" s="15" t="s">
        <v>161</v>
      </c>
    </row>
    <row r="3" spans="2:19" x14ac:dyDescent="0.3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373</v>
      </c>
      <c r="G3" s="12" t="s">
        <v>233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384</v>
      </c>
      <c r="J3">
        <v>0.7</v>
      </c>
      <c r="K3" t="s">
        <v>374</v>
      </c>
      <c r="L3" t="s">
        <v>177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3" s="16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0.55999999999999994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16.000000000000007</v>
      </c>
      <c r="R3" s="5">
        <f t="array" ref="R3">SUM(IF($E$3:$E$56=E3,$Q$3:$Q$56))</f>
        <v>16.000000000000007</v>
      </c>
      <c r="S3" s="5">
        <f>INDEX(표9[],MATCH(ItemEffectTable[[#This Row],['#Grade]],표9[#Headers],0))-ItemEffectTable[[#This Row],['#총 효력가치]]</f>
        <v>13.999999999999993</v>
      </c>
    </row>
    <row r="4" spans="2:19" x14ac:dyDescent="0.3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373</v>
      </c>
      <c r="G4" s="12" t="s">
        <v>341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391</v>
      </c>
      <c r="J4">
        <v>1.2</v>
      </c>
      <c r="K4" s="12" t="s">
        <v>374</v>
      </c>
      <c r="L4" t="s">
        <v>177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2.5</v>
      </c>
      <c r="O4" s="16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32.608695652173914</v>
      </c>
      <c r="R4" s="5">
        <f t="array" ref="R4">SUM(IF($E$3:$E$56=E4,$Q$3:$Q$56))</f>
        <v>32.608695652173914</v>
      </c>
      <c r="S4" s="5">
        <f>INDEX(표9[],MATCH(ItemEffectTable[[#This Row],['#Grade]],표9[#Headers],0))-ItemEffectTable[[#This Row],['#총 효력가치]]</f>
        <v>-2.608695652173914</v>
      </c>
    </row>
    <row r="5" spans="2:19" x14ac:dyDescent="0.3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373</v>
      </c>
      <c r="G5" s="12" t="s">
        <v>364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380</v>
      </c>
      <c r="J5">
        <v>0.8</v>
      </c>
      <c r="K5" t="s">
        <v>374</v>
      </c>
      <c r="L5" t="s">
        <v>177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5" s="16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0.64000000000000012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23.999999999999989</v>
      </c>
      <c r="R5" s="5">
        <f t="array" ref="R5">SUM(IF($E$3:$E$56=E5,$Q$3:$Q$56))</f>
        <v>23.999999999999989</v>
      </c>
      <c r="S5" s="5">
        <f>INDEX(표9[],MATCH(ItemEffectTable[[#This Row],['#Grade]],표9[#Headers],0))-ItemEffectTable[[#This Row],['#총 효력가치]]</f>
        <v>6.0000000000000107</v>
      </c>
    </row>
    <row r="6" spans="2:19" x14ac:dyDescent="0.3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373</v>
      </c>
      <c r="G6" s="12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379</v>
      </c>
      <c r="J6">
        <v>1</v>
      </c>
      <c r="K6" t="s">
        <v>371</v>
      </c>
      <c r="L6" t="s">
        <v>177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6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x14ac:dyDescent="0.3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373</v>
      </c>
      <c r="G7" s="12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379</v>
      </c>
      <c r="J7">
        <v>1</v>
      </c>
      <c r="K7" t="s">
        <v>371</v>
      </c>
      <c r="L7" t="s">
        <v>177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6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x14ac:dyDescent="0.3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373</v>
      </c>
      <c r="G8" s="12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3" t="s">
        <v>529</v>
      </c>
      <c r="J8">
        <v>0.6</v>
      </c>
      <c r="K8" t="s">
        <v>371</v>
      </c>
      <c r="L8" t="s">
        <v>177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6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29.999999999999982</v>
      </c>
      <c r="R8" s="5">
        <f t="array" ref="R8">SUM(IF($E$3:$E$56=E8,$Q$3:$Q$56))</f>
        <v>29.999999999999982</v>
      </c>
      <c r="S8" s="17">
        <f>INDEX(표9[],MATCH(ItemEffectTable[[#This Row],['#Grade]],표9[#Headers],0))-ItemEffectTable[[#This Row],['#총 효력가치]]</f>
        <v>0</v>
      </c>
    </row>
    <row r="9" spans="2:19" x14ac:dyDescent="0.3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373</v>
      </c>
      <c r="G9" s="12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377</v>
      </c>
      <c r="J9">
        <v>25</v>
      </c>
      <c r="K9" t="s">
        <v>371</v>
      </c>
      <c r="L9" t="s">
        <v>177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6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x14ac:dyDescent="0.3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373</v>
      </c>
      <c r="G10" s="12" t="s">
        <v>342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3" t="s">
        <v>527</v>
      </c>
      <c r="J10" s="19" t="s">
        <v>528</v>
      </c>
      <c r="K10" t="s">
        <v>371</v>
      </c>
      <c r="L10" t="s">
        <v>292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6">
        <f>(6.6-6)*0.3</f>
        <v>0.17999999999999988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1.18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10" s="5">
        <f t="array" ref="R10">SUM(IF($E$3:$E$56=E10,$Q$3:$Q$56))</f>
        <v>29.999999999999993</v>
      </c>
      <c r="S10" s="5">
        <f>INDEX(표9[],MATCH(ItemEffectTable[[#This Row],['#Grade]],표9[#Headers],0))-ItemEffectTable[[#This Row],['#총 효력가치]]</f>
        <v>20.000000000000007</v>
      </c>
    </row>
    <row r="11" spans="2:19" x14ac:dyDescent="0.3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373</v>
      </c>
      <c r="G11" s="12" t="s">
        <v>342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19" t="s">
        <v>523</v>
      </c>
      <c r="K11" t="s">
        <v>371</v>
      </c>
      <c r="L11" t="s">
        <v>375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6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 x14ac:dyDescent="0.3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373</v>
      </c>
      <c r="G12" t="s">
        <v>342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3" t="s">
        <v>531</v>
      </c>
      <c r="J12">
        <v>0.1</v>
      </c>
      <c r="K12" t="s">
        <v>371</v>
      </c>
      <c r="L12" t="s">
        <v>177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6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</v>
      </c>
      <c r="S12" s="5">
        <f>INDEX(표9[],MATCH(ItemEffectTable[[#This Row],['#Grade]],표9[#Headers],0))-ItemEffectTable[[#This Row],['#총 효력가치]]</f>
        <v>1.6666666666666501</v>
      </c>
    </row>
    <row r="13" spans="2:19" x14ac:dyDescent="0.3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373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3" t="s">
        <v>531</v>
      </c>
      <c r="J13">
        <v>0.5</v>
      </c>
      <c r="K13" t="s">
        <v>371</v>
      </c>
      <c r="L13" t="s">
        <v>177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6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</v>
      </c>
      <c r="S13" s="5">
        <f>INDEX(표9[],MATCH(ItemEffectTable[[#This Row],['#Grade]],표9[#Headers],0))-ItemEffectTable[[#This Row],['#총 효력가치]]</f>
        <v>1.6666666666666501</v>
      </c>
    </row>
    <row r="14" spans="2:19" x14ac:dyDescent="0.3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373</v>
      </c>
      <c r="G14" t="s">
        <v>233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3" t="s">
        <v>531</v>
      </c>
      <c r="J14">
        <v>-0.1</v>
      </c>
      <c r="K14" t="s">
        <v>371</v>
      </c>
      <c r="L14" t="s">
        <v>177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14" s="16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0.70000000000000007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6.6666666666666661</v>
      </c>
      <c r="R14" s="5">
        <f t="array" ref="R14">SUM(IF($E$3:$E$56=E14,$Q$3:$Q$56))</f>
        <v>48.33333333333335</v>
      </c>
      <c r="S14" s="5">
        <f>INDEX(표9[],MATCH(ItemEffectTable[[#This Row],['#Grade]],표9[#Headers],0))-ItemEffectTable[[#This Row],['#총 효력가치]]</f>
        <v>1.6666666666666501</v>
      </c>
    </row>
    <row r="15" spans="2:19" x14ac:dyDescent="0.3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373</v>
      </c>
      <c r="G15" t="s">
        <v>302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376</v>
      </c>
      <c r="J15">
        <v>0.5</v>
      </c>
      <c r="K15" t="s">
        <v>371</v>
      </c>
      <c r="L15" t="s">
        <v>177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6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x14ac:dyDescent="0.3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373</v>
      </c>
      <c r="G16" s="12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378</v>
      </c>
      <c r="J16">
        <v>2</v>
      </c>
      <c r="K16" t="s">
        <v>371</v>
      </c>
      <c r="L16" t="s">
        <v>177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6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x14ac:dyDescent="0.3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373</v>
      </c>
      <c r="G17" s="12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378</v>
      </c>
      <c r="J17">
        <v>2</v>
      </c>
      <c r="K17" t="s">
        <v>371</v>
      </c>
      <c r="L17" t="s">
        <v>177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6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x14ac:dyDescent="0.3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373</v>
      </c>
      <c r="G18" s="12" t="s">
        <v>342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403</v>
      </c>
      <c r="K18" t="s">
        <v>371</v>
      </c>
      <c r="L18" t="s">
        <v>409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6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x14ac:dyDescent="0.3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373</v>
      </c>
      <c r="G19" s="12" t="s">
        <v>233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294</v>
      </c>
      <c r="J19">
        <v>1.2</v>
      </c>
      <c r="K19" t="s">
        <v>374</v>
      </c>
      <c r="L19" t="s">
        <v>177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19" s="16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0.96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-10.666666666666663</v>
      </c>
      <c r="R19" s="5">
        <f t="array" ref="R19">SUM(IF($E$3:$E$56=E19,$Q$3:$Q$56))</f>
        <v>43.333333333333336</v>
      </c>
      <c r="S19" s="5">
        <f>INDEX(표9[],MATCH(ItemEffectTable[[#This Row],['#Grade]],표9[#Headers],0))-ItemEffectTable[[#This Row],['#총 효력가치]]</f>
        <v>6.6666666666666643</v>
      </c>
    </row>
    <row r="20" spans="2:19" x14ac:dyDescent="0.3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373</v>
      </c>
      <c r="G20" s="12" t="s">
        <v>364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294</v>
      </c>
      <c r="J20">
        <v>0.55000000000000004</v>
      </c>
      <c r="K20" t="s">
        <v>374</v>
      </c>
      <c r="L20" t="s">
        <v>177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20" s="16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0.44000000000000006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54</v>
      </c>
      <c r="R20" s="5">
        <f t="array" ref="R20">SUM(IF($E$3:$E$56=E20,$Q$3:$Q$56))</f>
        <v>43.333333333333336</v>
      </c>
      <c r="S20" s="5">
        <f>INDEX(표9[],MATCH(ItemEffectTable[[#This Row],['#Grade]],표9[#Headers],0))-ItemEffectTable[[#This Row],['#총 효력가치]]</f>
        <v>6.6666666666666643</v>
      </c>
    </row>
    <row r="21" spans="2:19" x14ac:dyDescent="0.3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373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293</v>
      </c>
      <c r="J21">
        <v>0.75</v>
      </c>
      <c r="K21" t="s">
        <v>374</v>
      </c>
      <c r="L21" t="s">
        <v>177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6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x14ac:dyDescent="0.3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373</v>
      </c>
      <c r="G22" s="12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293</v>
      </c>
      <c r="J22">
        <v>100</v>
      </c>
      <c r="K22" t="s">
        <v>371</v>
      </c>
      <c r="L22" t="s">
        <v>177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6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 x14ac:dyDescent="0.3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373</v>
      </c>
      <c r="G23" t="s">
        <v>342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3" t="s">
        <v>520</v>
      </c>
      <c r="J23">
        <v>1</v>
      </c>
      <c r="K23" t="s">
        <v>371</v>
      </c>
      <c r="L23" t="s">
        <v>177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6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 x14ac:dyDescent="0.3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150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397</v>
      </c>
      <c r="J24">
        <v>0</v>
      </c>
      <c r="K24" t="s">
        <v>175</v>
      </c>
      <c r="L24" t="s">
        <v>177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6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x14ac:dyDescent="0.3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373</v>
      </c>
      <c r="G25" s="12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371</v>
      </c>
      <c r="L25" t="s">
        <v>177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6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 x14ac:dyDescent="0.3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373</v>
      </c>
      <c r="G26" t="s">
        <v>342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371</v>
      </c>
      <c r="L26" t="s">
        <v>177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6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x14ac:dyDescent="0.3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373</v>
      </c>
      <c r="G27" s="12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401</v>
      </c>
      <c r="J27">
        <v>-1</v>
      </c>
      <c r="K27" t="s">
        <v>371</v>
      </c>
      <c r="L27" t="s">
        <v>177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6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x14ac:dyDescent="0.3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373</v>
      </c>
      <c r="G28" s="12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401</v>
      </c>
      <c r="J28">
        <v>-1</v>
      </c>
      <c r="K28" t="s">
        <v>371</v>
      </c>
      <c r="L28" t="s">
        <v>177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6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 x14ac:dyDescent="0.3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373</v>
      </c>
      <c r="G29" t="s">
        <v>201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401</v>
      </c>
      <c r="J29">
        <v>1</v>
      </c>
      <c r="K29" t="s">
        <v>175</v>
      </c>
      <c r="L29" t="s">
        <v>177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6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 x14ac:dyDescent="0.3">
      <c r="B2" t="s">
        <v>78</v>
      </c>
      <c r="C2" s="6" t="s">
        <v>120</v>
      </c>
      <c r="D2" s="6" t="s">
        <v>121</v>
      </c>
      <c r="E2" t="s">
        <v>234</v>
      </c>
      <c r="F2" t="s">
        <v>235</v>
      </c>
    </row>
    <row r="3" spans="2:6" x14ac:dyDescent="0.3">
      <c r="B3">
        <v>900</v>
      </c>
      <c r="C3" s="4" t="e">
        <f>INDEX(#REF!,MATCH(ItemResourceTable[[#This Row],[Index]],ItemEffectTable[ApplyValue],0))</f>
        <v>#REF!</v>
      </c>
      <c r="D3" s="4" t="s">
        <v>346</v>
      </c>
      <c r="E3" t="s">
        <v>59</v>
      </c>
      <c r="F3" t="s">
        <v>264</v>
      </c>
    </row>
    <row r="4" spans="2:6" x14ac:dyDescent="0.3">
      <c r="B4">
        <v>900</v>
      </c>
      <c r="C4" s="4" t="e">
        <f>INDEX(#REF!,MATCH(ItemResourceTable[[#This Row],[Index]],ItemEffectTable[ApplyValue],0))</f>
        <v>#REF!</v>
      </c>
      <c r="D4" s="4" t="s">
        <v>122</v>
      </c>
      <c r="E4" t="s">
        <v>321</v>
      </c>
      <c r="F4" t="s">
        <v>407</v>
      </c>
    </row>
    <row r="5" spans="2:6" x14ac:dyDescent="0.3">
      <c r="B5">
        <v>901</v>
      </c>
      <c r="C5" s="4" t="e">
        <f>INDEX(#REF!,MATCH(ItemResourceTable[[#This Row],[Index]],ItemEffectTable[ApplyValue],0))</f>
        <v>#REF!</v>
      </c>
      <c r="D5" s="4" t="s">
        <v>346</v>
      </c>
      <c r="E5" t="s">
        <v>59</v>
      </c>
      <c r="F5" t="s">
        <v>405</v>
      </c>
    </row>
    <row r="6" spans="2:6" x14ac:dyDescent="0.3">
      <c r="B6">
        <v>901</v>
      </c>
      <c r="C6" s="4" t="e">
        <f>INDEX(#REF!,MATCH(ItemResourceTable[[#This Row],[Index]],ItemEffectTable[ApplyValue],0))</f>
        <v>#REF!</v>
      </c>
      <c r="D6" s="4" t="s">
        <v>320</v>
      </c>
      <c r="E6" t="s">
        <v>214</v>
      </c>
      <c r="F6" t="s">
        <v>197</v>
      </c>
    </row>
    <row r="7" spans="2:6" x14ac:dyDescent="0.3">
      <c r="B7">
        <v>901</v>
      </c>
      <c r="C7" s="4" t="e">
        <f>INDEX(#REF!,MATCH(ItemResourceTable[[#This Row],[Index]],ItemEffectTable[ApplyValue],0))</f>
        <v>#REF!</v>
      </c>
      <c r="D7" s="4" t="s">
        <v>347</v>
      </c>
      <c r="E7" t="s">
        <v>328</v>
      </c>
      <c r="F7" t="s">
        <v>410</v>
      </c>
    </row>
    <row r="8" spans="2:6" x14ac:dyDescent="0.3">
      <c r="B8">
        <v>902</v>
      </c>
      <c r="C8" s="4" t="e">
        <f>INDEX(#REF!,MATCH(ItemResourceTable[[#This Row],[Index]],ItemEffectTable[ApplyValue],0))</f>
        <v>#REF!</v>
      </c>
      <c r="D8" s="4" t="s">
        <v>346</v>
      </c>
      <c r="E8" t="s">
        <v>59</v>
      </c>
      <c r="F8" t="s">
        <v>408</v>
      </c>
    </row>
    <row r="9" spans="2:6" x14ac:dyDescent="0.3">
      <c r="B9">
        <v>902</v>
      </c>
      <c r="C9" s="4" t="e">
        <f>INDEX(#REF!,MATCH(ItemResourceTable[[#This Row],[Index]],ItemEffectTable[ApplyValue],0))</f>
        <v>#REF!</v>
      </c>
      <c r="D9" s="4" t="s">
        <v>347</v>
      </c>
      <c r="E9" t="s">
        <v>328</v>
      </c>
      <c r="F9" t="s">
        <v>287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53</v>
      </c>
      <c r="B1" t="s">
        <v>79</v>
      </c>
      <c r="C1" t="s">
        <v>79</v>
      </c>
      <c r="D1" t="s">
        <v>51</v>
      </c>
    </row>
    <row r="2" spans="1:4" x14ac:dyDescent="0.3">
      <c r="A2" t="s">
        <v>78</v>
      </c>
      <c r="B2" t="s">
        <v>310</v>
      </c>
      <c r="C2" t="s">
        <v>308</v>
      </c>
      <c r="D2" s="6" t="s">
        <v>119</v>
      </c>
    </row>
    <row r="3" spans="1:4" x14ac:dyDescent="0.3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139</v>
      </c>
      <c r="C9" t="s">
        <v>140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336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66</v>
      </c>
      <c r="C12" t="s">
        <v>309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314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205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109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110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186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268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398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204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411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203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200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198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218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284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202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281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188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191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290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286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226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189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193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192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182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187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185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190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2023-06-11T08:23:10Z</dcterms:modified>
  <cp:version>1200.0100.01</cp:version>
</cp:coreProperties>
</file>