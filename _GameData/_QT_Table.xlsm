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F3EEE542-4A49-6940-AB9E-63D0ED7B8A42}" xr6:coauthVersionLast="47" xr6:coauthVersionMax="47" xr10:uidLastSave="{00000000-0000-0000-0000-000000000000}"/>
  <bookViews>
    <workbookView xWindow="10460" yWindow="4560" windowWidth="30240" windowHeight="18880" firstSheet="9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4" l="1"/>
  <c r="O32" i="13"/>
  <c r="Q32" i="13" s="1"/>
  <c r="O31" i="13"/>
  <c r="Q31" i="13" s="1"/>
  <c r="O30" i="13"/>
  <c r="Q30" i="13" s="1"/>
  <c r="Q27" i="13"/>
  <c r="Q29" i="13"/>
  <c r="Q28" i="13"/>
  <c r="Q26" i="13"/>
  <c r="Q25" i="13"/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I21" i="13" s="1" a="1"/>
  <c r="I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I15" i="13" s="1" a="1"/>
  <c r="I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I9" i="13" s="1" a="1"/>
  <c r="I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I20" i="13" l="1" a="1"/>
  <c r="I20" i="13" s="1"/>
  <c r="I14" i="13" a="1"/>
  <c r="I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2" i="13" a="1"/>
  <c r="B22" i="13" s="1"/>
  <c r="I22" i="13" s="1" a="1"/>
  <c r="I22" i="13" s="1"/>
  <c r="B16" i="13" a="1"/>
  <c r="B16" i="13" s="1"/>
  <c r="I16" i="13" s="1" a="1"/>
  <c r="I16" i="13" s="1"/>
  <c r="B4" i="13" a="1"/>
  <c r="B4" i="13" s="1"/>
  <c r="I3" i="13" a="1"/>
  <c r="I3" i="13" s="1"/>
  <c r="A3" i="16"/>
  <c r="A9" i="16"/>
  <c r="B10" i="13" a="1"/>
  <c r="B10" i="13" s="1"/>
  <c r="I10" i="13" s="1" a="1"/>
  <c r="I10" i="13" s="1"/>
  <c r="P7" i="3"/>
  <c r="B6" i="13" a="1"/>
  <c r="B6" i="13" s="1"/>
  <c r="I5" i="13" a="1"/>
  <c r="I5" i="13" s="1"/>
  <c r="A5" i="16"/>
  <c r="I8" i="13" a="1"/>
  <c r="I8" i="13" s="1"/>
  <c r="A8" i="16"/>
  <c r="C27" i="14" l="1"/>
  <c r="F22" i="2"/>
  <c r="S7" i="3" s="1"/>
  <c r="A6" i="16"/>
  <c r="B7" i="13" a="1"/>
  <c r="B7" i="13" s="1"/>
  <c r="I6" i="13" a="1"/>
  <c r="I6" i="13" s="1"/>
  <c r="B17" i="13" a="1"/>
  <c r="B17" i="13" s="1"/>
  <c r="I17" i="13" s="1" a="1"/>
  <c r="I17" i="13" s="1"/>
  <c r="B23" i="13" a="1"/>
  <c r="B23" i="13" s="1"/>
  <c r="I23" i="13" s="1" a="1"/>
  <c r="I23" i="13" s="1"/>
  <c r="A4" i="16"/>
  <c r="I4" i="13" a="1"/>
  <c r="I4" i="13" s="1"/>
  <c r="B11" i="13" a="1"/>
  <c r="B11" i="13" s="1"/>
  <c r="I11" i="13" s="1" a="1"/>
  <c r="I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2" i="13" s="1" a="1"/>
  <c r="I12" i="13" s="1"/>
  <c r="D8" i="16" a="1"/>
  <c r="D8" i="16" s="1"/>
  <c r="D9" i="16" a="1"/>
  <c r="D9" i="16" s="1"/>
  <c r="D4" i="16" a="1"/>
  <c r="D4" i="16" s="1"/>
  <c r="B18" i="13" a="1"/>
  <c r="B18" i="13" s="1"/>
  <c r="I18" i="13" s="1" a="1"/>
  <c r="I18" i="13" s="1"/>
  <c r="B24" i="13" a="1"/>
  <c r="B24" i="13" s="1"/>
  <c r="I24" i="13" s="1" a="1"/>
  <c r="I24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I13" i="13" s="1" a="1"/>
  <c r="I13" i="13" s="1"/>
  <c r="B19" i="13" a="1"/>
  <c r="B19" i="13" s="1"/>
  <c r="I19" i="13" s="1" a="1"/>
  <c r="I19" i="13" s="1"/>
  <c r="B26" i="14" s="1"/>
  <c r="B25" i="14" l="1"/>
  <c r="C26" i="14"/>
  <c r="C19" i="14"/>
  <c r="C24" i="14"/>
  <c r="C25" i="14"/>
  <c r="B24" i="14"/>
  <c r="B21" i="14"/>
  <c r="B10" i="14"/>
  <c r="C11" i="14"/>
  <c r="C13" i="14"/>
  <c r="B20" i="14"/>
  <c r="C8" i="14"/>
  <c r="B12" i="14"/>
  <c r="C10" i="14"/>
  <c r="C14" i="14"/>
  <c r="B18" i="14"/>
  <c r="C15" i="14"/>
  <c r="C22" i="14"/>
  <c r="C18" i="14"/>
  <c r="C17" i="14"/>
  <c r="C21" i="14"/>
  <c r="B15" i="14"/>
  <c r="B13" i="14"/>
  <c r="C20" i="14"/>
  <c r="B19" i="14"/>
  <c r="B17" i="14"/>
  <c r="B14" i="14"/>
  <c r="B11" i="14"/>
  <c r="B22" i="14"/>
  <c r="C12" i="14"/>
  <c r="B8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<sst xmlns="http://schemas.openxmlformats.org/spreadsheetml/2006/main" count="1114" uniqueCount="573">
  <si>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</si>
  <si>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</si>
  <si>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</si>
  <si>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</si>
  <si>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</si>
  <si>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</si>
  <si>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</si>
  <si>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</si>
  <si>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</si>
  <si>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</si>
  <si>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</si>
  <si>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</si>
  <si>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</si>
  <si>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</si>
  <si>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</si>
  <si>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</si>
  <si>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</si>
  <si>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</si>
  <si>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</si>
  <si>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</si>
  <si>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</si>
  <si>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</si>
  <si>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</si>
  <si>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</si>
  <si>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</si>
  <si>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</si>
  <si>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</si>
  <si>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</si>
  <si>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</si>
  <si>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</si>
  <si>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</si>
  <si>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</si>
  <si>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</si>
  <si>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</si>
  <si>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</si>
  <si>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</si>
  <si>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</si>
  <si>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</si>
  <si>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</si>
  <si>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</si>
  <si>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</si>
  <si>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</si>
  <si>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</si>
  <si>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</si>
  <si>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</si>
  <si>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</si>
  <si>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</si>
  <si>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</si>
  <si>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</si>
  <si>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</si>
  <si>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</si>
  <si>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</si>
  <si>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</si>
  <si>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</si>
  <si>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</si>
  <si>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</si>
  <si>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</si>
  <si>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</si>
  <si>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</si>
  <si>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</si>
  <si>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</si>
  <si>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</si>
  <si>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</si>
  <si>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</si>
  <si>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</si>
  <si>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</si>
  <si>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</si>
  <si>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</si>
  <si>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</si>
  <si>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</si>
  <si>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</si>
  <si>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</si>
  <si>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</si>
  <si>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</si>
  <si>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</si>
  <si>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</si>
  <si>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</si>
  <si>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</si>
  <si>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</si>
  <si>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</si>
  <si>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</si>
  <si>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</si>
  <si>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</si>
  <si>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</si>
  <si>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</si>
  <si>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</si>
  <si>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</si>
  <si>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</si>
  <si>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</si>
  <si>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</si>
  <si>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</si>
  <si>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</si>
  <si>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</si>
  <si>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</si>
  <si>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</si>
  <si>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</si>
  <si>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</si>
  <si>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</si>
  <si>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</si>
  <si>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</si>
  <si>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</si>
  <si>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</si>
  <si>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</si>
  <si>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</si>
  <si>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</si>
  <si>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</si>
  <si>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</si>
  <si>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</si>
  <si>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</si>
  <si>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</si>
  <si>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</si>
  <si>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</si>
  <si>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</si>
  <si>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</si>
  <si>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</si>
  <si>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</si>
  <si>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</si>
  <si>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</si>
  <si>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</si>
  <si>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</si>
  <si>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</si>
  <si>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</si>
  <si>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</si>
  <si>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</si>
  <si>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</si>
  <si>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</si>
  <si>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</si>
  <si>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</si>
  <si>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</si>
  <si>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</si>
  <si>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</si>
  <si>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</si>
  <si>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</si>
  <si>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</si>
  <si>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</si>
  <si>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</si>
  <si>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</si>
  <si>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</si>
  <si>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</si>
  <si>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</si>
  <si>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</si>
  <si>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</si>
  <si>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</si>
  <si>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</si>
  <si>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</si>
  <si>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</si>
  <si>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</si>
  <si>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</si>
  <si>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</si>
  <si>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</si>
  <si>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</si>
  <si>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</si>
  <si>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</si>
  <si>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</si>
  <si>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</si>
  <si>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</si>
  <si>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</si>
  <si>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</si>
  <si>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</si>
  <si>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</si>
  <si>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</si>
  <si>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</si>
  <si>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</si>
  <si>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</si>
  <si>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</si>
  <si>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</si>
  <si>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</si>
  <si>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</si>
  <si>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</si>
  <si>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</si>
  <si>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</si>
  <si>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</si>
  <si>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</si>
  <si>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</si>
  <si>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</si>
  <si>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</si>
  <si>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</si>
  <si>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</si>
  <si>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</si>
  <si>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</si>
  <si>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</si>
  <si>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</si>
  <si>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</si>
  <si>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</si>
  <si>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</si>
  <si>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</si>
  <si>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</si>
  <si>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</si>
  <si>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</si>
  <si>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</si>
  <si>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</si>
  <si>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</si>
  <si>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</si>
  <si>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</si>
  <si>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</si>
  <si>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</si>
  <si>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</si>
  <si>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</si>
  <si>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</si>
  <si>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</si>
  <si>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</si>
  <si>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</si>
  <si>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</si>
  <si>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</si>
  <si>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</si>
  <si>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</si>
  <si>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</si>
  <si>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</si>
  <si>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</si>
  <si>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</si>
  <si>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</si>
  <si>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</si>
  <si>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</si>
  <si>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</si>
  <si>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</si>
  <si>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</si>
  <si>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</si>
  <si>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</si>
  <si>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</si>
  <si>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</si>
  <si>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</si>
  <si>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</si>
  <si>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</si>
  <si>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</si>
  <si>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</si>
  <si>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</si>
  <si>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</si>
  <si>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</si>
  <si>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</si>
  <si>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</si>
  <si>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</si>
  <si>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</si>
  <si>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</si>
  <si>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</si>
  <si>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</si>
  <si>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</si>
  <si>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</si>
  <si>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</si>
  <si>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</si>
  <si>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</si>
  <si>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</si>
  <si>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</si>
  <si>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</si>
  <si>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</si>
  <si>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</si>
  <si>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</si>
  <si>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</si>
  <si>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</si>
  <si>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</si>
  <si>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</si>
  <si>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</si>
  <si>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</si>
  <si>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</si>
  <si>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</si>
  <si>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</si>
  <si>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</si>
  <si>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</si>
  <si>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</si>
  <si>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</si>
  <si>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</si>
  <si>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</si>
  <si>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</si>
  <si>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</si>
  <si>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</si>
  <si>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</si>
  <si>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</si>
  <si>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</si>
  <si>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</si>
  <si>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</si>
  <si>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</si>
  <si>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</si>
  <si>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</si>
  <si>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</si>
  <si>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</si>
  <si>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</si>
  <si>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</si>
  <si>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</si>
  <si>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</si>
  <si>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</si>
  <si>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</si>
  <si>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</si>
  <si>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</si>
  <si>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</si>
  <si>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</si>
  <si>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</si>
  <si>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</si>
  <si>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</si>
  <si>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</si>
  <si>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</si>
  <si>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</si>
  <si>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</si>
  <si>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</si>
  <si>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</si>
  <si>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</si>
  <si>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</si>
  <si>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</si>
  <si>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</si>
  <si>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</si>
  <si>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</si>
  <si>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</si>
  <si>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</si>
  <si>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</si>
  <si>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</si>
  <si>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</si>
  <si>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</si>
  <si>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</si>
  <si>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</si>
  <si>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</si>
  <si>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</si>
  <si>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</si>
  <si>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</si>
  <si>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</si>
  <si>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</si>
  <si>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</si>
  <si>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</si>
  <si>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</si>
  <si>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</si>
  <si>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</si>
  <si>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</si>
  <si>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</si>
  <si>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</si>
  <si>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</si>
  <si>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</si>
  <si>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</si>
  <si>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</si>
  <si>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</si>
  <si>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</si>
  <si>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</si>
  <si>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</si>
  <si>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</si>
  <si>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</si>
  <si>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</si>
  <si>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</si>
  <si>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</si>
  <si>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</si>
  <si>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</si>
  <si>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</si>
  <si>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</si>
  <si>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</si>
  <si>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</si>
  <si>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</si>
  <si>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</si>
  <si>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</si>
  <si>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</si>
  <si>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</si>
  <si>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</si>
  <si>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</si>
  <si>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</si>
  <si>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</si>
  <si>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</si>
  <si>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</si>
  <si>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</si>
  <si>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</si>
  <si>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</si>
  <si>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</si>
  <si>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</si>
  <si>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</si>
  <si>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</si>
  <si>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</si>
  <si>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</si>
  <si>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</si>
  <si>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</si>
  <si>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</si>
  <si>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</si>
  <si>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</si>
  <si>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</si>
  <si>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</si>
  <si>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</si>
  <si>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</si>
  <si>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</si>
  <si>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</si>
  <si>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</si>
  <si>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</si>
  <si>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</si>
  <si>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</si>
  <si>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</si>
  <si>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</si>
  <si>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</si>
  <si>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</si>
  <si>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</si>
  <si>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</si>
  <si>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</si>
  <si>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</si>
  <si>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</si>
  <si>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</si>
  <si>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</si>
  <si>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</si>
  <si>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</si>
  <si>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</si>
  <si>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</si>
  <si>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</si>
  <si>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</si>
  <si>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</si>
  <si>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</si>
  <si>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</si>
  <si>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</si>
  <si>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</si>
  <si>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</si>
  <si>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</si>
  <si>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</si>
  <si>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</si>
  <si>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</si>
  <si>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</si>
  <si>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</si>
  <si>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</si>
  <si>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</si>
  <si>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</si>
  <si>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</si>
  <si>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</si>
  <si>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</si>
  <si>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</si>
  <si>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</si>
  <si>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</si>
  <si>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</si>
  <si>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</si>
  <si>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</si>
  <si>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</si>
  <si>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</si>
  <si>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</si>
  <si>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</si>
  <si>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</si>
  <si>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</si>
  <si>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</si>
  <si>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</si>
  <si>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</si>
  <si>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</si>
  <si>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</si>
  <si>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</si>
  <si>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</si>
  <si>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</si>
  <si>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</si>
  <si>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</si>
  <si>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</si>
  <si>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</si>
  <si>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</si>
  <si>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</si>
  <si>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</si>
  <si>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</si>
  <si>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</si>
  <si>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</si>
  <si>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</si>
  <si>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</si>
  <si>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</si>
  <si>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</si>
  <si>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</si>
  <si>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</si>
  <si>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</si>
  <si>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</si>
  <si>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</si>
  <si>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</si>
  <si>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</si>
  <si>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</si>
  <si>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</si>
  <si>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</si>
  <si>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</si>
  <si>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</si>
  <si>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</si>
  <si>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</si>
  <si>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</si>
  <si>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</si>
  <si>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</si>
  <si>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</si>
  <si>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</si>
  <si>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</si>
  <si>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</si>
  <si>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</si>
  <si>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</si>
  <si>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</si>
  <si>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</si>
  <si>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</si>
  <si>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</si>
  <si>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</si>
  <si>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</si>
  <si>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</si>
  <si>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</si>
  <si>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</si>
  <si>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</si>
  <si>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</si>
  <si>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</si>
  <si>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</si>
  <si>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</si>
  <si>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</si>
  <si>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</si>
  <si>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</si>
  <si>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</si>
  <si>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</si>
  <si>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</si>
  <si>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</si>
  <si>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</si>
  <si>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</si>
  <si>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</si>
  <si>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</si>
  <si>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</si>
  <si>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</si>
  <si>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</si>
  <si>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</si>
  <si>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</si>
  <si>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</si>
  <si>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</si>
  <si>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</si>
  <si>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</si>
  <si>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</si>
  <si>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</si>
  <si>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</si>
  <si>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</si>
  <si>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</si>
  <si>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</si>
  <si>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</si>
  <si>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</si>
  <si>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</si>
  <si>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</si>
  <si>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</si>
  <si>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</si>
  <si>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</si>
  <si>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시크한 표정이 매력적입니다.\n세 나라 이야기의 붉은 목마 입니다.\n\n&lt;size=20&gt;&lt;color=#97C456&gt;이동속도 +12&lt;/color&gt;&lt;/size&gt;</t>
    <phoneticPr fontId="8" type="noConversion"/>
  </si>
  <si>
    <t>어째선지 계속해서 울고 있는 양초입니다.\n\n&lt;size=20&gt;&lt;color=#97C456&gt;최대체력 +3하트&lt;/color&gt;&lt;/size&gt;\n&lt;size=20&gt;&lt;color=#FF6A6A&gt;이동속도 -30%&lt;/color&gt;&lt;/size&gt;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</si>
  <si>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</si>
  <si>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</si>
  <si>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</si>
  <si>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</si>
  <si>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</si>
  <si>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</si>
  <si>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</si>
  <si>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</si>
  <si>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</si>
  <si>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</si>
  <si>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</si>
  <si>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</si>
  <si>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</si>
  <si>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</si>
  <si>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</si>
  <si>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</si>
  <si>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</si>
  <si>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</si>
  <si>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</si>
  <si>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</si>
  <si>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</si>
  <si>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</si>
  <si>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</si>
  <si>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</si>
  <si>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</si>
  <si>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</si>
  <si>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</si>
  <si>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</si>
  <si>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</si>
  <si>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테스트</t>
    <phoneticPr fontId="8" type="noConversion"/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</si>
  <si>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</si>
  <si>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</si>
  <si>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</si>
  <si>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</si>
  <si>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</si>
  <si>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</si>
  <si>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</si>
  <si>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</si>
  <si>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액티브 버튼을 누르면 3초 동안 시간이 절반으로 느려지고 이동속도가 1.2배 증가함</t>
    <phoneticPr fontId="8" type="noConversion"/>
  </si>
  <si>
    <t>텔레포트</t>
    <phoneticPr fontId="8" type="noConversion"/>
  </si>
  <si>
    <t>Rare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</si>
  <si>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</si>
  <si>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</si>
  <si>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</si>
  <si>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</si>
  <si>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</si>
  <si>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</si>
  <si>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소닉 더 배트매스터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</si>
  <si>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</si>
  <si>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</si>
  <si>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</si>
  <si>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기절한 적이 있을 때 액티브 버튼을 사용해 적을 날릴 수 있습니다.</t>
    <phoneticPr fontId="8" type="noConversion"/>
  </si>
  <si>
    <t>돌진!!</t>
    <phoneticPr fontId="8" type="noConversion"/>
  </si>
  <si>
    <t>여러분의 소중한 시간\n폭력으로 채워볼까요?\n\n액티브 버튼을 누르면 시간이 느려지고 이동속도와 대쉬 속도가 증가하며,\n공격 쿨타임이 감소합니다.</t>
    <phoneticPr fontId="8" type="noConversion"/>
  </si>
  <si>
    <t>아주 조금씩… 아니 모든 원기를 나에게 나눠 줘!!\n\n액티브 버튼을 누르면 주변 투사체를 가져와 발사합니다</t>
    <phoneticPr fontId="8" type="noConversion"/>
  </si>
  <si>
    <t>앞만 보고 살아가는 당신에게…\n뒤도 돌아보지 말고 돌진하자!\n\n액티브 버튼을 누르면 벽에 부딪힐 때 까지 마우스 커서 방향으로 돌진합니다</t>
    <phoneticPr fontId="8" type="noConversion"/>
  </si>
  <si>
    <t>Charge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</si>
</sst>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sz val="12"/>
      <color rgb="FFFF0000"/>
      <name val="맑은 고딕"/>
      <family val="2"/>
      <charset val="129"/>
      <scheme val="minor"/>
    </font>
    <font>
      <b/>
      <sz val="11"/>
      <color rgb="FFFF0000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12" borderId="2" applyNumberFormat="0" applyFont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Font="1" applyFill="1">
      <alignment vertical="center"/>
    </xf>
    <xf numFmtId="0" fontId="0" fillId="12" borderId="2" xfId="2" applyNumberFormat="1" applyFont="1">
      <alignment vertical="center"/>
    </xf>
    <xf numFmtId="0" fontId="0" fillId="12" borderId="2" xfId="2" applyFont="1">
      <alignment vertical="center"/>
    </xf>
    <xf numFmtId="0" fontId="21" fillId="0" borderId="0" xfId="1">
      <alignment vertical="center"/>
    </xf>
    <xf numFmtId="0" fontId="21" fillId="8" borderId="0" xfId="1" applyFill="1">
      <alignment vertical="center"/>
    </xf>
    <xf numFmtId="0" fontId="21" fillId="11" borderId="0" xfId="1" applyFill="1">
      <alignment vertical="center"/>
    </xf>
    <xf numFmtId="0" fontId="14" fillId="12" borderId="2" xfId="2" applyFont="1">
      <alignment vertical="center"/>
    </xf>
    <xf numFmtId="0" fontId="22" fillId="12" borderId="2" xfId="2" applyNumberFormat="1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14" fillId="10" borderId="0" xfId="0" applyNumberFormat="1" applyFont="1" applyFill="1">
      <alignment vertical="center"/>
    </xf>
    <xf numFmtId="0" fontId="14" fillId="6" borderId="0" xfId="0" applyFont="1" applyFill="1">
      <alignment vertical="center"/>
    </xf>
  </cellXfs>
  <cellStyles count="3">
    <cellStyle name="경고문" xfId="1" builtinId="11"/>
    <cellStyle name="메모" xfId="2" builtinId="10"/>
    <cellStyle name="표준" xfId="0" builtinId="0"/>
  </cellStyles>
  <dxfs count="10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0"/>
      <tableStyleElement type="headerRow" dxfId="99"/>
      <tableStyleElement type="totalRow" dxfId="98"/>
      <tableStyleElement type="firstColumn" dxfId="97"/>
      <tableStyleElement type="lastColumn" dxfId="96"/>
      <tableStyleElement type="firstRowStripe" dxfId="95"/>
      <tableStyleElement type="firstColumnStripe" dxfId="94"/>
    </tableStyle>
    <tableStyle name="Light Style 1 - Accent 1" table="0" count="7" xr9:uid="{00000000-0011-0000-FFFF-FFFF01000000}">
      <tableStyleElement type="wholeTable" dxfId="93"/>
      <tableStyleElement type="headerRow" dxfId="92"/>
      <tableStyleElement type="totalRow" dxfId="91"/>
      <tableStyleElement type="firstColumn" dxfId="90"/>
      <tableStyleElement type="lastColumn" dxfId="89"/>
      <tableStyleElement type="firstRowStripe" dxfId="88"/>
      <tableStyleElement type="firstColumnStripe" dxfId="87"/>
    </tableStyle>
    <tableStyle name="표 스타일 1" pivot="0" count="4" xr9:uid="{00000000-0011-0000-FFFF-FFFF02000000}">
      <tableStyleElement type="wholeTable" dxfId="86"/>
      <tableStyleElement type="headerRow" dxfId="85"/>
      <tableStyleElement type="firstRowStripe" dxfId="84"/>
      <tableStyleElement type="secondRowStripe" dxfId="8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7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8" dataDxfId="77">
  <autoFilter ref="B6:E32" xr:uid="{00000000-0009-0000-0100-000008000000}"/>
  <tableColumns count="4">
    <tableColumn id="1" xr3:uid="{00000000-0010-0000-0100-000001000000}" name="스텟" dataDxfId="76"/>
    <tableColumn id="2" xr3:uid="{00000000-0010-0000-0100-000002000000}" name="참조 테이블" dataDxfId="75"/>
    <tableColumn id="3" xr3:uid="{00000000-0010-0000-0100-000003000000}" name="설명" dataDxfId="74"/>
    <tableColumn id="4" xr3:uid="{00000000-0010-0000-0100-000004000000}" name="Value 1당 가치" dataDxfId="7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9"/>
    <tableColumn id="4" xr3:uid="{00000000-0010-0000-0400-000004000000}" name="획득 무기"/>
    <tableColumn id="5" xr3:uid="{00000000-0010-0000-0400-000005000000}" name="획득 골드" dataDxfId="68">
      <calculatedColumnFormula array="1">밸런스시트[[#This Row],[방 개수]]*표10[방 평균 골드]</calculatedColumnFormula>
    </tableColumn>
    <tableColumn id="6" xr3:uid="{00000000-0010-0000-0400-000006000000}" name="적 체력" dataDxfId="6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6">
      <calculatedColumnFormula array="1">CharacterAtkTable['#던진공 차징1 튕겨내기 DPS]</calculatedColumnFormula>
    </tableColumn>
    <tableColumn id="10" xr3:uid="{00000000-0010-0000-0400-00000A000000}" name="예상 전투 시간" dataDxfId="6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1"/>
    <tableColumn id="3" xr3:uid="{00000000-0010-0000-0600-000003000000}" name="value"/>
    <tableColumn id="4" xr3:uid="{00000000-0010-0000-0600-000004000000}" name="#설명" dataDxfId="6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7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6"/>
    <tableColumn id="3" xr3:uid="{00000000-0010-0000-0800-000003000000}" name="ThrowCooldown" dataDxfId="55"/>
    <tableColumn id="4" xr3:uid="{00000000-0010-0000-0800-000004000000}" name="ThrowAfterDelay" dataDxfId="5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3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0"/>
    <tableColumn id="14" xr3:uid="{00000000-0010-0000-0900-00000E000000}" name="#드랍테이블2" dataDxfId="49"/>
    <tableColumn id="15" xr3:uid="{00000000-0010-0000-0900-00000F000000}" name="#드랍테이블3" dataDxfId="48"/>
    <tableColumn id="16" xr3:uid="{00000000-0010-0000-0900-000010000000}" name="#드랍테이블4" dataDxfId="47"/>
    <tableColumn id="17" xr3:uid="{00000000-0010-0000-0900-000011000000}" name="#드랍테이블5" dataDxfId="46"/>
    <tableColumn id="18" xr3:uid="{00000000-0010-0000-0900-000012000000}" name="#드랍테이블6" dataDxfId="4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2"/>
    <tableColumn id="19" xr3:uid="{BFCBC32D-7E44-4D9E-BE44-E28E6C46489C}" name="#" dataDxfId="4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0"/>
    <tableColumn id="17" xr3:uid="{00000000-0010-0000-0B00-000011000000}" name="#기준 적 체력 비율"/>
    <tableColumn id="18" xr3:uid="{00000000-0010-0000-0B00-000012000000}" name="#평균 드랍 골드" dataDxfId="3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38"/>
    <tableColumn id="3" xr3:uid="{00000000-0010-0000-0C00-000003000000}" name="ShootDataId" dataDxfId="3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3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32" totalsRowShown="0" headerRowDxfId="31">
  <autoFilter ref="B2:Q32" xr:uid="{00000000-0009-0000-0100-000004000000}"/>
  <tableColumns count="16">
    <tableColumn id="1" xr3:uid="{00000000-0010-0000-0F00-000001000000}" name="Index" dataDxfId="30"/>
    <tableColumn id="2" xr3:uid="{00000000-0010-0000-0F00-000002000000}" name="Name" dataDxfId="29"/>
    <tableColumn id="3" xr3:uid="{00000000-0010-0000-0F00-000003000000}" name="Desc" dataDxfId="28"/>
    <tableColumn id="4" xr3:uid="{00000000-0010-0000-0F00-000004000000}" name="GradeType" dataDxfId="27"/>
    <tableColumn id="5" xr3:uid="{00000000-0010-0000-0F00-000005000000}" name="Value" dataDxfId="26"/>
    <tableColumn id="6" xr3:uid="{00000000-0010-0000-0F00-000006000000}" name="CostHp" dataDxfId="25"/>
    <tableColumn id="7" xr3:uid="{00000000-0010-0000-0F00-000007000000}" name="CostGold" dataDxfId="24"/>
    <tableColumn id="8" xr3:uid="{00000000-0010-0000-0F00-000008000000}" name="ItemEffectDataId" dataDxfId="23"/>
    <tableColumn id="9" xr3:uid="{00000000-0010-0000-0F00-000009000000}" name="ItemIconPath" dataDxfId="22"/>
    <tableColumn id="10" xr3:uid="{00000000-0010-0000-0F00-00000A000000}" name="#자료 위치 변환기" dataDxfId="21"/>
    <tableColumn id="11" xr3:uid="{E752B4AA-7181-4F60-B4A0-8DA8B2E2F337}" name="#" dataDxfId="20"/>
    <tableColumn id="12" xr3:uid="{F85A3E97-232B-4E3A-9F01-EF79D25FA9F9}" name="#2" dataDxfId="19"/>
    <tableColumn id="13" xr3:uid="{550D2A60-9FBB-40C8-A6C2-243D9848C602}" name="#3" dataDxfId="18"/>
    <tableColumn id="14" xr3:uid="{50807AE5-46D5-4351-8885-769C1629BA6A}" name="#4" dataDxfId="17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16"/>
    <tableColumn id="15" xr3:uid="{859A69BA-D558-47CD-B372-AF915766B5DE}" name="#체크" dataDxfId="15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7" totalsRowShown="0" headerRowDxfId="14">
  <autoFilter ref="B2:K27" xr:uid="{00000000-0009-0000-0100-000001000000}"/>
  <tableColumns count="10">
    <tableColumn id="2" xr3:uid="{00000000-0010-0000-1000-000002000000}" name="#이름값" dataDxfId="13">
      <calculatedColumnFormula>INDEX(ItemTable[Name],MATCH(ItemEffectTable[[#This Row],[Index]],ItemTable[ItemEffectDataId],0))</calculatedColumnFormula>
    </tableColumn>
    <tableColumn id="3" xr3:uid="{00000000-0010-0000-1000-000003000000}" name="#Grade" dataDxfId="12">
      <calculatedColumnFormula>INDEX(ItemTable[GradeType],MATCH(ItemEffectTable[[#This Row],[Index]],ItemTable[ItemEffectDataId],0))</calculatedColumnFormula>
    </tableColumn>
    <tableColumn id="4" xr3:uid="{00000000-0010-0000-1000-000004000000}" name="Index" dataDxfId="11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0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6" totalsRowShown="0" headerRowDxfId="9">
  <autoFilter ref="B2:F36" xr:uid="{00000000-0009-0000-0100-000001000000}"/>
  <tableColumns count="5">
    <tableColumn id="4" xr3:uid="{DE2DDF71-E208-9D48-B1BD-ADAF1A04A4E7}" name="Index" dataDxfId="8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10" totalsRowShown="0" headerRowDxfId="7">
  <autoFilter ref="B2:F10" xr:uid="{00000000-0009-0000-0100-000001000000}"/>
  <tableColumns count="5">
    <tableColumn id="4" xr3:uid="{9F0C2145-5739-D948-B51C-59C2F70F8333}" name="Index" dataDxfId="6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2" t="s">
        <v>315</v>
      </c>
      <c r="C1" s="53"/>
      <c r="D1" s="53"/>
      <c r="E1" s="53"/>
    </row>
    <row r="2" spans="2:5" s="1" customFormat="1">
      <c r="B2" s="53"/>
      <c r="C2" s="53"/>
      <c r="D2" s="53"/>
      <c r="E2" s="53"/>
    </row>
    <row r="3" spans="2:5" s="1" customFormat="1">
      <c r="B3" s="53"/>
      <c r="C3" s="53"/>
      <c r="D3" s="53"/>
      <c r="E3" s="53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52" t="s">
        <v>202</v>
      </c>
      <c r="C1" s="53"/>
      <c r="D1" s="53"/>
      <c r="E1" s="53"/>
    </row>
    <row r="2" spans="2:12" s="1" customFormat="1">
      <c r="B2" s="53"/>
      <c r="C2" s="53"/>
      <c r="D2" s="53"/>
      <c r="E2" s="53"/>
    </row>
    <row r="3" spans="2:12" s="1" customFormat="1">
      <c r="B3" s="53"/>
      <c r="C3" s="53"/>
      <c r="D3" s="53"/>
      <c r="E3" s="53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476</v>
      </c>
      <c r="C10" s="2"/>
      <c r="D10" s="2"/>
      <c r="I10" s="2" t="s">
        <v>477</v>
      </c>
      <c r="J10" s="2"/>
      <c r="K10" s="2"/>
    </row>
    <row r="11" spans="2:12">
      <c r="B11" s="14" t="s">
        <v>474</v>
      </c>
      <c r="C11" s="14" t="s">
        <v>475</v>
      </c>
      <c r="D11" s="14" t="s">
        <v>472</v>
      </c>
      <c r="E11" s="14" t="s">
        <v>473</v>
      </c>
      <c r="F11" s="14" t="s">
        <v>478</v>
      </c>
      <c r="I11" s="14" t="s">
        <v>479</v>
      </c>
      <c r="J11" s="14" t="s">
        <v>475</v>
      </c>
      <c r="K11" s="14" t="s">
        <v>472</v>
      </c>
      <c r="L11" s="14" t="s">
        <v>473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480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481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482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482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2" t="s">
        <v>293</v>
      </c>
      <c r="C1" s="53"/>
      <c r="D1" s="53"/>
      <c r="E1" s="53"/>
      <c r="F1" s="53"/>
    </row>
    <row r="2" spans="1:21" s="1" customFormat="1">
      <c r="B2" s="53"/>
      <c r="C2" s="53"/>
      <c r="D2" s="53"/>
      <c r="E2" s="53"/>
      <c r="F2" s="53"/>
    </row>
    <row r="3" spans="1:21" s="1" customFormat="1">
      <c r="B3" s="53"/>
      <c r="C3" s="53"/>
      <c r="D3" s="53"/>
      <c r="E3" s="53"/>
      <c r="F3" s="53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483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E1" zoomScaleNormal="75" zoomScaleSheetLayoutView="100" workbookViewId="0">
      <selection activeCell="I2" sqref="I2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s="21" t="s">
        <v>565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D1" zoomScaleNormal="75" zoomScaleSheetLayoutView="100" workbookViewId="0">
      <selection activeCell="H2" sqref="H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56" t="s">
        <v>566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508</v>
      </c>
      <c r="X2" s="35" t="s">
        <v>509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486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487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488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t="s">
        <v>84</v>
      </c>
      <c r="H2" t="s">
        <v>48</v>
      </c>
      <c r="I2" t="s">
        <v>94</v>
      </c>
    </row>
    <row r="3" spans="1:11">
      <c r="B3" s="29">
        <v>9001</v>
      </c>
      <c r="C3" s="32" t="s">
        <v>507</v>
      </c>
      <c r="D3" s="29">
        <v>0</v>
      </c>
      <c r="E3" s="29">
        <v>5000</v>
      </c>
      <c r="F3" s="29">
        <v>5000</v>
      </c>
      <c r="G3" s="29">
        <v>0</v>
      </c>
      <c r="H3" s="29">
        <v>0</v>
      </c>
      <c r="I3" s="29">
        <v>0</v>
      </c>
      <c r="K3">
        <f>SUM(DropTable[[#This Row],[Normal]:[Cursed]])</f>
        <v>10000</v>
      </c>
    </row>
    <row r="4" spans="1:11">
      <c r="B4">
        <v>9002</v>
      </c>
      <c r="C4" s="31" t="s">
        <v>506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4"/>
      <c r="B5">
        <v>9003</v>
      </c>
      <c r="C5" s="31" t="s">
        <v>503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18" t="s">
        <v>504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49</v>
      </c>
      <c r="B7" s="33">
        <v>9101</v>
      </c>
      <c r="C7" s="34" t="s">
        <v>505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530</v>
      </c>
      <c r="D1" s="14" t="s">
        <v>412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512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529</v>
      </c>
      <c r="D2" s="17" t="s">
        <v>412</v>
      </c>
      <c r="E2" t="s">
        <v>129</v>
      </c>
      <c r="F2" s="21" t="s">
        <v>502</v>
      </c>
      <c r="G2" t="s">
        <v>302</v>
      </c>
      <c r="H2" t="s">
        <v>304</v>
      </c>
      <c r="I2" s="21" t="s">
        <v>534</v>
      </c>
      <c r="J2" t="s">
        <v>2</v>
      </c>
      <c r="K2" s="21" t="s">
        <v>513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413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527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447</v>
      </c>
      <c r="D4" s="18" t="s">
        <v>415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557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528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418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528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437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528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445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528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445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528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443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528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449</v>
      </c>
      <c r="D11" s="18" t="s">
        <v>448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528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441</v>
      </c>
      <c r="D12" s="18" t="s">
        <v>414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528</v>
      </c>
      <c r="U12">
        <v>1.4</v>
      </c>
      <c r="V12">
        <v>7</v>
      </c>
    </row>
    <row r="13" spans="2:22">
      <c r="B13" s="37">
        <v>551</v>
      </c>
      <c r="C13" s="38" t="s">
        <v>439</v>
      </c>
      <c r="D13" s="38" t="s">
        <v>419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528</v>
      </c>
      <c r="U13" s="37">
        <v>1.6</v>
      </c>
      <c r="V13" s="37">
        <v>7</v>
      </c>
    </row>
    <row r="14" spans="2:22">
      <c r="B14">
        <v>552</v>
      </c>
      <c r="C14" s="18" t="s">
        <v>440</v>
      </c>
      <c r="D14" s="18" t="s">
        <v>438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528</v>
      </c>
      <c r="U14">
        <v>1.4</v>
      </c>
      <c r="V14">
        <v>7</v>
      </c>
    </row>
    <row r="15" spans="2:22">
      <c r="B15">
        <v>553</v>
      </c>
      <c r="C15" s="19" t="s">
        <v>444</v>
      </c>
      <c r="D15" s="18" t="s">
        <v>442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528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446</v>
      </c>
      <c r="D16" s="26" t="s">
        <v>445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527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412</v>
      </c>
      <c r="I1" s="14" t="s">
        <v>412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412</v>
      </c>
      <c r="I2" s="14" t="s">
        <v>471</v>
      </c>
    </row>
    <row r="3" spans="2:9">
      <c r="B3">
        <v>600</v>
      </c>
      <c r="C3" s="20" t="s">
        <v>463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420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420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420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420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420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420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420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420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420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459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467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467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467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458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457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464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465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466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493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493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493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493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493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493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493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493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493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493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493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493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493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493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493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493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468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469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470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452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452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452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452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452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452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452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452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452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452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452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452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453</v>
      </c>
      <c r="D57">
        <v>725</v>
      </c>
      <c r="E57" s="21" t="s">
        <v>450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453</v>
      </c>
      <c r="D58">
        <v>725</v>
      </c>
      <c r="E58" s="21" t="s">
        <v>450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454</v>
      </c>
      <c r="D59">
        <v>999</v>
      </c>
      <c r="E59" s="21" t="s">
        <v>451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6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423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424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425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426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427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428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429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430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431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432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433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421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434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422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435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436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460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417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417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416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416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416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416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416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416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511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511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510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510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510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510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510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510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511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511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510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510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510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510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510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510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455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461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462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456</v>
      </c>
      <c r="D11" t="b">
        <v>1</v>
      </c>
      <c r="E11">
        <v>1</v>
      </c>
      <c r="F11">
        <v>25</v>
      </c>
      <c r="G11" s="21" t="s">
        <v>501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32"/>
  <sheetViews>
    <sheetView topLeftCell="B1" zoomScaleNormal="75" zoomScaleSheetLayoutView="100" workbookViewId="0">
      <selection activeCell="E34" sqref="E34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51</v>
      </c>
      <c r="C1" t="s">
        <v>77</v>
      </c>
      <c r="D1" t="s">
        <v>77</v>
      </c>
      <c r="E1" t="s">
        <v>77</v>
      </c>
      <c r="F1" t="s">
        <v>46</v>
      </c>
      <c r="G1" t="s">
        <v>46</v>
      </c>
      <c r="H1" t="s">
        <v>46</v>
      </c>
      <c r="I1" t="s">
        <v>46</v>
      </c>
      <c r="J1" t="s">
        <v>100</v>
      </c>
      <c r="K1" t="s">
        <v>49</v>
      </c>
    </row>
    <row r="2" spans="2:17">
      <c r="B2" t="s">
        <v>76</v>
      </c>
      <c r="C2" t="s">
        <v>80</v>
      </c>
      <c r="D2" t="s">
        <v>164</v>
      </c>
      <c r="E2" t="s">
        <v>283</v>
      </c>
      <c r="F2" t="s">
        <v>89</v>
      </c>
      <c r="G2" t="s">
        <v>93</v>
      </c>
      <c r="H2" t="s">
        <v>284</v>
      </c>
      <c r="I2" t="s">
        <v>16</v>
      </c>
      <c r="J2" t="s">
        <v>194</v>
      </c>
      <c r="K2" s="5" t="s">
        <v>357</v>
      </c>
      <c r="L2" s="1" t="s">
        <v>49</v>
      </c>
      <c r="M2" s="1" t="s">
        <v>394</v>
      </c>
      <c r="N2" s="1" t="s">
        <v>395</v>
      </c>
      <c r="O2" s="1" t="s">
        <v>396</v>
      </c>
      <c r="P2" s="28" t="s">
        <v>494</v>
      </c>
      <c r="Q2" s="28" t="s">
        <v>485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48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15"/>
      <c r="M3" s="15"/>
      <c r="N3" s="15"/>
      <c r="O3" s="15"/>
      <c r="P3" s="15"/>
      <c r="Q3" s="15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48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15"/>
      <c r="M4" s="15"/>
      <c r="N4" s="15"/>
      <c r="O4" s="15"/>
      <c r="P4" s="15"/>
      <c r="Q4" s="15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15"/>
      <c r="M5" s="15"/>
      <c r="N5" s="15"/>
      <c r="O5" s="15"/>
      <c r="P5" s="15"/>
      <c r="Q5" s="15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15"/>
      <c r="M6" s="15"/>
      <c r="N6" s="15"/>
      <c r="O6" s="15"/>
      <c r="P6" s="15"/>
      <c r="Q6" s="15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15"/>
      <c r="M7" s="15"/>
      <c r="N7" s="15"/>
      <c r="O7" s="15"/>
      <c r="P7" s="15"/>
      <c r="Q7" s="15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342</v>
      </c>
      <c r="D8" s="14" t="s">
        <v>398</v>
      </c>
      <c r="E8" t="s">
        <v>81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257</v>
      </c>
      <c r="K8" s="4" t="str">
        <f>MID(ItemTable[[#This Row],[ItemIconPath]],FIND("icon",ItemTable[[#This Row],[ItemIconPath]]),999)</f>
        <v>icon/item/item_02.png</v>
      </c>
      <c r="L8" s="16" t="s">
        <v>381</v>
      </c>
      <c r="M8" s="15" t="s">
        <v>358</v>
      </c>
      <c r="N8" s="15"/>
      <c r="O8" s="15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15"/>
      <c r="Q8" s="15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159</v>
      </c>
      <c r="D9" t="s">
        <v>399</v>
      </c>
      <c r="E9" t="s">
        <v>81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260</v>
      </c>
      <c r="K9" s="4" t="str">
        <f>MID(ItemTable[[#This Row],[ItemIconPath]],FIND("icon",ItemTable[[#This Row],[ItemIconPath]]),999)</f>
        <v>icon/item/item_04.png</v>
      </c>
      <c r="L9" s="16" t="s">
        <v>397</v>
      </c>
      <c r="M9" s="15" t="s">
        <v>365</v>
      </c>
      <c r="N9" s="15"/>
      <c r="O9" s="15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15"/>
      <c r="Q9" s="15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162</v>
      </c>
      <c r="D10" t="s">
        <v>400</v>
      </c>
      <c r="E10" t="s">
        <v>81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254</v>
      </c>
      <c r="K10" s="4" t="str">
        <f>MID(ItemTable[[#This Row],[ItemIconPath]],FIND("icon",ItemTable[[#This Row],[ItemIconPath]]),999)</f>
        <v>icon/item/item_05.png</v>
      </c>
      <c r="L10" s="16" t="s">
        <v>379</v>
      </c>
      <c r="M10" s="15" t="s">
        <v>354</v>
      </c>
      <c r="N10" s="15"/>
      <c r="O10" s="15" t="str">
        <f t="shared" si="0"/>
        <v>얼.죽.아 클럽의 새로운 유행입니다.\n\n&lt;size=20&gt;&lt;color=#97C456&gt;차징속도 +20%&lt;/color&gt;&lt;/size&gt;</v>
      </c>
      <c r="P10" s="15"/>
      <c r="Q10" s="15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161</v>
      </c>
      <c r="D11" t="s">
        <v>401</v>
      </c>
      <c r="E11" t="s">
        <v>81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252</v>
      </c>
      <c r="K11" s="4" t="str">
        <f>MID(ItemTable[[#This Row],[ItemIconPath]],FIND("icon",ItemTable[[#This Row],[ItemIconPath]]),999)</f>
        <v>icon/item/item_07.png</v>
      </c>
      <c r="L11" s="16" t="s">
        <v>380</v>
      </c>
      <c r="M11" s="15" t="s">
        <v>353</v>
      </c>
      <c r="N11" s="15"/>
      <c r="O11" s="15" t="str">
        <f t="shared" si="0"/>
        <v>배트 이외의 물건에 사용하지 마시오\nQT추출물 0.0006% 함유\nQT향 0.1%함유\n\n&lt;size=20&gt;&lt;color=#97C456&gt;공 충돌횟수 +1&lt;/color&gt;&lt;/size&gt;</v>
      </c>
      <c r="P11" s="15"/>
      <c r="Q11" s="15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157</v>
      </c>
      <c r="D12" s="30" t="s">
        <v>514</v>
      </c>
      <c r="E12" t="s">
        <v>81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255</v>
      </c>
      <c r="K12" s="4" t="str">
        <f>MID(ItemTable[[#This Row],[ItemIconPath]],FIND("icon",ItemTable[[#This Row],[ItemIconPath]]),999)</f>
        <v>icon/item/item_11.png</v>
      </c>
      <c r="L12" s="16" t="s">
        <v>497</v>
      </c>
      <c r="M12" s="16" t="s">
        <v>489</v>
      </c>
      <c r="N12" s="15"/>
      <c r="O12" s="15" t="str">
        <f t="shared" si="0"/>
        <v>시크한 표정이 매력적입니다.\n세 나라 이야기의 붉은 목마 입니다.\n\n&lt;size=20&gt;&lt;color=#97C456&gt;이동속도 +6&lt;/color&gt;&lt;/size&gt;</v>
      </c>
      <c r="P12" s="15"/>
      <c r="Q12" s="15" t="str">
        <f>IF(ItemTable[[#This Row],['#4]]=ItemTable[[#This Row],[Desc]],"T","F")</f>
        <v>F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163</v>
      </c>
      <c r="D13" t="s">
        <v>402</v>
      </c>
      <c r="E13" t="s">
        <v>81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256</v>
      </c>
      <c r="K13" s="4" t="str">
        <f>MID(ItemTable[[#This Row],[ItemIconPath]],FIND("icon",ItemTable[[#This Row],[ItemIconPath]]),999)</f>
        <v>icon/item/item_15.png</v>
      </c>
      <c r="L13" s="16" t="s">
        <v>393</v>
      </c>
      <c r="M13" s="15" t="s">
        <v>351</v>
      </c>
      <c r="N13" s="15"/>
      <c r="O13" s="15" t="str">
        <f t="shared" si="0"/>
        <v>대나무 향을 머금은 흰 밥이\n까만 김을 만나 완성된 환상적인 조합.\n\n&lt;size=20&gt;&lt;color=#97C456&gt;최대 체력 +1하트&lt;/color&gt;&lt;/size&gt;</v>
      </c>
      <c r="P13" s="15"/>
      <c r="Q13" s="15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60</v>
      </c>
      <c r="D14" s="30" t="s">
        <v>499</v>
      </c>
      <c r="E14" t="s">
        <v>82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258</v>
      </c>
      <c r="K14" s="4" t="str">
        <f>MID(ItemTable[[#This Row],[ItemIconPath]],FIND("icon",ItemTable[[#This Row],[ItemIconPath]]),999)</f>
        <v>icon/item/item_17.png</v>
      </c>
      <c r="L14" s="16" t="s">
        <v>410</v>
      </c>
      <c r="M14" s="16" t="s">
        <v>490</v>
      </c>
      <c r="N14" s="15"/>
      <c r="O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16" t="s">
        <v>498</v>
      </c>
      <c r="Q14" s="15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4" t="s">
        <v>382</v>
      </c>
      <c r="D15" t="s">
        <v>411</v>
      </c>
      <c r="E15" t="s">
        <v>82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261</v>
      </c>
      <c r="K15" s="4" t="str">
        <f>MID(ItemTable[[#This Row],[ItemIconPath]],FIND("icon",ItemTable[[#This Row],[ItemIconPath]]),999)</f>
        <v>icon/item/item_12.png</v>
      </c>
      <c r="L15" s="16" t="s">
        <v>409</v>
      </c>
      <c r="M15" s="15" t="s">
        <v>36</v>
      </c>
      <c r="N15" s="15"/>
      <c r="O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15"/>
      <c r="Q15" s="15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62</v>
      </c>
      <c r="D16" t="s">
        <v>492</v>
      </c>
      <c r="E16" t="s">
        <v>82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263</v>
      </c>
      <c r="K16" s="4" t="str">
        <f>MID(ItemTable[[#This Row],[ItemIconPath]],FIND("icon",ItemTable[[#This Row],[ItemIconPath]]),999)</f>
        <v>icon/item/item_09.png</v>
      </c>
      <c r="L16" s="16" t="s">
        <v>392</v>
      </c>
      <c r="M16" s="16" t="s">
        <v>491</v>
      </c>
      <c r="N16" s="15"/>
      <c r="O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15"/>
      <c r="Q16" s="15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339</v>
      </c>
      <c r="D17" t="s">
        <v>403</v>
      </c>
      <c r="E17" t="s">
        <v>82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264</v>
      </c>
      <c r="K17" s="4" t="str">
        <f>MID(ItemTable[[#This Row],[ItemIconPath]],FIND("icon",ItemTable[[#This Row],[ItemIconPath]]),999)</f>
        <v>icon/item/item_10.png</v>
      </c>
      <c r="L17" s="16" t="s">
        <v>383</v>
      </c>
      <c r="M17" s="15" t="s">
        <v>350</v>
      </c>
      <c r="N17" s="15"/>
      <c r="O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15"/>
      <c r="Q17" s="15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356</v>
      </c>
      <c r="D18" t="s">
        <v>404</v>
      </c>
      <c r="E18" t="s">
        <v>82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265</v>
      </c>
      <c r="K18" s="4" t="str">
        <f>MID(ItemTable[[#This Row],[ItemIconPath]],FIND("icon",ItemTable[[#This Row],[ItemIconPath]]),999)</f>
        <v>icon/item/item_16.png</v>
      </c>
      <c r="L18" s="16" t="s">
        <v>387</v>
      </c>
      <c r="M18" s="15" t="s">
        <v>352</v>
      </c>
      <c r="N18" s="15"/>
      <c r="O18" s="15" t="str">
        <f t="shared" si="0"/>
        <v>종교적인 용도로 보이는 컵입니다.\n잠깐, 방금 조금 움직인 것 같은데요?\n\n&lt;size=20&gt;&lt;color=#97C456&gt;공 충돌횟수 +2&lt;/color&gt;&lt;/size&gt;</v>
      </c>
      <c r="P18" s="15"/>
      <c r="Q18" s="15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165</v>
      </c>
      <c r="D19" t="s">
        <v>405</v>
      </c>
      <c r="E19" t="s">
        <v>82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267</v>
      </c>
      <c r="K19" s="4" t="str">
        <f>MID(ItemTable[[#This Row],[ItemIconPath]],FIND("icon",ItemTable[[#This Row],[ItemIconPath]]),999)</f>
        <v>icon/item/item_03.png</v>
      </c>
      <c r="L19" s="16" t="s">
        <v>384</v>
      </c>
      <c r="M19" s="16" t="s">
        <v>388</v>
      </c>
      <c r="N19" s="15"/>
      <c r="O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15"/>
      <c r="Q19" s="15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160</v>
      </c>
      <c r="D20" t="s">
        <v>406</v>
      </c>
      <c r="E20" t="s">
        <v>91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276</v>
      </c>
      <c r="K20" s="4" t="str">
        <f>MID(ItemTable[[#This Row],[ItemIconPath]],FIND("icon",ItemTable[[#This Row],[ItemIconPath]]),999)</f>
        <v>icon/item/item_06.png</v>
      </c>
      <c r="L20" s="16" t="s">
        <v>391</v>
      </c>
      <c r="M20" s="15" t="s">
        <v>364</v>
      </c>
      <c r="N20" s="15" t="s">
        <v>360</v>
      </c>
      <c r="O20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15"/>
      <c r="Q20" s="15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156</v>
      </c>
      <c r="D21" s="14" t="s">
        <v>515</v>
      </c>
      <c r="E21" t="s">
        <v>91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279</v>
      </c>
      <c r="K21" s="4" t="str">
        <f>MID(ItemTable[[#This Row],[ItemIconPath]],FIND("icon",ItemTable[[#This Row],[ItemIconPath]]),999)</f>
        <v>icon/item/item_08.png</v>
      </c>
      <c r="L21" s="16" t="s">
        <v>385</v>
      </c>
      <c r="M21" s="15" t="s">
        <v>359</v>
      </c>
      <c r="N21" s="15" t="s">
        <v>361</v>
      </c>
      <c r="O21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15"/>
      <c r="Q21" s="15" t="str">
        <f>IF(ItemTable[[#This Row],['#4]]=ItemTable[[#This Row],[Desc]],"T","F")</f>
        <v>F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348</v>
      </c>
      <c r="D22" t="s">
        <v>495</v>
      </c>
      <c r="E22" t="s">
        <v>91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277</v>
      </c>
      <c r="K22" s="4" t="str">
        <f>MID(ItemTable[[#This Row],[ItemIconPath]],FIND("icon",ItemTable[[#This Row],[ItemIconPath]]),999)</f>
        <v>icon/item/item_14.png</v>
      </c>
      <c r="L22" s="16" t="s">
        <v>390</v>
      </c>
      <c r="M22" s="16" t="s">
        <v>484</v>
      </c>
      <c r="N22" s="15" t="s">
        <v>243</v>
      </c>
      <c r="O22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16" t="s">
        <v>496</v>
      </c>
      <c r="Q22" s="15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340</v>
      </c>
      <c r="D23" t="s">
        <v>407</v>
      </c>
      <c r="E23" t="s">
        <v>91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278</v>
      </c>
      <c r="K23" s="4" t="str">
        <f>MID(ItemTable[[#This Row],[ItemIconPath]],FIND("icon",ItemTable[[#This Row],[ItemIconPath]]),999)</f>
        <v>icon/item/item_01.png</v>
      </c>
      <c r="L23" s="16" t="s">
        <v>386</v>
      </c>
      <c r="M23" s="15" t="s">
        <v>355</v>
      </c>
      <c r="N23" s="15" t="s">
        <v>363</v>
      </c>
      <c r="O23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15"/>
      <c r="Q23" s="15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55</v>
      </c>
      <c r="D24" s="14" t="s">
        <v>500</v>
      </c>
      <c r="E24" t="s">
        <v>91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262</v>
      </c>
      <c r="K24" s="4" t="str">
        <f>MID(ItemTable[[#This Row],[ItemIconPath]],FIND("icon",ItemTable[[#This Row],[ItemIconPath]]),999)</f>
        <v>icon/item/item_13.png</v>
      </c>
      <c r="L24" s="16" t="s">
        <v>408</v>
      </c>
      <c r="M24" s="16" t="s">
        <v>389</v>
      </c>
      <c r="N24" s="15" t="s">
        <v>366</v>
      </c>
      <c r="O24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15"/>
      <c r="Q24" s="15" t="str">
        <f>IF(ItemTable[[#This Row],['#4]]=ItemTable[[#This Row],[Desc]],"T","F")</f>
        <v>F</v>
      </c>
    </row>
    <row r="25" spans="2:17" s="47" customFormat="1" ht="18">
      <c r="B25" s="47">
        <v>5000</v>
      </c>
      <c r="C25" s="47" t="s">
        <v>545</v>
      </c>
      <c r="D25" s="47" t="s">
        <v>554</v>
      </c>
      <c r="E25" s="47" t="s">
        <v>82</v>
      </c>
      <c r="F25" s="47">
        <v>1</v>
      </c>
      <c r="G25" s="47">
        <v>50</v>
      </c>
      <c r="H25" s="47">
        <v>60</v>
      </c>
      <c r="I25" s="47">
        <v>9005</v>
      </c>
      <c r="J25" s="47" t="s">
        <v>262</v>
      </c>
      <c r="K25" s="48"/>
      <c r="L25" s="48"/>
      <c r="M25" s="48"/>
      <c r="N25" s="48"/>
      <c r="O25" s="48"/>
      <c r="P25" s="49"/>
      <c r="Q25" s="48" t="str">
        <f>IF(ItemTable[[#This Row],['#4]]=ItemTable[[#This Row],[Desc]],"T","F")</f>
        <v>F</v>
      </c>
    </row>
    <row r="26" spans="2:17" s="46" customFormat="1">
      <c r="Q26" s="46" t="str">
        <f>IF(ItemTable[[#This Row],['#4]]=ItemTable[[#This Row],[Desc]],"T","F")</f>
        <v>T</v>
      </c>
    </row>
    <row r="27" spans="2:17" s="46" customFormat="1">
      <c r="C27" s="45"/>
      <c r="D27" s="45"/>
      <c r="E27" s="45"/>
      <c r="F27" s="45"/>
      <c r="G27" s="45"/>
      <c r="H27" s="45"/>
      <c r="I27" s="45"/>
      <c r="J27" s="51"/>
      <c r="K27" s="45"/>
      <c r="L27" s="45"/>
      <c r="M27" s="45"/>
      <c r="N27" s="45"/>
      <c r="O27" s="45"/>
      <c r="Q27" s="45" t="str">
        <f>IF(ItemTable[[#This Row],['#4]]=ItemTable[[#This Row],[Desc]],"T","F")</f>
        <v>T</v>
      </c>
    </row>
    <row r="28" spans="2:17" s="46" customFormat="1">
      <c r="Q28" s="46" t="str">
        <f>IF(ItemTable[[#This Row],['#4]]=ItemTable[[#This Row],[Desc]],"T","F")</f>
        <v>T</v>
      </c>
    </row>
    <row r="29" spans="2:17">
      <c r="B29">
        <v>10000</v>
      </c>
      <c r="C29" t="s">
        <v>555</v>
      </c>
      <c r="D29" s="21" t="s">
        <v>567</v>
      </c>
      <c r="E29" s="21" t="s">
        <v>556</v>
      </c>
      <c r="F29">
        <v>1</v>
      </c>
      <c r="G29">
        <v>50</v>
      </c>
      <c r="H29">
        <v>100</v>
      </c>
      <c r="I29">
        <v>10000</v>
      </c>
      <c r="J29" t="s">
        <v>262</v>
      </c>
      <c r="Q29" t="str">
        <f>IF(ItemTable[[#This Row],['#4]]=ItemTable[[#This Row],[Desc]],"T","F")</f>
        <v>F</v>
      </c>
    </row>
    <row r="30" spans="2:17">
      <c r="B30" s="41">
        <v>10001</v>
      </c>
      <c r="C30" s="44" t="s">
        <v>564</v>
      </c>
      <c r="D30" s="44" t="s">
        <v>570</v>
      </c>
      <c r="E30" s="21" t="s">
        <v>556</v>
      </c>
      <c r="F30">
        <v>1</v>
      </c>
      <c r="G30">
        <v>50</v>
      </c>
      <c r="H30">
        <v>100</v>
      </c>
      <c r="I30">
        <v>10001</v>
      </c>
      <c r="J30" t="s">
        <v>277</v>
      </c>
      <c r="K30" s="15"/>
      <c r="L30" s="15"/>
      <c r="M30" s="15"/>
      <c r="N30" s="15"/>
      <c r="O30" s="15" t="str">
        <f>_xlfn.CONCAT(
_xlfn.CONCAT("&lt;size=16&gt;",L30,"&lt;/size&gt;\n\n",
"&lt;size=20&gt;&lt;color=#97C456&gt;",M30,"&lt;/color&gt;&lt;/size&gt;"),
IF(ISBLANK(N30),"",_xlfn.CONCAT("\n","&lt;size=24&gt;&lt;color=#FF6A6A&gt;",N30,"&lt;/color&gt;&lt;/size&gt;"))
)</f>
        <v>&lt;size=16&gt;&lt;/size&gt;\n\n&lt;size=20&gt;&lt;color=#97C456&gt;&lt;/color&gt;&lt;/size&gt;</v>
      </c>
      <c r="P30" s="43"/>
      <c r="Q30" s="15" t="str">
        <f>IF(ItemTable[[#This Row],['#4]]=ItemTable[[#This Row],[Desc]],"T","F")</f>
        <v>F</v>
      </c>
    </row>
    <row r="31" spans="2:17">
      <c r="B31" s="41">
        <v>10002</v>
      </c>
      <c r="C31" s="55" t="s">
        <v>563</v>
      </c>
      <c r="D31" s="55" t="s">
        <v>569</v>
      </c>
      <c r="E31" s="21" t="s">
        <v>556</v>
      </c>
      <c r="F31">
        <v>1</v>
      </c>
      <c r="G31">
        <v>50</v>
      </c>
      <c r="H31">
        <v>100</v>
      </c>
      <c r="I31">
        <v>10002</v>
      </c>
      <c r="J31" t="s">
        <v>277</v>
      </c>
      <c r="K31" s="54"/>
      <c r="L31" s="54"/>
      <c r="M31" s="54"/>
      <c r="N31" s="54"/>
      <c r="O31" s="54" t="str">
        <f>_xlfn.CONCAT(
_xlfn.CONCAT("&lt;size=16&gt;",L31,"&lt;/size&gt;\n\n",
"&lt;size=20&gt;&lt;color=#97C456&gt;",M31,"&lt;/color&gt;&lt;/size&gt;"),
IF(ISBLANK(N31),"",_xlfn.CONCAT("\n","&lt;size=24&gt;&lt;color=#FF6A6A&gt;",N31,"&lt;/color&gt;&lt;/size&gt;"))
)</f>
        <v>&lt;size=16&gt;&lt;/size&gt;\n\n&lt;size=20&gt;&lt;color=#97C456&gt;&lt;/color&gt;&lt;/size&gt;</v>
      </c>
      <c r="P31" s="43"/>
      <c r="Q31" s="54" t="str">
        <f>IF(ItemTable[[#This Row],['#4]]=ItemTable[[#This Row],[Desc]],"T","F")</f>
        <v>F</v>
      </c>
    </row>
    <row r="32" spans="2:17">
      <c r="B32" s="41">
        <v>10003</v>
      </c>
      <c r="C32" s="55" t="s">
        <v>568</v>
      </c>
      <c r="D32" s="55" t="s">
        <v>571</v>
      </c>
      <c r="E32" s="21" t="s">
        <v>556</v>
      </c>
      <c r="F32">
        <v>1</v>
      </c>
      <c r="G32">
        <v>50</v>
      </c>
      <c r="H32">
        <v>100</v>
      </c>
      <c r="I32">
        <v>10003</v>
      </c>
      <c r="J32" t="s">
        <v>256</v>
      </c>
      <c r="K32" s="54"/>
      <c r="L32" s="54"/>
      <c r="M32" s="54"/>
      <c r="N32" s="54"/>
      <c r="O32" s="54" t="str">
        <f>_xlfn.CONCAT(
_xlfn.CONCAT("&lt;size=16&gt;",L32,"&lt;/size&gt;\n\n",
"&lt;size=20&gt;&lt;color=#97C456&gt;",M32,"&lt;/color&gt;&lt;/size&gt;"),
IF(ISBLANK(N32),"",_xlfn.CONCAT("\n","&lt;size=24&gt;&lt;color=#FF6A6A&gt;",N32,"&lt;/color&gt;&lt;/size&gt;"))
)</f>
        <v>&lt;size=16&gt;&lt;/size&gt;\n\n&lt;size=20&gt;&lt;color=#97C456&gt;&lt;/color&gt;&lt;/size&gt;</v>
      </c>
      <c r="P32" s="43"/>
      <c r="Q32" s="54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7"/>
  <sheetViews>
    <sheetView topLeftCell="A4" zoomScale="129" zoomScaleNormal="129" zoomScaleSheetLayoutView="100" workbookViewId="0">
      <selection activeCell="G29" sqref="G29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512</v>
      </c>
      <c r="F1" s="21" t="s">
        <v>512</v>
      </c>
      <c r="G1" s="21" t="s">
        <v>516</v>
      </c>
      <c r="H1" t="s">
        <v>125</v>
      </c>
      <c r="I1" s="21" t="s">
        <v>530</v>
      </c>
      <c r="J1" t="s">
        <v>125</v>
      </c>
      <c r="K1" s="21" t="s">
        <v>516</v>
      </c>
    </row>
    <row r="2" spans="2:11">
      <c r="B2" s="5" t="s">
        <v>126</v>
      </c>
      <c r="C2" s="5" t="s">
        <v>128</v>
      </c>
      <c r="D2" t="s">
        <v>76</v>
      </c>
      <c r="E2" s="21" t="s">
        <v>546</v>
      </c>
      <c r="F2" s="21" t="s">
        <v>547</v>
      </c>
      <c r="G2" s="21" t="s">
        <v>517</v>
      </c>
      <c r="H2" s="21" t="s">
        <v>518</v>
      </c>
      <c r="I2" s="39" t="s">
        <v>520</v>
      </c>
      <c r="J2" s="21" t="s">
        <v>519</v>
      </c>
      <c r="K2" s="39" t="s">
        <v>535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537</v>
      </c>
      <c r="I3" s="21"/>
      <c r="J3" s="21" t="s">
        <v>536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537</v>
      </c>
      <c r="J4" s="21" t="s">
        <v>536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537</v>
      </c>
      <c r="I5" s="21"/>
      <c r="J5" s="21" t="s">
        <v>536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537</v>
      </c>
      <c r="J6" s="21" t="s">
        <v>536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537</v>
      </c>
      <c r="J7" s="21" t="s">
        <v>536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537</v>
      </c>
      <c r="J8" s="21" t="s">
        <v>536</v>
      </c>
    </row>
    <row r="9" spans="2:11" s="46" customFormat="1">
      <c r="D9" s="50"/>
      <c r="J9" s="50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553</v>
      </c>
      <c r="J10" s="21" t="s">
        <v>536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552</v>
      </c>
      <c r="J11" s="21" t="s">
        <v>536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537</v>
      </c>
      <c r="J12" s="21" t="s">
        <v>536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537</v>
      </c>
      <c r="J13" s="21" t="s">
        <v>536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537</v>
      </c>
      <c r="J14" s="21" t="s">
        <v>536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551</v>
      </c>
      <c r="J15" s="21" t="s">
        <v>536</v>
      </c>
    </row>
    <row r="16" spans="2:11" s="46" customFormat="1">
      <c r="D16" s="50"/>
      <c r="J16" s="50"/>
    </row>
    <row r="17" spans="2:11">
      <c r="B17" s="4" t="str">
        <f>INDEX(ItemTable[Name],MATCH(ItemEffectTable[[#This Row],[Index]],ItemTable[ItemEffectDataId],0))</f>
        <v>코코아 한통</v>
      </c>
      <c r="C17" s="4" t="str">
        <f>INDEX(ItemTable[GradeType],MATCH(ItemEffectTable[[#This Row],[Index]],ItemTable[ItemEffectDataId],0))</f>
        <v>Cursed</v>
      </c>
      <c r="D17" s="21">
        <v>9000</v>
      </c>
      <c r="E17" s="21">
        <v>9000</v>
      </c>
      <c r="F17" s="21"/>
      <c r="G17">
        <v>0</v>
      </c>
      <c r="H17" s="21" t="s">
        <v>537</v>
      </c>
      <c r="J17" s="21" t="s">
        <v>536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21">
        <v>9001</v>
      </c>
      <c r="E18" s="21">
        <v>9001</v>
      </c>
      <c r="F18" s="21"/>
      <c r="G18">
        <v>0</v>
      </c>
      <c r="H18" s="21" t="s">
        <v>537</v>
      </c>
      <c r="J18" s="21" t="s">
        <v>536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21">
        <v>9002</v>
      </c>
      <c r="E19" s="21">
        <v>9002</v>
      </c>
      <c r="F19" s="21">
        <v>9002</v>
      </c>
      <c r="G19">
        <v>0</v>
      </c>
      <c r="H19" s="21" t="s">
        <v>537</v>
      </c>
      <c r="J19" s="21" t="s">
        <v>536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21">
        <v>9003</v>
      </c>
      <c r="E20" s="21">
        <v>9003</v>
      </c>
      <c r="F20" s="21"/>
      <c r="G20">
        <v>0</v>
      </c>
      <c r="H20" s="21" t="s">
        <v>537</v>
      </c>
      <c r="J20" s="21" t="s">
        <v>536</v>
      </c>
    </row>
    <row r="21" spans="2:11">
      <c r="B21" s="4" t="str">
        <f>INDEX(ItemTable[Name],MATCH(ItemEffectTable[[#This Row],[Index]],ItemTable[ItemEffectDataId],0))</f>
        <v>태양</v>
      </c>
      <c r="C21" s="4" t="str">
        <f>INDEX(ItemTable[GradeType],MATCH(ItemEffectTable[[#This Row],[Index]],ItemTable[ItemEffectDataId],0))</f>
        <v>Cursed</v>
      </c>
      <c r="D21" s="21">
        <v>9004</v>
      </c>
      <c r="E21" s="21">
        <v>9004</v>
      </c>
      <c r="F21" s="21"/>
      <c r="G21">
        <v>0</v>
      </c>
      <c r="H21" s="21" t="s">
        <v>537</v>
      </c>
      <c r="J21" s="21" t="s">
        <v>536</v>
      </c>
    </row>
    <row r="22" spans="2:11">
      <c r="B22" s="4" t="str">
        <f>INDEX(ItemTable[Name],MATCH(ItemEffectTable[[#This Row],[Index]],ItemTable[ItemEffectDataId],0))</f>
        <v>테스트</v>
      </c>
      <c r="C22" s="41" t="str">
        <f>INDEX(ItemTable[GradeType],MATCH(ItemEffectTable[[#This Row],[Index]],ItemTable[ItemEffectDataId],0))</f>
        <v>Rare</v>
      </c>
      <c r="D22" s="21">
        <v>9005</v>
      </c>
      <c r="E22">
        <v>9005</v>
      </c>
      <c r="F22">
        <v>9005</v>
      </c>
      <c r="G22">
        <v>3</v>
      </c>
      <c r="H22" s="21" t="s">
        <v>550</v>
      </c>
      <c r="I22" s="21"/>
      <c r="J22" s="21" t="s">
        <v>536</v>
      </c>
    </row>
    <row r="23" spans="2:11" s="46" customFormat="1">
      <c r="J23" s="50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Rare</v>
      </c>
      <c r="D24" s="41">
        <v>10000</v>
      </c>
      <c r="F24">
        <v>10000</v>
      </c>
      <c r="G24">
        <v>0.1</v>
      </c>
      <c r="H24" s="21" t="s">
        <v>550</v>
      </c>
      <c r="J24" s="21" t="s">
        <v>536</v>
      </c>
    </row>
    <row r="25" spans="2:11">
      <c r="B25" s="4" t="str">
        <f>INDEX(ItemTable[Name],MATCH(ItemEffectTable[[#This Row],[Index]],ItemTable[ItemEffectDataId],0))</f>
        <v>원기옥</v>
      </c>
      <c r="C25" s="41" t="str">
        <f>INDEX(ItemTable[GradeType],MATCH(ItemEffectTable[[#This Row],[Index]],ItemTable[ItemEffectDataId],0))</f>
        <v>Rare</v>
      </c>
      <c r="D25" s="41">
        <v>10001</v>
      </c>
      <c r="F25">
        <v>10001</v>
      </c>
      <c r="G25">
        <v>3.5</v>
      </c>
      <c r="H25" s="21" t="s">
        <v>550</v>
      </c>
      <c r="I25" s="21" t="s">
        <v>562</v>
      </c>
      <c r="J25" s="21" t="s">
        <v>561</v>
      </c>
      <c r="K25">
        <v>3</v>
      </c>
    </row>
    <row r="26" spans="2:11">
      <c r="B26" s="4" t="str">
        <f>INDEX(ItemTable[Name],MATCH(ItemEffectTable[[#This Row],[Index]],ItemTable[ItemEffectDataId],0))</f>
        <v>소닉 더 배트매스터</v>
      </c>
      <c r="C26" s="41" t="str">
        <f>INDEX(ItemTable[GradeType],MATCH(ItemEffectTable[[#This Row],[Index]],ItemTable[ItemEffectDataId],0))</f>
        <v>Rare</v>
      </c>
      <c r="D26" s="41">
        <v>10002</v>
      </c>
      <c r="E26">
        <v>10002</v>
      </c>
      <c r="F26">
        <v>10002</v>
      </c>
      <c r="G26">
        <v>8</v>
      </c>
      <c r="H26" s="21" t="s">
        <v>550</v>
      </c>
      <c r="J26" s="21" t="s">
        <v>536</v>
      </c>
    </row>
    <row r="27" spans="2:11">
      <c r="B27" s="4" t="str">
        <f>INDEX(ItemTable[Name],MATCH(ItemEffectTable[[#This Row],[Index]],ItemTable[ItemEffectDataId],0))</f>
        <v>돌진!!</v>
      </c>
      <c r="C27" s="41" t="str">
        <f>INDEX(ItemTable[GradeType],MATCH(ItemEffectTable[[#This Row],[Index]],ItemTable[ItemEffectDataId],0))</f>
        <v>Rare</v>
      </c>
      <c r="D27" s="41">
        <v>10003</v>
      </c>
      <c r="F27">
        <v>10003</v>
      </c>
      <c r="G27">
        <v>1</v>
      </c>
      <c r="H27" s="21" t="s">
        <v>550</v>
      </c>
      <c r="J27" s="21" t="s">
        <v>536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6"/>
  <sheetViews>
    <sheetView topLeftCell="A11" zoomScale="129" zoomScaleNormal="129" zoomScaleSheetLayoutView="100" workbookViewId="0">
      <selection activeCell="D36" sqref="D36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530</v>
      </c>
      <c r="E1" s="21" t="s">
        <v>532</v>
      </c>
      <c r="F1" s="21" t="s">
        <v>525</v>
      </c>
    </row>
    <row r="2" spans="2:6">
      <c r="B2" t="s">
        <v>76</v>
      </c>
      <c r="C2" s="21" t="s">
        <v>521</v>
      </c>
      <c r="D2" s="21" t="s">
        <v>531</v>
      </c>
      <c r="E2" s="1" t="s">
        <v>13</v>
      </c>
      <c r="F2" s="39" t="s">
        <v>533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558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538</v>
      </c>
      <c r="D6">
        <v>1</v>
      </c>
      <c r="E6" t="s">
        <v>540</v>
      </c>
      <c r="F6">
        <v>-1</v>
      </c>
    </row>
    <row r="7" spans="2:6" ht="18">
      <c r="B7" s="21">
        <v>7003</v>
      </c>
      <c r="C7" s="42" t="s">
        <v>539</v>
      </c>
      <c r="D7">
        <v>1</v>
      </c>
      <c r="E7" t="s">
        <v>540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540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540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541</v>
      </c>
      <c r="E11" t="s">
        <v>540</v>
      </c>
      <c r="F11">
        <v>-1</v>
      </c>
    </row>
    <row r="12" spans="2:6" ht="18">
      <c r="B12" s="21">
        <v>8001</v>
      </c>
      <c r="C12" s="11" t="s">
        <v>320</v>
      </c>
      <c r="D12" s="14" t="s">
        <v>542</v>
      </c>
      <c r="E12" t="s">
        <v>540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540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540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540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540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540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540</v>
      </c>
      <c r="F18">
        <v>-1</v>
      </c>
    </row>
    <row r="19" spans="2:6" ht="18">
      <c r="B19" s="21">
        <v>8005</v>
      </c>
      <c r="C19" s="11" t="s">
        <v>320</v>
      </c>
      <c r="D19" t="s">
        <v>543</v>
      </c>
      <c r="E19" t="s">
        <v>540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540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540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540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540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540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540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544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  <row r="32" spans="2:6">
      <c r="B32" s="41">
        <v>10002</v>
      </c>
      <c r="C32" t="s">
        <v>2</v>
      </c>
      <c r="D32">
        <v>1.2</v>
      </c>
      <c r="E32" t="s">
        <v>349</v>
      </c>
      <c r="F32">
        <v>5</v>
      </c>
    </row>
    <row r="33" spans="2:6">
      <c r="B33" s="41">
        <v>10002</v>
      </c>
      <c r="C33" t="s">
        <v>28</v>
      </c>
      <c r="D33">
        <v>0.4</v>
      </c>
      <c r="E33" t="s">
        <v>349</v>
      </c>
      <c r="F33">
        <v>5</v>
      </c>
    </row>
    <row r="34" spans="2:6">
      <c r="B34" s="41">
        <v>10002</v>
      </c>
      <c r="C34" t="s">
        <v>229</v>
      </c>
      <c r="D34">
        <v>3</v>
      </c>
      <c r="E34" t="s">
        <v>349</v>
      </c>
      <c r="F34">
        <v>5</v>
      </c>
    </row>
    <row r="35" spans="2:6">
      <c r="B35" s="41">
        <v>10002</v>
      </c>
      <c r="C35" t="s">
        <v>198</v>
      </c>
      <c r="D35">
        <v>0.5</v>
      </c>
      <c r="E35" t="s">
        <v>349</v>
      </c>
      <c r="F35">
        <v>5</v>
      </c>
    </row>
    <row r="36" spans="2:6">
      <c r="B36" s="41">
        <v>10002</v>
      </c>
      <c r="C36" t="s">
        <v>219</v>
      </c>
      <c r="D36">
        <v>0.5</v>
      </c>
      <c r="E36" t="s">
        <v>349</v>
      </c>
      <c r="F36">
        <v>5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tabSelected="1" zoomScale="129" zoomScaleNormal="129" zoomScaleSheetLayoutView="100" workbookViewId="0">
      <selection activeCell="E10" sqref="E10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516</v>
      </c>
      <c r="E1" s="21" t="s">
        <v>525</v>
      </c>
      <c r="F1" s="21" t="s">
        <v>525</v>
      </c>
    </row>
    <row r="2" spans="2:6">
      <c r="B2" t="s">
        <v>76</v>
      </c>
      <c r="C2" s="21" t="s">
        <v>559</v>
      </c>
      <c r="D2" s="21" t="s">
        <v>522</v>
      </c>
      <c r="E2" s="39" t="s">
        <v>523</v>
      </c>
      <c r="F2" s="39" t="s">
        <v>524</v>
      </c>
    </row>
    <row r="3" spans="2:6">
      <c r="B3" s="21">
        <v>9002</v>
      </c>
      <c r="C3" s="21" t="s">
        <v>548</v>
      </c>
      <c r="D3" s="11"/>
    </row>
    <row r="4" spans="2:6">
      <c r="B4" s="21">
        <v>9005</v>
      </c>
      <c r="C4" s="21" t="s">
        <v>549</v>
      </c>
      <c r="D4">
        <v>0.5</v>
      </c>
      <c r="E4">
        <v>2</v>
      </c>
    </row>
    <row r="5" spans="2:6">
      <c r="B5" s="21"/>
      <c r="C5" s="21"/>
      <c r="D5" s="11"/>
    </row>
    <row r="6" spans="2:6" s="46" customFormat="1">
      <c r="B6" s="50"/>
      <c r="C6" s="50"/>
    </row>
    <row r="7" spans="2:6">
      <c r="B7" s="21">
        <v>10000</v>
      </c>
      <c r="C7" s="21" t="s">
        <v>526</v>
      </c>
      <c r="D7" s="11">
        <v>8</v>
      </c>
    </row>
    <row r="8" spans="2:6">
      <c r="B8">
        <v>10001</v>
      </c>
      <c r="C8" s="21" t="s">
        <v>560</v>
      </c>
      <c r="D8">
        <v>3</v>
      </c>
      <c r="E8">
        <v>23</v>
      </c>
      <c r="F8">
        <v>3</v>
      </c>
    </row>
    <row r="9" spans="2:6">
      <c r="B9">
        <v>10002</v>
      </c>
      <c r="C9" s="21" t="s">
        <v>549</v>
      </c>
      <c r="D9">
        <v>0.5</v>
      </c>
      <c r="E9">
        <v>5</v>
      </c>
    </row>
    <row r="10" spans="2:6">
      <c r="B10">
        <v>10003</v>
      </c>
      <c r="C10" s="21" t="s">
        <v>572</v>
      </c>
      <c r="D10">
        <v>10</v>
      </c>
      <c r="E10">
        <v>90</v>
      </c>
      <c r="F10">
        <v>1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2023-08-10T18:17:44Z</dcterms:modified>
  <cp:version>1200.0100.01</cp:version>
</cp:coreProperties>
</file>