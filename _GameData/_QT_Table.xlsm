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2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50799CD0-E202-4038-8517-7D52409DB1BF}" xr6:coauthVersionLast="47" xr6:coauthVersionMax="47" xr10:uidLastSave="{00000000-0000-0000-0000-000000000000}"/>
  <bookViews>
    <workbookView xWindow="-108" yWindow="-108" windowWidth="23256" windowHeight="12456" firstSheet="10" activeTab="11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2" i="14" l="1"/>
  <c r="C22" i="14"/>
  <c r="K14" i="2"/>
  <c r="K15" i="2"/>
  <c r="K13" i="2"/>
  <c r="C18" i="14"/>
  <c r="B18" i="14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B20" i="13" a="1"/>
  <c r="B20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M9" i="2"/>
  <c r="L9" i="2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E3" i="6"/>
  <c r="O7" i="3" s="1" a="1"/>
  <c r="O7" i="3" s="1"/>
  <c r="AD3" i="6"/>
  <c r="AC3" i="6"/>
  <c r="AB3" i="6"/>
  <c r="AA3" i="6"/>
  <c r="Z3" i="6"/>
  <c r="Y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9" i="3" a="1"/>
  <c r="O8" i="3" a="1"/>
  <c r="O8" i="3" s="1"/>
  <c r="P8" i="3" s="1"/>
  <c r="O10" i="3"/>
  <c r="P10" i="3" s="1"/>
  <c r="O9" i="3"/>
  <c r="P9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M18" i="2" l="1"/>
  <c r="M19" i="2"/>
  <c r="B5" i="14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4" i="14" s="1"/>
  <c r="K20" i="13" a="1"/>
  <c r="K20" i="13" s="1"/>
  <c r="B21" i="14" s="1"/>
  <c r="B9" i="14"/>
  <c r="C10" i="14"/>
  <c r="C12" i="14"/>
  <c r="C8" i="14"/>
  <c r="B11" i="14"/>
  <c r="C9" i="14"/>
  <c r="C13" i="14"/>
  <c r="B14" i="14"/>
  <c r="B12" i="14"/>
  <c r="B13" i="14"/>
  <c r="B10" i="14"/>
  <c r="C11" i="14"/>
  <c r="B8" i="14"/>
  <c r="B25" i="14" l="1"/>
  <c r="B24" i="14"/>
  <c r="C15" i="14"/>
  <c r="B15" i="14"/>
  <c r="C23" i="14"/>
  <c r="B16" i="14"/>
  <c r="B19" i="14"/>
  <c r="C20" i="14"/>
  <c r="C24" i="14"/>
  <c r="B23" i="14"/>
  <c r="B17" i="14"/>
  <c r="C19" i="14"/>
  <c r="C25" i="14"/>
  <c r="C21" i="14"/>
  <c r="B20" i="14"/>
  <c r="C16" i="14"/>
  <c r="B26" i="14"/>
  <c r="C17" i="14"/>
  <c r="C26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13C3841-CA26-4568-BA34-CACB44A00E4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<sst xmlns="http://schemas.openxmlformats.org/spreadsheetml/2006/main" count="1226" uniqueCount="648">
  <si>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</si>
  <si>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</si>
  <si>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</si>
  <si>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</si>
  <si>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</si>
  <si>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</si>
  <si>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</si>
  <si>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</si>
  <si>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</si>
  <si>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</si>
  <si>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</si>
  <si>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</si>
  <si>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</si>
  <si>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</si>
  <si>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</si>
  <si>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</si>
  <si>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</si>
  <si>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</si>
  <si>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</si>
  <si>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</si>
  <si>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</si>
  <si>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</si>
  <si>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</si>
  <si>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</si>
  <si>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</si>
  <si>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</si>
  <si>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</si>
  <si>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</si>
  <si>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</si>
  <si>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</si>
  <si>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</si>
  <si>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</si>
  <si>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</si>
  <si>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</si>
  <si>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</si>
  <si>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</si>
  <si>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</si>
  <si>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</si>
  <si>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</si>
  <si>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</si>
  <si>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</si>
  <si>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</si>
  <si>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</si>
  <si>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</si>
  <si>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</si>
  <si>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</si>
  <si>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</si>
  <si>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</si>
  <si>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</si>
  <si>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</si>
  <si>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</si>
  <si>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</si>
  <si>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</si>
  <si>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</si>
  <si>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</si>
  <si>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</si>
  <si>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</si>
  <si>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</si>
  <si>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</si>
  <si>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</si>
  <si>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</si>
  <si>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</si>
  <si>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</si>
  <si>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</si>
  <si>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</si>
  <si>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</si>
  <si>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</si>
  <si>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</si>
  <si>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</si>
  <si>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</si>
  <si>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</si>
  <si>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</si>
  <si>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</si>
  <si>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</si>
  <si>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</si>
  <si>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</si>
  <si>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</si>
  <si>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</si>
  <si>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</si>
  <si>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</si>
  <si>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</si>
  <si>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</si>
  <si>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</si>
  <si>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</si>
  <si>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</si>
  <si>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</si>
  <si>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</si>
  <si>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</si>
  <si>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</si>
  <si>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</si>
  <si>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</si>
  <si>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</si>
  <si>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</si>
  <si>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</si>
  <si>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</si>
  <si>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</si>
  <si>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</si>
  <si>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</si>
  <si>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</si>
  <si>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</si>
  <si>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</si>
  <si>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</si>
  <si>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</si>
  <si>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</si>
  <si>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</si>
  <si>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</si>
  <si>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</si>
  <si>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</si>
  <si>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</si>
  <si>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</si>
  <si>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</si>
  <si>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</si>
  <si>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</si>
  <si>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</si>
  <si>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</si>
  <si>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</si>
  <si>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</si>
  <si>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</si>
  <si>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</si>
  <si>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</si>
  <si>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</si>
  <si>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</si>
  <si>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</si>
  <si>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</si>
  <si>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</si>
  <si>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</si>
  <si>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</si>
  <si>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</si>
  <si>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</si>
  <si>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</si>
  <si>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</si>
  <si>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</si>
  <si>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</si>
  <si>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</si>
  <si>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</si>
  <si>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</si>
  <si>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</si>
  <si>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</si>
  <si>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</si>
  <si>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</si>
  <si>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</si>
  <si>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</si>
  <si>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</si>
  <si>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</si>
  <si>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</si>
  <si>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</si>
  <si>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</si>
  <si>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</si>
  <si>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</si>
  <si>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</si>
  <si>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</si>
  <si>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</si>
  <si>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</si>
  <si>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</si>
  <si>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</si>
  <si>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</si>
  <si>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</si>
  <si>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</si>
  <si>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</si>
  <si>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</si>
  <si>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</si>
  <si>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</si>
  <si>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</si>
  <si>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</si>
  <si>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</si>
  <si>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</si>
  <si>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</si>
  <si>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</si>
  <si>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</si>
  <si>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</si>
  <si>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</si>
  <si>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</si>
  <si>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</si>
  <si>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</si>
  <si>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</si>
  <si>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</si>
  <si>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</si>
  <si>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</si>
  <si>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</si>
  <si>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</si>
  <si>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</si>
  <si>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</si>
  <si>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</si>
  <si>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</si>
  <si>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</si>
  <si>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</si>
  <si>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</si>
  <si>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</si>
  <si>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</si>
  <si>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</si>
  <si>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</si>
  <si>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</si>
  <si>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</si>
  <si>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</si>
  <si>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</si>
  <si>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</si>
  <si>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</si>
  <si>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</si>
  <si>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</si>
  <si>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</si>
  <si>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</si>
  <si>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</si>
  <si>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</si>
  <si>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</si>
  <si>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</si>
  <si>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</si>
  <si>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</si>
  <si>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</si>
  <si>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</si>
  <si>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</si>
  <si>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</si>
  <si>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</si>
  <si>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</si>
  <si>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</si>
  <si>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</si>
  <si>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</si>
  <si>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</si>
  <si>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</si>
  <si>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</si>
  <si>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</si>
  <si>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</si>
  <si>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</si>
  <si>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</si>
  <si>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</si>
  <si>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</si>
  <si>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</si>
  <si>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</si>
  <si>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</si>
  <si>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</si>
  <si>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</si>
  <si>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</si>
  <si>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</si>
  <si>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</si>
  <si>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</si>
  <si>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</si>
  <si>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</si>
  <si>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</si>
  <si>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</si>
  <si>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</si>
  <si>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</si>
  <si>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</si>
  <si>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</si>
  <si>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</si>
  <si>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</si>
  <si>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</si>
  <si>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</si>
  <si>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</si>
  <si>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</si>
  <si>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</si>
  <si>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</si>
  <si>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</si>
  <si>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</si>
  <si>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</si>
  <si>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</si>
  <si>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</si>
  <si>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</si>
  <si>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</si>
  <si>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</si>
  <si>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</si>
  <si>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</si>
  <si>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</si>
  <si>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</si>
  <si>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</si>
  <si>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</si>
  <si>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</si>
  <si>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</si>
  <si>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</si>
  <si>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</si>
  <si>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</si>
  <si>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</si>
  <si>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</si>
  <si>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</si>
  <si>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</si>
  <si>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</si>
  <si>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</si>
  <si>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</si>
  <si>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</si>
  <si>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</si>
  <si>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</si>
  <si>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</si>
  <si>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</si>
  <si>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</si>
  <si>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</si>
  <si>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</si>
  <si>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</si>
  <si>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</si>
  <si>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</si>
  <si>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</si>
  <si>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</si>
  <si>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</si>
  <si>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</si>
  <si>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</si>
  <si>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</si>
  <si>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</si>
  <si>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</si>
  <si>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</si>
  <si>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</si>
  <si>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</si>
  <si>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</si>
  <si>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</si>
  <si>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</si>
  <si>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</si>
  <si>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</si>
  <si>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</si>
  <si>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</si>
  <si>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</si>
  <si>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</si>
  <si>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</si>
  <si>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</si>
  <si>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</si>
  <si>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</si>
  <si>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</si>
  <si>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</si>
  <si>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</si>
  <si>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</si>
  <si>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</si>
  <si>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</si>
  <si>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</si>
  <si>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</si>
  <si>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</si>
  <si>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</si>
  <si>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</si>
  <si>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</si>
  <si>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</si>
  <si>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</si>
  <si>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</si>
  <si>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</si>
  <si>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</si>
  <si>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</si>
  <si>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</si>
  <si>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</si>
  <si>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</si>
  <si>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</si>
  <si>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</si>
  <si>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</si>
  <si>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</si>
  <si>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</si>
  <si>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</si>
  <si>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</si>
  <si>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</si>
  <si>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</si>
  <si>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</si>
  <si>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</si>
  <si>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</si>
  <si>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</si>
  <si>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</si>
  <si>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</si>
  <si>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</si>
  <si>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</si>
  <si>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</si>
  <si>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</si>
  <si>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</si>
  <si>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</si>
  <si>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</si>
  <si>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</si>
  <si>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</si>
  <si>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</si>
  <si>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</si>
  <si>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</si>
  <si>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</si>
  <si>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</si>
  <si>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</si>
  <si>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</si>
  <si>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</si>
  <si>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</si>
  <si>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</si>
  <si>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</si>
  <si>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</si>
  <si>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</si>
  <si>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</si>
  <si>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</si>
  <si>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</si>
  <si>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</si>
  <si>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</si>
  <si>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</si>
  <si>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</si>
  <si>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</si>
  <si>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</si>
  <si>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</si>
  <si>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</si>
  <si>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</si>
  <si>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</si>
  <si>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</si>
  <si>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</si>
  <si>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</si>
  <si>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</si>
  <si>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</si>
  <si>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</si>
  <si>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</si>
  <si>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</si>
  <si>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</si>
  <si>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</si>
  <si>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</si>
  <si>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</si>
  <si>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</si>
  <si>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</si>
  <si>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</si>
  <si>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</si>
  <si>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</si>
  <si>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</si>
  <si>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</si>
  <si>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</si>
  <si>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</si>
  <si>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</si>
  <si>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</si>
  <si>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</si>
  <si>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</si>
  <si>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</si>
  <si>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</si>
  <si>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</si>
  <si>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</si>
  <si>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</si>
  <si>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</si>
  <si>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</si>
  <si>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</si>
  <si>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</si>
  <si>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</si>
  <si>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</si>
  <si>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</si>
  <si>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</si>
  <si>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</si>
  <si>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</si>
  <si>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</si>
  <si>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</si>
  <si>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</si>
  <si>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</si>
  <si>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</si>
  <si>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</si>
  <si>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</si>
  <si>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</si>
  <si>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</si>
  <si>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</si>
  <si>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</si>
  <si>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</si>
  <si>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</si>
  <si>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</si>
  <si>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</si>
  <si>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</si>
  <si>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</si>
  <si>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</si>
  <si>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</si>
  <si>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</si>
  <si>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</si>
  <si>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</si>
  <si>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</si>
  <si>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</si>
  <si>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</si>
  <si>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</si>
  <si>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</si>
  <si>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</si>
  <si>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</si>
  <si>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</si>
  <si>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</si>
  <si>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</si>
  <si>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</si>
  <si>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</si>
  <si>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</si>
  <si>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</si>
  <si>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</si>
  <si>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</si>
  <si>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</si>
  <si>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</si>
  <si>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</si>
  <si>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</si>
  <si>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</si>
  <si>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</si>
  <si>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</si>
  <si>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</si>
  <si>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</si>
  <si>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</si>
  <si>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</si>
  <si>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</si>
  <si>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</si>
  <si>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</si>
  <si>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</si>
  <si>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</si>
  <si>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</si>
  <si>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</si>
  <si>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</si>
  <si>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</si>
  <si>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</si>
  <si>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</si>
  <si>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</si>
  <si>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</si>
  <si>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</si>
  <si>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</si>
  <si>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</si>
  <si>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</si>
  <si>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</si>
  <si>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</si>
  <si>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</si>
  <si>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</si>
  <si>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</si>
  <si>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</si>
  <si>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</si>
  <si>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</si>
  <si>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</si>
  <si>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</si>
  <si>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</si>
  <si>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</si>
  <si>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</si>
  <si>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</si>
  <si>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</si>
  <si>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</si>
  <si>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</si>
  <si>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</si>
  <si>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</si>
  <si>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</si>
  <si>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</si>
  <si>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</si>
  <si>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</si>
  <si>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</si>
  <si>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</si>
  <si>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</si>
  <si>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</si>
  <si>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Addition</t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</si>
  <si>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</si>
  <si>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</si>
  <si>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</si>
  <si>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</si>
  <si>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</si>
  <si>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OnHpChanged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</si>
  <si>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</si>
  <si>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</si>
  <si>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</si>
  <si>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</si>
  <si>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ProjectileInRange</t>
    <phoneticPr fontId="8" type="noConversion"/>
  </si>
  <si>
    <t>Player</t>
    <phoneticPr fontId="8" type="noConversion"/>
  </si>
  <si>
    <t>DodgeCooldown</t>
    <phoneticPr fontId="8" type="noConversion"/>
  </si>
  <si>
    <t>SwingCooldown</t>
    <phoneticPr fontId="8" type="noConversion"/>
  </si>
  <si>
    <t>Charge</t>
    <phoneticPr fontId="19" type="noConversion"/>
  </si>
  <si>
    <t>OnSwing</t>
    <phoneticPr fontId="8" type="noConversion"/>
  </si>
  <si>
    <t>Shoot</t>
    <phoneticPr fontId="19" type="noConversion"/>
  </si>
  <si>
    <t>Active</t>
    <phoneticPr fontId="8" type="noConversion"/>
  </si>
  <si>
    <t>PlusDesc</t>
    <phoneticPr fontId="8" type="noConversion"/>
  </si>
  <si>
    <t>MinusDesc</t>
    <phoneticPr fontId="8" type="noConversion"/>
  </si>
  <si>
    <t>공격속도 +30%</t>
    <phoneticPr fontId="8" type="noConversion"/>
  </si>
  <si>
    <t>#설명</t>
    <phoneticPr fontId="19" type="noConversion"/>
  </si>
  <si>
    <t>#Param1설명</t>
    <phoneticPr fontId="19" type="noConversion"/>
  </si>
  <si>
    <t>#Param2설명</t>
  </si>
  <si>
    <t>#Param3설명</t>
    <phoneticPr fontId="19" type="noConversion"/>
  </si>
  <si>
    <t>시간 배율</t>
    <phoneticPr fontId="19" type="noConversion"/>
  </si>
  <si>
    <t>지속시간(초)</t>
    <phoneticPr fontId="19" type="noConversion"/>
  </si>
  <si>
    <t>공격속도 30% 상승</t>
    <phoneticPr fontId="19" type="noConversion"/>
  </si>
  <si>
    <t>공격범위 20% 상승</t>
    <phoneticPr fontId="19" type="noConversion"/>
  </si>
  <si>
    <t>차징속도 20% 상승</t>
    <phoneticPr fontId="19" type="noConversion"/>
  </si>
  <si>
    <t>hp 1칸 증가</t>
    <phoneticPr fontId="19" type="noConversion"/>
  </si>
  <si>
    <t>#폐기여부</t>
    <phoneticPr fontId="19" type="noConversion"/>
  </si>
  <si>
    <t>hp 감소량만큼 피해량 증가</t>
    <phoneticPr fontId="19" type="noConversion"/>
  </si>
  <si>
    <t>이동속도 0.5 증가</t>
    <phoneticPr fontId="19" type="noConversion"/>
  </si>
  <si>
    <t>공격속도 10% 증가</t>
    <phoneticPr fontId="19" type="noConversion"/>
  </si>
  <si>
    <t>피해량 10% 증가</t>
    <phoneticPr fontId="19" type="noConversion"/>
  </si>
  <si>
    <t>골드 획득량 50% 증가</t>
    <phoneticPr fontId="19" type="noConversion"/>
  </si>
  <si>
    <t>피해량 100% 증가</t>
    <phoneticPr fontId="19" type="noConversion"/>
  </si>
  <si>
    <t>인피니티 도넛</t>
    <phoneticPr fontId="8" type="noConversion"/>
  </si>
  <si>
    <t>기절한 적에게 순간이동하며 공격합니다.</t>
    <phoneticPr fontId="8" type="noConversion"/>
  </si>
  <si>
    <t>미사일 백팩</t>
    <phoneticPr fontId="8" type="noConversion"/>
  </si>
  <si>
    <t>OnAttackStunEnemy</t>
    <phoneticPr fontId="8" type="noConversion"/>
  </si>
  <si>
    <t>투수 케르베로스</t>
    <phoneticPr fontId="8" type="noConversion"/>
  </si>
  <si>
    <t>공을 좋아하는 개들입니다.\n자세히보니 한마리였네요…</t>
    <phoneticPr fontId="8" type="noConversion"/>
  </si>
  <si>
    <t>#명칭</t>
    <phoneticPr fontId="19" type="noConversion"/>
  </si>
  <si>
    <t>케르베로스</t>
    <phoneticPr fontId="19" type="noConversion"/>
  </si>
  <si>
    <t>케르베로스 아이템 효과</t>
    <phoneticPr fontId="8" type="noConversion"/>
  </si>
  <si>
    <t>케르베로스 아이템 투사체</t>
    <phoneticPr fontId="8" type="noConversion"/>
  </si>
  <si>
    <t>커서 방향으로 돌진합니다.</t>
    <phoneticPr fontId="8" type="noConversion"/>
  </si>
  <si>
    <t>행성 만세</t>
    <phoneticPr fontId="8" type="noConversion"/>
  </si>
  <si>
    <t>ChargeMovementSpd</t>
    <phoneticPr fontId="8" type="noConversion"/>
  </si>
  <si>
    <t>#Param3설명3</t>
  </si>
  <si>
    <t>Param4</t>
    <phoneticPr fontId="19" type="noConversion"/>
  </si>
  <si>
    <t>icon/item/A_item_01.png</t>
    <phoneticPr fontId="8" type="noConversion"/>
  </si>
  <si>
    <t>icon/item/A_item_02.png</t>
    <phoneticPr fontId="8" type="noConversion"/>
  </si>
  <si>
    <t>icon/item/A_item_03.png</t>
    <phoneticPr fontId="8" type="noConversion"/>
  </si>
  <si>
    <t>골드획득량 +50%</t>
    <phoneticPr fontId="8" type="noConversion"/>
  </si>
  <si>
    <t>주변 투사체를 흡수하여\n3초 뒤 모두 발사합니다</t>
    <phoneticPr fontId="8" type="noConversion"/>
  </si>
  <si>
    <t>고대에 멸종된 것으로 보이는 유물 입니다.\n많은 시간이 지났지만 튼튼하고 고통스럽습니다.</t>
    <phoneticPr fontId="8" type="noConversion"/>
  </si>
  <si>
    <t>icon/item/item_18.png</t>
    <phoneticPr fontId="8" type="noConversion"/>
  </si>
  <si>
    <t>초소형 블랙홀</t>
    <phoneticPr fontId="8" type="noConversion"/>
  </si>
  <si>
    <t>신경 부스터</t>
    <phoneticPr fontId="8" type="noConversion"/>
  </si>
  <si>
    <t>앞만 보고 살아가는 당신에게 추천합니다.\n데일리룩으로 안성맞춤.</t>
    <phoneticPr fontId="8" type="noConversion"/>
  </si>
  <si>
    <t>기초적인 임플란트입니다.\n하루 3회 이상 음용할 경우\n사이버 미치광이가 될 수 있습니다.</t>
    <phoneticPr fontId="8" type="noConversion"/>
  </si>
  <si>
    <t>4초간 신경이 가속합니다.</t>
    <phoneticPr fontId="8" type="noConversion"/>
  </si>
  <si>
    <t>시크한 표정을 믿고 산책에 나갔다가는\n마라톤을 하게 될 수 있습니다.</t>
    <phoneticPr fontId="8" type="noConversion"/>
  </si>
  <si>
    <t>꽤 무게가 나가는 돌가면.\n안쪽에 숨겨진 침들이 보이는데...\n위험하진 않겠죠?</t>
    <phoneticPr fontId="8" type="noConversion"/>
  </si>
  <si>
    <t>공공장소에서 사용으로 인한\n피해는 책임지지 않습니다.</t>
    <phoneticPr fontId="8" type="noConversion"/>
  </si>
  <si>
    <t>공격속도 -30%</t>
    <phoneticPr fontId="8" type="noConversion"/>
  </si>
  <si>
    <t>어째선지 계속해서 울고 있는 양초입니다.\n건드리고 싶지 않네요.</t>
    <phoneticPr fontId="8" type="noConversion"/>
  </si>
  <si>
    <t>일반 공격이 차징 공격이 됩니다.</t>
    <phoneticPr fontId="8" type="noConversion"/>
  </si>
  <si>
    <t>공격속도 -40%</t>
    <phoneticPr fontId="8" type="noConversion"/>
  </si>
  <si>
    <t>AtkDmgPer</t>
    <phoneticPr fontId="19" type="noConversion"/>
  </si>
  <si>
    <t>OnParry</t>
    <phoneticPr fontId="8" type="noConversion"/>
  </si>
  <si>
    <t>공 충돌횟수 +3</t>
    <phoneticPr fontId="8" type="noConversion"/>
  </si>
  <si>
    <t>충돌 횟수 3회 증가</t>
    <phoneticPr fontId="19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</si>
  <si>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8" type="noConversion"/>
  </si>
  <si>
    <t>차징 속도 0으로</t>
    <phoneticPr fontId="19" type="noConversion"/>
  </si>
  <si>
    <t>공격속도 30% 감소</t>
    <phoneticPr fontId="19" type="noConversion"/>
  </si>
  <si>
    <t>OnSwingHit</t>
    <phoneticPr fontId="8" type="noConversion"/>
  </si>
  <si>
    <t>SwingCooldown</t>
    <phoneticPr fontId="19" type="noConversion"/>
  </si>
  <si>
    <t>공격속도 40% 감소</t>
    <phoneticPr fontId="19" type="noConversion"/>
  </si>
  <si>
    <t>기절한 적을 공격할 경우\n4초간 공격력 +30%</t>
    <phoneticPr fontId="8" type="noConversion"/>
  </si>
  <si>
    <t>체력 +1</t>
    <phoneticPr fontId="8" type="noConversion"/>
  </si>
  <si>
    <t>체력 -50</t>
    <phoneticPr fontId="19" type="noConversion"/>
  </si>
  <si>
    <t>피해량 60% 증가</t>
    <phoneticPr fontId="19" type="noConversion"/>
  </si>
  <si>
    <t>체력 -2</t>
    <phoneticPr fontId="8" type="noConversion"/>
  </si>
  <si>
    <t>공격력 +60%</t>
    <phoneticPr fontId="8" type="noConversion"/>
  </si>
  <si>
    <t>체력 +2</t>
    <phoneticPr fontId="8" type="noConversion"/>
  </si>
  <si>
    <t>HP</t>
    <phoneticPr fontId="19" type="noConversion"/>
  </si>
  <si>
    <t>체력+2</t>
    <phoneticPr fontId="19" type="noConversion"/>
  </si>
  <si>
    <t>도넛에 구멍은 몇 개일까요? 적어도\n이 도넛은 무한한 구멍을 가졌습니다.</t>
    <phoneticPr fontId="8" type="noConversion"/>
  </si>
  <si>
    <t>icon/item/A_item_06.png</t>
    <phoneticPr fontId="8" type="noConversion"/>
  </si>
  <si>
    <t>층</t>
    <phoneticPr fontId="8" type="noConversion"/>
  </si>
  <si>
    <t>층 방 개수</t>
    <phoneticPr fontId="8" type="noConversion"/>
  </si>
  <si>
    <t>1층</t>
  </si>
  <si>
    <t>1층</t>
    <phoneticPr fontId="8" type="noConversion"/>
  </si>
  <si>
    <t>2층</t>
  </si>
  <si>
    <t>2층</t>
    <phoneticPr fontId="8" type="noConversion"/>
  </si>
  <si>
    <t>3층</t>
  </si>
  <si>
    <t>3층</t>
    <phoneticPr fontId="8" type="noConversion"/>
  </si>
  <si>
    <t>개수</t>
    <phoneticPr fontId="8" type="noConversion"/>
  </si>
  <si>
    <t>평균획득골드</t>
    <phoneticPr fontId="8" type="noConversion"/>
  </si>
  <si>
    <t>방당 획득</t>
    <phoneticPr fontId="8" type="noConversion"/>
  </si>
  <si>
    <t>층 완료 획득</t>
    <phoneticPr fontId="8" type="noConversion"/>
  </si>
  <si>
    <t>일반템</t>
    <phoneticPr fontId="8" type="noConversion"/>
  </si>
  <si>
    <t>희귀템</t>
    <phoneticPr fontId="8" type="noConversion"/>
  </si>
  <si>
    <t>일반5 희귀5</t>
    <phoneticPr fontId="8" type="noConversion"/>
  </si>
  <si>
    <t>기절한 적 공격시 4초간 공격력 40% 증가</t>
    <phoneticPr fontId="19" type="noConversion"/>
  </si>
  <si>
    <t>(HP_Base - HP)*0.006</t>
    <phoneticPr fontId="8" type="noConversion"/>
  </si>
  <si>
    <t>빈 하트 1개당 공격력 +15%</t>
    <phoneticPr fontId="8" type="noConversion"/>
  </si>
  <si>
    <t>태양 만세 아이템 효과</t>
    <phoneticPr fontId="8" type="noConversion"/>
  </si>
  <si>
    <t>태양 만세</t>
    <phoneticPr fontId="8" type="noConversion"/>
  </si>
  <si>
    <t>Prefabs/ItemProjectile3.prefab</t>
    <phoneticPr fontId="8" type="noConversion"/>
  </si>
  <si>
    <t>Prefabs/ItemProjectile1.prefab</t>
    <phoneticPr fontId="8" type="noConversion"/>
  </si>
  <si>
    <t>Multiply</t>
    <phoneticPr fontId="19" type="noConversion"/>
  </si>
  <si>
    <t>타격 시마다 4초간 공격속도 15% 상승</t>
    <phoneticPr fontId="19" type="noConversion"/>
  </si>
  <si>
    <t>타격 시마다 4초간\n공격속도 +15%\n(효과는 중첩될 수 있습니다.)</t>
    <phoneticPr fontId="8" type="noConversion"/>
  </si>
  <si>
    <t>ChargeBounceCount</t>
    <phoneticPr fontId="19" type="noConversion"/>
  </si>
  <si>
    <t>배트에 달아놓으면 휘두를 때\n짤랑짤랑 소리가 납니다.</t>
    <phoneticPr fontId="8" type="noConversion"/>
  </si>
  <si>
    <t>패링 시 5초간 피해량 20%증가</t>
    <phoneticPr fontId="19" type="noConversion"/>
  </si>
  <si>
    <t>행성만세</t>
    <phoneticPr fontId="19" type="noConversion"/>
  </si>
  <si>
    <t>차징 타격 시 5초간\n공격력 +20%</t>
    <phoneticPr fontId="8" type="noConversion"/>
  </si>
  <si>
    <t>OnDodge</t>
    <phoneticPr fontId="8" type="noConversion"/>
  </si>
  <si>
    <t>MovementSpd</t>
    <phoneticPr fontId="19" type="noConversion"/>
  </si>
  <si>
    <t>이동속도 30% 감소</t>
    <phoneticPr fontId="19" type="noConversion"/>
  </si>
  <si>
    <t>이동속도 30% 감소</t>
    <phoneticPr fontId="8" type="noConversion"/>
  </si>
  <si>
    <t>회피 시 공 4개 발사</t>
    <phoneticPr fontId="8" type="noConversion"/>
  </si>
  <si>
    <t>공격 시 공 3개 발사</t>
    <phoneticPr fontId="8" type="noConversion"/>
  </si>
  <si>
    <t>Hard</t>
    <phoneticPr fontId="19" type="noConversion"/>
  </si>
  <si>
    <t>플레이어의 공이 관통함</t>
    <phoneticPr fontId="19" type="noConversion"/>
  </si>
  <si>
    <t>플레이어의 공이\n적을 관통합니다.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</si>
</sst>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8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8" borderId="0" xfId="0" applyFont="1" applyFill="1">
      <alignment vertical="center"/>
    </xf>
    <xf numFmtId="0" fontId="14" fillId="8" borderId="0" xfId="0" applyFont="1" applyFill="1">
      <alignment vertical="center"/>
    </xf>
    <xf numFmtId="0" fontId="0" fillId="8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8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8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9" borderId="0" xfId="0" applyFill="1">
      <alignment vertical="center"/>
    </xf>
    <xf numFmtId="0" fontId="14" fillId="9" borderId="0" xfId="0" applyFont="1" applyFill="1">
      <alignment vertical="center"/>
    </xf>
    <xf numFmtId="0" fontId="14" fillId="6" borderId="0" xfId="0" applyFont="1" applyFill="1">
      <alignment vertical="center"/>
    </xf>
    <xf numFmtId="0" fontId="0" fillId="10" borderId="0" xfId="0" applyFill="1">
      <alignment vertical="center"/>
    </xf>
    <xf numFmtId="0" fontId="1" fillId="10" borderId="0" xfId="0" applyFont="1" applyFill="1">
      <alignment vertical="center"/>
    </xf>
    <xf numFmtId="0" fontId="14" fillId="11" borderId="0" xfId="0" applyFont="1" applyFill="1">
      <alignment vertical="center"/>
    </xf>
    <xf numFmtId="0" fontId="0" fillId="8" borderId="0" xfId="0" applyFill="1" applyAlignment="1">
      <alignment vertical="center" wrapText="1"/>
    </xf>
    <xf numFmtId="0" fontId="4" fillId="8" borderId="0" xfId="0" applyFont="1" applyFill="1">
      <alignment vertical="center"/>
    </xf>
    <xf numFmtId="0" fontId="1" fillId="11" borderId="0" xfId="0" applyFont="1" applyFill="1">
      <alignment vertical="center"/>
    </xf>
    <xf numFmtId="0" fontId="13" fillId="0" borderId="0" xfId="0" applyFont="1" applyAlignment="1">
      <alignment vertical="center" wrapText="1"/>
    </xf>
    <xf numFmtId="0" fontId="13" fillId="0" borderId="0" xfId="0" quotePrefix="1" applyFont="1">
      <alignment vertical="center"/>
    </xf>
    <xf numFmtId="0" fontId="17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6" fillId="0" borderId="0" xfId="0" applyFont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17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6"/>
      <tableStyleElement type="headerRow" dxfId="115"/>
      <tableStyleElement type="totalRow" dxfId="114"/>
      <tableStyleElement type="firstColumn" dxfId="113"/>
      <tableStyleElement type="lastColumn" dxfId="112"/>
      <tableStyleElement type="firstRowStripe" dxfId="111"/>
      <tableStyleElement type="firstColumnStripe" dxfId="110"/>
    </tableStyle>
    <tableStyle name="Light Style 1 - Accent 1" table="0" count="7" xr9:uid="{00000000-0011-0000-FFFF-FFFF01000000}">
      <tableStyleElement type="wholeTable" dxfId="109"/>
      <tableStyleElement type="headerRow" dxfId="108"/>
      <tableStyleElement type="totalRow" dxfId="107"/>
      <tableStyleElement type="firstColumn" dxfId="106"/>
      <tableStyleElement type="lastColumn" dxfId="105"/>
      <tableStyleElement type="firstRowStripe" dxfId="104"/>
      <tableStyleElement type="firstColumnStripe" dxfId="103"/>
    </tableStyle>
    <tableStyle name="표 스타일 1" pivot="0" count="4" xr9:uid="{00000000-0011-0000-FFFF-FFFF02000000}">
      <tableStyleElement type="wholeTable" dxfId="102"/>
      <tableStyleElement type="headerRow" dxfId="101"/>
      <tableStyleElement type="firstRowStripe" dxfId="100"/>
      <tableStyleElement type="secondRowStripe" dxfId="9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8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2:G42" headerRowDxfId="97">
  <autoFilter ref="B12:G42" xr:uid="{B73D1EB2-9631-41EE-AD58-6E2FFBE46994}"/>
  <tableColumns count="6">
    <tableColumn id="11" xr3:uid="{55B6F8E8-6B8B-4ED9-8F5F-483F1DB1EECB}" name="층" dataDxfId="96"/>
    <tableColumn id="1" xr3:uid="{F4B054AC-AD7E-4956-B080-A01431C8F732}" name="스테이지" totalsRowLabel="요약"/>
    <tableColumn id="3" xr3:uid="{D0B1BE2A-DC38-4D05-81EC-23F2D1CCCBEB}" name="박쥐"/>
    <tableColumn id="4" xr3:uid="{41CB39C9-1C4D-48D7-B115-47A5533FB77C}" name="일반"/>
    <tableColumn id="5" xr3:uid="{824C3876-8298-4907-B8FE-3144B3D10904}" name="정예" dataDxfId="95"/>
    <tableColumn id="6" xr3:uid="{4137F677-A56C-450D-803F-BB4DD6A6869A}" name="평균획득골드" totalsRowFunction="average" dataDxfId="94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J6:M9" totalsRowCount="1" headerRowDxfId="93">
  <autoFilter ref="J6:M8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B461AE9-CCF9-4F2E-B5BA-EA4AA8F5009B}" name="표24" displayName="표24" ref="J12:M16" totalsRowCount="1">
  <autoFilter ref="J12:M15" xr:uid="{4B461AE9-CCF9-4F2E-B5BA-EA4AA8F5009B}"/>
  <tableColumns count="4">
    <tableColumn id="1" xr3:uid="{EAEA8C1A-0B1D-45FA-B632-686D2DB4E0FE}" name="층" totalsRowLabel="요약" dataDxfId="92" totalsRowDxfId="91"/>
    <tableColumn id="2" xr3:uid="{B005255D-5A83-47C3-B699-5B6A1F6024D4}" name="개수">
      <calculatedColumnFormula>INDEX(ProductialTable[MaxRoomValue],MATCH(표24[[#This Row],[층]],ProductialTable['#이름],0))</calculatedColumnFormula>
    </tableColumn>
    <tableColumn id="4" xr3:uid="{3053E805-640D-4D9E-B00D-CFB57AF2674C}" name="방당 획득" dataDxfId="90">
      <calculatedColumnFormula>(SUMIFS(표11[평균획득골드],표11[층],표24[[#This Row],[층]])/_xlfn.MAXIFS(표11[스테이지],표11[층],표24[[#This Row],[층]]))</calculatedColumnFormula>
    </tableColumn>
    <tableColumn id="3" xr3:uid="{718FB09A-D86C-4344-AAFC-49CF2D56420B}" name="층 완료 획득" totalsRowFunction="sum" dataDxfId="89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8" dataDxfId="87">
  <autoFilter ref="B6:E32" xr:uid="{00000000-0009-0000-0100-000008000000}"/>
  <tableColumns count="4">
    <tableColumn id="1" xr3:uid="{00000000-0010-0000-0100-000001000000}" name="스텟" dataDxfId="86"/>
    <tableColumn id="2" xr3:uid="{00000000-0010-0000-0100-000002000000}" name="참조 테이블" dataDxfId="85"/>
    <tableColumn id="3" xr3:uid="{00000000-0010-0000-0100-000003000000}" name="설명" dataDxfId="84"/>
    <tableColumn id="4" xr3:uid="{00000000-0010-0000-0100-000004000000}" name="Value 1당 가치" dataDxfId="83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8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8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8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9"/>
    <tableColumn id="4" xr3:uid="{00000000-0010-0000-0400-000004000000}" name="획득 무기"/>
    <tableColumn id="5" xr3:uid="{00000000-0010-0000-0400-000005000000}" name="획득 골드" dataDxfId="78">
      <calculatedColumnFormula array="1">밸런스시트[[#This Row],[방 개수]]*표10[방 평균 골드]</calculatedColumnFormula>
    </tableColumn>
    <tableColumn id="6" xr3:uid="{00000000-0010-0000-0400-000006000000}" name="적 체력" dataDxfId="7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6">
      <calculatedColumnFormula array="1">CharacterAtkTable['#던진공 차징1 튕겨내기 DPS]</calculatedColumnFormula>
    </tableColumn>
    <tableColumn id="10" xr3:uid="{00000000-0010-0000-0400-00000A000000}" name="예상 전투 시간" dataDxfId="75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7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73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7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71"/>
    <tableColumn id="3" xr3:uid="{00000000-0010-0000-0600-000003000000}" name="value"/>
    <tableColumn id="4" xr3:uid="{00000000-0010-0000-0600-000004000000}" name="#설명" dataDxfId="70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67">
  <autoFilter ref="B2:AE3" xr:uid="{00000000-0009-0000-0100-000007000000}"/>
  <tableColumns count="30">
    <tableColumn id="1" xr3:uid="{00000000-0010-0000-0800-000001000000}" name="Index"/>
    <tableColumn id="2" xr3:uid="{00000000-0010-0000-0800-000002000000}" name="#설명" dataDxfId="66"/>
    <tableColumn id="3" xr3:uid="{00000000-0010-0000-0800-000003000000}" name="ThrowCooldown" dataDxfId="65"/>
    <tableColumn id="4" xr3:uid="{00000000-0010-0000-0800-000004000000}" name="ThrowAfterDelay" dataDxfId="6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63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6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6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60"/>
    <tableColumn id="14" xr3:uid="{00000000-0010-0000-0900-00000E000000}" name="#드랍테이블2" dataDxfId="59"/>
    <tableColumn id="15" xr3:uid="{00000000-0010-0000-0900-00000F000000}" name="#드랍테이블3" dataDxfId="58"/>
    <tableColumn id="16" xr3:uid="{00000000-0010-0000-0900-000010000000}" name="#드랍테이블4" dataDxfId="57"/>
    <tableColumn id="17" xr3:uid="{00000000-0010-0000-0900-000011000000}" name="#드랍테이블5" dataDxfId="56"/>
    <tableColumn id="18" xr3:uid="{00000000-0010-0000-0900-000012000000}" name="#드랍테이블6" dataDxfId="55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5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5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Active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52"/>
    <tableColumn id="19" xr3:uid="{BFCBC32D-7E44-4D9E-BE44-E28E6C46489C}" name="#" dataDxfId="5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50"/>
    <tableColumn id="17" xr3:uid="{00000000-0010-0000-0B00-000011000000}" name="#기준 적 체력 비율"/>
    <tableColumn id="18" xr3:uid="{00000000-0010-0000-0B00-000012000000}" name="#평균 드랍 골드" dataDxfId="49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8"/>
    <tableColumn id="3" xr3:uid="{00000000-0010-0000-0C00-000003000000}" name="ShootDataId" dataDxfId="4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96" totalsRowShown="0">
  <autoFilter ref="B2:G96" xr:uid="{00000000-0009-0000-0100-000013000000}"/>
  <tableColumns count="6">
    <tableColumn id="1" xr3:uid="{00000000-0010-0000-0D00-000001000000}" name="Index"/>
    <tableColumn id="2" xr3:uid="{00000000-0010-0000-0D00-000002000000}" name="#설명" dataDxfId="4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3" totalsRowShown="0" headerRowDxfId="43">
  <autoFilter ref="B2:G13" xr:uid="{00000000-0009-0000-0100-000011000000}"/>
  <tableColumns count="6">
    <tableColumn id="1" xr3:uid="{00000000-0010-0000-0E00-000001000000}" name="Index"/>
    <tableColumn id="2" xr3:uid="{00000000-0010-0000-0E00-000002000000}" name="#설명" dataDxfId="4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S29" totalsRowShown="0" headerRowDxfId="41">
  <autoFilter ref="B2:S29" xr:uid="{00000000-0009-0000-0100-000004000000}"/>
  <tableColumns count="18">
    <tableColumn id="1" xr3:uid="{00000000-0010-0000-0F00-000001000000}" name="Index" dataDxfId="40"/>
    <tableColumn id="2" xr3:uid="{00000000-0010-0000-0F00-000002000000}" name="Name" dataDxfId="39"/>
    <tableColumn id="3" xr3:uid="{00000000-0010-0000-0F00-000003000000}" name="Desc" dataDxfId="38"/>
    <tableColumn id="18" xr3:uid="{41D082BD-5DEE-994C-91CD-A250C270CBBB}" name="PlusDesc" dataDxfId="37"/>
    <tableColumn id="19" xr3:uid="{C2F394C8-4A93-ED44-B037-BCC13A5A77D1}" name="MinusDesc" dataDxfId="36"/>
    <tableColumn id="4" xr3:uid="{00000000-0010-0000-0F00-000004000000}" name="GradeType" dataDxfId="35"/>
    <tableColumn id="5" xr3:uid="{00000000-0010-0000-0F00-000005000000}" name="Value" dataDxfId="34"/>
    <tableColumn id="6" xr3:uid="{00000000-0010-0000-0F00-000006000000}" name="CostHp" dataDxfId="33"/>
    <tableColumn id="7" xr3:uid="{00000000-0010-0000-0F00-000007000000}" name="CostGold" dataDxfId="32"/>
    <tableColumn id="8" xr3:uid="{00000000-0010-0000-0F00-000008000000}" name="ItemEffectDataId" dataDxfId="31"/>
    <tableColumn id="9" xr3:uid="{00000000-0010-0000-0F00-000009000000}" name="ItemIconPath" dataDxfId="30"/>
    <tableColumn id="10" xr3:uid="{00000000-0010-0000-0F00-00000A000000}" name="#자료 위치 변환기" dataDxfId="29"/>
    <tableColumn id="11" xr3:uid="{E752B4AA-7181-4F60-B4A0-8DA8B2E2F337}" name="#" dataDxfId="28"/>
    <tableColumn id="12" xr3:uid="{F85A3E97-232B-4E3A-9F01-EF79D25FA9F9}" name="#2" dataDxfId="27"/>
    <tableColumn id="13" xr3:uid="{550D2A60-9FBB-40C8-A6C2-243D9848C602}" name="#3" dataDxfId="26"/>
    <tableColumn id="14" xr3:uid="{50807AE5-46D5-4351-8885-769C1629BA6A}" name="#4" dataDxfId="25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A0BAB5E4-0BFE-4883-A7D5-9ECD98E395E0}" name="#예외처리" dataDxfId="24"/>
    <tableColumn id="15" xr3:uid="{859A69BA-D558-47CD-B372-AF915766B5DE}" name="#체크" dataDxfId="23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6" totalsRowShown="0" headerRowDxfId="22">
  <autoFilter ref="B2:K26" xr:uid="{00000000-0009-0000-0100-000001000000}"/>
  <tableColumns count="10">
    <tableColumn id="2" xr3:uid="{00000000-0010-0000-1000-000002000000}" name="#이름값" dataDxfId="21">
      <calculatedColumnFormula>INDEX(ItemTable[Name],MATCH(ItemEffectTable[[#This Row],[Index]],ItemTable[ItemEffectDataId],0))</calculatedColumnFormula>
    </tableColumn>
    <tableColumn id="3" xr3:uid="{00000000-0010-0000-1000-000003000000}" name="#Grade" dataDxfId="20">
      <calculatedColumnFormula>INDEX(ItemTable[GradeType],MATCH(ItemEffectTable[[#This Row],[Index]],ItemTable[ItemEffectDataId],0))</calculatedColumnFormula>
    </tableColumn>
    <tableColumn id="4" xr3:uid="{00000000-0010-0000-1000-000004000000}" name="Index" dataDxfId="19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8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H30" totalsRowShown="0" headerRowDxfId="17">
  <autoFilter ref="B2:H30" xr:uid="{00000000-0009-0000-0100-000001000000}"/>
  <tableColumns count="7">
    <tableColumn id="4" xr3:uid="{DE2DDF71-E208-9D48-B1BD-ADAF1A04A4E7}" name="Index" dataDxfId="16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  <tableColumn id="1" xr3:uid="{3A3DAA6E-8B7C-4793-A95B-E566A12BB357}" name="#설명" dataDxfId="15"/>
    <tableColumn id="2" xr3:uid="{4A23D036-ED42-4C71-987E-AC3F1E1DDB0E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L9" totalsRowShown="0" headerRowDxfId="13">
  <autoFilter ref="B2:L9" xr:uid="{00000000-0009-0000-0100-000001000000}"/>
  <tableColumns count="11">
    <tableColumn id="4" xr3:uid="{9F0C2145-5739-D948-B51C-59C2F70F8333}" name="Index" dataDxfId="12"/>
    <tableColumn id="7" xr3:uid="{8358F1EA-D5A4-4910-BE08-DD87A5498E70}" name="#명칭" dataDxfId="11"/>
    <tableColumn id="5" xr3:uid="{68F4A981-62AA-3A4B-BE01-0227C535B866}" name="EffectType"/>
    <tableColumn id="6" xr3:uid="{8433B35F-F362-6144-AD53-9BADC63C6E39}" name="Param1"/>
    <tableColumn id="1" xr3:uid="{C7A3ED7A-214B-4FDF-B129-2B6E96AF3EE9}" name="#Param1설명" dataDxfId="10"/>
    <tableColumn id="13" xr3:uid="{87231311-C662-DB49-A399-712B241C3925}" name="Param2"/>
    <tableColumn id="2" xr3:uid="{3C8DB834-18FB-4D58-9956-214B8F2B4406}" name="#Param2설명" dataDxfId="9"/>
    <tableColumn id="14" xr3:uid="{B4B3DBDF-BBC3-1F44-B6CB-63F8C93FD4DC}" name="Param3"/>
    <tableColumn id="3" xr3:uid="{8306FFCB-EB8D-412A-A975-A00A92E457D5}" name="#Param3설명" dataDxfId="8"/>
    <tableColumn id="8" xr3:uid="{DD2B344B-857A-402B-9AFA-729945BDB23A}" name="Param4" dataDxfId="7"/>
    <tableColumn id="9" xr3:uid="{3FE4941D-1CE5-40A4-9B32-6AFD342FDEE8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796875" defaultRowHeight="17.399999999999999"/>
  <sheetData>
    <row r="1" spans="2:5" s="1" customFormat="1">
      <c r="B1" s="53" t="s">
        <v>313</v>
      </c>
      <c r="C1" s="54"/>
      <c r="D1" s="54"/>
      <c r="E1" s="54"/>
    </row>
    <row r="2" spans="2:5" s="1" customFormat="1">
      <c r="B2" s="54"/>
      <c r="C2" s="54"/>
      <c r="D2" s="54"/>
      <c r="E2" s="54"/>
    </row>
    <row r="3" spans="2:5" s="1" customFormat="1">
      <c r="B3" s="54"/>
      <c r="C3" s="54"/>
      <c r="D3" s="54"/>
      <c r="E3" s="54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10" sqref="L10"/>
    </sheetView>
  </sheetViews>
  <sheetFormatPr defaultColWidth="8.796875" defaultRowHeight="17.399999999999999"/>
  <cols>
    <col min="2" max="2" width="10.19921875" customWidth="1"/>
    <col min="3" max="3" width="6.5" customWidth="1"/>
    <col min="4" max="4" width="12.69921875" bestFit="1" customWidth="1"/>
    <col min="5" max="5" width="10.296875" bestFit="1" customWidth="1"/>
    <col min="6" max="6" width="11.19921875" customWidth="1"/>
    <col min="7" max="7" width="9.796875" bestFit="1" customWidth="1"/>
    <col min="8" max="8" width="11" bestFit="1" customWidth="1"/>
    <col min="9" max="9" width="11.796875" customWidth="1"/>
    <col min="11" max="11" width="8.3984375" customWidth="1"/>
    <col min="12" max="13" width="13.69921875" bestFit="1" customWidth="1"/>
  </cols>
  <sheetData>
    <row r="1" spans="2:13" s="1" customFormat="1">
      <c r="B1" s="53" t="s">
        <v>201</v>
      </c>
      <c r="C1" s="54"/>
      <c r="D1" s="54"/>
      <c r="E1" s="54"/>
    </row>
    <row r="2" spans="2:13" s="1" customFormat="1">
      <c r="B2" s="54"/>
      <c r="C2" s="54"/>
      <c r="D2" s="54"/>
      <c r="E2" s="54"/>
    </row>
    <row r="3" spans="2:13" s="1" customFormat="1">
      <c r="B3" s="54"/>
      <c r="C3" s="54"/>
      <c r="D3" s="54"/>
      <c r="E3" s="54"/>
    </row>
    <row r="5" spans="2:13">
      <c r="B5" s="2" t="s">
        <v>89</v>
      </c>
      <c r="J5" s="2" t="s">
        <v>464</v>
      </c>
      <c r="K5" s="2"/>
    </row>
    <row r="6" spans="2:13">
      <c r="B6" t="s">
        <v>45</v>
      </c>
      <c r="C6" t="s">
        <v>48</v>
      </c>
      <c r="D6" t="s">
        <v>93</v>
      </c>
      <c r="E6" t="s">
        <v>80</v>
      </c>
      <c r="F6" t="s">
        <v>81</v>
      </c>
      <c r="G6" t="s">
        <v>90</v>
      </c>
      <c r="H6" t="s">
        <v>83</v>
      </c>
      <c r="J6" s="14" t="s">
        <v>465</v>
      </c>
      <c r="K6" s="14" t="s">
        <v>462</v>
      </c>
      <c r="L6" s="14" t="s">
        <v>459</v>
      </c>
      <c r="M6" s="14" t="s">
        <v>460</v>
      </c>
    </row>
    <row r="7" spans="2:13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4" t="s">
        <v>466</v>
      </c>
      <c r="K7">
        <v>0</v>
      </c>
      <c r="L7">
        <v>3</v>
      </c>
      <c r="M7">
        <v>7</v>
      </c>
    </row>
    <row r="8" spans="2:13">
      <c r="B8" t="s">
        <v>93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4" t="s">
        <v>467</v>
      </c>
      <c r="K8">
        <v>0</v>
      </c>
      <c r="L8">
        <v>4</v>
      </c>
      <c r="M8">
        <v>12</v>
      </c>
    </row>
    <row r="9" spans="2:13">
      <c r="J9" t="s">
        <v>468</v>
      </c>
      <c r="K9">
        <f>SUBTOTAL(101,표20[박쥐])</f>
        <v>0</v>
      </c>
      <c r="L9">
        <f>SUBTOTAL(101,표20[일반])</f>
        <v>3.5</v>
      </c>
      <c r="M9">
        <f>SUBTOTAL(101,표20[정예])</f>
        <v>9.5</v>
      </c>
    </row>
    <row r="11" spans="2:13">
      <c r="B11" s="2" t="s">
        <v>463</v>
      </c>
      <c r="C11" s="2"/>
      <c r="D11" s="2"/>
      <c r="J11" s="2" t="s">
        <v>610</v>
      </c>
    </row>
    <row r="12" spans="2:13">
      <c r="B12" s="14" t="s">
        <v>609</v>
      </c>
      <c r="C12" s="14" t="s">
        <v>461</v>
      </c>
      <c r="D12" s="14" t="s">
        <v>462</v>
      </c>
      <c r="E12" s="14" t="s">
        <v>459</v>
      </c>
      <c r="F12" s="14" t="s">
        <v>460</v>
      </c>
      <c r="G12" s="14" t="s">
        <v>618</v>
      </c>
      <c r="H12" s="14"/>
      <c r="J12" s="14" t="s">
        <v>609</v>
      </c>
      <c r="K12" s="14" t="s">
        <v>617</v>
      </c>
      <c r="L12" s="14" t="s">
        <v>619</v>
      </c>
      <c r="M12" s="14" t="s">
        <v>620</v>
      </c>
    </row>
    <row r="13" spans="2:13">
      <c r="B13" s="14" t="s">
        <v>612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10.5</v>
      </c>
      <c r="J13" s="14" t="s">
        <v>612</v>
      </c>
      <c r="K13">
        <f>INDEX(ProductialTable[MaxRoomValue],MATCH(표24[[#This Row],[층]],ProductialTable['#이름],0))</f>
        <v>10</v>
      </c>
      <c r="L13">
        <f>(SUMIFS(표11[평균획득골드],표11[층],표24[[#This Row],[층]])/_xlfn.MAXIFS(표11[스테이지],표11[층],표24[[#This Row],[층]]))</f>
        <v>9.4499999999999993</v>
      </c>
      <c r="M13">
        <f>(SUMIFS(표11[평균획득골드],표11[층],표24[[#This Row],[층]])/_xlfn.MAXIFS(표11[스테이지],표11[층],표24[[#This Row],[층]]))*
(표24[[#This Row],[개수]]-3)</f>
        <v>66.149999999999991</v>
      </c>
    </row>
    <row r="14" spans="2:13">
      <c r="B14" s="14" t="s">
        <v>612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10.5</v>
      </c>
      <c r="J14" s="14" t="s">
        <v>614</v>
      </c>
      <c r="K14">
        <f>INDEX(ProductialTable[MaxRoomValue],MATCH(표24[[#This Row],[층]],ProductialTable['#이름],0))</f>
        <v>12</v>
      </c>
      <c r="L14">
        <f>(SUMIFS(표11[평균획득골드],표11[층],표24[[#This Row],[층]])/_xlfn.MAXIFS(표11[스테이지],표11[층],표24[[#This Row],[층]]))</f>
        <v>14.35</v>
      </c>
      <c r="M14">
        <f>(SUMIFS(표11[평균획득골드],표11[층],표24[[#This Row],[층]])/_xlfn.MAXIFS(표11[스테이지],표11[층],표24[[#This Row],[층]]))*
(표24[[#This Row],[개수]]-3)</f>
        <v>129.15</v>
      </c>
    </row>
    <row r="15" spans="2:13">
      <c r="B15" s="14" t="s">
        <v>611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7</v>
      </c>
      <c r="J15" s="14" t="s">
        <v>616</v>
      </c>
      <c r="K15">
        <f>INDEX(ProductialTable[MaxRoomValue],MATCH(표24[[#This Row],[층]],ProductialTable['#이름],0))</f>
        <v>14</v>
      </c>
      <c r="L15">
        <f>(SUMIFS(표11[평균획득골드],표11[층],표24[[#This Row],[층]])/_xlfn.MAXIFS(표11[스테이지],표11[층],표24[[#This Row],[층]]))</f>
        <v>25.95</v>
      </c>
      <c r="M15">
        <f>(SUMIFS(표11[평균획득골드],표11[층],표24[[#This Row],[층]])/_xlfn.MAXIFS(표11[스테이지],표11[층],표24[[#This Row],[층]]))*
(표24[[#This Row],[개수]]-3)</f>
        <v>285.45</v>
      </c>
    </row>
    <row r="16" spans="2:13">
      <c r="B16" s="14" t="s">
        <v>611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10.5</v>
      </c>
      <c r="J16" s="14" t="s">
        <v>468</v>
      </c>
      <c r="M16">
        <f>SUBTOTAL(109,표24[층 완료 획득])</f>
        <v>480.75</v>
      </c>
    </row>
    <row r="17" spans="2:13">
      <c r="B17" s="14" t="s">
        <v>611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10.5</v>
      </c>
    </row>
    <row r="18" spans="2:13">
      <c r="B18" s="14" t="s">
        <v>611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7</v>
      </c>
      <c r="L18" s="14" t="s">
        <v>621</v>
      </c>
      <c r="M18" s="14">
        <f>표24[[#Totals],[층 완료 획득]]/30</f>
        <v>16.024999999999999</v>
      </c>
    </row>
    <row r="19" spans="2:13">
      <c r="B19" s="14" t="s">
        <v>611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10.5</v>
      </c>
      <c r="L19" s="14" t="s">
        <v>622</v>
      </c>
      <c r="M19" s="14">
        <f>표24[[#Totals],[층 완료 획득]]/60</f>
        <v>8.0124999999999993</v>
      </c>
    </row>
    <row r="20" spans="2:13">
      <c r="B20" s="14" t="s">
        <v>611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10.5</v>
      </c>
      <c r="L20" s="14" t="s">
        <v>623</v>
      </c>
    </row>
    <row r="21" spans="2:13">
      <c r="B21" s="14" t="s">
        <v>611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7</v>
      </c>
    </row>
    <row r="22" spans="2:13">
      <c r="B22" s="14" t="s">
        <v>611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10.5</v>
      </c>
    </row>
    <row r="23" spans="2:13">
      <c r="B23" s="14" t="s">
        <v>614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14</v>
      </c>
    </row>
    <row r="24" spans="2:13">
      <c r="B24" s="14" t="s">
        <v>614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17.5</v>
      </c>
    </row>
    <row r="25" spans="2:13">
      <c r="B25" s="14" t="s">
        <v>613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10.5</v>
      </c>
    </row>
    <row r="26" spans="2:13">
      <c r="B26" s="14" t="s">
        <v>613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14</v>
      </c>
    </row>
    <row r="27" spans="2:13">
      <c r="B27" s="14" t="s">
        <v>613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14</v>
      </c>
    </row>
    <row r="28" spans="2:13">
      <c r="B28" s="14" t="s">
        <v>613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14</v>
      </c>
    </row>
    <row r="29" spans="2:13">
      <c r="B29" s="14" t="s">
        <v>613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14</v>
      </c>
    </row>
    <row r="30" spans="2:13">
      <c r="B30" s="14" t="s">
        <v>613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14</v>
      </c>
    </row>
    <row r="31" spans="2:13">
      <c r="B31" s="14" t="s">
        <v>613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14</v>
      </c>
    </row>
    <row r="32" spans="2:13">
      <c r="B32" s="14" t="s">
        <v>613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17.5</v>
      </c>
    </row>
    <row r="33" spans="2:7">
      <c r="B33" s="14" t="s">
        <v>616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23.5</v>
      </c>
    </row>
    <row r="34" spans="2:7">
      <c r="B34" s="14" t="s">
        <v>616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27</v>
      </c>
    </row>
    <row r="35" spans="2:7">
      <c r="B35" s="14" t="s">
        <v>615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27</v>
      </c>
    </row>
    <row r="36" spans="2:7">
      <c r="B36" s="14" t="s">
        <v>615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23.5</v>
      </c>
    </row>
    <row r="37" spans="2:7">
      <c r="B37" s="14" t="s">
        <v>615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27</v>
      </c>
    </row>
    <row r="38" spans="2:7">
      <c r="B38" s="14" t="s">
        <v>615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27</v>
      </c>
    </row>
    <row r="39" spans="2:7">
      <c r="B39" s="14" t="s">
        <v>615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30.5</v>
      </c>
    </row>
    <row r="40" spans="2:7">
      <c r="B40" s="14" t="s">
        <v>615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27</v>
      </c>
    </row>
    <row r="41" spans="2:7">
      <c r="B41" s="14" t="s">
        <v>615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20</v>
      </c>
    </row>
    <row r="42" spans="2:7">
      <c r="B42" s="14" t="s">
        <v>615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27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22" zoomScaleNormal="75" zoomScaleSheetLayoutView="100" workbookViewId="0">
      <selection activeCell="D20" sqref="D20"/>
    </sheetView>
  </sheetViews>
  <sheetFormatPr defaultColWidth="14.69921875" defaultRowHeight="17.399999999999999"/>
  <cols>
    <col min="1" max="1" width="2.5" customWidth="1"/>
    <col min="2" max="2" width="19.796875" customWidth="1"/>
    <col min="3" max="3" width="20.5" customWidth="1"/>
    <col min="4" max="4" width="41.19921875" customWidth="1"/>
    <col min="5" max="5" width="16.69921875" customWidth="1"/>
    <col min="6" max="6" width="3.5" customWidth="1"/>
    <col min="16" max="16" width="16.69921875" bestFit="1" customWidth="1"/>
    <col min="17" max="17" width="2.5" customWidth="1"/>
  </cols>
  <sheetData>
    <row r="1" spans="1:21" s="1" customFormat="1">
      <c r="B1" s="53" t="s">
        <v>291</v>
      </c>
      <c r="C1" s="54"/>
      <c r="D1" s="54"/>
      <c r="E1" s="54"/>
      <c r="F1" s="54"/>
    </row>
    <row r="2" spans="1:21" s="1" customFormat="1">
      <c r="B2" s="54"/>
      <c r="C2" s="54"/>
      <c r="D2" s="54"/>
      <c r="E2" s="54"/>
      <c r="F2" s="54"/>
    </row>
    <row r="3" spans="1:21" s="1" customFormat="1">
      <c r="B3" s="54"/>
      <c r="C3" s="54"/>
      <c r="D3" s="54"/>
      <c r="E3" s="54"/>
      <c r="F3" s="54"/>
    </row>
    <row r="5" spans="1:21">
      <c r="B5" s="2" t="s">
        <v>105</v>
      </c>
      <c r="G5" s="2" t="s">
        <v>215</v>
      </c>
      <c r="H5" s="2"/>
      <c r="R5" s="2" t="s">
        <v>112</v>
      </c>
    </row>
    <row r="6" spans="1:21">
      <c r="B6" t="s">
        <v>52</v>
      </c>
      <c r="C6" t="s">
        <v>143</v>
      </c>
      <c r="D6" t="s">
        <v>58</v>
      </c>
      <c r="E6" t="s">
        <v>332</v>
      </c>
      <c r="G6" t="s">
        <v>42</v>
      </c>
      <c r="H6" t="s">
        <v>80</v>
      </c>
      <c r="I6" t="s">
        <v>81</v>
      </c>
      <c r="J6" t="s">
        <v>114</v>
      </c>
      <c r="K6" t="s">
        <v>113</v>
      </c>
      <c r="L6" t="s">
        <v>109</v>
      </c>
      <c r="M6" t="s">
        <v>111</v>
      </c>
      <c r="N6" t="s">
        <v>295</v>
      </c>
      <c r="O6" t="s">
        <v>330</v>
      </c>
      <c r="P6" t="s">
        <v>293</v>
      </c>
      <c r="R6" t="s">
        <v>104</v>
      </c>
      <c r="S6" s="14" t="s">
        <v>469</v>
      </c>
    </row>
    <row r="7" spans="1:21">
      <c r="A7" s="13"/>
      <c r="B7" s="11" t="s">
        <v>184</v>
      </c>
      <c r="C7" s="13" t="s">
        <v>33</v>
      </c>
      <c r="D7" t="s">
        <v>136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45.833333333333329</v>
      </c>
      <c r="P7">
        <f>(밸런스시트[[#This Row],[레벨당 평균 적]]*밸런스시트[[#This Row],[방 개수]]*밸런스시트[[#This Row],[적 체력]])/밸런스시트[[#This Row],[PC 최대 DPS]]</f>
        <v>109.09090909090911</v>
      </c>
      <c r="R7">
        <f>1/15</f>
        <v>6.6666666666666666E-2</v>
      </c>
      <c r="S7" t="e">
        <f>표11[[#Totals],[정예]]</f>
        <v>#REF!</v>
      </c>
    </row>
    <row r="8" spans="1:21">
      <c r="A8" s="11"/>
      <c r="B8" s="11" t="s">
        <v>2</v>
      </c>
      <c r="C8" s="11" t="s">
        <v>237</v>
      </c>
      <c r="D8" t="s">
        <v>145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45.833333333333329</v>
      </c>
      <c r="P8">
        <f>(밸런스시트[[#This Row],[레벨당 평균 적]]*밸런스시트[[#This Row],[방 개수]]*밸런스시트[[#This Row],[적 체력]])/밸런스시트[[#This Row],[PC 최대 DPS]]</f>
        <v>157.09090909090909</v>
      </c>
    </row>
    <row r="9" spans="1:21">
      <c r="A9" s="11"/>
      <c r="B9" s="11" t="s">
        <v>55</v>
      </c>
      <c r="C9" s="11" t="s">
        <v>237</v>
      </c>
      <c r="D9" t="s">
        <v>147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45.833333333333329</v>
      </c>
      <c r="P9">
        <f>(밸런스시트[[#This Row],[레벨당 평균 적]]*밸런스시트[[#This Row],[방 개수]]*밸런스시트[[#This Row],[적 체력]])/밸런스시트[[#This Row],[PC 최대 DPS]]</f>
        <v>213.81818181818184</v>
      </c>
      <c r="R9" s="2" t="s">
        <v>267</v>
      </c>
      <c r="S9" s="2"/>
      <c r="T9" s="2"/>
    </row>
    <row r="10" spans="1:21">
      <c r="A10" s="11"/>
      <c r="B10" s="11" t="s">
        <v>194</v>
      </c>
      <c r="C10" s="11" t="s">
        <v>237</v>
      </c>
      <c r="D10" t="s">
        <v>327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45.833333333333329</v>
      </c>
      <c r="P10">
        <f>(밸런스시트[[#This Row],[레벨당 평균 적]]*밸런스시트[[#This Row],[방 개수]]*밸런스시트[[#This Row],[적 체력]])/밸런스시트[[#This Row],[PC 최대 DPS]]</f>
        <v>279.27272727272731</v>
      </c>
      <c r="R10" t="s">
        <v>80</v>
      </c>
      <c r="S10" t="s">
        <v>81</v>
      </c>
      <c r="T10" t="s">
        <v>90</v>
      </c>
      <c r="U10" t="s">
        <v>83</v>
      </c>
    </row>
    <row r="11" spans="1:21">
      <c r="A11" s="11"/>
      <c r="B11" s="11" t="s">
        <v>279</v>
      </c>
      <c r="C11" s="11" t="s">
        <v>237</v>
      </c>
      <c r="D11" t="s">
        <v>142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45.833333333333329</v>
      </c>
      <c r="P11">
        <f>(밸런스시트[[#This Row],[레벨당 평균 적]]*밸런스시트[[#This Row],[방 개수]]*밸런스시트[[#This Row],[적 체력]])/밸런스시트[[#This Row],[PC 최대 DPS]]</f>
        <v>353.4545454545455</v>
      </c>
      <c r="R11">
        <v>30</v>
      </c>
      <c r="S11">
        <v>50</v>
      </c>
      <c r="T11">
        <v>50</v>
      </c>
      <c r="U11">
        <v>30</v>
      </c>
    </row>
    <row r="12" spans="1:21">
      <c r="A12" s="11"/>
      <c r="B12" s="11" t="s">
        <v>168</v>
      </c>
      <c r="C12" s="11" t="s">
        <v>223</v>
      </c>
      <c r="D12" t="s">
        <v>146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45.833333333333329</v>
      </c>
      <c r="P12">
        <f>(밸런스시트[[#This Row],[레벨당 평균 적]]*밸런스시트[[#This Row],[방 개수]]*밸런스시트[[#This Row],[적 체력]])/밸런스시트[[#This Row],[PC 최대 DPS]]</f>
        <v>436.36363636363643</v>
      </c>
    </row>
    <row r="13" spans="1:21">
      <c r="A13" s="11"/>
      <c r="B13" s="11" t="s">
        <v>317</v>
      </c>
      <c r="C13" s="11" t="s">
        <v>22</v>
      </c>
      <c r="D13" t="s">
        <v>32</v>
      </c>
      <c r="E13">
        <f>30/0.46</f>
        <v>65.217391304347828</v>
      </c>
      <c r="R13" s="2" t="s">
        <v>108</v>
      </c>
    </row>
    <row r="14" spans="1:21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110</v>
      </c>
      <c r="S14" t="s">
        <v>289</v>
      </c>
    </row>
    <row r="15" spans="1:21">
      <c r="A15" s="11"/>
      <c r="B15" s="11" t="s">
        <v>218</v>
      </c>
      <c r="C15" s="11" t="s">
        <v>22</v>
      </c>
      <c r="D15" t="s">
        <v>231</v>
      </c>
      <c r="E15">
        <f>30/-0.45</f>
        <v>-66.666666666666671</v>
      </c>
      <c r="R15">
        <v>100</v>
      </c>
      <c r="S15">
        <v>0.2</v>
      </c>
    </row>
    <row r="16" spans="1:21">
      <c r="A16" s="11"/>
      <c r="B16" s="11" t="s">
        <v>186</v>
      </c>
      <c r="C16" s="11" t="s">
        <v>22</v>
      </c>
      <c r="D16" t="s">
        <v>242</v>
      </c>
      <c r="E16" s="10">
        <v>40</v>
      </c>
    </row>
    <row r="17" spans="1:5">
      <c r="A17" s="11"/>
      <c r="B17" s="11" t="s">
        <v>318</v>
      </c>
      <c r="C17" s="11" t="s">
        <v>22</v>
      </c>
      <c r="D17" t="s">
        <v>137</v>
      </c>
      <c r="E17">
        <f>50/0.3</f>
        <v>166.66666666666669</v>
      </c>
    </row>
    <row r="18" spans="1:5">
      <c r="A18" s="11"/>
      <c r="B18" s="11" t="s">
        <v>339</v>
      </c>
      <c r="C18" s="11" t="s">
        <v>22</v>
      </c>
      <c r="D18" t="s">
        <v>329</v>
      </c>
      <c r="E18" s="12">
        <f>30/-0.2</f>
        <v>-150</v>
      </c>
    </row>
    <row r="19" spans="1:5">
      <c r="A19" s="11"/>
      <c r="B19" s="11" t="s">
        <v>208</v>
      </c>
      <c r="C19" s="11" t="s">
        <v>22</v>
      </c>
      <c r="D19" t="s">
        <v>230</v>
      </c>
      <c r="E19">
        <f>50/100</f>
        <v>0.5</v>
      </c>
    </row>
    <row r="20" spans="1:5">
      <c r="A20" s="11"/>
      <c r="B20" s="11" t="s">
        <v>239</v>
      </c>
      <c r="C20" s="11" t="s">
        <v>22</v>
      </c>
      <c r="D20" t="s">
        <v>233</v>
      </c>
      <c r="E20">
        <f>50/100</f>
        <v>0.5</v>
      </c>
    </row>
    <row r="21" spans="1:5">
      <c r="A21" s="11"/>
      <c r="B21" s="11" t="s">
        <v>24</v>
      </c>
      <c r="C21" s="11" t="s">
        <v>22</v>
      </c>
      <c r="D21" t="s">
        <v>257</v>
      </c>
      <c r="E21">
        <f>30/1/2</f>
        <v>15</v>
      </c>
    </row>
    <row r="22" spans="1:5">
      <c r="A22" s="11"/>
      <c r="B22" s="11" t="s">
        <v>30</v>
      </c>
      <c r="C22" s="11" t="s">
        <v>22</v>
      </c>
      <c r="D22" t="s">
        <v>249</v>
      </c>
      <c r="E22">
        <f>30/1/2</f>
        <v>15</v>
      </c>
    </row>
    <row r="23" spans="1:5">
      <c r="A23" s="11"/>
      <c r="B23" s="11" t="s">
        <v>221</v>
      </c>
      <c r="C23" s="11" t="s">
        <v>22</v>
      </c>
      <c r="D23" t="s">
        <v>325</v>
      </c>
      <c r="E23">
        <f>50/25</f>
        <v>2</v>
      </c>
    </row>
    <row r="24" spans="1:5">
      <c r="A24" s="11"/>
      <c r="B24" s="11" t="s">
        <v>229</v>
      </c>
      <c r="C24" s="11" t="s">
        <v>22</v>
      </c>
      <c r="D24" t="s">
        <v>326</v>
      </c>
      <c r="E24">
        <f>50/25</f>
        <v>2</v>
      </c>
    </row>
    <row r="25" spans="1:5">
      <c r="A25" s="11"/>
      <c r="B25" s="11" t="s">
        <v>248</v>
      </c>
      <c r="C25" s="11" t="s">
        <v>22</v>
      </c>
      <c r="D25" t="s">
        <v>344</v>
      </c>
      <c r="E25">
        <v>2</v>
      </c>
    </row>
    <row r="26" spans="1:5">
      <c r="A26" s="11"/>
      <c r="B26" s="11" t="s">
        <v>270</v>
      </c>
      <c r="C26" s="11" t="s">
        <v>22</v>
      </c>
      <c r="D26" t="s">
        <v>345</v>
      </c>
      <c r="E26">
        <v>2</v>
      </c>
    </row>
    <row r="27" spans="1:5">
      <c r="A27" s="11"/>
      <c r="B27" s="11" t="s">
        <v>192</v>
      </c>
      <c r="C27" s="11" t="s">
        <v>57</v>
      </c>
      <c r="D27" s="11" t="s">
        <v>25</v>
      </c>
      <c r="E27">
        <v>-50</v>
      </c>
    </row>
    <row r="28" spans="1:5">
      <c r="A28" s="11"/>
      <c r="B28" s="11" t="s">
        <v>144</v>
      </c>
      <c r="C28" s="11" t="s">
        <v>57</v>
      </c>
      <c r="D28" s="11" t="s">
        <v>23</v>
      </c>
      <c r="E28">
        <v>-30</v>
      </c>
    </row>
    <row r="29" spans="1:5">
      <c r="A29" s="11"/>
      <c r="B29" s="11" t="s">
        <v>280</v>
      </c>
      <c r="C29" s="11" t="s">
        <v>57</v>
      </c>
      <c r="D29" s="11" t="s">
        <v>21</v>
      </c>
      <c r="E29">
        <v>50</v>
      </c>
    </row>
    <row r="30" spans="1:5">
      <c r="A30" s="11"/>
      <c r="B30" s="11" t="s">
        <v>50</v>
      </c>
      <c r="C30" s="11" t="s">
        <v>57</v>
      </c>
      <c r="D30" s="11" t="s">
        <v>371</v>
      </c>
      <c r="E30">
        <v>50</v>
      </c>
    </row>
    <row r="31" spans="1:5">
      <c r="A31" s="11"/>
      <c r="B31" s="11" t="s">
        <v>278</v>
      </c>
      <c r="C31" s="11" t="s">
        <v>57</v>
      </c>
      <c r="D31" s="11" t="s">
        <v>179</v>
      </c>
      <c r="E31">
        <v>50</v>
      </c>
    </row>
    <row r="32" spans="1:5">
      <c r="A32" s="11"/>
      <c r="B32" s="11" t="s">
        <v>191</v>
      </c>
      <c r="C32" s="11" t="s">
        <v>57</v>
      </c>
      <c r="D32" s="11" t="s">
        <v>224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796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99</v>
      </c>
      <c r="B1" t="s">
        <v>49</v>
      </c>
      <c r="C1" t="s">
        <v>100</v>
      </c>
      <c r="D1" t="s">
        <v>49</v>
      </c>
    </row>
    <row r="2" spans="1:4">
      <c r="A2" t="s">
        <v>75</v>
      </c>
      <c r="B2" s="5" t="s">
        <v>115</v>
      </c>
      <c r="C2" t="s">
        <v>71</v>
      </c>
      <c r="D2" s="5" t="s">
        <v>43</v>
      </c>
    </row>
    <row r="3" spans="1:4">
      <c r="A3">
        <v>1</v>
      </c>
      <c r="B3" s="4" t="s">
        <v>181</v>
      </c>
      <c r="C3">
        <v>5</v>
      </c>
      <c r="D3" s="4" t="s">
        <v>205</v>
      </c>
    </row>
    <row r="4" spans="1:4">
      <c r="A4">
        <v>2</v>
      </c>
      <c r="B4" s="4" t="s">
        <v>246</v>
      </c>
      <c r="C4">
        <v>5</v>
      </c>
      <c r="D4" s="4" t="s">
        <v>180</v>
      </c>
    </row>
    <row r="5" spans="1:4">
      <c r="A5">
        <v>3</v>
      </c>
      <c r="B5" s="4" t="s">
        <v>271</v>
      </c>
      <c r="C5">
        <v>20</v>
      </c>
      <c r="D5" s="4" t="s">
        <v>8</v>
      </c>
    </row>
    <row r="6" spans="1:4">
      <c r="A6">
        <v>4</v>
      </c>
      <c r="B6" s="4" t="s">
        <v>273</v>
      </c>
      <c r="C6">
        <v>0.5</v>
      </c>
      <c r="D6" s="4" t="s">
        <v>196</v>
      </c>
    </row>
    <row r="7" spans="1:4">
      <c r="A7">
        <v>5</v>
      </c>
      <c r="B7" s="4" t="s">
        <v>321</v>
      </c>
      <c r="C7">
        <v>50</v>
      </c>
      <c r="D7" s="4" t="s">
        <v>370</v>
      </c>
    </row>
    <row r="8" spans="1:4">
      <c r="A8">
        <v>6</v>
      </c>
      <c r="B8" s="4" t="s">
        <v>324</v>
      </c>
      <c r="C8">
        <v>1</v>
      </c>
      <c r="D8" s="4" t="s">
        <v>169</v>
      </c>
    </row>
    <row r="9" spans="1:4">
      <c r="A9">
        <v>7</v>
      </c>
      <c r="B9" s="4" t="s">
        <v>369</v>
      </c>
      <c r="C9">
        <v>10</v>
      </c>
      <c r="D9" s="4" t="s">
        <v>367</v>
      </c>
    </row>
    <row r="10" spans="1:4">
      <c r="A10">
        <v>8</v>
      </c>
      <c r="B10" s="4" t="s">
        <v>27</v>
      </c>
      <c r="C10">
        <v>5</v>
      </c>
      <c r="D10" s="4" t="s">
        <v>165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topLeftCell="B1" zoomScaleNormal="75" zoomScaleSheetLayoutView="100" workbookViewId="0">
      <selection activeCell="B3" sqref="B3"/>
    </sheetView>
  </sheetViews>
  <sheetFormatPr defaultColWidth="8.796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796875" bestFit="1" customWidth="1"/>
    <col min="6" max="6" width="17" bestFit="1" customWidth="1"/>
    <col min="7" max="7" width="23.796875" bestFit="1" customWidth="1"/>
    <col min="8" max="8" width="22.796875" bestFit="1" customWidth="1"/>
    <col min="9" max="9" width="19" bestFit="1" customWidth="1"/>
    <col min="10" max="10" width="23.296875" bestFit="1" customWidth="1"/>
    <col min="11" max="12" width="23.296875" customWidth="1"/>
    <col min="13" max="13" width="15.19921875" bestFit="1" customWidth="1"/>
    <col min="14" max="14" width="15.69921875" bestFit="1" customWidth="1"/>
    <col min="15" max="15" width="11.796875" bestFit="1" customWidth="1"/>
    <col min="16" max="16" width="20.19921875" bestFit="1" customWidth="1"/>
  </cols>
  <sheetData>
    <row r="1" spans="2:16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100</v>
      </c>
      <c r="K1" t="s">
        <v>153</v>
      </c>
      <c r="L1" t="s">
        <v>153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75</v>
      </c>
      <c r="C2" s="5" t="s">
        <v>43</v>
      </c>
      <c r="D2" t="s">
        <v>150</v>
      </c>
      <c r="E2" t="s">
        <v>287</v>
      </c>
      <c r="F2" t="s">
        <v>2</v>
      </c>
      <c r="G2" s="14" t="s">
        <v>566</v>
      </c>
      <c r="H2" t="s">
        <v>14</v>
      </c>
      <c r="I2" s="19" t="s">
        <v>528</v>
      </c>
      <c r="J2" t="s">
        <v>12</v>
      </c>
      <c r="K2" t="s">
        <v>28</v>
      </c>
      <c r="L2" t="s">
        <v>227</v>
      </c>
      <c r="M2" t="s">
        <v>283</v>
      </c>
      <c r="N2" t="s">
        <v>194</v>
      </c>
      <c r="O2" t="s">
        <v>279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E5"/>
  <sheetViews>
    <sheetView topLeftCell="F1" zoomScaleNormal="75" zoomScaleSheetLayoutView="100" workbookViewId="0">
      <selection activeCell="L2" sqref="L2"/>
    </sheetView>
  </sheetViews>
  <sheetFormatPr defaultColWidth="8.796875" defaultRowHeight="17.399999999999999"/>
  <cols>
    <col min="2" max="2" width="8.69921875" bestFit="1" customWidth="1"/>
    <col min="3" max="3" width="16" bestFit="1" customWidth="1"/>
    <col min="4" max="4" width="18.796875" bestFit="1" customWidth="1"/>
    <col min="5" max="5" width="19.69921875" bestFit="1" customWidth="1"/>
    <col min="6" max="6" width="12.69921875" bestFit="1" customWidth="1"/>
    <col min="7" max="7" width="20.796875" bestFit="1" customWidth="1"/>
    <col min="8" max="8" width="17.3984375" bestFit="1" customWidth="1"/>
    <col min="9" max="9" width="12.296875" bestFit="1" customWidth="1"/>
    <col min="10" max="10" width="20.296875" bestFit="1" customWidth="1"/>
    <col min="11" max="11" width="13.69921875" bestFit="1" customWidth="1"/>
    <col min="12" max="12" width="18.09765625" bestFit="1" customWidth="1"/>
    <col min="13" max="14" width="19.19921875" bestFit="1" customWidth="1"/>
    <col min="15" max="16" width="22.69921875" bestFit="1" customWidth="1"/>
    <col min="17" max="17" width="18.8984375" bestFit="1" customWidth="1"/>
    <col min="18" max="19" width="19.5" bestFit="1" customWidth="1"/>
    <col min="20" max="21" width="23.3984375" bestFit="1" customWidth="1"/>
    <col min="22" max="23" width="23.19921875" bestFit="1" customWidth="1"/>
    <col min="24" max="24" width="13.3984375" bestFit="1" customWidth="1"/>
    <col min="25" max="25" width="14.09765625" bestFit="1" customWidth="1"/>
    <col min="26" max="26" width="25.19921875" bestFit="1" customWidth="1"/>
    <col min="27" max="29" width="22.296875" bestFit="1" customWidth="1"/>
    <col min="30" max="30" width="21.19921875" customWidth="1"/>
    <col min="31" max="31" width="27.19921875" bestFit="1" customWidth="1"/>
  </cols>
  <sheetData>
    <row r="1" spans="2:3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46</v>
      </c>
      <c r="K1" t="s">
        <v>100</v>
      </c>
      <c r="L1" t="s">
        <v>46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X1" t="s">
        <v>46</v>
      </c>
      <c r="AD1" s="10" t="s">
        <v>166</v>
      </c>
    </row>
    <row r="2" spans="2:31">
      <c r="B2" t="s">
        <v>75</v>
      </c>
      <c r="C2" s="5" t="s">
        <v>43</v>
      </c>
      <c r="D2" s="7" t="s">
        <v>202</v>
      </c>
      <c r="E2" s="6" t="s">
        <v>209</v>
      </c>
      <c r="F2" s="6" t="s">
        <v>320</v>
      </c>
      <c r="G2" s="7" t="s">
        <v>20</v>
      </c>
      <c r="H2" s="41" t="s">
        <v>529</v>
      </c>
      <c r="I2" s="8" t="s">
        <v>317</v>
      </c>
      <c r="J2" s="8" t="s">
        <v>17</v>
      </c>
      <c r="K2" s="8" t="s">
        <v>339</v>
      </c>
      <c r="L2" s="8" t="s">
        <v>186</v>
      </c>
      <c r="M2" s="8" t="s">
        <v>208</v>
      </c>
      <c r="N2" s="8" t="s">
        <v>239</v>
      </c>
      <c r="O2" s="8" t="s">
        <v>24</v>
      </c>
      <c r="P2" s="8" t="s">
        <v>30</v>
      </c>
      <c r="Q2" s="8" t="s">
        <v>31</v>
      </c>
      <c r="R2" s="9" t="s">
        <v>221</v>
      </c>
      <c r="S2" s="9" t="s">
        <v>229</v>
      </c>
      <c r="T2" s="9" t="s">
        <v>248</v>
      </c>
      <c r="U2" s="9" t="s">
        <v>270</v>
      </c>
      <c r="V2" s="9" t="s">
        <v>487</v>
      </c>
      <c r="W2" s="33" t="s">
        <v>488</v>
      </c>
      <c r="X2" s="1" t="s">
        <v>318</v>
      </c>
      <c r="Y2" s="5" t="s">
        <v>333</v>
      </c>
      <c r="Z2" s="5" t="s">
        <v>222</v>
      </c>
      <c r="AA2" s="5" t="s">
        <v>245</v>
      </c>
      <c r="AB2" s="5" t="s">
        <v>225</v>
      </c>
      <c r="AC2" s="5" t="s">
        <v>244</v>
      </c>
      <c r="AD2" s="5" t="s">
        <v>236</v>
      </c>
      <c r="AE2" s="5" t="s">
        <v>26</v>
      </c>
    </row>
    <row r="3" spans="2:31">
      <c r="B3">
        <v>200</v>
      </c>
      <c r="C3" s="4" t="s">
        <v>294</v>
      </c>
      <c r="D3">
        <v>1</v>
      </c>
      <c r="E3">
        <v>1.2</v>
      </c>
      <c r="F3">
        <v>3</v>
      </c>
      <c r="G3">
        <v>1</v>
      </c>
      <c r="H3">
        <v>1.2</v>
      </c>
      <c r="I3">
        <v>2.5</v>
      </c>
      <c r="J3">
        <v>120</v>
      </c>
      <c r="K3">
        <v>0.6</v>
      </c>
      <c r="L3">
        <v>0</v>
      </c>
      <c r="M3">
        <v>5</v>
      </c>
      <c r="N3">
        <v>15</v>
      </c>
      <c r="O3">
        <v>1</v>
      </c>
      <c r="P3">
        <v>3</v>
      </c>
      <c r="Q3">
        <v>0</v>
      </c>
      <c r="R3">
        <v>20</v>
      </c>
      <c r="S3">
        <v>40</v>
      </c>
      <c r="T3">
        <v>25</v>
      </c>
      <c r="U3">
        <v>30</v>
      </c>
      <c r="V3">
        <v>25</v>
      </c>
      <c r="W3">
        <v>30</v>
      </c>
      <c r="X3">
        <v>1</v>
      </c>
      <c r="Y3">
        <f>INDEX(ProjectileTable[DirectDmg],MATCH(CharacterTable[[#This Row],[DefaultBallDataId]],ProjectileTable[Index],0))/(CharacterAtkTable[[#This Row],[ThrowCooldown]]*(1+(CharacterAtkTable[[#This Row],[ThrowBounceCount]]/2)))</f>
        <v>16.666666666666668</v>
      </c>
      <c r="Z3">
        <f>CharacterAtkTable[[#This Row],[ChargeRigidDmg1]]/CharacterAtkTable[[#This Row],[SwingCooldown]]</f>
        <v>16.666666666666668</v>
      </c>
      <c r="AA3">
        <f>CharacterAtkTable[[#This Row],[ChargeRigidDmg2]]/(CharacterAtkTable[[#This Row],[SwingCooldown]]+CharacterAtkTable[[#This Row],[ChargeTime]])</f>
        <v>22.222222222222225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43.466666666666669</v>
      </c>
      <c r="AE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45.833333333333329</v>
      </c>
    </row>
    <row r="5" spans="2:31">
      <c r="R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E1" zoomScaleNormal="75" zoomScaleSheetLayoutView="100" workbookViewId="0">
      <selection activeCell="N4" sqref="N4"/>
    </sheetView>
  </sheetViews>
  <sheetFormatPr defaultColWidth="8.796875" defaultRowHeight="17.399999999999999"/>
  <cols>
    <col min="2" max="2" width="8.5" bestFit="1" customWidth="1"/>
    <col min="3" max="3" width="12.796875" bestFit="1" customWidth="1"/>
    <col min="4" max="4" width="18.19921875" bestFit="1" customWidth="1"/>
    <col min="5" max="5" width="16.796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296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796875" bestFit="1" customWidth="1"/>
    <col min="18" max="18" width="15.69921875" bestFit="1" customWidth="1"/>
    <col min="19" max="19" width="17.19921875" bestFit="1" customWidth="1"/>
  </cols>
  <sheetData>
    <row r="1" spans="2:19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75</v>
      </c>
      <c r="C2" s="5" t="s">
        <v>60</v>
      </c>
      <c r="D2" t="s">
        <v>214</v>
      </c>
      <c r="E2" s="27" t="s">
        <v>204</v>
      </c>
      <c r="F2" s="27" t="s">
        <v>288</v>
      </c>
      <c r="G2" t="s">
        <v>15</v>
      </c>
      <c r="H2" t="s">
        <v>306</v>
      </c>
      <c r="I2" t="s">
        <v>212</v>
      </c>
      <c r="J2" t="s">
        <v>210</v>
      </c>
      <c r="K2" t="s">
        <v>292</v>
      </c>
      <c r="L2" t="s">
        <v>206</v>
      </c>
      <c r="M2" t="s">
        <v>213</v>
      </c>
      <c r="N2" s="5" t="s">
        <v>130</v>
      </c>
      <c r="O2" s="5" t="s">
        <v>138</v>
      </c>
      <c r="P2" s="5" t="s">
        <v>139</v>
      </c>
      <c r="Q2" s="5" t="s">
        <v>140</v>
      </c>
      <c r="R2" s="5" t="s">
        <v>141</v>
      </c>
      <c r="S2" s="5" t="s">
        <v>133</v>
      </c>
    </row>
    <row r="3" spans="2:19">
      <c r="B3">
        <v>800</v>
      </c>
      <c r="C3" s="16" t="s">
        <v>612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6" t="s">
        <v>614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6" t="s">
        <v>616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K16" sqref="K16"/>
    </sheetView>
  </sheetViews>
  <sheetFormatPr defaultColWidth="8.796875" defaultRowHeight="17.399999999999999"/>
  <cols>
    <col min="3" max="3" width="19.19921875" customWidth="1"/>
    <col min="4" max="4" width="10.296875" bestFit="1" customWidth="1"/>
    <col min="7" max="7" width="10.796875" customWidth="1"/>
  </cols>
  <sheetData>
    <row r="1" spans="1:1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</row>
    <row r="2" spans="1:11">
      <c r="B2" t="s">
        <v>75</v>
      </c>
      <c r="C2" s="5" t="s">
        <v>41</v>
      </c>
      <c r="D2" t="s">
        <v>80</v>
      </c>
      <c r="E2" t="s">
        <v>81</v>
      </c>
      <c r="F2" t="s">
        <v>90</v>
      </c>
      <c r="G2" s="19" t="s">
        <v>533</v>
      </c>
      <c r="H2" t="s">
        <v>48</v>
      </c>
      <c r="I2" t="s">
        <v>93</v>
      </c>
    </row>
    <row r="3" spans="1:11">
      <c r="B3" s="27">
        <v>9001</v>
      </c>
      <c r="C3" s="30" t="s">
        <v>486</v>
      </c>
      <c r="D3" s="27">
        <v>0</v>
      </c>
      <c r="E3" s="27">
        <v>0</v>
      </c>
      <c r="F3" s="27">
        <v>0</v>
      </c>
      <c r="G3" s="27">
        <v>10000</v>
      </c>
      <c r="H3" s="27">
        <v>0</v>
      </c>
      <c r="I3" s="27">
        <v>0</v>
      </c>
      <c r="K3">
        <f>SUM(DropTable[[#This Row],[Normal]:[Active]])</f>
        <v>10000</v>
      </c>
    </row>
    <row r="4" spans="1:11">
      <c r="B4">
        <v>9002</v>
      </c>
      <c r="C4" s="29" t="s">
        <v>485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4"/>
      <c r="B5">
        <v>9003</v>
      </c>
      <c r="C5" s="29" t="s">
        <v>482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9" t="s">
        <v>399</v>
      </c>
      <c r="B6">
        <v>9100</v>
      </c>
      <c r="C6" s="16" t="s">
        <v>483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49</v>
      </c>
      <c r="B7" s="31">
        <v>9101</v>
      </c>
      <c r="C7" s="32" t="s">
        <v>484</v>
      </c>
      <c r="D7" s="31">
        <v>4000</v>
      </c>
      <c r="E7" s="31">
        <v>2000</v>
      </c>
      <c r="F7" s="31">
        <v>2000</v>
      </c>
      <c r="G7" s="31">
        <v>0</v>
      </c>
      <c r="H7" s="31">
        <v>2000</v>
      </c>
      <c r="I7" s="31">
        <v>0</v>
      </c>
      <c r="K7">
        <f>SUM(DropTable[[#This Row],[Normal]:[Active]])</f>
        <v>8000</v>
      </c>
    </row>
    <row r="8" spans="1:11">
      <c r="A8" t="s">
        <v>49</v>
      </c>
      <c r="B8" s="31">
        <v>9102</v>
      </c>
      <c r="C8" s="32" t="s">
        <v>298</v>
      </c>
      <c r="D8" s="31">
        <v>4000</v>
      </c>
      <c r="E8" s="31">
        <v>2000</v>
      </c>
      <c r="F8" s="31">
        <v>2000</v>
      </c>
      <c r="G8" s="31">
        <v>0</v>
      </c>
      <c r="H8" s="31">
        <v>0</v>
      </c>
      <c r="I8" s="31">
        <v>2000</v>
      </c>
      <c r="K8">
        <f>SUM(DropTable[[#This Row],[Normal]:[Active]])</f>
        <v>8000</v>
      </c>
    </row>
    <row r="9" spans="1:11">
      <c r="A9" t="s">
        <v>49</v>
      </c>
      <c r="B9" s="31">
        <v>9103</v>
      </c>
      <c r="C9" s="32" t="s">
        <v>121</v>
      </c>
      <c r="D9" s="31">
        <v>4000</v>
      </c>
      <c r="E9" s="31">
        <v>2000</v>
      </c>
      <c r="F9" s="31">
        <v>2000</v>
      </c>
      <c r="G9" s="31">
        <v>0</v>
      </c>
      <c r="H9" s="31">
        <v>2000</v>
      </c>
      <c r="I9" s="31">
        <v>0</v>
      </c>
      <c r="K9">
        <f>SUM(DropTable[[#This Row],[Normal]:[Active]])</f>
        <v>8000</v>
      </c>
    </row>
    <row r="10" spans="1:11">
      <c r="A10" t="s">
        <v>49</v>
      </c>
      <c r="B10" s="31">
        <v>9104</v>
      </c>
      <c r="C10" s="32" t="s">
        <v>120</v>
      </c>
      <c r="D10" s="31">
        <v>0</v>
      </c>
      <c r="E10" s="31">
        <v>7000</v>
      </c>
      <c r="F10" s="31">
        <v>3000</v>
      </c>
      <c r="G10" s="31">
        <v>0</v>
      </c>
      <c r="H10" s="31">
        <v>0</v>
      </c>
      <c r="I10" s="31">
        <v>0</v>
      </c>
      <c r="K10">
        <f>SUM(DropTable[[#This Row],[Normal]:[Active]])</f>
        <v>10000</v>
      </c>
    </row>
    <row r="11" spans="1:11">
      <c r="A11" t="s">
        <v>49</v>
      </c>
      <c r="B11" s="31">
        <v>9105</v>
      </c>
      <c r="C11" s="32" t="s">
        <v>307</v>
      </c>
      <c r="D11" s="31">
        <v>0</v>
      </c>
      <c r="E11" s="31">
        <v>0</v>
      </c>
      <c r="F11" s="31">
        <v>0</v>
      </c>
      <c r="G11" s="31">
        <v>10000</v>
      </c>
      <c r="H11" s="31">
        <v>0</v>
      </c>
      <c r="I11" s="31">
        <v>0</v>
      </c>
      <c r="K11">
        <f>SUM(DropTable[[#This Row],[Normal]:[Active]])</f>
        <v>10000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zoomScaleNormal="75" zoomScaleSheetLayoutView="100" workbookViewId="0">
      <selection activeCell="H13" sqref="H13"/>
    </sheetView>
  </sheetViews>
  <sheetFormatPr defaultColWidth="8.796875" defaultRowHeight="17.399999999999999"/>
  <cols>
    <col min="2" max="2" width="8.69921875" bestFit="1" customWidth="1"/>
    <col min="3" max="4" width="30.296875" customWidth="1"/>
    <col min="5" max="5" width="10.19921875" customWidth="1"/>
    <col min="6" max="6" width="14.5" customWidth="1"/>
    <col min="7" max="7" width="12.796875" customWidth="1"/>
    <col min="8" max="8" width="14" customWidth="1"/>
    <col min="9" max="9" width="27.796875" customWidth="1"/>
    <col min="10" max="10" width="17" customWidth="1"/>
    <col min="11" max="11" width="19.296875" customWidth="1"/>
    <col min="12" max="12" width="17.5" customWidth="1"/>
    <col min="13" max="13" width="15.69921875" customWidth="1"/>
    <col min="14" max="14" width="17.19921875" customWidth="1"/>
    <col min="15" max="15" width="12.69921875" customWidth="1"/>
    <col min="16" max="16" width="17.69921875" customWidth="1"/>
    <col min="17" max="17" width="16" customWidth="1"/>
    <col min="18" max="18" width="16.296875" bestFit="1" customWidth="1"/>
    <col min="19" max="19" width="18.296875" bestFit="1" customWidth="1"/>
    <col min="20" max="20" width="37.19921875" customWidth="1"/>
    <col min="21" max="21" width="20.69921875" bestFit="1" customWidth="1"/>
    <col min="22" max="22" width="17.796875" bestFit="1" customWidth="1"/>
  </cols>
  <sheetData>
    <row r="1" spans="2:22">
      <c r="B1" t="s">
        <v>46</v>
      </c>
      <c r="C1" s="19" t="s">
        <v>507</v>
      </c>
      <c r="D1" s="14" t="s">
        <v>399</v>
      </c>
      <c r="E1" t="s">
        <v>46</v>
      </c>
      <c r="F1" t="s">
        <v>100</v>
      </c>
      <c r="G1" t="s">
        <v>124</v>
      </c>
      <c r="H1" t="s">
        <v>46</v>
      </c>
      <c r="I1" t="s">
        <v>100</v>
      </c>
      <c r="J1" t="s">
        <v>100</v>
      </c>
      <c r="K1" s="19" t="s">
        <v>491</v>
      </c>
      <c r="L1" t="s">
        <v>100</v>
      </c>
      <c r="M1" t="s">
        <v>124</v>
      </c>
      <c r="N1" t="s">
        <v>100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99</v>
      </c>
      <c r="U1" t="s">
        <v>49</v>
      </c>
      <c r="V1" t="s">
        <v>49</v>
      </c>
    </row>
    <row r="2" spans="2:22">
      <c r="B2" t="s">
        <v>75</v>
      </c>
      <c r="C2" s="38" t="s">
        <v>506</v>
      </c>
      <c r="D2" s="15" t="s">
        <v>399</v>
      </c>
      <c r="E2" t="s">
        <v>128</v>
      </c>
      <c r="F2" s="19" t="s">
        <v>481</v>
      </c>
      <c r="G2" t="s">
        <v>300</v>
      </c>
      <c r="H2" t="s">
        <v>302</v>
      </c>
      <c r="I2" s="19" t="s">
        <v>511</v>
      </c>
      <c r="J2" t="s">
        <v>2</v>
      </c>
      <c r="K2" s="19" t="s">
        <v>492</v>
      </c>
      <c r="L2" t="s">
        <v>200</v>
      </c>
      <c r="M2" t="s">
        <v>195</v>
      </c>
      <c r="N2" t="s">
        <v>198</v>
      </c>
      <c r="O2" t="s">
        <v>299</v>
      </c>
      <c r="P2" t="s">
        <v>207</v>
      </c>
      <c r="Q2" t="s">
        <v>305</v>
      </c>
      <c r="R2" t="s">
        <v>303</v>
      </c>
      <c r="S2" t="s">
        <v>11</v>
      </c>
      <c r="T2" t="s">
        <v>308</v>
      </c>
      <c r="U2" s="5" t="s">
        <v>310</v>
      </c>
      <c r="V2" s="5" t="s">
        <v>328</v>
      </c>
    </row>
    <row r="3" spans="2:22">
      <c r="B3">
        <v>500</v>
      </c>
      <c r="C3" s="4" t="s">
        <v>40</v>
      </c>
      <c r="D3" s="16" t="s">
        <v>400</v>
      </c>
      <c r="E3">
        <f>표14[적 기준 체력]*EnemyGameData[[#This Row],['#기준 적 체력 비율]]</f>
        <v>20</v>
      </c>
      <c r="F3">
        <v>12</v>
      </c>
      <c r="G3" t="s">
        <v>122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73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9" t="s">
        <v>504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6" t="s">
        <v>434</v>
      </c>
      <c r="D4" s="16" t="s">
        <v>402</v>
      </c>
      <c r="E4">
        <f>표14[적 기준 체력]*EnemyGameData[[#This Row],['#기준 적 체력 비율]]</f>
        <v>80</v>
      </c>
      <c r="F4">
        <v>12</v>
      </c>
      <c r="G4" t="s">
        <v>309</v>
      </c>
      <c r="H4">
        <v>6</v>
      </c>
      <c r="I4">
        <v>2</v>
      </c>
      <c r="J4">
        <v>2</v>
      </c>
      <c r="K4">
        <v>25</v>
      </c>
      <c r="L4">
        <v>1.8</v>
      </c>
      <c r="M4" s="19" t="s">
        <v>522</v>
      </c>
      <c r="N4">
        <v>2</v>
      </c>
      <c r="O4">
        <v>600</v>
      </c>
      <c r="P4">
        <v>0</v>
      </c>
      <c r="Q4">
        <v>3</v>
      </c>
      <c r="R4">
        <v>4</v>
      </c>
      <c r="S4">
        <v>501</v>
      </c>
      <c r="T4" s="19" t="s">
        <v>505</v>
      </c>
      <c r="U4">
        <v>0.8</v>
      </c>
      <c r="V4">
        <f>AVERAGE(EnemyGameData[[#This Row],[GoldDropMin]],EnemyGameData[[#This Row],[GoldDropMax]])</f>
        <v>3.5</v>
      </c>
    </row>
    <row r="5" spans="2:22">
      <c r="B5">
        <v>502</v>
      </c>
      <c r="C5" s="4" t="s">
        <v>336</v>
      </c>
      <c r="D5" s="16" t="s">
        <v>405</v>
      </c>
      <c r="E5">
        <f>표14[적 기준 체력]*EnemyGameData[[#This Row],['#기준 적 체력 비율]]</f>
        <v>100</v>
      </c>
      <c r="F5">
        <v>12</v>
      </c>
      <c r="G5" t="s">
        <v>122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123</v>
      </c>
      <c r="N5">
        <v>3</v>
      </c>
      <c r="O5">
        <v>601</v>
      </c>
      <c r="P5">
        <v>0</v>
      </c>
      <c r="Q5">
        <v>3</v>
      </c>
      <c r="R5">
        <v>4</v>
      </c>
      <c r="S5">
        <v>501</v>
      </c>
      <c r="T5" s="19" t="s">
        <v>505</v>
      </c>
      <c r="U5">
        <v>1</v>
      </c>
      <c r="V5">
        <f>AVERAGE(EnemyGameData[[#This Row],[GoldDropMin]],EnemyGameData[[#This Row],[GoldDropMax]])</f>
        <v>3.5</v>
      </c>
    </row>
    <row r="6" spans="2:22">
      <c r="B6">
        <v>503</v>
      </c>
      <c r="C6" s="4" t="s">
        <v>243</v>
      </c>
      <c r="D6" s="16" t="s">
        <v>424</v>
      </c>
      <c r="E6">
        <f>표14[적 기준 체력]*EnemyGameData[[#This Row],['#기준 적 체력 비율]]</f>
        <v>80</v>
      </c>
      <c r="F6">
        <v>12</v>
      </c>
      <c r="G6" t="s">
        <v>309</v>
      </c>
      <c r="H6">
        <v>8</v>
      </c>
      <c r="I6">
        <v>1.2</v>
      </c>
      <c r="J6">
        <v>2</v>
      </c>
      <c r="K6">
        <v>25</v>
      </c>
      <c r="L6">
        <v>1.4</v>
      </c>
      <c r="M6" t="s">
        <v>123</v>
      </c>
      <c r="N6">
        <v>5</v>
      </c>
      <c r="O6">
        <v>602</v>
      </c>
      <c r="P6">
        <v>0</v>
      </c>
      <c r="Q6">
        <v>3</v>
      </c>
      <c r="R6">
        <v>4</v>
      </c>
      <c r="S6">
        <v>501</v>
      </c>
      <c r="T6" s="19" t="s">
        <v>505</v>
      </c>
      <c r="U6">
        <v>0.8</v>
      </c>
      <c r="V6">
        <f>AVERAGE(EnemyGameData[[#This Row],[GoldDropMin]],EnemyGameData[[#This Row],[GoldDropMax]])</f>
        <v>3.5</v>
      </c>
    </row>
    <row r="7" spans="2:22" s="23" customFormat="1">
      <c r="B7" s="23">
        <v>504</v>
      </c>
      <c r="C7" s="24" t="s">
        <v>234</v>
      </c>
      <c r="D7" s="24" t="s">
        <v>432</v>
      </c>
      <c r="E7" s="23">
        <f>표14[적 기준 체력]*EnemyGameData[[#This Row],['#기준 적 체력 비율]]</f>
        <v>80</v>
      </c>
      <c r="F7">
        <v>12</v>
      </c>
      <c r="G7" s="23" t="s">
        <v>309</v>
      </c>
      <c r="H7" s="23">
        <v>4</v>
      </c>
      <c r="I7" s="23">
        <v>1.5</v>
      </c>
      <c r="J7" s="23">
        <v>2</v>
      </c>
      <c r="K7">
        <v>25</v>
      </c>
      <c r="L7" s="23">
        <v>3</v>
      </c>
      <c r="M7" s="23" t="s">
        <v>123</v>
      </c>
      <c r="N7" s="23">
        <v>4</v>
      </c>
      <c r="O7" s="23">
        <v>603</v>
      </c>
      <c r="P7" s="23">
        <v>0</v>
      </c>
      <c r="Q7" s="23">
        <v>0</v>
      </c>
      <c r="R7" s="23">
        <v>0</v>
      </c>
      <c r="S7" s="23">
        <v>501</v>
      </c>
      <c r="T7" s="23" t="s">
        <v>505</v>
      </c>
      <c r="U7" s="23">
        <v>0.8</v>
      </c>
      <c r="V7" s="23">
        <f>AVERAGE(EnemyGameData[[#This Row],[GoldDropMin]],EnemyGameData[[#This Row],[GoldDropMax]])</f>
        <v>0</v>
      </c>
    </row>
    <row r="8" spans="2:22" s="23" customFormat="1">
      <c r="B8" s="23">
        <v>505</v>
      </c>
      <c r="C8" s="24" t="s">
        <v>235</v>
      </c>
      <c r="D8" s="24" t="s">
        <v>432</v>
      </c>
      <c r="E8" s="23">
        <f>표14[적 기준 체력]*EnemyGameData[[#This Row],['#기준 적 체력 비율]]</f>
        <v>100</v>
      </c>
      <c r="F8">
        <v>12</v>
      </c>
      <c r="G8" s="23" t="s">
        <v>309</v>
      </c>
      <c r="H8" s="23">
        <v>4</v>
      </c>
      <c r="I8" s="23">
        <v>1.8</v>
      </c>
      <c r="J8" s="23">
        <v>2</v>
      </c>
      <c r="K8">
        <v>25</v>
      </c>
      <c r="L8" s="23">
        <v>3</v>
      </c>
      <c r="M8" s="23" t="s">
        <v>123</v>
      </c>
      <c r="N8" s="23">
        <v>4</v>
      </c>
      <c r="O8" s="23">
        <v>604</v>
      </c>
      <c r="P8" s="23">
        <v>0</v>
      </c>
      <c r="Q8" s="23">
        <v>0</v>
      </c>
      <c r="R8" s="23">
        <v>0</v>
      </c>
      <c r="S8" s="23">
        <v>501</v>
      </c>
      <c r="T8" s="23" t="s">
        <v>505</v>
      </c>
      <c r="U8" s="23">
        <v>1</v>
      </c>
      <c r="V8" s="23">
        <f>AVERAGE(EnemyGameData[[#This Row],[GoldDropMin]],EnemyGameData[[#This Row],[GoldDropMax]])</f>
        <v>0</v>
      </c>
    </row>
    <row r="9" spans="2:22">
      <c r="B9">
        <v>506</v>
      </c>
      <c r="C9" s="4" t="s">
        <v>238</v>
      </c>
      <c r="D9" s="16" t="s">
        <v>430</v>
      </c>
      <c r="E9">
        <f>표14[적 기준 체력]*EnemyGameData[[#This Row],['#기준 적 체력 비율]]</f>
        <v>100</v>
      </c>
      <c r="F9">
        <v>12</v>
      </c>
      <c r="G9" t="s">
        <v>309</v>
      </c>
      <c r="H9">
        <v>0.1</v>
      </c>
      <c r="I9">
        <v>1.4</v>
      </c>
      <c r="J9">
        <v>2</v>
      </c>
      <c r="K9">
        <v>25</v>
      </c>
      <c r="L9">
        <v>1</v>
      </c>
      <c r="M9" t="s">
        <v>123</v>
      </c>
      <c r="N9">
        <v>3.5</v>
      </c>
      <c r="O9">
        <v>605</v>
      </c>
      <c r="P9">
        <v>0</v>
      </c>
      <c r="Q9">
        <v>3</v>
      </c>
      <c r="R9">
        <v>4</v>
      </c>
      <c r="S9">
        <v>501</v>
      </c>
      <c r="T9" s="19" t="s">
        <v>505</v>
      </c>
      <c r="U9">
        <v>1</v>
      </c>
      <c r="V9">
        <f>AVERAGE(EnemyGameData[[#This Row],[GoldDropMin]],EnemyGameData[[#This Row],[GoldDropMax]])</f>
        <v>3.5</v>
      </c>
    </row>
    <row r="10" spans="2:22">
      <c r="B10">
        <v>507</v>
      </c>
      <c r="C10" s="4" t="s">
        <v>360</v>
      </c>
      <c r="D10" s="4"/>
      <c r="E10">
        <v>2000</v>
      </c>
      <c r="F10">
        <v>12</v>
      </c>
      <c r="G10" t="s">
        <v>122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123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7" t="s">
        <v>436</v>
      </c>
      <c r="D11" s="16" t="s">
        <v>435</v>
      </c>
      <c r="E11">
        <f>표14[적 기준 체력]*EnemyGameData[[#This Row],['#기준 적 체력 비율]]</f>
        <v>80</v>
      </c>
      <c r="F11">
        <v>12</v>
      </c>
      <c r="G11" t="s">
        <v>309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216</v>
      </c>
      <c r="N11">
        <v>2</v>
      </c>
      <c r="O11">
        <v>607</v>
      </c>
      <c r="P11">
        <v>0</v>
      </c>
      <c r="Q11">
        <v>3</v>
      </c>
      <c r="R11">
        <v>4</v>
      </c>
      <c r="S11">
        <v>501</v>
      </c>
      <c r="T11" s="19" t="s">
        <v>505</v>
      </c>
      <c r="U11">
        <v>0.8</v>
      </c>
      <c r="V11">
        <f>AVERAGE(EnemyGameData[[#This Row],[GoldDropMin]],EnemyGameData[[#This Row],[GoldDropMax]])</f>
        <v>3.5</v>
      </c>
    </row>
    <row r="12" spans="2:22">
      <c r="B12">
        <v>550</v>
      </c>
      <c r="C12" s="16" t="s">
        <v>428</v>
      </c>
      <c r="D12" s="16" t="s">
        <v>401</v>
      </c>
      <c r="E12">
        <f>표14[적 기준 체력]*EnemyGameData[[#This Row],['#기준 적 체력 비율]]</f>
        <v>140</v>
      </c>
      <c r="F12">
        <v>12</v>
      </c>
      <c r="G12" t="s">
        <v>309</v>
      </c>
      <c r="H12">
        <v>8</v>
      </c>
      <c r="I12">
        <v>2</v>
      </c>
      <c r="J12">
        <v>3.5</v>
      </c>
      <c r="K12">
        <v>25</v>
      </c>
      <c r="L12">
        <v>1.3</v>
      </c>
      <c r="M12" t="s">
        <v>216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9" t="s">
        <v>505</v>
      </c>
      <c r="U12">
        <v>1.4</v>
      </c>
      <c r="V12">
        <v>7</v>
      </c>
    </row>
    <row r="13" spans="2:22">
      <c r="B13" s="35">
        <v>551</v>
      </c>
      <c r="C13" s="36" t="s">
        <v>426</v>
      </c>
      <c r="D13" s="36" t="s">
        <v>406</v>
      </c>
      <c r="E13" s="35">
        <f>표14[적 기준 체력]*EnemyGameData[[#This Row],['#기준 적 체력 비율]]</f>
        <v>160</v>
      </c>
      <c r="F13">
        <v>12</v>
      </c>
      <c r="G13" s="35" t="s">
        <v>122</v>
      </c>
      <c r="H13" s="35">
        <v>0.1</v>
      </c>
      <c r="I13" s="35">
        <v>1.2</v>
      </c>
      <c r="J13" s="35">
        <v>3</v>
      </c>
      <c r="K13">
        <v>25</v>
      </c>
      <c r="L13" s="35">
        <v>1.5</v>
      </c>
      <c r="M13" s="35" t="s">
        <v>123</v>
      </c>
      <c r="N13" s="35">
        <v>3.5</v>
      </c>
      <c r="O13" s="35">
        <v>651</v>
      </c>
      <c r="P13" s="35">
        <v>0</v>
      </c>
      <c r="Q13" s="35">
        <v>3</v>
      </c>
      <c r="R13" s="35">
        <v>5</v>
      </c>
      <c r="S13" s="35">
        <v>501</v>
      </c>
      <c r="T13" s="35" t="s">
        <v>505</v>
      </c>
      <c r="U13" s="35">
        <v>1.6</v>
      </c>
      <c r="V13" s="35">
        <v>7</v>
      </c>
    </row>
    <row r="14" spans="2:22">
      <c r="B14">
        <v>552</v>
      </c>
      <c r="C14" s="16" t="s">
        <v>427</v>
      </c>
      <c r="D14" s="16" t="s">
        <v>425</v>
      </c>
      <c r="E14">
        <f>표14[적 기준 체력]*EnemyGameData[[#This Row],['#기준 적 체력 비율]]</f>
        <v>140</v>
      </c>
      <c r="F14">
        <v>12</v>
      </c>
      <c r="G14" t="s">
        <v>309</v>
      </c>
      <c r="H14">
        <v>8</v>
      </c>
      <c r="I14">
        <v>1.2</v>
      </c>
      <c r="J14">
        <v>3.5</v>
      </c>
      <c r="K14">
        <v>25</v>
      </c>
      <c r="L14">
        <v>1.2</v>
      </c>
      <c r="M14" t="s">
        <v>123</v>
      </c>
      <c r="N14">
        <v>6</v>
      </c>
      <c r="O14">
        <v>652</v>
      </c>
      <c r="P14">
        <v>0</v>
      </c>
      <c r="Q14">
        <v>7</v>
      </c>
      <c r="R14">
        <v>12</v>
      </c>
      <c r="S14">
        <v>501</v>
      </c>
      <c r="T14" s="19" t="s">
        <v>505</v>
      </c>
      <c r="U14">
        <v>1.4</v>
      </c>
      <c r="V14">
        <v>7</v>
      </c>
    </row>
    <row r="15" spans="2:22">
      <c r="B15">
        <v>553</v>
      </c>
      <c r="C15" s="17" t="s">
        <v>431</v>
      </c>
      <c r="D15" s="16" t="s">
        <v>429</v>
      </c>
      <c r="E15">
        <f>표14[적 기준 체력]*EnemyGameData[[#This Row],['#기준 적 체력 비율]]</f>
        <v>160</v>
      </c>
      <c r="F15">
        <v>12</v>
      </c>
      <c r="G15" t="s">
        <v>309</v>
      </c>
      <c r="H15">
        <v>0.1</v>
      </c>
      <c r="I15">
        <v>2.5</v>
      </c>
      <c r="J15">
        <v>3.5</v>
      </c>
      <c r="K15">
        <v>25</v>
      </c>
      <c r="L15">
        <v>1.6</v>
      </c>
      <c r="M15" t="s">
        <v>123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9" t="s">
        <v>505</v>
      </c>
      <c r="U15">
        <v>1.6</v>
      </c>
      <c r="V15">
        <f>AVERAGE(EnemyGameData[[#This Row],[GoldDropMin]],EnemyGameData[[#This Row],[GoldDropMax]])</f>
        <v>9.5</v>
      </c>
    </row>
    <row r="16" spans="2:22" s="23" customFormat="1">
      <c r="B16" s="23">
        <v>554</v>
      </c>
      <c r="C16" s="25" t="s">
        <v>433</v>
      </c>
      <c r="D16" s="24" t="s">
        <v>432</v>
      </c>
      <c r="E16" s="23">
        <f>표14[적 기준 체력]*EnemyGameData[[#This Row],['#기준 적 체력 비율]]</f>
        <v>20</v>
      </c>
      <c r="F16">
        <v>12</v>
      </c>
      <c r="G16" s="23" t="s">
        <v>122</v>
      </c>
      <c r="H16" s="23">
        <v>1</v>
      </c>
      <c r="I16" s="23">
        <v>0.3</v>
      </c>
      <c r="J16" s="23">
        <v>1.8</v>
      </c>
      <c r="K16">
        <v>25</v>
      </c>
      <c r="L16" s="23">
        <v>0</v>
      </c>
      <c r="M16" s="23" t="s">
        <v>73</v>
      </c>
      <c r="N16" s="23">
        <v>1</v>
      </c>
      <c r="O16" s="23">
        <v>0</v>
      </c>
      <c r="P16" s="23">
        <v>0</v>
      </c>
      <c r="Q16" s="23">
        <v>0</v>
      </c>
      <c r="R16" s="23">
        <v>0</v>
      </c>
      <c r="S16" s="23">
        <v>501</v>
      </c>
      <c r="T16" s="23" t="s">
        <v>504</v>
      </c>
      <c r="U16" s="23">
        <v>0.2</v>
      </c>
      <c r="V16" s="23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43" zoomScaleNormal="75" zoomScaleSheetLayoutView="100" workbookViewId="0">
      <selection activeCell="E25" sqref="E25"/>
    </sheetView>
  </sheetViews>
  <sheetFormatPr defaultColWidth="8.796875" defaultRowHeight="17.399999999999999"/>
  <cols>
    <col min="2" max="2" width="8.69921875" bestFit="1" customWidth="1"/>
    <col min="3" max="3" width="20" bestFit="1" customWidth="1"/>
    <col min="4" max="4" width="15" bestFit="1" customWidth="1"/>
    <col min="5" max="5" width="11.69921875" bestFit="1" customWidth="1"/>
    <col min="6" max="6" width="13.296875" bestFit="1" customWidth="1"/>
    <col min="7" max="7" width="14.69921875" bestFit="1" customWidth="1"/>
    <col min="8" max="8" width="23.796875" bestFit="1" customWidth="1"/>
    <col min="9" max="9" width="22.19921875" bestFit="1" customWidth="1"/>
  </cols>
  <sheetData>
    <row r="1" spans="2:9">
      <c r="B1" t="s">
        <v>46</v>
      </c>
      <c r="C1" t="s">
        <v>49</v>
      </c>
      <c r="D1" t="s">
        <v>46</v>
      </c>
      <c r="E1" t="s">
        <v>124</v>
      </c>
      <c r="F1" t="s">
        <v>100</v>
      </c>
      <c r="G1" t="s">
        <v>100</v>
      </c>
      <c r="H1" s="14" t="s">
        <v>399</v>
      </c>
      <c r="I1" s="14" t="s">
        <v>399</v>
      </c>
    </row>
    <row r="2" spans="2:9">
      <c r="B2" t="s">
        <v>75</v>
      </c>
      <c r="C2" s="5" t="s">
        <v>43</v>
      </c>
      <c r="D2" t="s">
        <v>315</v>
      </c>
      <c r="E2" t="s">
        <v>126</v>
      </c>
      <c r="F2" t="s">
        <v>314</v>
      </c>
      <c r="G2" t="s">
        <v>311</v>
      </c>
      <c r="H2" s="14" t="s">
        <v>399</v>
      </c>
      <c r="I2" s="14" t="s">
        <v>458</v>
      </c>
    </row>
    <row r="3" spans="2:9">
      <c r="B3">
        <v>600</v>
      </c>
      <c r="C3" s="18" t="s">
        <v>450</v>
      </c>
      <c r="D3">
        <v>700</v>
      </c>
      <c r="E3" t="s">
        <v>152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6" t="s">
        <v>407</v>
      </c>
      <c r="D4">
        <v>702</v>
      </c>
      <c r="E4" t="s">
        <v>148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6" t="s">
        <v>407</v>
      </c>
      <c r="D5">
        <v>706</v>
      </c>
      <c r="E5" t="s">
        <v>148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6" t="s">
        <v>407</v>
      </c>
      <c r="D6">
        <v>712</v>
      </c>
      <c r="E6" t="s">
        <v>148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6" t="s">
        <v>407</v>
      </c>
      <c r="D7">
        <v>709</v>
      </c>
      <c r="E7" t="s">
        <v>148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6" t="s">
        <v>407</v>
      </c>
      <c r="D8">
        <v>711</v>
      </c>
      <c r="E8" t="s">
        <v>148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6" t="s">
        <v>407</v>
      </c>
      <c r="D9">
        <v>708</v>
      </c>
      <c r="E9" t="s">
        <v>148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6" t="s">
        <v>407</v>
      </c>
      <c r="D10">
        <v>718</v>
      </c>
      <c r="E10" t="s">
        <v>148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6" t="s">
        <v>407</v>
      </c>
      <c r="D11">
        <v>710</v>
      </c>
      <c r="E11" t="s">
        <v>148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6" t="s">
        <v>407</v>
      </c>
      <c r="D12">
        <v>703</v>
      </c>
      <c r="E12" t="s">
        <v>148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18" t="s">
        <v>446</v>
      </c>
      <c r="D13">
        <v>719</v>
      </c>
      <c r="E13" t="s">
        <v>148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154</v>
      </c>
      <c r="D14">
        <v>720</v>
      </c>
      <c r="E14" t="s">
        <v>148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18" t="s">
        <v>454</v>
      </c>
      <c r="D15">
        <v>721</v>
      </c>
      <c r="E15" t="s">
        <v>148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18" t="s">
        <v>454</v>
      </c>
      <c r="D16">
        <v>722</v>
      </c>
      <c r="E16" t="s">
        <v>148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18" t="s">
        <v>454</v>
      </c>
      <c r="D17">
        <v>723</v>
      </c>
      <c r="E17" t="s">
        <v>148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18" t="s">
        <v>445</v>
      </c>
      <c r="D18">
        <v>724</v>
      </c>
      <c r="E18" t="s">
        <v>148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341</v>
      </c>
      <c r="D19">
        <v>724</v>
      </c>
      <c r="E19" t="s">
        <v>148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341</v>
      </c>
      <c r="D20">
        <v>724</v>
      </c>
      <c r="E20" t="s">
        <v>148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341</v>
      </c>
      <c r="D21">
        <v>724</v>
      </c>
      <c r="E21" t="s">
        <v>148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0" t="s">
        <v>444</v>
      </c>
      <c r="D22">
        <v>701</v>
      </c>
      <c r="E22" t="s">
        <v>152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8" t="s">
        <v>451</v>
      </c>
      <c r="D23">
        <v>725</v>
      </c>
      <c r="E23" t="s">
        <v>152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18" t="s">
        <v>452</v>
      </c>
      <c r="D24">
        <v>725</v>
      </c>
      <c r="E24" t="s">
        <v>152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18" t="s">
        <v>453</v>
      </c>
      <c r="D25">
        <v>725</v>
      </c>
      <c r="E25" t="s">
        <v>152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0" t="s">
        <v>475</v>
      </c>
      <c r="D26">
        <v>716</v>
      </c>
      <c r="E26" t="s">
        <v>148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0" t="s">
        <v>475</v>
      </c>
      <c r="D27">
        <v>718</v>
      </c>
      <c r="E27" t="s">
        <v>148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0" t="s">
        <v>475</v>
      </c>
      <c r="D28">
        <v>708</v>
      </c>
      <c r="E28" t="s">
        <v>148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0" t="s">
        <v>475</v>
      </c>
      <c r="D29">
        <v>712</v>
      </c>
      <c r="E29" t="s">
        <v>148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0" t="s">
        <v>475</v>
      </c>
      <c r="D30">
        <v>708</v>
      </c>
      <c r="E30" t="s">
        <v>148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0" t="s">
        <v>475</v>
      </c>
      <c r="D31">
        <v>711</v>
      </c>
      <c r="E31" t="s">
        <v>148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0" t="s">
        <v>475</v>
      </c>
      <c r="D32">
        <v>713</v>
      </c>
      <c r="E32" t="s">
        <v>148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0" t="s">
        <v>475</v>
      </c>
      <c r="D33">
        <v>713</v>
      </c>
      <c r="E33" t="s">
        <v>148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0" t="s">
        <v>475</v>
      </c>
      <c r="D34">
        <v>705</v>
      </c>
      <c r="E34" t="s">
        <v>148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0" t="s">
        <v>475</v>
      </c>
      <c r="D35">
        <v>706</v>
      </c>
      <c r="E35" t="s">
        <v>148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0" t="s">
        <v>475</v>
      </c>
      <c r="D36">
        <v>711</v>
      </c>
      <c r="E36" t="s">
        <v>148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0" t="s">
        <v>475</v>
      </c>
      <c r="D37">
        <v>712</v>
      </c>
      <c r="E37" t="s">
        <v>148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0" t="s">
        <v>475</v>
      </c>
      <c r="D38">
        <v>708</v>
      </c>
      <c r="E38" t="s">
        <v>148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0" t="s">
        <v>475</v>
      </c>
      <c r="D39">
        <v>702</v>
      </c>
      <c r="E39" t="s">
        <v>148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0" t="s">
        <v>475</v>
      </c>
      <c r="D40">
        <v>708</v>
      </c>
      <c r="E40" t="s">
        <v>148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0" t="s">
        <v>475</v>
      </c>
      <c r="D41">
        <v>717</v>
      </c>
      <c r="E41" t="s">
        <v>148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0" t="s">
        <v>455</v>
      </c>
      <c r="D42">
        <v>726</v>
      </c>
      <c r="E42" t="s">
        <v>148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0" t="s">
        <v>456</v>
      </c>
      <c r="D43">
        <v>726</v>
      </c>
      <c r="E43" t="s">
        <v>148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0" t="s">
        <v>457</v>
      </c>
      <c r="D44">
        <v>726</v>
      </c>
      <c r="E44" t="s">
        <v>148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4" t="s">
        <v>439</v>
      </c>
      <c r="D45">
        <v>700</v>
      </c>
      <c r="E45" t="s">
        <v>148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0" t="s">
        <v>439</v>
      </c>
      <c r="D46">
        <v>701</v>
      </c>
      <c r="E46" t="s">
        <v>148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0" t="s">
        <v>439</v>
      </c>
      <c r="D47">
        <v>700</v>
      </c>
      <c r="E47" t="s">
        <v>148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0" t="s">
        <v>439</v>
      </c>
      <c r="D48">
        <v>701</v>
      </c>
      <c r="E48" t="s">
        <v>148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0" t="s">
        <v>439</v>
      </c>
      <c r="D49">
        <v>700</v>
      </c>
      <c r="E49" t="s">
        <v>148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0" t="s">
        <v>439</v>
      </c>
      <c r="D50">
        <v>701</v>
      </c>
      <c r="E50" t="s">
        <v>148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0" t="s">
        <v>439</v>
      </c>
      <c r="D51">
        <v>700</v>
      </c>
      <c r="E51" t="s">
        <v>148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0" t="s">
        <v>439</v>
      </c>
      <c r="D52">
        <v>701</v>
      </c>
      <c r="E52" t="s">
        <v>148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0" t="s">
        <v>439</v>
      </c>
      <c r="D53">
        <v>700</v>
      </c>
      <c r="E53" t="s">
        <v>148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0" t="s">
        <v>439</v>
      </c>
      <c r="D54">
        <v>701</v>
      </c>
      <c r="E54" t="s">
        <v>148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0" t="s">
        <v>439</v>
      </c>
      <c r="D55">
        <v>700</v>
      </c>
      <c r="E55" t="s">
        <v>148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9">
        <v>9991</v>
      </c>
      <c r="C56" s="20" t="s">
        <v>439</v>
      </c>
      <c r="D56">
        <v>727</v>
      </c>
      <c r="E56" t="s">
        <v>148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0" t="s">
        <v>440</v>
      </c>
      <c r="D57">
        <v>725</v>
      </c>
      <c r="E57" s="19" t="s">
        <v>437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0" t="s">
        <v>440</v>
      </c>
      <c r="D58">
        <v>725</v>
      </c>
      <c r="E58" s="19" t="s">
        <v>437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0" t="s">
        <v>441</v>
      </c>
      <c r="D59">
        <v>999</v>
      </c>
      <c r="E59" s="19" t="s">
        <v>438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6"/>
  <sheetViews>
    <sheetView topLeftCell="A83" zoomScaleNormal="75" zoomScaleSheetLayoutView="100" workbookViewId="0">
      <selection activeCell="C100" sqref="C100"/>
    </sheetView>
  </sheetViews>
  <sheetFormatPr defaultColWidth="8.796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296875" bestFit="1" customWidth="1"/>
    <col min="6" max="6" width="20.1992187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124</v>
      </c>
      <c r="E1" t="s">
        <v>46</v>
      </c>
      <c r="F1" t="s">
        <v>46</v>
      </c>
      <c r="G1" t="s">
        <v>46</v>
      </c>
    </row>
    <row r="2" spans="2:7">
      <c r="B2" t="s">
        <v>75</v>
      </c>
      <c r="C2" s="5" t="s">
        <v>43</v>
      </c>
      <c r="D2" t="s">
        <v>316</v>
      </c>
      <c r="E2" t="s">
        <v>11</v>
      </c>
      <c r="F2" t="s">
        <v>217</v>
      </c>
      <c r="G2" t="s">
        <v>319</v>
      </c>
    </row>
    <row r="3" spans="2:7">
      <c r="B3">
        <v>700</v>
      </c>
      <c r="C3" s="4" t="s">
        <v>334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334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334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334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226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226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226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226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149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6" t="s">
        <v>410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6" t="s">
        <v>411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6" t="s">
        <v>412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6" t="s">
        <v>413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6" t="s">
        <v>414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6" t="s">
        <v>415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6" t="s">
        <v>416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6" t="s">
        <v>417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6" t="s">
        <v>418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6" t="s">
        <v>419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6" t="s">
        <v>420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6" t="s">
        <v>408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6" t="s">
        <v>421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6" t="s">
        <v>409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6" t="s">
        <v>422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6" t="s">
        <v>423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6" t="s">
        <v>447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342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342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342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342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342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342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342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342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228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228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228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228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228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228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228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228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240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240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240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240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240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240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240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240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232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232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232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232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232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232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232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232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157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157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157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6" t="s">
        <v>404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6" t="s">
        <v>404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6" t="s">
        <v>403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6" t="s">
        <v>403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6" t="s">
        <v>403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6" t="s">
        <v>403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6" t="s">
        <v>403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6" t="s">
        <v>403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2" t="s">
        <v>335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7" t="s">
        <v>490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7" t="s">
        <v>490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7" t="s">
        <v>489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7" t="s">
        <v>489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7" t="s">
        <v>489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7" t="s">
        <v>489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7" t="s">
        <v>489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7" t="s">
        <v>489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7" t="s">
        <v>490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7" t="s">
        <v>490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7" t="s">
        <v>489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7" t="s">
        <v>489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7" t="s">
        <v>489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7" t="s">
        <v>489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7" t="s">
        <v>489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7" t="s">
        <v>489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4" t="s">
        <v>562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4" t="s">
        <v>562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4" t="s">
        <v>562</v>
      </c>
      <c r="D91">
        <v>-30</v>
      </c>
      <c r="E91">
        <v>201</v>
      </c>
      <c r="F91">
        <v>0</v>
      </c>
      <c r="G91">
        <v>6.5</v>
      </c>
    </row>
    <row r="92" spans="2:7">
      <c r="B92">
        <v>802</v>
      </c>
      <c r="C92" s="14" t="s">
        <v>627</v>
      </c>
      <c r="D92">
        <v>0</v>
      </c>
      <c r="E92">
        <v>203</v>
      </c>
      <c r="F92">
        <v>0</v>
      </c>
      <c r="G92">
        <v>8</v>
      </c>
    </row>
    <row r="93" spans="2:7">
      <c r="B93">
        <v>802</v>
      </c>
      <c r="C93" s="14" t="s">
        <v>627</v>
      </c>
      <c r="D93">
        <v>90</v>
      </c>
      <c r="E93">
        <v>203</v>
      </c>
      <c r="F93">
        <v>0</v>
      </c>
      <c r="G93">
        <v>8</v>
      </c>
    </row>
    <row r="94" spans="2:7">
      <c r="B94">
        <v>802</v>
      </c>
      <c r="C94" s="14" t="s">
        <v>627</v>
      </c>
      <c r="D94">
        <v>180</v>
      </c>
      <c r="E94">
        <v>203</v>
      </c>
      <c r="F94">
        <v>0</v>
      </c>
      <c r="G94">
        <v>8</v>
      </c>
    </row>
    <row r="95" spans="2:7">
      <c r="B95">
        <v>802</v>
      </c>
      <c r="C95" s="14" t="s">
        <v>627</v>
      </c>
      <c r="D95">
        <v>-180</v>
      </c>
      <c r="E95">
        <v>203</v>
      </c>
      <c r="F95">
        <v>0</v>
      </c>
      <c r="G95">
        <v>8</v>
      </c>
    </row>
    <row r="96" spans="2:7">
      <c r="B96">
        <v>999</v>
      </c>
      <c r="C96" s="19" t="s">
        <v>442</v>
      </c>
      <c r="D96">
        <v>0</v>
      </c>
      <c r="E96">
        <v>999</v>
      </c>
      <c r="F96">
        <v>8</v>
      </c>
      <c r="G96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3"/>
  <sheetViews>
    <sheetView tabSelected="1" zoomScaleNormal="75" zoomScaleSheetLayoutView="100" workbookViewId="0">
      <selection activeCell="E5" sqref="E5"/>
    </sheetView>
  </sheetViews>
  <sheetFormatPr defaultColWidth="8.796875" defaultRowHeight="17.399999999999999"/>
  <cols>
    <col min="2" max="2" width="8.69921875" bestFit="1" customWidth="1"/>
    <col min="3" max="3" width="11.296875" bestFit="1" customWidth="1"/>
    <col min="4" max="4" width="11.69921875" bestFit="1" customWidth="1"/>
    <col min="5" max="5" width="14" bestFit="1" customWidth="1"/>
    <col min="6" max="6" width="13.296875" bestFit="1" customWidth="1"/>
    <col min="7" max="7" width="29.69921875" customWidth="1"/>
  </cols>
  <sheetData>
    <row r="1" spans="2:7">
      <c r="B1" t="s">
        <v>46</v>
      </c>
      <c r="C1" t="s">
        <v>49</v>
      </c>
      <c r="D1" t="s">
        <v>131</v>
      </c>
      <c r="E1" t="s">
        <v>100</v>
      </c>
      <c r="F1" t="s">
        <v>46</v>
      </c>
      <c r="G1" t="s">
        <v>99</v>
      </c>
    </row>
    <row r="2" spans="2:7">
      <c r="B2" t="s">
        <v>75</v>
      </c>
      <c r="C2" s="5" t="s">
        <v>43</v>
      </c>
      <c r="D2" t="s">
        <v>331</v>
      </c>
      <c r="E2" t="s">
        <v>168</v>
      </c>
      <c r="F2" t="s">
        <v>301</v>
      </c>
      <c r="G2" t="s">
        <v>308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366</v>
      </c>
    </row>
    <row r="4" spans="2:7">
      <c r="B4">
        <v>201</v>
      </c>
      <c r="C4" s="14" t="s">
        <v>563</v>
      </c>
      <c r="D4" t="b">
        <v>1</v>
      </c>
      <c r="E4">
        <v>0.8</v>
      </c>
      <c r="F4">
        <v>15</v>
      </c>
      <c r="G4" s="14" t="s">
        <v>630</v>
      </c>
    </row>
    <row r="5" spans="2:7">
      <c r="B5">
        <v>203</v>
      </c>
      <c r="C5" s="14" t="s">
        <v>628</v>
      </c>
      <c r="D5" t="b">
        <v>1</v>
      </c>
      <c r="E5">
        <v>1.2</v>
      </c>
      <c r="F5">
        <v>40</v>
      </c>
      <c r="G5" s="14" t="s">
        <v>629</v>
      </c>
    </row>
    <row r="6" spans="2:7">
      <c r="B6">
        <v>500</v>
      </c>
      <c r="C6" s="4" t="s">
        <v>40</v>
      </c>
      <c r="D6" s="3" t="b">
        <v>0</v>
      </c>
      <c r="E6">
        <v>1</v>
      </c>
      <c r="F6">
        <v>60</v>
      </c>
      <c r="G6" t="s">
        <v>365</v>
      </c>
    </row>
    <row r="7" spans="2:7">
      <c r="B7">
        <v>501</v>
      </c>
      <c r="C7" s="4" t="s">
        <v>151</v>
      </c>
      <c r="D7" s="3" t="b">
        <v>0</v>
      </c>
      <c r="E7">
        <v>1</v>
      </c>
      <c r="F7">
        <v>60</v>
      </c>
      <c r="G7" t="s">
        <v>365</v>
      </c>
    </row>
    <row r="8" spans="2:7">
      <c r="B8">
        <v>400</v>
      </c>
      <c r="C8" s="4" t="s">
        <v>132</v>
      </c>
      <c r="D8" s="3" t="b">
        <v>0</v>
      </c>
      <c r="E8">
        <v>0.25</v>
      </c>
      <c r="F8">
        <v>25</v>
      </c>
      <c r="G8" t="s">
        <v>365</v>
      </c>
    </row>
    <row r="9" spans="2:7">
      <c r="B9">
        <v>401</v>
      </c>
      <c r="C9" s="4" t="s">
        <v>343</v>
      </c>
      <c r="D9" s="3" t="b">
        <v>1</v>
      </c>
      <c r="E9">
        <v>0.25</v>
      </c>
      <c r="F9">
        <v>25</v>
      </c>
      <c r="G9" t="s">
        <v>365</v>
      </c>
    </row>
    <row r="10" spans="2:7">
      <c r="B10">
        <v>402</v>
      </c>
      <c r="C10" s="4" t="s">
        <v>129</v>
      </c>
      <c r="D10" s="3" t="b">
        <v>0</v>
      </c>
      <c r="E10">
        <v>0.4</v>
      </c>
      <c r="F10">
        <v>25</v>
      </c>
      <c r="G10" t="s">
        <v>365</v>
      </c>
    </row>
    <row r="11" spans="2:7">
      <c r="B11">
        <v>403</v>
      </c>
      <c r="C11" s="16" t="s">
        <v>448</v>
      </c>
      <c r="D11" s="3" t="b">
        <v>0</v>
      </c>
      <c r="E11">
        <v>0.8</v>
      </c>
      <c r="F11">
        <v>25</v>
      </c>
      <c r="G11" t="s">
        <v>365</v>
      </c>
    </row>
    <row r="12" spans="2:7">
      <c r="B12">
        <v>404</v>
      </c>
      <c r="C12" s="16" t="s">
        <v>449</v>
      </c>
      <c r="D12" s="3" t="b">
        <v>1</v>
      </c>
      <c r="E12">
        <v>0.8</v>
      </c>
      <c r="F12">
        <v>25</v>
      </c>
      <c r="G12" t="s">
        <v>365</v>
      </c>
    </row>
    <row r="13" spans="2:7">
      <c r="B13">
        <v>999</v>
      </c>
      <c r="C13" s="21" t="s">
        <v>443</v>
      </c>
      <c r="D13" t="b">
        <v>1</v>
      </c>
      <c r="E13">
        <v>1</v>
      </c>
      <c r="F13">
        <v>25</v>
      </c>
      <c r="G13" s="19" t="s">
        <v>480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topLeftCell="B1" zoomScale="70" zoomScaleNormal="70" zoomScaleSheetLayoutView="100" workbookViewId="0">
      <selection activeCell="E25" sqref="E25"/>
    </sheetView>
  </sheetViews>
  <sheetFormatPr defaultColWidth="8.796875" defaultRowHeight="17.399999999999999"/>
  <cols>
    <col min="2" max="2" width="8.69921875" bestFit="1" customWidth="1"/>
    <col min="3" max="3" width="19.296875" customWidth="1"/>
    <col min="4" max="4" width="98.8984375" customWidth="1"/>
    <col min="5" max="5" width="64.3984375" bestFit="1" customWidth="1"/>
    <col min="6" max="6" width="26.5" bestFit="1" customWidth="1"/>
    <col min="7" max="7" width="13.296875" bestFit="1" customWidth="1"/>
    <col min="8" max="8" width="18.5" bestFit="1" customWidth="1"/>
    <col min="9" max="11" width="18.5" customWidth="1"/>
    <col min="12" max="12" width="35.69921875" bestFit="1" customWidth="1"/>
    <col min="13" max="13" width="17.796875" bestFit="1" customWidth="1"/>
    <col min="14" max="14" width="97" customWidth="1"/>
    <col min="15" max="15" width="44.69921875" customWidth="1"/>
    <col min="16" max="16" width="24.296875" customWidth="1"/>
    <col min="17" max="18" width="64.5" customWidth="1"/>
  </cols>
  <sheetData>
    <row r="1" spans="2:19">
      <c r="B1" t="s">
        <v>51</v>
      </c>
      <c r="C1" t="s">
        <v>76</v>
      </c>
      <c r="D1" t="s">
        <v>76</v>
      </c>
      <c r="G1" t="s">
        <v>76</v>
      </c>
      <c r="H1" t="s">
        <v>46</v>
      </c>
      <c r="I1" t="s">
        <v>46</v>
      </c>
      <c r="J1" t="s">
        <v>46</v>
      </c>
      <c r="K1" t="s">
        <v>46</v>
      </c>
      <c r="L1" t="s">
        <v>99</v>
      </c>
      <c r="M1" t="s">
        <v>49</v>
      </c>
    </row>
    <row r="2" spans="2:19">
      <c r="B2" t="s">
        <v>75</v>
      </c>
      <c r="C2" t="s">
        <v>79</v>
      </c>
      <c r="D2" t="s">
        <v>163</v>
      </c>
      <c r="E2" s="19" t="s">
        <v>534</v>
      </c>
      <c r="F2" s="19" t="s">
        <v>535</v>
      </c>
      <c r="G2" t="s">
        <v>281</v>
      </c>
      <c r="H2" t="s">
        <v>88</v>
      </c>
      <c r="I2" t="s">
        <v>92</v>
      </c>
      <c r="J2" t="s">
        <v>282</v>
      </c>
      <c r="K2" t="s">
        <v>16</v>
      </c>
      <c r="L2" t="s">
        <v>193</v>
      </c>
      <c r="M2" s="5" t="s">
        <v>355</v>
      </c>
      <c r="N2" s="1" t="s">
        <v>49</v>
      </c>
      <c r="O2" s="1" t="s">
        <v>392</v>
      </c>
      <c r="P2" s="1" t="s">
        <v>393</v>
      </c>
      <c r="Q2" s="1" t="s">
        <v>394</v>
      </c>
      <c r="R2" s="26" t="s">
        <v>476</v>
      </c>
      <c r="S2" s="26" t="s">
        <v>471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48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2" t="e">
        <f>MID(ItemTable[[#This Row],[ItemIconPath]],FIND("icon",ItemTable[[#This Row],[ItemIconPath]]),999)</f>
        <v>#VALUE!</v>
      </c>
      <c r="N3" s="42"/>
      <c r="O3" s="42"/>
      <c r="P3" s="42"/>
      <c r="Q3" s="42"/>
      <c r="R3" s="42"/>
      <c r="S3" s="42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48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2" t="e">
        <f>MID(ItemTable[[#This Row],[ItemIconPath]],FIND("icon",ItemTable[[#This Row],[ItemIconPath]]),999)</f>
        <v>#VALUE!</v>
      </c>
      <c r="N4" s="42"/>
      <c r="O4" s="42"/>
      <c r="P4" s="42"/>
      <c r="Q4" s="42"/>
      <c r="R4" s="42"/>
      <c r="S4" s="42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93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35</v>
      </c>
      <c r="M5" s="22" t="str">
        <f>MID(ItemTable[[#This Row],[ItemIconPath]],FIND("icon",ItemTable[[#This Row],[ItemIconPath]]),999)</f>
        <v>icon/item/coin.png</v>
      </c>
      <c r="N5" s="42"/>
      <c r="O5" s="42"/>
      <c r="P5" s="42"/>
      <c r="Q5" s="42"/>
      <c r="R5" s="42"/>
      <c r="S5" s="42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93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35</v>
      </c>
      <c r="M6" s="22" t="str">
        <f>MID(ItemTable[[#This Row],[ItemIconPath]],FIND("icon",ItemTable[[#This Row],[ItemIconPath]]),999)</f>
        <v>icon/item/coin.png</v>
      </c>
      <c r="N6" s="42"/>
      <c r="O6" s="42"/>
      <c r="P6" s="42"/>
      <c r="Q6" s="42"/>
      <c r="R6" s="42"/>
      <c r="S6" s="42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93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35</v>
      </c>
      <c r="M7" s="22" t="str">
        <f>MID(ItemTable[[#This Row],[ItemIconPath]],FIND("icon",ItemTable[[#This Row],[ItemIconPath]]),999)</f>
        <v>icon/item/coin.png</v>
      </c>
      <c r="N7" s="42"/>
      <c r="O7" s="42"/>
      <c r="P7" s="42"/>
      <c r="Q7" s="42"/>
      <c r="R7" s="42"/>
      <c r="S7" s="42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340</v>
      </c>
      <c r="D8" s="14" t="s">
        <v>635</v>
      </c>
      <c r="E8" s="19" t="s">
        <v>647</v>
      </c>
      <c r="F8" s="14"/>
      <c r="G8" t="s">
        <v>80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255</v>
      </c>
      <c r="M8" s="22" t="str">
        <f>MID(ItemTable[[#This Row],[ItemIconPath]],FIND("icon",ItemTable[[#This Row],[ItemIconPath]]),999)</f>
        <v>icon/item/item_02.png</v>
      </c>
      <c r="N8" s="43" t="s">
        <v>379</v>
      </c>
      <c r="O8" s="42" t="s">
        <v>356</v>
      </c>
      <c r="P8" s="42"/>
      <c r="Q8" s="42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42"/>
      <c r="S8" s="42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158</v>
      </c>
      <c r="D9" s="19" t="s">
        <v>395</v>
      </c>
      <c r="E9" t="s">
        <v>363</v>
      </c>
      <c r="G9" t="s">
        <v>80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258</v>
      </c>
      <c r="M9" s="22" t="str">
        <f>MID(ItemTable[[#This Row],[ItemIconPath]],FIND("icon",ItemTable[[#This Row],[ItemIconPath]]),999)</f>
        <v>icon/item/item_04.png</v>
      </c>
      <c r="N9" s="43" t="s">
        <v>395</v>
      </c>
      <c r="O9" s="42" t="s">
        <v>363</v>
      </c>
      <c r="P9" s="42"/>
      <c r="Q9" s="42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42"/>
      <c r="S9" s="42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161</v>
      </c>
      <c r="D10" s="19" t="s">
        <v>377</v>
      </c>
      <c r="E10" t="s">
        <v>352</v>
      </c>
      <c r="G10" t="s">
        <v>80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252</v>
      </c>
      <c r="M10" s="22" t="str">
        <f>MID(ItemTable[[#This Row],[ItemIconPath]],FIND("icon",ItemTable[[#This Row],[ItemIconPath]]),999)</f>
        <v>icon/item/item_05.png</v>
      </c>
      <c r="N10" s="43" t="s">
        <v>377</v>
      </c>
      <c r="O10" s="42" t="s">
        <v>352</v>
      </c>
      <c r="P10" s="42"/>
      <c r="Q10" s="42" t="str">
        <f t="shared" si="0"/>
        <v>얼.죽.아 클럽의 새로운 유행입니다.\n\n&lt;size=20&gt;&lt;color=#97C456&gt;차징속도 +20%&lt;/color&gt;&lt;/size&gt;</v>
      </c>
      <c r="R10" s="42"/>
      <c r="S10" s="42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27" t="s">
        <v>160</v>
      </c>
      <c r="D11" s="27" t="s">
        <v>378</v>
      </c>
      <c r="E11" s="27" t="s">
        <v>638</v>
      </c>
      <c r="G11" t="s">
        <v>80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250</v>
      </c>
      <c r="M11" s="22" t="str">
        <f>MID(ItemTable[[#This Row],[ItemIconPath]],FIND("icon",ItemTable[[#This Row],[ItemIconPath]]),999)</f>
        <v>icon/item/item_07.png</v>
      </c>
      <c r="N11" s="43" t="s">
        <v>378</v>
      </c>
      <c r="O11" s="42" t="s">
        <v>351</v>
      </c>
      <c r="P11" s="42"/>
      <c r="Q11" s="42" t="str">
        <f t="shared" si="0"/>
        <v>배트 이외의 물건에 사용하지 마시오\nQT추출물 0.0006% 함유\nQT향 0.1%함유\n\n&lt;size=20&gt;&lt;color=#97C456&gt;공 충돌횟수 +1&lt;/color&gt;&lt;/size&gt;</v>
      </c>
      <c r="R11" s="42"/>
      <c r="S11" s="42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156</v>
      </c>
      <c r="D12" s="28" t="s">
        <v>581</v>
      </c>
      <c r="E12" s="14" t="s">
        <v>536</v>
      </c>
      <c r="F12" s="28"/>
      <c r="G12" t="s">
        <v>80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253</v>
      </c>
      <c r="M12" s="22" t="str">
        <f>MID(ItemTable[[#This Row],[ItemIconPath]],FIND("icon",ItemTable[[#This Row],[ItemIconPath]]),999)</f>
        <v>icon/item/item_11.png</v>
      </c>
      <c r="N12" s="43" t="s">
        <v>478</v>
      </c>
      <c r="O12" s="43" t="s">
        <v>472</v>
      </c>
      <c r="P12" s="42"/>
      <c r="Q12" s="42" t="str">
        <f t="shared" si="0"/>
        <v>시크한 표정이 매력적입니다.\n세 나라 이야기의 붉은 목마 입니다.\n\n&lt;size=20&gt;&lt;color=#97C456&gt;이동속도 +6&lt;/color&gt;&lt;/size&gt;</v>
      </c>
      <c r="R12" s="42"/>
      <c r="S12" s="42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162</v>
      </c>
      <c r="D13" s="19" t="s">
        <v>391</v>
      </c>
      <c r="E13" s="14" t="s">
        <v>599</v>
      </c>
      <c r="G13" t="s">
        <v>80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254</v>
      </c>
      <c r="M13" s="22" t="str">
        <f>MID(ItemTable[[#This Row],[ItemIconPath]],FIND("icon",ItemTable[[#This Row],[ItemIconPath]]),999)</f>
        <v>icon/item/item_15.png</v>
      </c>
      <c r="N13" s="43" t="s">
        <v>391</v>
      </c>
      <c r="O13" s="42" t="s">
        <v>349</v>
      </c>
      <c r="P13" s="42"/>
      <c r="Q13" s="42" t="str">
        <f t="shared" si="0"/>
        <v>대나무 향을 머금은 흰 밥이\n까만 김을 만나 완성된 환상적인 조합.\n\n&lt;size=20&gt;&lt;color=#97C456&gt;최대 체력 +1하트&lt;/color&gt;&lt;/size&gt;</v>
      </c>
      <c r="R13" s="42"/>
      <c r="S13" s="42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27" t="s">
        <v>59</v>
      </c>
      <c r="D14" s="49" t="s">
        <v>398</v>
      </c>
      <c r="E14" s="49" t="s">
        <v>598</v>
      </c>
      <c r="F14" s="28"/>
      <c r="G14" t="s">
        <v>81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256</v>
      </c>
      <c r="M14" s="22" t="str">
        <f>MID(ItemTable[[#This Row],[ItemIconPath]],FIND("icon",ItemTable[[#This Row],[ItemIconPath]]),999)</f>
        <v>icon/item/item_17.png</v>
      </c>
      <c r="N14" s="43" t="s">
        <v>398</v>
      </c>
      <c r="O14" s="43" t="s">
        <v>473</v>
      </c>
      <c r="P14" s="42"/>
      <c r="Q14" s="42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43" t="s">
        <v>479</v>
      </c>
      <c r="S14" s="42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4" t="s">
        <v>380</v>
      </c>
      <c r="D15" s="19" t="s">
        <v>574</v>
      </c>
      <c r="E15" s="14" t="s">
        <v>626</v>
      </c>
      <c r="G15" t="s">
        <v>81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259</v>
      </c>
      <c r="M15" s="22" t="str">
        <f>MID(ItemTable[[#This Row],[ItemIconPath]],FIND("icon",ItemTable[[#This Row],[ItemIconPath]]),999)</f>
        <v>icon/item/item_12.png</v>
      </c>
      <c r="N15" s="43" t="s">
        <v>397</v>
      </c>
      <c r="O15" s="42" t="s">
        <v>36</v>
      </c>
      <c r="P15" s="42"/>
      <c r="Q15" s="42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42"/>
      <c r="S15" s="42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61</v>
      </c>
      <c r="D16" s="19" t="s">
        <v>582</v>
      </c>
      <c r="E16" s="14" t="s">
        <v>474</v>
      </c>
      <c r="G16" t="s">
        <v>81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261</v>
      </c>
      <c r="M16" s="22" t="str">
        <f>MID(ItemTable[[#This Row],[ItemIconPath]],FIND("icon",ItemTable[[#This Row],[ItemIconPath]]),999)</f>
        <v>icon/item/item_09.png</v>
      </c>
      <c r="N16" s="43" t="s">
        <v>390</v>
      </c>
      <c r="O16" s="43" t="s">
        <v>474</v>
      </c>
      <c r="P16" s="42"/>
      <c r="Q16" s="42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42"/>
      <c r="S16" s="42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337</v>
      </c>
      <c r="D17" s="19" t="s">
        <v>381</v>
      </c>
      <c r="E17" s="14" t="s">
        <v>572</v>
      </c>
      <c r="G17" t="s">
        <v>81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262</v>
      </c>
      <c r="M17" s="22" t="str">
        <f>MID(ItemTable[[#This Row],[ItemIconPath]],FIND("icon",ItemTable[[#This Row],[ItemIconPath]]),999)</f>
        <v>icon/item/item_10.png</v>
      </c>
      <c r="N17" s="43" t="s">
        <v>381</v>
      </c>
      <c r="O17" s="42" t="s">
        <v>348</v>
      </c>
      <c r="P17" s="42"/>
      <c r="Q17" s="42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42"/>
      <c r="S17" s="42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354</v>
      </c>
      <c r="D18" s="19" t="s">
        <v>385</v>
      </c>
      <c r="E18" s="14" t="s">
        <v>590</v>
      </c>
      <c r="G18" t="s">
        <v>81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263</v>
      </c>
      <c r="M18" s="22" t="str">
        <f>MID(ItemTable[[#This Row],[ItemIconPath]],FIND("icon",ItemTable[[#This Row],[ItemIconPath]]),999)</f>
        <v>icon/item/item_16.png</v>
      </c>
      <c r="N18" s="43" t="s">
        <v>385</v>
      </c>
      <c r="O18" s="42" t="s">
        <v>350</v>
      </c>
      <c r="P18" s="42"/>
      <c r="Q18" s="42" t="str">
        <f t="shared" si="0"/>
        <v>종교적인 용도로 보이는 컵입니다.\n잠깐, 방금 조금 움직인 것 같은데요?\n\n&lt;size=20&gt;&lt;color=#97C456&gt;공 충돌횟수 +2&lt;/color&gt;&lt;/size&gt;</v>
      </c>
      <c r="R18" s="42"/>
      <c r="S18" s="42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7" t="s">
        <v>164</v>
      </c>
      <c r="D19" s="50" t="s">
        <v>592</v>
      </c>
      <c r="E19" s="27" t="s">
        <v>604</v>
      </c>
      <c r="G19" t="s">
        <v>81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265</v>
      </c>
      <c r="M19" s="22" t="str">
        <f>MID(ItemTable[[#This Row],[ItemIconPath]],FIND("icon",ItemTable[[#This Row],[ItemIconPath]]),999)</f>
        <v>icon/item/item_03.png</v>
      </c>
      <c r="N19" s="43" t="s">
        <v>382</v>
      </c>
      <c r="O19" s="43" t="s">
        <v>386</v>
      </c>
      <c r="P19" s="42"/>
      <c r="Q19" s="42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42"/>
      <c r="S19" s="42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9" t="s">
        <v>558</v>
      </c>
      <c r="D20" s="19" t="s">
        <v>559</v>
      </c>
      <c r="E20" s="19" t="s">
        <v>644</v>
      </c>
      <c r="F20" s="19"/>
      <c r="G20" t="s">
        <v>81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4" t="s">
        <v>575</v>
      </c>
      <c r="M20" s="22" t="str">
        <f>MID(ItemTable[[#This Row],[ItemIconPath]],FIND("icon",ItemTable[[#This Row],[ItemIconPath]]),999)</f>
        <v>icon/item/item_18.png</v>
      </c>
      <c r="N20" s="43" t="s">
        <v>382</v>
      </c>
      <c r="O20" s="43" t="s">
        <v>386</v>
      </c>
      <c r="P20" s="42"/>
      <c r="Q20" s="42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42"/>
      <c r="S20" s="42" t="str">
        <f>IF(ItemTable[[#This Row],['#4]]=ItemTable[[#This Row],[Desc]],"T","F")</f>
        <v>F</v>
      </c>
    </row>
    <row r="21" spans="2:19">
      <c r="B21" s="27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27" t="s">
        <v>159</v>
      </c>
      <c r="D21" s="27" t="s">
        <v>389</v>
      </c>
      <c r="E21" s="27" t="s">
        <v>586</v>
      </c>
      <c r="F21" s="27" t="s">
        <v>587</v>
      </c>
      <c r="G21" t="s">
        <v>90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274</v>
      </c>
      <c r="M21" s="22" t="str">
        <f>MID(ItemTable[[#This Row],[ItemIconPath]],FIND("icon",ItemTable[[#This Row],[ItemIconPath]]),999)</f>
        <v>icon/item/item_06.png</v>
      </c>
      <c r="N21" s="43" t="s">
        <v>389</v>
      </c>
      <c r="O21" s="42" t="s">
        <v>362</v>
      </c>
      <c r="P21" s="42" t="s">
        <v>358</v>
      </c>
      <c r="Q21" s="42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42"/>
      <c r="S21" s="42" t="str">
        <f>IF(ItemTable[[#This Row],['#4]]=ItemTable[[#This Row],[Desc]],"T","F")</f>
        <v>F</v>
      </c>
    </row>
    <row r="22" spans="2:19">
      <c r="B22" s="27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27" t="s">
        <v>155</v>
      </c>
      <c r="D22" s="27" t="s">
        <v>585</v>
      </c>
      <c r="E22" s="27" t="s">
        <v>633</v>
      </c>
      <c r="F22" s="27" t="s">
        <v>584</v>
      </c>
      <c r="G22" t="s">
        <v>90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277</v>
      </c>
      <c r="M22" s="22" t="str">
        <f>MID(ItemTable[[#This Row],[ItemIconPath]],FIND("icon",ItemTable[[#This Row],[ItemIconPath]]),999)</f>
        <v>icon/item/item_08.png</v>
      </c>
      <c r="N22" s="43" t="s">
        <v>383</v>
      </c>
      <c r="O22" s="42" t="s">
        <v>357</v>
      </c>
      <c r="P22" s="42" t="s">
        <v>359</v>
      </c>
      <c r="Q22" s="42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42"/>
      <c r="S22" s="42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346</v>
      </c>
      <c r="D23" s="19" t="s">
        <v>388</v>
      </c>
      <c r="E23" s="14" t="s">
        <v>470</v>
      </c>
      <c r="F23" t="s">
        <v>241</v>
      </c>
      <c r="G23" t="s">
        <v>90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275</v>
      </c>
      <c r="M23" s="22" t="str">
        <f>MID(ItemTable[[#This Row],[ItemIconPath]],FIND("icon",ItemTable[[#This Row],[ItemIconPath]]),999)</f>
        <v>icon/item/item_14.png</v>
      </c>
      <c r="N23" s="43" t="s">
        <v>388</v>
      </c>
      <c r="O23" s="43" t="s">
        <v>470</v>
      </c>
      <c r="P23" s="42" t="s">
        <v>241</v>
      </c>
      <c r="Q23" s="42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43" t="s">
        <v>477</v>
      </c>
      <c r="S23" s="42" t="str">
        <f>IF(ItemTable[[#This Row],['#4]]=ItemTable[[#This Row],[Desc]],"T","F")</f>
        <v>F</v>
      </c>
    </row>
    <row r="24" spans="2:19">
      <c r="B24" s="5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52" t="s">
        <v>338</v>
      </c>
      <c r="D24" s="52" t="s">
        <v>384</v>
      </c>
      <c r="E24" s="52" t="s">
        <v>603</v>
      </c>
      <c r="F24" s="52" t="s">
        <v>602</v>
      </c>
      <c r="G24" t="s">
        <v>90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276</v>
      </c>
      <c r="M24" s="22" t="str">
        <f>MID(ItemTable[[#This Row],[ItemIconPath]],FIND("icon",ItemTable[[#This Row],[ItemIconPath]]),999)</f>
        <v>icon/item/item_01.png</v>
      </c>
      <c r="N24" s="43" t="s">
        <v>384</v>
      </c>
      <c r="O24" s="42" t="s">
        <v>353</v>
      </c>
      <c r="P24" s="42" t="s">
        <v>361</v>
      </c>
      <c r="Q24" s="42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42"/>
      <c r="S24" s="42" t="str">
        <f>IF(ItemTable[[#This Row],['#4]]=ItemTable[[#This Row],[Desc]],"T","F")</f>
        <v>F</v>
      </c>
    </row>
    <row r="25" spans="2:19">
      <c r="B25" s="27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7" t="s">
        <v>565</v>
      </c>
      <c r="D25" s="27" t="s">
        <v>396</v>
      </c>
      <c r="E25" s="27" t="s">
        <v>643</v>
      </c>
      <c r="F25" s="27" t="s">
        <v>642</v>
      </c>
      <c r="G25" t="s">
        <v>90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260</v>
      </c>
      <c r="M25" s="22" t="str">
        <f>MID(ItemTable[[#This Row],[ItemIconPath]],FIND("icon",ItemTable[[#This Row],[ItemIconPath]]),999)</f>
        <v>icon/item/item_13.png</v>
      </c>
      <c r="N25" s="43" t="s">
        <v>396</v>
      </c>
      <c r="O25" s="43" t="s">
        <v>387</v>
      </c>
      <c r="P25" s="42" t="s">
        <v>364</v>
      </c>
      <c r="Q25" s="42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42"/>
      <c r="S25" s="42" t="str">
        <f>IF(ItemTable[[#This Row],['#4]]=ItemTable[[#This Row],[Desc]],"T","F")</f>
        <v>F</v>
      </c>
    </row>
    <row r="26" spans="2:19">
      <c r="B26" s="22">
        <v>10000</v>
      </c>
      <c r="C26" s="17" t="s">
        <v>554</v>
      </c>
      <c r="D26" s="17" t="s">
        <v>607</v>
      </c>
      <c r="E26" s="21" t="s">
        <v>555</v>
      </c>
      <c r="F26" s="21"/>
      <c r="G26" s="19" t="s">
        <v>533</v>
      </c>
      <c r="H26">
        <v>1</v>
      </c>
      <c r="I26">
        <v>50</v>
      </c>
      <c r="J26">
        <v>100</v>
      </c>
      <c r="K26">
        <v>10000</v>
      </c>
      <c r="L26" s="14" t="s">
        <v>570</v>
      </c>
      <c r="M26" s="22" t="str">
        <f>MID(ItemTable[[#This Row],[ItemIconPath]],FIND("icon",ItemTable[[#This Row],[ItemIconPath]]),999)</f>
        <v>icon/item/A_item_02.png</v>
      </c>
      <c r="N26" s="42"/>
      <c r="O26" s="42"/>
      <c r="P26" s="42"/>
      <c r="Q26" s="42"/>
      <c r="R26" s="42"/>
      <c r="S26" s="42" t="str">
        <f>IF(ItemTable[[#This Row],['#4]]=ItemTable[[#This Row],[Desc]],"T","F")</f>
        <v>F</v>
      </c>
    </row>
    <row r="27" spans="2:19">
      <c r="B27" s="39">
        <v>10001</v>
      </c>
      <c r="C27" s="40" t="s">
        <v>576</v>
      </c>
      <c r="D27" s="40" t="s">
        <v>583</v>
      </c>
      <c r="E27" s="40" t="s">
        <v>573</v>
      </c>
      <c r="F27" s="40"/>
      <c r="G27" s="19" t="s">
        <v>533</v>
      </c>
      <c r="H27">
        <v>1</v>
      </c>
      <c r="I27">
        <v>50</v>
      </c>
      <c r="J27">
        <v>100</v>
      </c>
      <c r="K27">
        <v>10001</v>
      </c>
      <c r="L27" s="14" t="s">
        <v>571</v>
      </c>
      <c r="M27" s="22" t="str">
        <f>MID(ItemTable[[#This Row],[ItemIconPath]],FIND("icon",ItemTable[[#This Row],[ItemIconPath]]),999)</f>
        <v>icon/item/A_item_03.png</v>
      </c>
      <c r="N27" s="42"/>
      <c r="O27" s="42"/>
      <c r="P27" s="42"/>
      <c r="Q27" s="42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42"/>
      <c r="S27" s="42" t="str">
        <f>IF(ItemTable[[#This Row],['#4]]=ItemTable[[#This Row],[Desc]],"T","F")</f>
        <v>F</v>
      </c>
    </row>
    <row r="28" spans="2:19">
      <c r="B28" s="39">
        <v>10002</v>
      </c>
      <c r="C28" s="40" t="s">
        <v>577</v>
      </c>
      <c r="D28" s="40" t="s">
        <v>579</v>
      </c>
      <c r="E28" s="40" t="s">
        <v>580</v>
      </c>
      <c r="F28" s="40"/>
      <c r="G28" s="19" t="s">
        <v>533</v>
      </c>
      <c r="H28">
        <v>1</v>
      </c>
      <c r="I28">
        <v>50</v>
      </c>
      <c r="J28">
        <v>100</v>
      </c>
      <c r="K28">
        <v>10002</v>
      </c>
      <c r="L28" s="14" t="s">
        <v>608</v>
      </c>
      <c r="M28" s="22" t="str">
        <f>MID(ItemTable[[#This Row],[ItemIconPath]],FIND("icon",ItemTable[[#This Row],[ItemIconPath]]),999)</f>
        <v>icon/item/A_item_06.png</v>
      </c>
      <c r="N28" s="42"/>
      <c r="O28" s="42"/>
      <c r="P28" s="42"/>
      <c r="Q28" s="42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42"/>
      <c r="S28" s="42" t="str">
        <f>IF(ItemTable[[#This Row],['#4]]=ItemTable[[#This Row],[Desc]],"T","F")</f>
        <v>F</v>
      </c>
    </row>
    <row r="29" spans="2:19">
      <c r="B29" s="39">
        <v>10003</v>
      </c>
      <c r="C29" s="40" t="s">
        <v>556</v>
      </c>
      <c r="D29" s="40" t="s">
        <v>578</v>
      </c>
      <c r="E29" s="40" t="s">
        <v>564</v>
      </c>
      <c r="F29" s="40"/>
      <c r="G29" s="19" t="s">
        <v>533</v>
      </c>
      <c r="H29">
        <v>1</v>
      </c>
      <c r="I29">
        <v>50</v>
      </c>
      <c r="J29">
        <v>100</v>
      </c>
      <c r="K29">
        <v>10003</v>
      </c>
      <c r="L29" s="14" t="s">
        <v>569</v>
      </c>
      <c r="M29" s="22" t="str">
        <f>MID(ItemTable[[#This Row],[ItemIconPath]],FIND("icon",ItemTable[[#This Row],[ItemIconPath]]),999)</f>
        <v>icon/item/A_item_01.png</v>
      </c>
      <c r="N29" s="42"/>
      <c r="O29" s="42"/>
      <c r="P29" s="42"/>
      <c r="Q29" s="42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42"/>
      <c r="S29" s="42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30"/>
  <sheetViews>
    <sheetView zoomScale="70" zoomScaleNormal="70" zoomScaleSheetLayoutView="100" workbookViewId="0">
      <selection activeCell="F4" sqref="F4"/>
    </sheetView>
  </sheetViews>
  <sheetFormatPr defaultColWidth="8.796875" defaultRowHeight="17.399999999999999"/>
  <cols>
    <col min="2" max="2" width="20" bestFit="1" customWidth="1"/>
    <col min="3" max="3" width="10.19921875" bestFit="1" customWidth="1"/>
    <col min="4" max="4" width="8.69921875" bestFit="1" customWidth="1"/>
    <col min="5" max="5" width="21.19921875" bestFit="1" customWidth="1"/>
    <col min="6" max="6" width="21.19921875" customWidth="1"/>
    <col min="7" max="7" width="22.5" customWidth="1"/>
    <col min="8" max="8" width="36" customWidth="1"/>
    <col min="9" max="9" width="21.69921875" customWidth="1"/>
    <col min="10" max="10" width="22.796875" bestFit="1" customWidth="1"/>
    <col min="11" max="11" width="17.796875" customWidth="1"/>
  </cols>
  <sheetData>
    <row r="1" spans="2:11">
      <c r="D1" t="s">
        <v>46</v>
      </c>
      <c r="E1" s="19" t="s">
        <v>491</v>
      </c>
      <c r="F1" s="19" t="s">
        <v>491</v>
      </c>
      <c r="G1" s="19" t="s">
        <v>493</v>
      </c>
      <c r="H1" t="s">
        <v>124</v>
      </c>
      <c r="I1" s="19" t="s">
        <v>507</v>
      </c>
      <c r="J1" t="s">
        <v>124</v>
      </c>
      <c r="K1" s="19" t="s">
        <v>493</v>
      </c>
    </row>
    <row r="2" spans="2:11">
      <c r="B2" s="5" t="s">
        <v>125</v>
      </c>
      <c r="C2" s="5" t="s">
        <v>127</v>
      </c>
      <c r="D2" t="s">
        <v>75</v>
      </c>
      <c r="E2" s="19" t="s">
        <v>516</v>
      </c>
      <c r="F2" s="19" t="s">
        <v>517</v>
      </c>
      <c r="G2" s="19" t="s">
        <v>494</v>
      </c>
      <c r="H2" s="19" t="s">
        <v>495</v>
      </c>
      <c r="I2" s="37" t="s">
        <v>497</v>
      </c>
      <c r="J2" s="19" t="s">
        <v>496</v>
      </c>
      <c r="K2" s="37" t="s">
        <v>512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9">
        <v>7000</v>
      </c>
      <c r="E3" s="19">
        <v>7000</v>
      </c>
      <c r="F3" s="19"/>
      <c r="G3">
        <v>0</v>
      </c>
      <c r="H3" s="19" t="s">
        <v>514</v>
      </c>
      <c r="I3" s="19"/>
      <c r="J3" s="19" t="s">
        <v>513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9">
        <v>7001</v>
      </c>
      <c r="E4" s="19">
        <v>7001</v>
      </c>
      <c r="F4" s="19"/>
      <c r="G4">
        <v>0</v>
      </c>
      <c r="H4" s="19" t="s">
        <v>514</v>
      </c>
      <c r="J4" s="19" t="s">
        <v>513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9">
        <v>7002</v>
      </c>
      <c r="E5" s="19">
        <v>7002</v>
      </c>
      <c r="F5" s="19"/>
      <c r="G5">
        <v>0</v>
      </c>
      <c r="H5" s="19" t="s">
        <v>514</v>
      </c>
      <c r="I5" s="19"/>
      <c r="J5" s="19" t="s">
        <v>513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9">
        <v>7003</v>
      </c>
      <c r="E6" s="19">
        <v>7003</v>
      </c>
      <c r="F6" s="19"/>
      <c r="G6">
        <v>5</v>
      </c>
      <c r="H6" s="19" t="s">
        <v>589</v>
      </c>
      <c r="J6" s="19" t="s">
        <v>513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9">
        <v>7004</v>
      </c>
      <c r="E7" s="19">
        <v>7004</v>
      </c>
      <c r="F7" s="19"/>
      <c r="G7">
        <v>0</v>
      </c>
      <c r="H7" s="19" t="s">
        <v>514</v>
      </c>
      <c r="J7" s="19" t="s">
        <v>513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9">
        <v>7005</v>
      </c>
      <c r="E8" s="19">
        <v>7005</v>
      </c>
      <c r="F8" s="19"/>
      <c r="G8">
        <v>0</v>
      </c>
      <c r="H8" s="19" t="s">
        <v>514</v>
      </c>
      <c r="J8" s="19" t="s">
        <v>513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9">
        <v>8000</v>
      </c>
      <c r="E9" s="19">
        <v>8000</v>
      </c>
      <c r="F9" s="19"/>
      <c r="G9">
        <v>4</v>
      </c>
      <c r="H9" s="19" t="s">
        <v>557</v>
      </c>
      <c r="J9" s="19" t="s">
        <v>513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9">
        <v>8001</v>
      </c>
      <c r="E10" s="19">
        <v>8001</v>
      </c>
      <c r="F10" s="19"/>
      <c r="G10">
        <v>0</v>
      </c>
      <c r="H10" s="19" t="s">
        <v>521</v>
      </c>
      <c r="J10" s="19" t="s">
        <v>513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9">
        <v>8002</v>
      </c>
      <c r="E11" s="19">
        <v>8002</v>
      </c>
      <c r="F11" s="19"/>
      <c r="G11">
        <v>0</v>
      </c>
      <c r="H11" s="19" t="s">
        <v>514</v>
      </c>
      <c r="J11" s="19" t="s">
        <v>513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9">
        <v>8003</v>
      </c>
      <c r="E12" s="19">
        <v>8003</v>
      </c>
      <c r="F12" s="19"/>
      <c r="G12">
        <v>0</v>
      </c>
      <c r="H12" s="19" t="s">
        <v>514</v>
      </c>
      <c r="J12" s="19" t="s">
        <v>513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9">
        <v>8004</v>
      </c>
      <c r="E13" s="19">
        <v>8004</v>
      </c>
      <c r="F13" s="19"/>
      <c r="G13">
        <v>0</v>
      </c>
      <c r="H13" s="19" t="s">
        <v>514</v>
      </c>
      <c r="J13" s="19" t="s">
        <v>513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9">
        <v>8005</v>
      </c>
      <c r="E14" s="19">
        <v>8005</v>
      </c>
      <c r="F14" s="19"/>
      <c r="G14">
        <v>0</v>
      </c>
      <c r="H14" s="19" t="s">
        <v>514</v>
      </c>
      <c r="J14" s="19" t="s">
        <v>513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9">
        <v>8006</v>
      </c>
      <c r="E15" s="19"/>
      <c r="F15" s="19">
        <v>8006</v>
      </c>
      <c r="G15">
        <v>0</v>
      </c>
      <c r="H15" s="19" t="s">
        <v>531</v>
      </c>
      <c r="J15" s="19" t="s">
        <v>513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9">
        <v>9000</v>
      </c>
      <c r="E16" s="19">
        <v>9000</v>
      </c>
      <c r="F16" s="19"/>
      <c r="G16">
        <v>0</v>
      </c>
      <c r="H16" s="19" t="s">
        <v>514</v>
      </c>
      <c r="J16" s="19" t="s">
        <v>513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9">
        <v>9001</v>
      </c>
      <c r="E17" s="19">
        <v>9001</v>
      </c>
      <c r="F17" s="19"/>
      <c r="G17">
        <v>0</v>
      </c>
      <c r="H17" s="19" t="s">
        <v>595</v>
      </c>
      <c r="J17" s="19" t="s">
        <v>513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9">
        <v>9001</v>
      </c>
      <c r="E18" s="19">
        <v>9101</v>
      </c>
      <c r="F18" s="19"/>
      <c r="G18">
        <v>0</v>
      </c>
      <c r="H18" s="19" t="s">
        <v>514</v>
      </c>
      <c r="J18" s="19" t="s">
        <v>513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9">
        <v>9002</v>
      </c>
      <c r="E19" s="19">
        <v>9002</v>
      </c>
      <c r="F19" s="19">
        <v>9002</v>
      </c>
      <c r="G19">
        <v>0</v>
      </c>
      <c r="H19" s="19" t="s">
        <v>514</v>
      </c>
      <c r="J19" s="19" t="s">
        <v>513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9">
        <v>9003</v>
      </c>
      <c r="E20" s="19">
        <v>9003</v>
      </c>
      <c r="F20" s="19"/>
      <c r="G20">
        <v>0</v>
      </c>
      <c r="H20" s="19" t="s">
        <v>514</v>
      </c>
      <c r="J20" s="19" t="s">
        <v>513</v>
      </c>
    </row>
    <row r="21" spans="2:11">
      <c r="B21" s="4" t="str">
        <f>INDEX(ItemTable[Name],MATCH(ItemEffectTable[[#This Row],[Index]],ItemTable[ItemEffectDataId],0))</f>
        <v>행성 만세</v>
      </c>
      <c r="C21" s="4" t="str">
        <f>INDEX(ItemTable[GradeType],MATCH(ItemEffectTable[[#This Row],[Index]],ItemTable[ItemEffectDataId],0))</f>
        <v>Cursed</v>
      </c>
      <c r="D21" s="19">
        <v>9004</v>
      </c>
      <c r="E21" s="19"/>
      <c r="F21" s="19">
        <v>9004</v>
      </c>
      <c r="G21">
        <v>0</v>
      </c>
      <c r="H21" s="19" t="s">
        <v>639</v>
      </c>
      <c r="J21" s="19" t="s">
        <v>513</v>
      </c>
    </row>
    <row r="22" spans="2:11">
      <c r="B22" s="4" t="str">
        <f>INDEX(ItemTable[Name],MATCH(ItemEffectTable[[#This Row],[Index]],ItemTable[ItemEffectDataId],0))</f>
        <v>행성 만세</v>
      </c>
      <c r="C22" s="39" t="str">
        <f>INDEX(ItemTable[GradeType],MATCH(ItemEffectTable[[#This Row],[Index]],ItemTable[ItemEffectDataId],0))</f>
        <v>Cursed</v>
      </c>
      <c r="D22" s="19">
        <v>9004</v>
      </c>
      <c r="E22" s="19">
        <v>9104</v>
      </c>
      <c r="F22" s="19"/>
      <c r="G22">
        <v>0</v>
      </c>
      <c r="H22" s="19" t="s">
        <v>514</v>
      </c>
      <c r="J22" s="19"/>
    </row>
    <row r="23" spans="2:11">
      <c r="B23" s="4" t="str">
        <f>INDEX(ItemTable[Name],MATCH(ItemEffectTable[[#This Row],[Index]],ItemTable[ItemEffectDataId],0))</f>
        <v>인피니티 도넛</v>
      </c>
      <c r="C23" s="39" t="str">
        <f>INDEX(ItemTable[GradeType],MATCH(ItemEffectTable[[#This Row],[Index]],ItemTable[ItemEffectDataId],0))</f>
        <v>Active</v>
      </c>
      <c r="D23" s="39">
        <v>10000</v>
      </c>
      <c r="F23">
        <v>10000</v>
      </c>
      <c r="G23">
        <v>0.01</v>
      </c>
      <c r="H23" s="19" t="s">
        <v>520</v>
      </c>
      <c r="J23" s="19" t="s">
        <v>513</v>
      </c>
    </row>
    <row r="24" spans="2:11">
      <c r="B24" s="4" t="str">
        <f>INDEX(ItemTable[Name],MATCH(ItemEffectTable[[#This Row],[Index]],ItemTable[ItemEffectDataId],0))</f>
        <v>초소형 블랙홀</v>
      </c>
      <c r="C24" s="39" t="str">
        <f>INDEX(ItemTable[GradeType],MATCH(ItemEffectTable[[#This Row],[Index]],ItemTable[ItemEffectDataId],0))</f>
        <v>Active</v>
      </c>
      <c r="D24" s="39">
        <v>10001</v>
      </c>
      <c r="F24">
        <v>10001</v>
      </c>
      <c r="G24">
        <v>6</v>
      </c>
      <c r="H24" s="19" t="s">
        <v>520</v>
      </c>
      <c r="I24" s="19" t="s">
        <v>527</v>
      </c>
      <c r="J24" s="19" t="s">
        <v>526</v>
      </c>
      <c r="K24" s="14">
        <v>6</v>
      </c>
    </row>
    <row r="25" spans="2:11">
      <c r="B25" s="4" t="str">
        <f>INDEX(ItemTable[Name],MATCH(ItemEffectTable[[#This Row],[Index]],ItemTable[ItemEffectDataId],0))</f>
        <v>신경 부스터</v>
      </c>
      <c r="C25" s="39" t="str">
        <f>INDEX(ItemTable[GradeType],MATCH(ItemEffectTable[[#This Row],[Index]],ItemTable[ItemEffectDataId],0))</f>
        <v>Active</v>
      </c>
      <c r="D25" s="39">
        <v>10002</v>
      </c>
      <c r="E25">
        <v>10002</v>
      </c>
      <c r="F25">
        <v>10002</v>
      </c>
      <c r="G25">
        <v>12</v>
      </c>
      <c r="H25" s="19" t="s">
        <v>520</v>
      </c>
      <c r="J25" s="19" t="s">
        <v>513</v>
      </c>
    </row>
    <row r="26" spans="2:11">
      <c r="B26" s="4" t="str">
        <f>INDEX(ItemTable[Name],MATCH(ItemEffectTable[[#This Row],[Index]],ItemTable[ItemEffectDataId],0))</f>
        <v>미사일 백팩</v>
      </c>
      <c r="C26" s="39" t="str">
        <f>INDEX(ItemTable[GradeType],MATCH(ItemEffectTable[[#This Row],[Index]],ItemTable[ItemEffectDataId],0))</f>
        <v>Active</v>
      </c>
      <c r="D26" s="39">
        <v>10003</v>
      </c>
      <c r="F26">
        <v>10003</v>
      </c>
      <c r="G26">
        <v>6</v>
      </c>
      <c r="H26" s="19" t="s">
        <v>520</v>
      </c>
      <c r="J26" s="19" t="s">
        <v>513</v>
      </c>
    </row>
    <row r="29" spans="2:11">
      <c r="G29" s="14"/>
    </row>
    <row r="30" spans="2:11">
      <c r="G30" s="14"/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K30"/>
  <sheetViews>
    <sheetView zoomScale="70" zoomScaleNormal="70" zoomScaleSheetLayoutView="100" workbookViewId="0">
      <selection activeCell="C3" sqref="C3"/>
    </sheetView>
  </sheetViews>
  <sheetFormatPr defaultColWidth="8.796875" defaultRowHeight="17.399999999999999"/>
  <cols>
    <col min="2" max="2" width="8.69921875" bestFit="1" customWidth="1"/>
    <col min="3" max="3" width="21.19921875" bestFit="1" customWidth="1"/>
    <col min="4" max="4" width="23" customWidth="1"/>
    <col min="5" max="5" width="22" customWidth="1"/>
    <col min="6" max="6" width="18.296875" customWidth="1"/>
    <col min="7" max="7" width="31.5" customWidth="1"/>
    <col min="8" max="8" width="18.296875" customWidth="1"/>
  </cols>
  <sheetData>
    <row r="1" spans="2:11">
      <c r="B1" t="s">
        <v>46</v>
      </c>
      <c r="C1" t="s">
        <v>124</v>
      </c>
      <c r="D1" s="19" t="s">
        <v>507</v>
      </c>
      <c r="E1" s="19" t="s">
        <v>509</v>
      </c>
      <c r="F1" s="19" t="s">
        <v>502</v>
      </c>
      <c r="G1" s="19"/>
      <c r="H1" s="19"/>
    </row>
    <row r="2" spans="2:11">
      <c r="B2" t="s">
        <v>75</v>
      </c>
      <c r="C2" s="19" t="s">
        <v>498</v>
      </c>
      <c r="D2" s="19" t="s">
        <v>508</v>
      </c>
      <c r="E2" s="1" t="s">
        <v>13</v>
      </c>
      <c r="F2" s="37" t="s">
        <v>510</v>
      </c>
      <c r="G2" s="44" t="s">
        <v>537</v>
      </c>
      <c r="H2" s="37" t="s">
        <v>547</v>
      </c>
    </row>
    <row r="3" spans="2:11">
      <c r="B3">
        <v>7000</v>
      </c>
      <c r="C3" s="19" t="s">
        <v>186</v>
      </c>
      <c r="D3" s="19">
        <v>1</v>
      </c>
      <c r="E3" s="14" t="s">
        <v>645</v>
      </c>
      <c r="F3" s="19">
        <v>-1</v>
      </c>
      <c r="G3" s="21" t="s">
        <v>646</v>
      </c>
      <c r="H3" s="21"/>
    </row>
    <row r="4" spans="2:11">
      <c r="B4" s="19">
        <v>7001</v>
      </c>
      <c r="C4" s="11" t="s">
        <v>317</v>
      </c>
      <c r="D4" s="11">
        <v>1.2</v>
      </c>
      <c r="E4" t="s">
        <v>347</v>
      </c>
      <c r="F4">
        <v>-1</v>
      </c>
      <c r="G4" s="17" t="s">
        <v>544</v>
      </c>
      <c r="H4" s="17"/>
    </row>
    <row r="5" spans="2:11">
      <c r="B5" s="19">
        <v>7002</v>
      </c>
      <c r="C5" s="19" t="s">
        <v>523</v>
      </c>
      <c r="D5" s="11">
        <v>0.8</v>
      </c>
      <c r="E5" t="s">
        <v>347</v>
      </c>
      <c r="F5">
        <v>-1</v>
      </c>
      <c r="G5" s="17" t="s">
        <v>545</v>
      </c>
      <c r="H5" s="17"/>
    </row>
    <row r="6" spans="2:11">
      <c r="B6" s="27">
        <v>7003</v>
      </c>
      <c r="C6" s="48" t="s">
        <v>588</v>
      </c>
      <c r="D6" s="27">
        <v>0.2</v>
      </c>
      <c r="E6" t="s">
        <v>515</v>
      </c>
      <c r="F6" s="27">
        <v>5</v>
      </c>
      <c r="G6" s="20" t="s">
        <v>636</v>
      </c>
      <c r="H6" s="17"/>
    </row>
    <row r="7" spans="2:11">
      <c r="B7" s="19">
        <v>7004</v>
      </c>
      <c r="C7" s="11" t="s">
        <v>218</v>
      </c>
      <c r="D7">
        <v>0.7</v>
      </c>
      <c r="E7" t="s">
        <v>515</v>
      </c>
      <c r="F7">
        <v>-1</v>
      </c>
      <c r="G7" s="17" t="s">
        <v>543</v>
      </c>
      <c r="H7" s="17"/>
    </row>
    <row r="8" spans="2:11">
      <c r="B8" s="19">
        <v>7005</v>
      </c>
      <c r="C8" s="11" t="s">
        <v>55</v>
      </c>
      <c r="D8">
        <v>25</v>
      </c>
      <c r="E8" t="s">
        <v>515</v>
      </c>
      <c r="F8">
        <v>-1</v>
      </c>
      <c r="G8" s="17" t="s">
        <v>546</v>
      </c>
      <c r="H8" s="17"/>
    </row>
    <row r="9" spans="2:11">
      <c r="B9" s="27">
        <v>8000</v>
      </c>
      <c r="C9" s="48" t="s">
        <v>318</v>
      </c>
      <c r="D9" s="27">
        <v>0.4</v>
      </c>
      <c r="E9" s="27" t="s">
        <v>515</v>
      </c>
      <c r="F9" s="27">
        <v>4</v>
      </c>
      <c r="G9" s="20" t="s">
        <v>624</v>
      </c>
      <c r="H9" s="46"/>
    </row>
    <row r="10" spans="2:11">
      <c r="B10" s="19">
        <v>8001</v>
      </c>
      <c r="C10" s="11" t="s">
        <v>318</v>
      </c>
      <c r="D10" s="14" t="s">
        <v>625</v>
      </c>
      <c r="E10" t="s">
        <v>515</v>
      </c>
      <c r="F10">
        <v>-1</v>
      </c>
      <c r="G10" s="17" t="s">
        <v>548</v>
      </c>
      <c r="H10" s="22"/>
      <c r="K10" s="14"/>
    </row>
    <row r="11" spans="2:11">
      <c r="B11" s="19">
        <v>8002</v>
      </c>
      <c r="C11" t="s">
        <v>318</v>
      </c>
      <c r="D11">
        <v>0.1</v>
      </c>
      <c r="E11" t="s">
        <v>515</v>
      </c>
      <c r="F11">
        <v>-1</v>
      </c>
      <c r="G11" s="17" t="s">
        <v>551</v>
      </c>
      <c r="H11" s="22"/>
    </row>
    <row r="12" spans="2:11">
      <c r="B12" s="19">
        <v>8002</v>
      </c>
      <c r="C12" t="s">
        <v>2</v>
      </c>
      <c r="D12">
        <v>0.5</v>
      </c>
      <c r="E12" t="s">
        <v>515</v>
      </c>
      <c r="F12">
        <v>-1</v>
      </c>
      <c r="G12" s="17" t="s">
        <v>549</v>
      </c>
      <c r="H12" s="22"/>
    </row>
    <row r="13" spans="2:11">
      <c r="B13" s="19">
        <v>8002</v>
      </c>
      <c r="C13" t="s">
        <v>218</v>
      </c>
      <c r="D13">
        <v>-0.1</v>
      </c>
      <c r="E13" t="s">
        <v>515</v>
      </c>
      <c r="F13">
        <v>-1</v>
      </c>
      <c r="G13" s="17" t="s">
        <v>550</v>
      </c>
      <c r="H13" s="22"/>
    </row>
    <row r="14" spans="2:11">
      <c r="B14" s="19">
        <v>8003</v>
      </c>
      <c r="C14" t="s">
        <v>279</v>
      </c>
      <c r="D14">
        <v>0.5</v>
      </c>
      <c r="E14" t="s">
        <v>515</v>
      </c>
      <c r="F14">
        <v>-1</v>
      </c>
      <c r="G14" s="17" t="s">
        <v>552</v>
      </c>
      <c r="H14" s="22"/>
    </row>
    <row r="15" spans="2:11">
      <c r="B15" s="19">
        <v>8004</v>
      </c>
      <c r="C15" s="51" t="s">
        <v>634</v>
      </c>
      <c r="D15">
        <v>3</v>
      </c>
      <c r="E15" t="s">
        <v>515</v>
      </c>
      <c r="F15">
        <v>-1</v>
      </c>
      <c r="G15" s="17" t="s">
        <v>591</v>
      </c>
      <c r="H15" s="22"/>
    </row>
    <row r="16" spans="2:11">
      <c r="B16" s="27">
        <v>8004</v>
      </c>
      <c r="C16" s="48" t="s">
        <v>605</v>
      </c>
      <c r="D16" s="27">
        <v>50</v>
      </c>
      <c r="E16" s="27" t="s">
        <v>515</v>
      </c>
      <c r="F16" s="27">
        <v>-1</v>
      </c>
      <c r="G16" s="20" t="s">
        <v>606</v>
      </c>
      <c r="H16" s="46"/>
    </row>
    <row r="17" spans="2:8">
      <c r="B17" s="27">
        <v>9000</v>
      </c>
      <c r="C17" s="48" t="s">
        <v>218</v>
      </c>
      <c r="D17" s="27">
        <v>1.4</v>
      </c>
      <c r="E17" s="27" t="s">
        <v>347</v>
      </c>
      <c r="F17" s="27">
        <v>-1</v>
      </c>
      <c r="G17" s="20" t="s">
        <v>597</v>
      </c>
      <c r="H17" s="22"/>
    </row>
    <row r="18" spans="2:8">
      <c r="B18" s="27">
        <v>9000</v>
      </c>
      <c r="C18" s="48" t="s">
        <v>339</v>
      </c>
      <c r="D18" s="27">
        <v>0</v>
      </c>
      <c r="E18" s="27" t="s">
        <v>347</v>
      </c>
      <c r="F18" s="27">
        <v>-1</v>
      </c>
      <c r="G18" s="20" t="s">
        <v>593</v>
      </c>
      <c r="H18" s="22"/>
    </row>
    <row r="19" spans="2:8">
      <c r="B19" s="27">
        <v>9001</v>
      </c>
      <c r="C19" s="48" t="s">
        <v>596</v>
      </c>
      <c r="D19" s="27">
        <v>0.85</v>
      </c>
      <c r="E19" s="27" t="s">
        <v>347</v>
      </c>
      <c r="F19" s="27">
        <v>4</v>
      </c>
      <c r="G19" s="20" t="s">
        <v>632</v>
      </c>
      <c r="H19" s="22"/>
    </row>
    <row r="20" spans="2:8">
      <c r="B20" s="27">
        <v>9101</v>
      </c>
      <c r="C20" s="48" t="s">
        <v>596</v>
      </c>
      <c r="D20" s="27">
        <v>1.3</v>
      </c>
      <c r="E20" s="27" t="s">
        <v>347</v>
      </c>
      <c r="F20" s="27">
        <v>-1</v>
      </c>
      <c r="G20" s="20" t="s">
        <v>594</v>
      </c>
      <c r="H20" s="22"/>
    </row>
    <row r="21" spans="2:8">
      <c r="B21" s="19">
        <v>9002</v>
      </c>
      <c r="C21" t="s">
        <v>318</v>
      </c>
      <c r="D21">
        <v>1</v>
      </c>
      <c r="E21" t="s">
        <v>515</v>
      </c>
      <c r="F21">
        <v>-1</v>
      </c>
      <c r="G21" s="17" t="s">
        <v>553</v>
      </c>
      <c r="H21" s="22"/>
    </row>
    <row r="22" spans="2:8">
      <c r="B22" s="19">
        <v>9003</v>
      </c>
      <c r="C22" s="11" t="s">
        <v>55</v>
      </c>
      <c r="D22">
        <v>-50</v>
      </c>
      <c r="E22" t="s">
        <v>515</v>
      </c>
      <c r="F22">
        <v>-1</v>
      </c>
      <c r="G22" s="17" t="s">
        <v>600</v>
      </c>
      <c r="H22" s="22"/>
    </row>
    <row r="23" spans="2:8">
      <c r="B23" s="19">
        <v>9003</v>
      </c>
      <c r="C23" s="51" t="s">
        <v>588</v>
      </c>
      <c r="D23">
        <v>0.6</v>
      </c>
      <c r="E23" t="s">
        <v>515</v>
      </c>
      <c r="F23">
        <v>-1</v>
      </c>
      <c r="G23" s="17" t="s">
        <v>601</v>
      </c>
      <c r="H23" s="22"/>
    </row>
    <row r="24" spans="2:8">
      <c r="B24" s="19">
        <v>9104</v>
      </c>
      <c r="C24" s="14" t="s">
        <v>640</v>
      </c>
      <c r="D24">
        <v>0.7</v>
      </c>
      <c r="E24" s="14" t="s">
        <v>631</v>
      </c>
      <c r="F24">
        <v>-1</v>
      </c>
      <c r="G24" s="17" t="s">
        <v>641</v>
      </c>
      <c r="H24" s="22"/>
    </row>
    <row r="25" spans="2:8">
      <c r="B25" s="39">
        <v>10002</v>
      </c>
      <c r="C25" t="s">
        <v>2</v>
      </c>
      <c r="D25">
        <v>2.5</v>
      </c>
      <c r="E25" t="s">
        <v>347</v>
      </c>
      <c r="F25">
        <v>5</v>
      </c>
      <c r="G25" s="22"/>
      <c r="H25" s="22"/>
    </row>
    <row r="26" spans="2:8">
      <c r="B26" s="39">
        <v>10002</v>
      </c>
      <c r="C26" t="s">
        <v>28</v>
      </c>
      <c r="D26">
        <v>0.2</v>
      </c>
      <c r="E26" t="s">
        <v>347</v>
      </c>
      <c r="F26">
        <v>5</v>
      </c>
      <c r="G26" s="22"/>
      <c r="H26" s="22"/>
    </row>
    <row r="27" spans="2:8">
      <c r="B27" s="39">
        <v>10002</v>
      </c>
      <c r="C27" t="s">
        <v>227</v>
      </c>
      <c r="D27">
        <v>3</v>
      </c>
      <c r="E27" t="s">
        <v>347</v>
      </c>
      <c r="F27">
        <v>5</v>
      </c>
      <c r="G27" s="22"/>
      <c r="H27" s="22"/>
    </row>
    <row r="28" spans="2:8">
      <c r="B28" s="39">
        <v>10002</v>
      </c>
      <c r="C28" t="s">
        <v>197</v>
      </c>
      <c r="D28">
        <v>0.05</v>
      </c>
      <c r="E28" t="s">
        <v>347</v>
      </c>
      <c r="F28">
        <v>5</v>
      </c>
      <c r="G28" s="22"/>
      <c r="H28" s="22"/>
    </row>
    <row r="29" spans="2:8">
      <c r="B29" s="39">
        <v>10002</v>
      </c>
      <c r="C29" t="s">
        <v>218</v>
      </c>
      <c r="D29">
        <v>0.3</v>
      </c>
      <c r="E29" t="s">
        <v>347</v>
      </c>
      <c r="F29">
        <v>5</v>
      </c>
      <c r="G29" s="22"/>
      <c r="H29" s="22"/>
    </row>
    <row r="30" spans="2:8">
      <c r="B30" s="39">
        <v>10002</v>
      </c>
      <c r="C30" t="s">
        <v>29</v>
      </c>
      <c r="D30">
        <v>2.5</v>
      </c>
      <c r="E30" t="s">
        <v>347</v>
      </c>
      <c r="F30">
        <v>5</v>
      </c>
      <c r="G30" s="22"/>
      <c r="H30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L9"/>
  <sheetViews>
    <sheetView zoomScale="85" zoomScaleNormal="85" zoomScaleSheetLayoutView="100" workbookViewId="0">
      <selection activeCell="D21" sqref="D21"/>
    </sheetView>
  </sheetViews>
  <sheetFormatPr defaultColWidth="8.796875" defaultRowHeight="17.399999999999999"/>
  <cols>
    <col min="2" max="2" width="8.69921875" bestFit="1" customWidth="1"/>
    <col min="3" max="3" width="11" bestFit="1" customWidth="1"/>
    <col min="4" max="4" width="14.5" customWidth="1"/>
    <col min="5" max="5" width="11.19921875" customWidth="1"/>
    <col min="6" max="6" width="18.296875" customWidth="1"/>
    <col min="7" max="7" width="11.796875" customWidth="1"/>
    <col min="8" max="8" width="20.59765625" customWidth="1"/>
    <col min="9" max="9" width="17.5" customWidth="1"/>
    <col min="10" max="10" width="25.8984375" customWidth="1"/>
    <col min="11" max="11" width="11.8984375" bestFit="1" customWidth="1"/>
  </cols>
  <sheetData>
    <row r="1" spans="2:12">
      <c r="B1" t="s">
        <v>46</v>
      </c>
      <c r="D1" t="s">
        <v>124</v>
      </c>
      <c r="E1" s="19" t="s">
        <v>493</v>
      </c>
      <c r="F1" s="19"/>
      <c r="G1" s="19" t="s">
        <v>502</v>
      </c>
      <c r="H1" s="19"/>
      <c r="I1" s="19" t="s">
        <v>502</v>
      </c>
      <c r="J1" s="19"/>
      <c r="K1" s="19" t="s">
        <v>502</v>
      </c>
    </row>
    <row r="2" spans="2:12">
      <c r="B2" t="s">
        <v>75</v>
      </c>
      <c r="C2" s="47" t="s">
        <v>560</v>
      </c>
      <c r="D2" s="19" t="s">
        <v>524</v>
      </c>
      <c r="E2" s="19" t="s">
        <v>499</v>
      </c>
      <c r="F2" s="19" t="s">
        <v>538</v>
      </c>
      <c r="G2" s="37" t="s">
        <v>500</v>
      </c>
      <c r="H2" s="19" t="s">
        <v>539</v>
      </c>
      <c r="I2" s="37" t="s">
        <v>501</v>
      </c>
      <c r="J2" s="37" t="s">
        <v>540</v>
      </c>
      <c r="K2" s="37" t="s">
        <v>568</v>
      </c>
      <c r="L2" s="37" t="s">
        <v>567</v>
      </c>
    </row>
    <row r="3" spans="2:12">
      <c r="B3" s="19">
        <v>8006</v>
      </c>
      <c r="C3" s="21" t="s">
        <v>561</v>
      </c>
      <c r="D3" s="19" t="s">
        <v>532</v>
      </c>
      <c r="E3">
        <v>800</v>
      </c>
      <c r="F3" s="17"/>
      <c r="G3">
        <v>1</v>
      </c>
      <c r="H3" s="22"/>
      <c r="J3" s="22"/>
      <c r="L3" s="22"/>
    </row>
    <row r="4" spans="2:12">
      <c r="B4" s="19">
        <v>9004</v>
      </c>
      <c r="C4" s="21" t="s">
        <v>637</v>
      </c>
      <c r="D4" s="19" t="s">
        <v>532</v>
      </c>
      <c r="E4">
        <v>802</v>
      </c>
      <c r="F4" s="17"/>
      <c r="G4">
        <v>2</v>
      </c>
      <c r="H4" s="22"/>
      <c r="J4" s="22"/>
      <c r="L4" s="22"/>
    </row>
    <row r="5" spans="2:12">
      <c r="B5" s="19">
        <v>9002</v>
      </c>
      <c r="C5" s="21"/>
      <c r="D5" s="19" t="s">
        <v>518</v>
      </c>
      <c r="E5" s="11"/>
      <c r="F5" s="45"/>
      <c r="H5" s="45"/>
      <c r="J5" s="22"/>
      <c r="L5" s="22"/>
    </row>
    <row r="6" spans="2:12">
      <c r="B6" s="19">
        <v>10000</v>
      </c>
      <c r="C6" s="21"/>
      <c r="D6" s="19" t="s">
        <v>503</v>
      </c>
      <c r="E6" s="11">
        <v>8</v>
      </c>
      <c r="F6" s="45"/>
      <c r="H6" s="45"/>
      <c r="J6" s="22"/>
      <c r="L6" s="22"/>
    </row>
    <row r="7" spans="2:12">
      <c r="B7">
        <v>10001</v>
      </c>
      <c r="C7" s="22"/>
      <c r="D7" s="19" t="s">
        <v>525</v>
      </c>
      <c r="E7">
        <v>6</v>
      </c>
      <c r="F7" s="22"/>
      <c r="G7">
        <v>30</v>
      </c>
      <c r="H7" s="22"/>
      <c r="I7">
        <v>3</v>
      </c>
      <c r="J7" s="22"/>
      <c r="K7">
        <v>4</v>
      </c>
      <c r="L7" s="22"/>
    </row>
    <row r="8" spans="2:12">
      <c r="B8">
        <v>10002</v>
      </c>
      <c r="C8" s="22"/>
      <c r="D8" s="19" t="s">
        <v>519</v>
      </c>
      <c r="E8">
        <v>0.5</v>
      </c>
      <c r="F8" s="17" t="s">
        <v>541</v>
      </c>
      <c r="G8">
        <v>5</v>
      </c>
      <c r="H8" s="17" t="s">
        <v>542</v>
      </c>
      <c r="J8" s="22"/>
      <c r="L8" s="22"/>
    </row>
    <row r="9" spans="2:12">
      <c r="B9">
        <v>10003</v>
      </c>
      <c r="C9" s="22"/>
      <c r="D9" s="19" t="s">
        <v>530</v>
      </c>
      <c r="E9">
        <v>10</v>
      </c>
      <c r="F9" s="22"/>
      <c r="G9">
        <v>90</v>
      </c>
      <c r="H9" s="22"/>
      <c r="I9">
        <v>1.2</v>
      </c>
      <c r="J9" s="22"/>
      <c r="L9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D23" sqref="D23"/>
    </sheetView>
  </sheetViews>
  <sheetFormatPr defaultColWidth="8.796875" defaultRowHeight="17.399999999999999"/>
  <cols>
    <col min="3" max="3" width="15.19921875" bestFit="1" customWidth="1"/>
    <col min="4" max="4" width="28.296875" customWidth="1"/>
    <col min="5" max="5" width="16.296875" bestFit="1" customWidth="1"/>
    <col min="6" max="6" width="33.19921875" customWidth="1"/>
  </cols>
  <sheetData>
    <row r="1" spans="2:6">
      <c r="B1" t="s">
        <v>51</v>
      </c>
      <c r="C1" t="s">
        <v>49</v>
      </c>
      <c r="D1" t="s">
        <v>49</v>
      </c>
      <c r="E1" t="s">
        <v>77</v>
      </c>
      <c r="F1" t="s">
        <v>76</v>
      </c>
    </row>
    <row r="2" spans="2:6">
      <c r="B2" t="s">
        <v>75</v>
      </c>
      <c r="C2" s="5" t="s">
        <v>117</v>
      </c>
      <c r="D2" s="5" t="s">
        <v>118</v>
      </c>
      <c r="E2" t="s">
        <v>219</v>
      </c>
      <c r="F2" t="s">
        <v>220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322</v>
      </c>
      <c r="E3" t="s">
        <v>56</v>
      </c>
      <c r="F3" t="s">
        <v>247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119</v>
      </c>
      <c r="E4" t="s">
        <v>297</v>
      </c>
      <c r="F4" t="s">
        <v>373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322</v>
      </c>
      <c r="E5" t="s">
        <v>56</v>
      </c>
      <c r="F5" t="s">
        <v>372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296</v>
      </c>
      <c r="E6" t="s">
        <v>199</v>
      </c>
      <c r="F6" t="s">
        <v>182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323</v>
      </c>
      <c r="E7" t="s">
        <v>304</v>
      </c>
      <c r="F7" t="s">
        <v>375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322</v>
      </c>
      <c r="E8" t="s">
        <v>56</v>
      </c>
      <c r="F8" t="s">
        <v>374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323</v>
      </c>
      <c r="E9" t="s">
        <v>304</v>
      </c>
      <c r="F9" t="s">
        <v>269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59" sqref="B59"/>
    </sheetView>
  </sheetViews>
  <sheetFormatPr defaultColWidth="8.796875" defaultRowHeight="17.399999999999999"/>
  <cols>
    <col min="1" max="1" width="12.69921875" customWidth="1"/>
    <col min="2" max="2" width="63.69921875" customWidth="1"/>
    <col min="3" max="3" width="35.69921875" customWidth="1"/>
    <col min="4" max="4" width="20" bestFit="1" customWidth="1"/>
  </cols>
  <sheetData>
    <row r="1" spans="1:4">
      <c r="A1" t="s">
        <v>51</v>
      </c>
      <c r="B1" t="s">
        <v>76</v>
      </c>
      <c r="C1" t="s">
        <v>76</v>
      </c>
      <c r="D1" t="s">
        <v>49</v>
      </c>
    </row>
    <row r="2" spans="1:4">
      <c r="A2" t="s">
        <v>75</v>
      </c>
      <c r="B2" t="s">
        <v>286</v>
      </c>
      <c r="C2" t="s">
        <v>284</v>
      </c>
      <c r="D2" s="5" t="s">
        <v>116</v>
      </c>
    </row>
    <row r="3" spans="1:4">
      <c r="A3">
        <f>ItemTable[[#This Row],[Index]]+10000</f>
        <v>10010</v>
      </c>
      <c r="B3" t="s">
        <v>94</v>
      </c>
      <c r="C3" t="s">
        <v>101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95</v>
      </c>
      <c r="C4" t="s">
        <v>102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91</v>
      </c>
      <c r="C5" t="s">
        <v>103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96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97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98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134</v>
      </c>
      <c r="C9" t="s">
        <v>135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312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63</v>
      </c>
      <c r="C12" t="s">
        <v>285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84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290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87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65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190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62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106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64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66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85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82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74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67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107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68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69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70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86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78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72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171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251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368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189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376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188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185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183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203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266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187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264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173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176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272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268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211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174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178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177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167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172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170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175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김동주</cp:lastModifiedBy>
  <cp:revision>2</cp:revision>
  <dcterms:created xsi:type="dcterms:W3CDTF">2023-03-25T04:43:38Z</dcterms:created>
  <dcterms:modified xsi:type="dcterms:W3CDTF">2023-08-23T10:49:54Z</dcterms:modified>
  <cp:version>1200.0100.01</cp:version>
</cp:coreProperties>
</file>