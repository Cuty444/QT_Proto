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67AF8C0F-2EF2-4507-A1D5-5382F0309A4E}" xr6:coauthVersionLast="47" xr6:coauthVersionMax="47" xr10:uidLastSave="{00000000-0000-0000-0000-000000000000}"/>
  <bookViews>
    <workbookView xWindow="-120" yWindow="-120" windowWidth="29040" windowHeight="15840" firstSheet="11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9" l="1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2" i="14"/>
  <c r="B13" i="14"/>
  <c r="B10" i="14"/>
  <c r="C11" i="14"/>
  <c r="B8" i="14"/>
  <c r="C18" i="14" l="1"/>
  <c r="B18" i="14"/>
  <c r="B14" i="14"/>
  <c r="B22" i="14"/>
  <c r="C22" i="14"/>
  <c r="B25" i="14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<sst xmlns="http://schemas.openxmlformats.org/spreadsheetml/2006/main" count="1204" uniqueCount="658">
  <si>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</si>
  <si>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</si>
  <si>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</si>
  <si>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</si>
  <si>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</si>
  <si>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</si>
  <si>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</si>
  <si>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</si>
  <si>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</si>
  <si>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</si>
  <si>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</si>
  <si>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</si>
  <si>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</si>
  <si>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</si>
  <si>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</si>
  <si>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</si>
  <si>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</si>
  <si>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</si>
  <si>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</si>
  <si>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</si>
  <si>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</si>
  <si>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</si>
  <si>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</si>
  <si>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</si>
  <si>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</si>
  <si>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</si>
  <si>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</si>
  <si>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</si>
  <si>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</si>
  <si>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</si>
  <si>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</si>
  <si>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</si>
  <si>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</si>
  <si>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</si>
  <si>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</si>
  <si>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</si>
  <si>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</si>
  <si>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</si>
  <si>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</si>
  <si>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</si>
  <si>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</si>
  <si>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</si>
  <si>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</si>
  <si>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</si>
  <si>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</si>
  <si>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</si>
  <si>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</si>
  <si>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</si>
  <si>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</si>
  <si>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</si>
  <si>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</si>
  <si>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</si>
  <si>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</si>
  <si>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</si>
  <si>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</si>
  <si>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</si>
  <si>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</si>
  <si>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</si>
  <si>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</si>
  <si>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</si>
  <si>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</si>
  <si>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</si>
  <si>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</si>
  <si>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</si>
  <si>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</si>
  <si>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</si>
  <si>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</si>
  <si>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</si>
  <si>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</si>
  <si>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</si>
  <si>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</si>
  <si>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</si>
  <si>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</si>
  <si>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</si>
  <si>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</si>
  <si>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</si>
  <si>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</si>
  <si>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</si>
  <si>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</si>
  <si>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</si>
  <si>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</si>
  <si>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</si>
  <si>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</si>
  <si>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</si>
  <si>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</si>
  <si>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</si>
  <si>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</si>
  <si>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</si>
  <si>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</si>
  <si>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</si>
  <si>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</si>
  <si>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</si>
  <si>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</si>
  <si>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</si>
  <si>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</si>
  <si>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</si>
  <si>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</si>
  <si>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</si>
  <si>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</si>
  <si>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</si>
  <si>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</si>
  <si>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</si>
  <si>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</si>
  <si>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</si>
  <si>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</si>
  <si>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</si>
  <si>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</si>
  <si>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</si>
  <si>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</si>
  <si>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</si>
  <si>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</si>
  <si>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</si>
  <si>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</si>
  <si>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</si>
  <si>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</si>
  <si>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</si>
  <si>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</si>
  <si>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</si>
  <si>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</si>
  <si>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</si>
  <si>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</si>
  <si>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</si>
  <si>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</si>
  <si>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</si>
  <si>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</si>
  <si>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</si>
  <si>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</si>
  <si>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</si>
  <si>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</si>
  <si>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</si>
  <si>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</si>
  <si>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</si>
  <si>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</si>
  <si>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</si>
  <si>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</si>
  <si>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</si>
  <si>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</si>
  <si>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</si>
  <si>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</si>
  <si>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</si>
  <si>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</si>
  <si>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</si>
  <si>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</si>
  <si>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</si>
  <si>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</si>
  <si>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</si>
  <si>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</si>
  <si>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</si>
  <si>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</si>
  <si>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</si>
  <si>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</si>
  <si>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</si>
  <si>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</si>
  <si>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</si>
  <si>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</si>
  <si>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</si>
  <si>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</si>
  <si>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</si>
  <si>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</si>
  <si>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</si>
  <si>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</si>
  <si>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</si>
  <si>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</si>
  <si>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</si>
  <si>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</si>
  <si>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</si>
  <si>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</si>
  <si>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</si>
  <si>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</si>
  <si>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</si>
  <si>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</si>
  <si>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</si>
  <si>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</si>
  <si>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</si>
  <si>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</si>
  <si>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</si>
  <si>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</si>
  <si>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</si>
  <si>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</si>
  <si>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</si>
  <si>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</si>
  <si>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</si>
  <si>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</si>
  <si>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</si>
  <si>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</si>
  <si>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</si>
  <si>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</si>
  <si>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</si>
  <si>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</si>
  <si>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</si>
  <si>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</si>
  <si>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</si>
  <si>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</si>
  <si>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</si>
  <si>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</si>
  <si>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</si>
  <si>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</si>
  <si>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</si>
  <si>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</si>
  <si>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</si>
  <si>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</si>
  <si>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</si>
  <si>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</si>
  <si>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</si>
  <si>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</si>
  <si>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</si>
  <si>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</si>
  <si>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</si>
  <si>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</si>
  <si>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</si>
  <si>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</si>
  <si>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</si>
  <si>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</si>
  <si>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</si>
  <si>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</si>
  <si>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</si>
  <si>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</si>
  <si>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</si>
  <si>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</si>
  <si>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</si>
  <si>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</si>
  <si>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</si>
  <si>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</si>
  <si>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</si>
  <si>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</si>
  <si>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</si>
  <si>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</si>
  <si>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</si>
  <si>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</si>
  <si>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</si>
  <si>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</si>
  <si>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</si>
  <si>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</si>
  <si>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</si>
  <si>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</si>
  <si>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</si>
  <si>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</si>
  <si>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</si>
  <si>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</si>
  <si>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</si>
  <si>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</si>
  <si>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</si>
  <si>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</si>
  <si>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</si>
  <si>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</si>
  <si>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</si>
  <si>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</si>
  <si>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</si>
  <si>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</si>
  <si>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</si>
  <si>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</si>
  <si>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</si>
  <si>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</si>
  <si>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</si>
  <si>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</si>
  <si>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</si>
  <si>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</si>
  <si>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</si>
  <si>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</si>
  <si>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</si>
  <si>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</si>
  <si>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</si>
  <si>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</si>
  <si>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</si>
  <si>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</si>
  <si>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</si>
  <si>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</si>
  <si>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</si>
  <si>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</si>
  <si>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</si>
  <si>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</si>
  <si>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</si>
  <si>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</si>
  <si>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</si>
  <si>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</si>
  <si>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</si>
  <si>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</si>
  <si>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</si>
  <si>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</si>
  <si>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</si>
  <si>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</si>
  <si>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</si>
  <si>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</si>
  <si>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</si>
  <si>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</si>
  <si>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</si>
  <si>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</si>
  <si>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</si>
  <si>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</si>
  <si>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</si>
  <si>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</si>
  <si>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</si>
  <si>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</si>
  <si>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</si>
  <si>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</si>
  <si>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</si>
  <si>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</si>
  <si>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</si>
  <si>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</si>
  <si>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</si>
  <si>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</si>
  <si>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</si>
  <si>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</si>
  <si>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</si>
  <si>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</si>
  <si>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</si>
  <si>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</si>
  <si>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</si>
  <si>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</si>
  <si>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</si>
  <si>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</si>
  <si>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</si>
  <si>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</si>
  <si>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</si>
  <si>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</si>
  <si>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</si>
  <si>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</si>
  <si>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</si>
  <si>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</si>
  <si>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</si>
  <si>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</si>
  <si>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</si>
  <si>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</si>
  <si>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</si>
  <si>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</si>
  <si>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</si>
  <si>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</si>
  <si>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</si>
  <si>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</si>
  <si>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</si>
  <si>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</si>
  <si>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</si>
  <si>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</si>
  <si>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</si>
  <si>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</si>
  <si>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</si>
  <si>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</si>
  <si>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</si>
  <si>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</si>
  <si>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</si>
  <si>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</si>
  <si>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</si>
  <si>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</si>
  <si>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</si>
  <si>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</si>
  <si>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</si>
  <si>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</si>
  <si>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</si>
  <si>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</si>
  <si>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</si>
  <si>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</si>
  <si>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</si>
  <si>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</si>
  <si>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</si>
  <si>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</si>
  <si>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</si>
  <si>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</si>
  <si>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</si>
  <si>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</si>
  <si>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</si>
  <si>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</si>
  <si>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</si>
  <si>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</si>
  <si>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</si>
  <si>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</si>
  <si>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</si>
  <si>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</si>
  <si>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</si>
  <si>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</si>
  <si>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</si>
  <si>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</si>
  <si>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</si>
  <si>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</si>
  <si>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</si>
  <si>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</si>
  <si>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</si>
  <si>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</si>
  <si>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</si>
  <si>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</si>
  <si>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</si>
  <si>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</si>
  <si>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</si>
  <si>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</si>
  <si>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</si>
  <si>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</si>
  <si>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</si>
  <si>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</si>
  <si>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</si>
  <si>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</si>
  <si>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</si>
  <si>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</si>
  <si>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</si>
  <si>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</si>
  <si>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</si>
  <si>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</si>
  <si>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</si>
  <si>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</si>
  <si>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</si>
  <si>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</si>
  <si>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</si>
  <si>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</si>
  <si>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</si>
  <si>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</si>
  <si>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</si>
  <si>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</si>
  <si>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</si>
  <si>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</si>
  <si>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</si>
  <si>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</si>
  <si>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</si>
  <si>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</si>
  <si>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</si>
  <si>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</si>
  <si>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</si>
  <si>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</si>
  <si>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</si>
  <si>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</si>
  <si>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</si>
  <si>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</si>
  <si>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</si>
  <si>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</si>
  <si>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</si>
  <si>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</si>
  <si>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</si>
  <si>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</si>
  <si>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</si>
  <si>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</si>
  <si>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</si>
  <si>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</si>
  <si>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</si>
  <si>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</si>
  <si>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</si>
  <si>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</si>
  <si>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</si>
  <si>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</si>
  <si>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</si>
  <si>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</si>
  <si>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</si>
  <si>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</si>
  <si>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</si>
  <si>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</si>
  <si>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</si>
  <si>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</si>
  <si>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</si>
  <si>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</si>
  <si>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</si>
  <si>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</si>
  <si>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</si>
  <si>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</si>
  <si>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</si>
  <si>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</si>
  <si>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</si>
  <si>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</si>
  <si>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</si>
  <si>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</si>
  <si>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</si>
  <si>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</si>
  <si>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</si>
  <si>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</si>
  <si>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</si>
  <si>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</si>
  <si>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</si>
  <si>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</si>
  <si>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</si>
  <si>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</si>
  <si>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</si>
  <si>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</si>
  <si>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</si>
  <si>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</si>
  <si>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</si>
  <si>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</si>
  <si>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</si>
  <si>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</si>
  <si>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</si>
  <si>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</si>
  <si>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</si>
  <si>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</si>
  <si>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</si>
  <si>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</si>
  <si>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</si>
  <si>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</si>
  <si>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</si>
  <si>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</si>
  <si>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</si>
  <si>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</si>
  <si>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</si>
  <si>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</si>
  <si>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</si>
  <si>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</si>
  <si>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</si>
  <si>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</si>
  <si>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</si>
  <si>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</si>
  <si>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</si>
  <si>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</si>
  <si>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</si>
  <si>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</si>
  <si>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</si>
  <si>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</si>
  <si>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</si>
  <si>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</si>
  <si>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</si>
  <si>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</si>
  <si>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</si>
  <si>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</si>
  <si>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</si>
  <si>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</si>
  <si>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</si>
  <si>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</si>
  <si>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</si>
  <si>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</si>
  <si>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</si>
  <si>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</si>
  <si>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</si>
  <si>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</si>
  <si>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</si>
  <si>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</si>
  <si>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</si>
  <si>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</si>
  <si>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</si>
  <si>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</si>
  <si>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</si>
  <si>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</si>
  <si>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</si>
  <si>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</si>
  <si>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</si>
  <si>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</si>
  <si>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</si>
  <si>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</si>
  <si>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</si>
  <si>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</si>
  <si>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</si>
  <si>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</si>
  <si>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</si>
  <si>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</si>
  <si>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</si>
  <si>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</si>
  <si>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</si>
  <si>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</si>
  <si>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</si>
  <si>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</si>
  <si>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</si>
  <si>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</si>
  <si>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</si>
  <si>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</si>
  <si>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</si>
  <si>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</si>
  <si>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</si>
  <si>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</si>
  <si>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</si>
  <si>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</si>
  <si>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</si>
  <si>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</si>
  <si>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</si>
  <si>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</si>
  <si>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</si>
  <si>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</si>
  <si>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</si>
  <si>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</si>
  <si>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</si>
  <si>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</si>
  <si>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</si>
  <si>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</si>
  <si>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</si>
  <si>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</si>
  <si>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</si>
  <si>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</si>
  <si>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</si>
  <si>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</si>
  <si>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</si>
  <si>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</si>
  <si>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</si>
  <si>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</si>
  <si>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</si>
  <si>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</si>
  <si>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</si>
  <si>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</si>
  <si>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</si>
  <si>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</si>
  <si>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</si>
  <si>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</si>
  <si>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</si>
  <si>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</si>
  <si>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</si>
  <si>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</si>
  <si>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</si>
  <si>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</si>
  <si>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</si>
  <si>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</si>
  <si>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</si>
  <si>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</si>
  <si>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</si>
  <si>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</si>
  <si>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</si>
  <si>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</si>
  <si>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</si>
  <si>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</si>
  <si>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</si>
  <si>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</si>
  <si>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</si>
  <si>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</si>
  <si>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</si>
  <si>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</si>
  <si>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</si>
  <si>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</si>
  <si>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</si>
  <si>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</si>
  <si>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</si>
  <si>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</si>
  <si>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</si>
  <si>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</si>
  <si>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</si>
  <si>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</si>
  <si>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</si>
  <si>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</si>
  <si>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</si>
  <si>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</si>
  <si>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</si>
  <si>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</si>
  <si>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</si>
  <si>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</si>
  <si>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</si>
  <si>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</si>
  <si>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</si>
  <si>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</si>
  <si>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</si>
  <si>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</si>
  <si>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</si>
  <si>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</si>
  <si>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</si>
  <si>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</si>
  <si>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</si>
  <si>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</si>
  <si>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</si>
  <si>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</si>
  <si>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</si>
  <si>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</si>
  <si>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</si>
  <si>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</si>
  <si>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</si>
  <si>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</si>
  <si>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</si>
  <si>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</si>
  <si>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</si>
  <si>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</si>
  <si>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</si>
  <si>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삼각김곰</t>
    <phoneticPr fontId="17" type="noConversion"/>
  </si>
  <si>
    <t>이상한사탕</t>
    <phoneticPr fontId="1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</si>
  <si>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</si>
  <si>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</si>
  <si>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</si>
  <si>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</si>
  <si>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</si>
  <si>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기절한 적을 공격할 때\n10%확률로 +1 회복합니다.</t>
    <phoneticPr fontId="7" type="noConversion"/>
  </si>
  <si>
    <t>Random</t>
    <phoneticPr fontId="7" type="noConversion"/>
  </si>
  <si>
    <t>돌가면</t>
    <phoneticPr fontId="17" type="noConversion"/>
  </si>
  <si>
    <t>#열1</t>
    <phoneticPr fontId="17" type="noConversion"/>
  </si>
  <si>
    <t>기절한 적을 공격할 때\n4초간 공격력 +30%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</si>
</sst>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96" totalsRowShown="0">
  <autoFilter ref="B2:G96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3" totalsRowShown="0" headerRowDxfId="44">
  <autoFilter ref="B2:G13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29" totalsRowShown="0" headerRowDxfId="42">
  <autoFilter ref="B2:S29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26" totalsRowShown="0" headerRowDxfId="23">
  <autoFilter ref="B2:K26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26" totalsRowShown="0" headerRowDxfId="18">
  <autoFilter ref="B2:I26" xr:uid="{00000000-0009-0000-0100-000016000000}"/>
  <tableColumns count="8">
    <tableColumn id="3" xr3:uid="{E74DAA42-5E4A-4F89-AD3E-565200EEF3AE}" name="#열1" dataDxfId="17">
      <calculatedColumnFormula>INDEX(ItemEffectTable['#이름값],MATCH(ItemEffectTable23[[#This Row],[Index]],ItemEffectTable[Index],0))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2" totalsRowShown="0" headerRowDxfId="13">
  <autoFilter ref="B2:L12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/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54" t="s">
        <v>305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54" t="s">
        <v>198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578</v>
      </c>
    </row>
    <row r="12" spans="2:13">
      <c r="B12" s="12" t="s">
        <v>577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586</v>
      </c>
      <c r="H12" s="12"/>
      <c r="J12" s="12" t="s">
        <v>577</v>
      </c>
      <c r="K12" s="12" t="s">
        <v>585</v>
      </c>
      <c r="L12" s="12" t="s">
        <v>587</v>
      </c>
      <c r="M12" s="12" t="s">
        <v>588</v>
      </c>
    </row>
    <row r="13" spans="2:13">
      <c r="B13" s="12" t="s">
        <v>580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580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580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582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579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584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579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579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579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589</v>
      </c>
      <c r="M18" s="12">
        <f>표24[[#Totals],[층 완료 획득]]/30</f>
        <v>16.933333333333334</v>
      </c>
    </row>
    <row r="19" spans="2:13">
      <c r="B19" s="12" t="s">
        <v>579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590</v>
      </c>
      <c r="M19" s="12">
        <f>표24[[#Totals],[층 완료 획득]]/50</f>
        <v>10.16</v>
      </c>
    </row>
    <row r="20" spans="2:13">
      <c r="B20" s="12" t="s">
        <v>579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579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579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582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582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581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581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581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581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581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581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581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581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584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584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583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583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583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583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583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583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583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583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54" t="s">
        <v>283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543</v>
      </c>
      <c r="H2" t="s">
        <v>14</v>
      </c>
      <c r="I2" s="17" t="s">
        <v>509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I35" sqref="I35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510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625</v>
      </c>
      <c r="J2" s="49" t="s">
        <v>610</v>
      </c>
      <c r="K2" s="6" t="s">
        <v>29</v>
      </c>
      <c r="L2" s="7" t="s">
        <v>216</v>
      </c>
      <c r="M2" s="7" t="s">
        <v>224</v>
      </c>
      <c r="N2" s="50" t="s">
        <v>623</v>
      </c>
      <c r="O2" s="31" t="s">
        <v>624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580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582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584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514</v>
      </c>
      <c r="H2" t="s">
        <v>46</v>
      </c>
      <c r="I2" t="s">
        <v>91</v>
      </c>
    </row>
    <row r="3" spans="1:11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637</v>
      </c>
      <c r="D4" s="14" t="s">
        <v>392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503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627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53" t="s">
        <v>638</v>
      </c>
      <c r="D5" s="14" t="s">
        <v>395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628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53" t="s">
        <v>639</v>
      </c>
      <c r="D6" s="14" t="s">
        <v>414</v>
      </c>
      <c r="E6">
        <f>표14[적 기준 체력]*EnemyGameData[[#This Row],['#기준 적 체력 비율]]</f>
        <v>80</v>
      </c>
      <c r="F6">
        <v>16</v>
      </c>
      <c r="G6" t="s">
        <v>301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629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630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16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631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16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53" t="s">
        <v>640</v>
      </c>
      <c r="D9" s="14" t="s">
        <v>417</v>
      </c>
      <c r="E9">
        <f>표14[적 기준 체력]*EnemyGameData[[#This Row],['#기준 적 체력 비율]]</f>
        <v>100</v>
      </c>
      <c r="F9">
        <v>16</v>
      </c>
      <c r="G9" t="s">
        <v>301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632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641</v>
      </c>
      <c r="D11" s="14" t="s">
        <v>420</v>
      </c>
      <c r="E11">
        <f>표14[적 기준 체력]*EnemyGameData[[#This Row],['#기준 적 체력 비율]]</f>
        <v>80</v>
      </c>
      <c r="F11">
        <v>16</v>
      </c>
      <c r="G11" t="s">
        <v>301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635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642</v>
      </c>
      <c r="D12" s="14" t="s">
        <v>391</v>
      </c>
      <c r="E12">
        <f>표14[적 기준 체력]*EnemyGameData[[#This Row],['#기준 적 체력 비율]]</f>
        <v>140</v>
      </c>
      <c r="F12">
        <v>16</v>
      </c>
      <c r="G12" s="17" t="s">
        <v>622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636</v>
      </c>
      <c r="U12">
        <v>1.4</v>
      </c>
      <c r="V12">
        <v>7</v>
      </c>
    </row>
    <row r="13" spans="2:22">
      <c r="B13" s="51">
        <v>551</v>
      </c>
      <c r="C13" s="52" t="s">
        <v>643</v>
      </c>
      <c r="D13" s="52" t="s">
        <v>396</v>
      </c>
      <c r="E13" s="51">
        <f>표14[적 기준 체력]*EnemyGameData[[#This Row],['#기준 적 체력 비율]]</f>
        <v>160</v>
      </c>
      <c r="F13">
        <v>16</v>
      </c>
      <c r="G13" s="51" t="s">
        <v>120</v>
      </c>
      <c r="H13" s="51">
        <v>5</v>
      </c>
      <c r="I13" s="51">
        <v>1.2</v>
      </c>
      <c r="J13" s="51">
        <v>3</v>
      </c>
      <c r="K13" s="51">
        <v>0</v>
      </c>
      <c r="L13" s="51">
        <v>1.5</v>
      </c>
      <c r="M13" s="51" t="s">
        <v>121</v>
      </c>
      <c r="N13" s="51">
        <v>5</v>
      </c>
      <c r="O13" s="51">
        <v>651</v>
      </c>
      <c r="P13" s="51">
        <v>0</v>
      </c>
      <c r="Q13" s="51">
        <v>3</v>
      </c>
      <c r="R13" s="51">
        <v>5</v>
      </c>
      <c r="S13" s="51">
        <v>501</v>
      </c>
      <c r="T13" s="51" t="s">
        <v>628</v>
      </c>
      <c r="U13" s="51">
        <v>1.6</v>
      </c>
      <c r="V13" s="51">
        <v>7</v>
      </c>
    </row>
    <row r="14" spans="2:22">
      <c r="B14">
        <v>552</v>
      </c>
      <c r="C14" s="14" t="s">
        <v>644</v>
      </c>
      <c r="D14" s="14" t="s">
        <v>415</v>
      </c>
      <c r="E14">
        <f>표14[적 기준 체력]*EnemyGameData[[#This Row],['#기준 적 체력 비율]]</f>
        <v>140</v>
      </c>
      <c r="F14">
        <v>16</v>
      </c>
      <c r="G14" t="s">
        <v>301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634</v>
      </c>
      <c r="U14">
        <v>1.4</v>
      </c>
      <c r="V14">
        <v>7</v>
      </c>
    </row>
    <row r="15" spans="2:22">
      <c r="B15">
        <v>553</v>
      </c>
      <c r="C15" s="15" t="s">
        <v>645</v>
      </c>
      <c r="D15" s="14" t="s">
        <v>416</v>
      </c>
      <c r="E15">
        <f>표14[적 기준 체력]*EnemyGameData[[#This Row],['#기준 적 체력 비율]]</f>
        <v>160</v>
      </c>
      <c r="F15">
        <v>16</v>
      </c>
      <c r="G15" t="s">
        <v>301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633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626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539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539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539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594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594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594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594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540</v>
      </c>
      <c r="D4" t="b">
        <v>1</v>
      </c>
      <c r="E4">
        <v>0.8</v>
      </c>
      <c r="F4">
        <v>15</v>
      </c>
      <c r="G4" s="12" t="s">
        <v>596</v>
      </c>
    </row>
    <row r="5" spans="2:7">
      <c r="B5">
        <v>203</v>
      </c>
      <c r="C5" s="12" t="s">
        <v>595</v>
      </c>
      <c r="D5" t="b">
        <v>1</v>
      </c>
      <c r="E5">
        <v>1.2</v>
      </c>
      <c r="F5">
        <v>30</v>
      </c>
      <c r="G5" s="12" t="s">
        <v>613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abSelected="1" zoomScaleNormal="100" zoomScaleSheetLayoutView="100" workbookViewId="0">
      <selection activeCell="E16" sqref="E16"/>
    </sheetView>
  </sheetViews>
  <sheetFormatPr defaultColWidth="8.875" defaultRowHeight="16.5"/>
  <cols>
    <col min="2" max="2" width="8.625" bestFit="1" customWidth="1"/>
    <col min="3" max="3" width="19.375" customWidth="1"/>
    <col min="4" max="4" width="98.875" customWidth="1"/>
    <col min="5" max="5" width="64.375" customWidth="1"/>
    <col min="6" max="6" width="26.5" customWidth="1"/>
    <col min="7" max="7" width="13.375" bestFit="1" customWidth="1"/>
    <col min="8" max="8" width="18.5" bestFit="1" customWidth="1"/>
    <col min="9" max="11" width="18.5" customWidth="1"/>
    <col min="12" max="12" width="35.625" bestFit="1" customWidth="1"/>
    <col min="13" max="13" width="17.875" bestFit="1" customWidth="1"/>
    <col min="14" max="14" width="97" customWidth="1"/>
    <col min="15" max="15" width="44.625" customWidth="1"/>
    <col min="16" max="16" width="24.37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515</v>
      </c>
      <c r="F2" s="17" t="s">
        <v>516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601</v>
      </c>
      <c r="E8" s="17" t="s">
        <v>609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604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557</v>
      </c>
      <c r="E12" s="12" t="s">
        <v>517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651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657</v>
      </c>
      <c r="F14" s="26"/>
      <c r="G14" s="12" t="s">
        <v>649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593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558</v>
      </c>
      <c r="E16" s="12" t="s">
        <v>653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549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564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566</v>
      </c>
      <c r="E19" s="25" t="s">
        <v>652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535</v>
      </c>
      <c r="D20" s="17" t="s">
        <v>536</v>
      </c>
      <c r="E20" s="17" t="s">
        <v>612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551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621</v>
      </c>
      <c r="F21" s="25" t="s">
        <v>620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561</v>
      </c>
      <c r="E22" s="25" t="s">
        <v>599</v>
      </c>
      <c r="F22" s="25" t="s">
        <v>560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574</v>
      </c>
      <c r="F24" s="48" t="s">
        <v>573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542</v>
      </c>
      <c r="D25" s="25" t="s">
        <v>386</v>
      </c>
      <c r="E25" s="25" t="s">
        <v>606</v>
      </c>
      <c r="F25" s="25" t="s">
        <v>615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531</v>
      </c>
      <c r="D26" s="15" t="s">
        <v>575</v>
      </c>
      <c r="E26" s="19" t="s">
        <v>532</v>
      </c>
      <c r="F26" s="19"/>
      <c r="G26" s="17" t="s">
        <v>514</v>
      </c>
      <c r="H26">
        <v>1</v>
      </c>
      <c r="I26">
        <v>50</v>
      </c>
      <c r="J26">
        <v>100</v>
      </c>
      <c r="K26">
        <v>10000</v>
      </c>
      <c r="L26" s="12" t="s">
        <v>547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552</v>
      </c>
      <c r="D27" s="36" t="s">
        <v>559</v>
      </c>
      <c r="E27" s="36" t="s">
        <v>550</v>
      </c>
      <c r="F27" s="36"/>
      <c r="G27" s="17" t="s">
        <v>514</v>
      </c>
      <c r="H27">
        <v>1</v>
      </c>
      <c r="I27">
        <v>50</v>
      </c>
      <c r="J27">
        <v>100</v>
      </c>
      <c r="K27">
        <v>10001</v>
      </c>
      <c r="L27" s="12" t="s">
        <v>548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553</v>
      </c>
      <c r="D28" s="36" t="s">
        <v>555</v>
      </c>
      <c r="E28" s="36" t="s">
        <v>556</v>
      </c>
      <c r="F28" s="36"/>
      <c r="G28" s="17" t="s">
        <v>514</v>
      </c>
      <c r="H28">
        <v>1</v>
      </c>
      <c r="I28">
        <v>50</v>
      </c>
      <c r="J28">
        <v>100</v>
      </c>
      <c r="K28">
        <v>10002</v>
      </c>
      <c r="L28" s="12" t="s">
        <v>576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533</v>
      </c>
      <c r="D29" s="36" t="s">
        <v>554</v>
      </c>
      <c r="E29" s="36" t="s">
        <v>541</v>
      </c>
      <c r="F29" s="36"/>
      <c r="G29" s="17" t="s">
        <v>514</v>
      </c>
      <c r="H29">
        <v>1</v>
      </c>
      <c r="I29">
        <v>50</v>
      </c>
      <c r="J29">
        <v>100</v>
      </c>
      <c r="K29">
        <v>10003</v>
      </c>
      <c r="L29" s="12" t="s">
        <v>546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Normal="100" zoomScaleSheetLayoutView="100" workbookViewId="0">
      <selection activeCell="K12" sqref="K12"/>
    </sheetView>
  </sheetViews>
  <sheetFormatPr defaultColWidth="8.875" defaultRowHeight="16.5"/>
  <cols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563</v>
      </c>
      <c r="J6" s="17" t="s">
        <v>495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534</v>
      </c>
      <c r="J9" s="17" t="s">
        <v>495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650</v>
      </c>
      <c r="J10" s="17" t="s">
        <v>495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534</v>
      </c>
      <c r="J11" s="17" t="s">
        <v>654</v>
      </c>
      <c r="K11">
        <v>1000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512</v>
      </c>
      <c r="J15" s="17" t="s">
        <v>495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569</v>
      </c>
      <c r="J17" s="17" t="s">
        <v>495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605</v>
      </c>
      <c r="J21" s="17" t="s">
        <v>495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508</v>
      </c>
      <c r="J24" s="17" t="s">
        <v>507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26"/>
  <sheetViews>
    <sheetView zoomScale="115" zoomScaleNormal="115" zoomScaleSheetLayoutView="100" workbookViewId="0">
      <selection activeCell="D13" sqref="D13:E13"/>
    </sheetView>
  </sheetViews>
  <sheetFormatPr defaultColWidth="8.875" defaultRowHeight="16.5"/>
  <cols>
    <col min="2" max="2" width="17.125" customWidth="1"/>
    <col min="3" max="3" width="8.625" customWidth="1"/>
    <col min="4" max="4" width="21.125" bestFit="1" customWidth="1"/>
    <col min="5" max="5" width="23" customWidth="1"/>
    <col min="6" max="6" width="22" customWidth="1"/>
    <col min="7" max="7" width="18.375" customWidth="1"/>
    <col min="8" max="8" width="36.5" customWidth="1"/>
    <col min="9" max="9" width="18.375" customWidth="1"/>
  </cols>
  <sheetData>
    <row r="1" spans="2:12">
      <c r="B1" t="s">
        <v>44</v>
      </c>
      <c r="C1" t="s">
        <v>44</v>
      </c>
      <c r="D1" t="s">
        <v>122</v>
      </c>
      <c r="E1" s="17" t="s">
        <v>489</v>
      </c>
      <c r="F1" s="17" t="s">
        <v>491</v>
      </c>
      <c r="G1" s="17" t="s">
        <v>484</v>
      </c>
      <c r="H1" s="17"/>
      <c r="I1" s="17"/>
    </row>
    <row r="2" spans="2:12">
      <c r="B2" s="43" t="s">
        <v>656</v>
      </c>
      <c r="C2" t="s">
        <v>73</v>
      </c>
      <c r="D2" s="17" t="s">
        <v>480</v>
      </c>
      <c r="E2" s="17" t="s">
        <v>490</v>
      </c>
      <c r="F2" s="1" t="s">
        <v>13</v>
      </c>
      <c r="G2" s="33" t="s">
        <v>492</v>
      </c>
      <c r="H2" s="40" t="s">
        <v>518</v>
      </c>
      <c r="I2" s="33" t="s">
        <v>527</v>
      </c>
    </row>
    <row r="3" spans="2:12">
      <c r="B3" s="20" t="str">
        <f>INDEX(ItemEffectTable['#이름값],MATCH(ItemEffectTable23[[#This Row],[Index]],ItemEffectTable[Index],0))</f>
        <v>메탈유니콘 키링</v>
      </c>
      <c r="C3">
        <v>7000</v>
      </c>
      <c r="D3" s="17" t="s">
        <v>184</v>
      </c>
      <c r="E3" s="17">
        <v>1</v>
      </c>
      <c r="F3" s="12" t="s">
        <v>607</v>
      </c>
      <c r="G3" s="17">
        <v>-1</v>
      </c>
      <c r="H3" s="19" t="s">
        <v>608</v>
      </c>
      <c r="I3" s="19"/>
    </row>
    <row r="4" spans="2:12">
      <c r="B4" s="19" t="str">
        <f>INDEX(ItemEffectTable['#이름값],MATCH(ItemEffectTable23[[#This Row],[Index]],ItemEffectTable[Index],0))</f>
        <v>챔피언 모자</v>
      </c>
      <c r="C4" s="17">
        <v>7001</v>
      </c>
      <c r="D4" s="9" t="s">
        <v>309</v>
      </c>
      <c r="E4" s="9">
        <v>1.2</v>
      </c>
      <c r="F4" t="s">
        <v>337</v>
      </c>
      <c r="G4">
        <v>-1</v>
      </c>
      <c r="H4" s="15" t="s">
        <v>525</v>
      </c>
      <c r="I4" s="15"/>
    </row>
    <row r="5" spans="2:12">
      <c r="B5" s="19" t="str">
        <f>INDEX(ItemEffectTable['#이름값],MATCH(ItemEffectTable23[[#This Row],[Index]],ItemEffectTable[Index],0))</f>
        <v>쿨 - 도그</v>
      </c>
      <c r="C5" s="17">
        <v>7002</v>
      </c>
      <c r="D5" s="17" t="s">
        <v>504</v>
      </c>
      <c r="E5" s="9">
        <v>0.5</v>
      </c>
      <c r="F5" t="s">
        <v>337</v>
      </c>
      <c r="G5">
        <v>-1</v>
      </c>
      <c r="H5" s="15" t="s">
        <v>618</v>
      </c>
      <c r="I5" s="15"/>
    </row>
    <row r="6" spans="2:12">
      <c r="B6" s="18" t="str">
        <f>INDEX(ItemEffectTable['#이름값],MATCH(ItemEffectTable23[[#This Row],[Index]],ItemEffectTable[Index],0))</f>
        <v>QT 파우더</v>
      </c>
      <c r="C6" s="25">
        <v>7003</v>
      </c>
      <c r="D6" s="44" t="s">
        <v>562</v>
      </c>
      <c r="E6" s="25">
        <v>0.2</v>
      </c>
      <c r="F6" t="s">
        <v>497</v>
      </c>
      <c r="G6" s="25">
        <v>5</v>
      </c>
      <c r="H6" s="18" t="s">
        <v>602</v>
      </c>
      <c r="I6" s="15"/>
    </row>
    <row r="7" spans="2:12">
      <c r="B7" s="19" t="str">
        <f>INDEX(ItemEffectTable['#이름값],MATCH(ItemEffectTable23[[#This Row],[Index]],ItemEffectTable[Index],0))</f>
        <v>적토목마</v>
      </c>
      <c r="C7" s="17">
        <v>7004</v>
      </c>
      <c r="D7" s="9" t="s">
        <v>213</v>
      </c>
      <c r="E7">
        <v>0.7</v>
      </c>
      <c r="F7" t="s">
        <v>337</v>
      </c>
      <c r="G7">
        <v>-1</v>
      </c>
      <c r="H7" s="15" t="s">
        <v>524</v>
      </c>
      <c r="I7" s="15"/>
    </row>
    <row r="8" spans="2:12">
      <c r="B8" s="19" t="str">
        <f>INDEX(ItemEffectTable['#이름값],MATCH(ItemEffectTable23[[#This Row],[Index]],ItemEffectTable[Index],0))</f>
        <v>삼각김곰</v>
      </c>
      <c r="C8" s="17">
        <v>7005</v>
      </c>
      <c r="D8" s="9" t="s">
        <v>53</v>
      </c>
      <c r="E8">
        <v>25</v>
      </c>
      <c r="F8" t="s">
        <v>497</v>
      </c>
      <c r="G8">
        <v>-1</v>
      </c>
      <c r="H8" s="15" t="s">
        <v>526</v>
      </c>
      <c r="I8" s="15"/>
    </row>
    <row r="9" spans="2:12">
      <c r="B9" s="18" t="str">
        <f>INDEX(ItemEffectTable['#이름값],MATCH(ItemEffectTable23[[#This Row],[Index]],ItemEffectTable[Index],0))</f>
        <v>데빌불</v>
      </c>
      <c r="C9" s="25">
        <v>8000</v>
      </c>
      <c r="D9" s="44" t="s">
        <v>310</v>
      </c>
      <c r="E9" s="25">
        <v>0.4</v>
      </c>
      <c r="F9" s="25" t="s">
        <v>497</v>
      </c>
      <c r="G9" s="25">
        <v>4</v>
      </c>
      <c r="H9" s="18" t="s">
        <v>591</v>
      </c>
      <c r="I9" s="42"/>
    </row>
    <row r="10" spans="2:12">
      <c r="B10" s="19" t="str">
        <f>INDEX(ItemEffectTable['#이름값],MATCH(ItemEffectTable23[[#This Row],[Index]],ItemEffectTable[Index],0))</f>
        <v>대인 지뢰</v>
      </c>
      <c r="C10" s="17">
        <v>8001</v>
      </c>
      <c r="D10" s="9" t="s">
        <v>310</v>
      </c>
      <c r="E10" s="12" t="s">
        <v>592</v>
      </c>
      <c r="F10" t="s">
        <v>497</v>
      </c>
      <c r="G10">
        <v>-1</v>
      </c>
      <c r="H10" s="15" t="s">
        <v>528</v>
      </c>
      <c r="I10" s="20"/>
      <c r="L10" s="12"/>
    </row>
    <row r="11" spans="2:12">
      <c r="B11" s="19" t="str">
        <f>INDEX(ItemEffectTable['#이름값],MATCH(ItemEffectTable23[[#This Row],[Index]],ItemEffectTable[Index],0))</f>
        <v>사나운 돼지저금통</v>
      </c>
      <c r="C11" s="17">
        <v>8003</v>
      </c>
      <c r="D11" t="s">
        <v>272</v>
      </c>
      <c r="E11">
        <v>0.5</v>
      </c>
      <c r="F11" t="s">
        <v>497</v>
      </c>
      <c r="G11">
        <v>-1</v>
      </c>
      <c r="H11" s="15" t="s">
        <v>529</v>
      </c>
      <c r="I11" s="20"/>
    </row>
    <row r="12" spans="2:12">
      <c r="B12" s="19" t="str">
        <f>INDEX(ItemEffectTable['#이름값],MATCH(ItemEffectTable23[[#This Row],[Index]],ItemEffectTable[Index],0))</f>
        <v>성배 속 무언가</v>
      </c>
      <c r="C12" s="17">
        <v>8004</v>
      </c>
      <c r="D12" s="47" t="s">
        <v>600</v>
      </c>
      <c r="E12">
        <v>3</v>
      </c>
      <c r="F12" t="s">
        <v>497</v>
      </c>
      <c r="G12">
        <v>-1</v>
      </c>
      <c r="H12" s="15" t="s">
        <v>565</v>
      </c>
      <c r="I12" s="20"/>
    </row>
    <row r="13" spans="2:12">
      <c r="B13" s="19" t="str">
        <f>INDEX(ItemEffectTable['#이름값],MATCH(ItemEffectTable23[[#This Row],[Index]],ItemEffectTable[Index],0))</f>
        <v>이상한 사탕</v>
      </c>
      <c r="C13" s="17">
        <v>8005</v>
      </c>
      <c r="D13" s="47" t="s">
        <v>616</v>
      </c>
      <c r="E13">
        <v>50</v>
      </c>
      <c r="F13" t="s">
        <v>497</v>
      </c>
      <c r="G13">
        <v>-1</v>
      </c>
      <c r="H13" s="15" t="s">
        <v>617</v>
      </c>
      <c r="I13" s="20"/>
    </row>
    <row r="14" spans="2:12">
      <c r="B14" s="18" t="str">
        <f>INDEX(ItemEffectTable['#이름값],MATCH(ItemEffectTable23[[#This Row],[Index]],ItemEffectTable[Index],0))</f>
        <v>코코아 한통</v>
      </c>
      <c r="C14" s="25">
        <v>9000</v>
      </c>
      <c r="D14" s="44" t="s">
        <v>213</v>
      </c>
      <c r="E14" s="25">
        <v>1.2</v>
      </c>
      <c r="F14" s="25" t="s">
        <v>337</v>
      </c>
      <c r="G14" s="25">
        <v>-1</v>
      </c>
      <c r="H14" s="18" t="s">
        <v>619</v>
      </c>
      <c r="I14" s="20"/>
    </row>
    <row r="15" spans="2:12">
      <c r="B15" s="18" t="str">
        <f>INDEX(ItemEffectTable['#이름값],MATCH(ItemEffectTable23[[#This Row],[Index]],ItemEffectTable[Index],0))</f>
        <v>코코아 한통</v>
      </c>
      <c r="C15" s="25">
        <v>9000</v>
      </c>
      <c r="D15" s="44" t="s">
        <v>329</v>
      </c>
      <c r="E15" s="25">
        <v>0</v>
      </c>
      <c r="F15" s="25" t="s">
        <v>337</v>
      </c>
      <c r="G15" s="25">
        <v>-1</v>
      </c>
      <c r="H15" s="18" t="s">
        <v>567</v>
      </c>
      <c r="I15" s="20"/>
    </row>
    <row r="16" spans="2:12">
      <c r="B16" s="18" t="str">
        <f>INDEX(ItemEffectTable['#이름값],MATCH(ItemEffectTable23[[#This Row],[Index]],ItemEffectTable[Index],0))</f>
        <v>슬픈 캔리오</v>
      </c>
      <c r="C16" s="25">
        <v>9001</v>
      </c>
      <c r="D16" s="44" t="s">
        <v>570</v>
      </c>
      <c r="E16" s="25">
        <v>0.85</v>
      </c>
      <c r="F16" s="25" t="s">
        <v>337</v>
      </c>
      <c r="G16" s="25">
        <v>4</v>
      </c>
      <c r="H16" s="18" t="s">
        <v>598</v>
      </c>
      <c r="I16" s="20"/>
    </row>
    <row r="17" spans="2:9">
      <c r="B17" s="18" t="e">
        <f>INDEX(ItemEffectTable['#이름값],MATCH(ItemEffectTable23[[#This Row],[Index]],ItemEffectTable[Index],0))</f>
        <v>#N/A</v>
      </c>
      <c r="C17" s="25">
        <v>9101</v>
      </c>
      <c r="D17" s="44" t="s">
        <v>570</v>
      </c>
      <c r="E17" s="25">
        <v>1.3</v>
      </c>
      <c r="F17" s="25" t="s">
        <v>337</v>
      </c>
      <c r="G17" s="25">
        <v>-1</v>
      </c>
      <c r="H17" s="18" t="s">
        <v>568</v>
      </c>
      <c r="I17" s="20"/>
    </row>
    <row r="18" spans="2:9">
      <c r="B18" s="19" t="str">
        <f>INDEX(ItemEffectTable['#이름값],MATCH(ItemEffectTable23[[#This Row],[Index]],ItemEffectTable[Index],0))</f>
        <v>청개굴 버섯구이</v>
      </c>
      <c r="C18" s="17">
        <v>9002</v>
      </c>
      <c r="D18" t="s">
        <v>310</v>
      </c>
      <c r="E18">
        <v>1</v>
      </c>
      <c r="F18" t="s">
        <v>497</v>
      </c>
      <c r="G18">
        <v>-1</v>
      </c>
      <c r="H18" s="15" t="s">
        <v>530</v>
      </c>
      <c r="I18" s="20"/>
    </row>
    <row r="19" spans="2:9">
      <c r="B19" s="19" t="str">
        <f>INDEX(ItemEffectTable['#이름값],MATCH(ItemEffectTable23[[#This Row],[Index]],ItemEffectTable[Index],0))</f>
        <v>누군가의 일기장</v>
      </c>
      <c r="C19" s="17">
        <v>9003</v>
      </c>
      <c r="D19" s="9" t="s">
        <v>53</v>
      </c>
      <c r="E19">
        <v>-50</v>
      </c>
      <c r="F19" t="s">
        <v>497</v>
      </c>
      <c r="G19">
        <v>-1</v>
      </c>
      <c r="H19" s="15" t="s">
        <v>571</v>
      </c>
      <c r="I19" s="20"/>
    </row>
    <row r="20" spans="2:9">
      <c r="B20" s="19" t="str">
        <f>INDEX(ItemEffectTable['#이름값],MATCH(ItemEffectTable23[[#This Row],[Index]],ItemEffectTable[Index],0))</f>
        <v>누군가의 일기장</v>
      </c>
      <c r="C20" s="17">
        <v>9003</v>
      </c>
      <c r="D20" s="47" t="s">
        <v>562</v>
      </c>
      <c r="E20">
        <v>0.6</v>
      </c>
      <c r="F20" t="s">
        <v>497</v>
      </c>
      <c r="G20">
        <v>-1</v>
      </c>
      <c r="H20" s="15" t="s">
        <v>572</v>
      </c>
      <c r="I20" s="20"/>
    </row>
    <row r="21" spans="2:9">
      <c r="B21" s="19" t="e">
        <f>INDEX(ItemEffectTable['#이름값],MATCH(ItemEffectTable23[[#This Row],[Index]],ItemEffectTable[Index],0))</f>
        <v>#N/A</v>
      </c>
      <c r="C21" s="17">
        <v>9104</v>
      </c>
      <c r="D21" s="12" t="s">
        <v>611</v>
      </c>
      <c r="E21">
        <v>2</v>
      </c>
      <c r="F21" s="12" t="s">
        <v>597</v>
      </c>
      <c r="G21">
        <v>-1</v>
      </c>
      <c r="H21" s="15" t="s">
        <v>614</v>
      </c>
      <c r="I21" s="20"/>
    </row>
    <row r="22" spans="2:9">
      <c r="B22" s="20" t="str">
        <f>INDEX(ItemEffectTable['#이름값],MATCH(ItemEffectTable23[[#This Row],[Index]],ItemEffectTable[Index],0))</f>
        <v>신경 부스터</v>
      </c>
      <c r="C22">
        <v>10002</v>
      </c>
      <c r="D22" t="s">
        <v>2</v>
      </c>
      <c r="E22">
        <v>2.5</v>
      </c>
      <c r="F22" t="s">
        <v>337</v>
      </c>
      <c r="G22">
        <v>5</v>
      </c>
      <c r="H22" s="20"/>
      <c r="I22" s="20"/>
    </row>
    <row r="23" spans="2:9">
      <c r="B23" s="20" t="str">
        <f>INDEX(ItemEffectTable['#이름값],MATCH(ItemEffectTable23[[#This Row],[Index]],ItemEffectTable[Index],0))</f>
        <v>신경 부스터</v>
      </c>
      <c r="C23">
        <v>10002</v>
      </c>
      <c r="D23" t="s">
        <v>26</v>
      </c>
      <c r="E23">
        <v>0.8</v>
      </c>
      <c r="F23" t="s">
        <v>337</v>
      </c>
      <c r="G23">
        <v>5</v>
      </c>
      <c r="H23" s="20"/>
      <c r="I23" s="20"/>
    </row>
    <row r="24" spans="2:9">
      <c r="B24" s="20" t="str">
        <f>INDEX(ItemEffectTable['#이름값],MATCH(ItemEffectTable23[[#This Row],[Index]],ItemEffectTable[Index],0))</f>
        <v>신경 부스터</v>
      </c>
      <c r="C24">
        <v>10002</v>
      </c>
      <c r="D24" t="s">
        <v>222</v>
      </c>
      <c r="E24">
        <v>3</v>
      </c>
      <c r="F24" t="s">
        <v>337</v>
      </c>
      <c r="G24">
        <v>5</v>
      </c>
      <c r="H24" s="20"/>
      <c r="I24" s="20"/>
    </row>
    <row r="25" spans="2:9">
      <c r="B25" s="20" t="str">
        <f>INDEX(ItemEffectTable['#이름값],MATCH(ItemEffectTable23[[#This Row],[Index]],ItemEffectTable[Index],0))</f>
        <v>신경 부스터</v>
      </c>
      <c r="C25">
        <v>10002</v>
      </c>
      <c r="D25" t="s">
        <v>213</v>
      </c>
      <c r="E25">
        <v>0.8</v>
      </c>
      <c r="F25" t="s">
        <v>337</v>
      </c>
      <c r="G25">
        <v>5</v>
      </c>
      <c r="H25" s="20"/>
      <c r="I25" s="20"/>
    </row>
    <row r="26" spans="2:9">
      <c r="B26" s="35" t="str">
        <f>INDEX(ItemEffectTable['#이름값],MATCH(ItemEffectTable23[[#This Row],[Index]],ItemEffectTable[Index],0))</f>
        <v>신경 부스터</v>
      </c>
      <c r="C26">
        <v>10002</v>
      </c>
      <c r="D26" t="s">
        <v>27</v>
      </c>
      <c r="E26">
        <v>2.5</v>
      </c>
      <c r="F26" t="s">
        <v>337</v>
      </c>
      <c r="G26">
        <v>5</v>
      </c>
      <c r="H26" s="20"/>
      <c r="I26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B1:L12"/>
  <sheetViews>
    <sheetView zoomScaleNormal="100" zoomScaleSheetLayoutView="100" workbookViewId="0">
      <selection activeCell="E5" sqref="E5"/>
    </sheetView>
  </sheetViews>
  <sheetFormatPr defaultColWidth="8.875" defaultRowHeight="16.5"/>
  <cols>
    <col min="2" max="2" width="8.625" bestFit="1" customWidth="1"/>
    <col min="3" max="3" width="11" bestFit="1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2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>
      <c r="B2" t="s">
        <v>73</v>
      </c>
      <c r="C2" s="43" t="s">
        <v>537</v>
      </c>
      <c r="D2" s="17" t="s">
        <v>505</v>
      </c>
      <c r="E2" s="17" t="s">
        <v>481</v>
      </c>
      <c r="F2" s="17" t="s">
        <v>519</v>
      </c>
      <c r="G2" s="33" t="s">
        <v>482</v>
      </c>
      <c r="H2" s="17" t="s">
        <v>520</v>
      </c>
      <c r="I2" s="33" t="s">
        <v>483</v>
      </c>
      <c r="J2" s="33" t="s">
        <v>521</v>
      </c>
      <c r="K2" s="33" t="s">
        <v>545</v>
      </c>
      <c r="L2" s="33" t="s">
        <v>544</v>
      </c>
    </row>
    <row r="3" spans="2:12">
      <c r="B3" s="17">
        <v>7005</v>
      </c>
      <c r="C3" s="19" t="s">
        <v>646</v>
      </c>
      <c r="D3" s="17" t="s">
        <v>648</v>
      </c>
      <c r="E3">
        <v>1</v>
      </c>
      <c r="F3" s="15"/>
      <c r="H3" s="20"/>
      <c r="J3" s="20"/>
      <c r="L3" s="20"/>
    </row>
    <row r="4" spans="2:12">
      <c r="B4" s="17">
        <v>8002</v>
      </c>
      <c r="C4" s="19" t="s">
        <v>655</v>
      </c>
      <c r="D4" s="17" t="s">
        <v>648</v>
      </c>
      <c r="E4">
        <v>25</v>
      </c>
      <c r="F4" s="15"/>
      <c r="H4" s="20"/>
      <c r="J4" s="20"/>
      <c r="L4" s="20"/>
    </row>
    <row r="5" spans="2:12">
      <c r="B5" s="17">
        <v>8005</v>
      </c>
      <c r="C5" s="19" t="s">
        <v>647</v>
      </c>
      <c r="D5" s="17" t="s">
        <v>648</v>
      </c>
      <c r="E5">
        <v>2</v>
      </c>
      <c r="F5" s="15"/>
      <c r="H5" s="20"/>
      <c r="J5" s="20"/>
      <c r="L5" s="20"/>
    </row>
    <row r="6" spans="2:12">
      <c r="B6" s="17">
        <v>8006</v>
      </c>
      <c r="C6" s="19" t="s">
        <v>538</v>
      </c>
      <c r="D6" s="17" t="s">
        <v>513</v>
      </c>
      <c r="E6">
        <v>800</v>
      </c>
      <c r="F6" s="15"/>
      <c r="G6">
        <v>1</v>
      </c>
      <c r="H6" s="20"/>
      <c r="J6" s="20"/>
      <c r="L6" s="20"/>
    </row>
    <row r="7" spans="2:12">
      <c r="B7" s="17">
        <v>9004</v>
      </c>
      <c r="C7" s="19" t="s">
        <v>603</v>
      </c>
      <c r="D7" s="17" t="s">
        <v>513</v>
      </c>
      <c r="E7">
        <v>802</v>
      </c>
      <c r="F7" s="15"/>
      <c r="G7">
        <v>0</v>
      </c>
      <c r="H7" s="20"/>
      <c r="J7" s="20"/>
      <c r="L7" s="20"/>
    </row>
    <row r="8" spans="2:12">
      <c r="B8" s="17">
        <v>9002</v>
      </c>
      <c r="C8" s="19"/>
      <c r="D8" s="17" t="s">
        <v>500</v>
      </c>
      <c r="E8" s="9"/>
      <c r="F8" s="41"/>
      <c r="H8" s="41"/>
      <c r="J8" s="20"/>
      <c r="L8" s="20"/>
    </row>
    <row r="9" spans="2:12">
      <c r="B9" s="17">
        <v>10000</v>
      </c>
      <c r="C9" s="19"/>
      <c r="D9" s="17" t="s">
        <v>485</v>
      </c>
      <c r="E9" s="9">
        <v>8</v>
      </c>
      <c r="F9" s="41"/>
      <c r="H9" s="41"/>
      <c r="J9" s="20"/>
      <c r="L9" s="20"/>
    </row>
    <row r="10" spans="2:12">
      <c r="B10">
        <v>10001</v>
      </c>
      <c r="C10" s="20"/>
      <c r="D10" s="17" t="s">
        <v>506</v>
      </c>
      <c r="E10">
        <v>6</v>
      </c>
      <c r="F10" s="20"/>
      <c r="G10">
        <v>30</v>
      </c>
      <c r="H10" s="20"/>
      <c r="I10">
        <v>3</v>
      </c>
      <c r="J10" s="20"/>
      <c r="K10">
        <v>4</v>
      </c>
      <c r="L10" s="20"/>
    </row>
    <row r="11" spans="2:12">
      <c r="B11">
        <v>10002</v>
      </c>
      <c r="C11" s="20"/>
      <c r="D11" s="17" t="s">
        <v>501</v>
      </c>
      <c r="E11">
        <v>0.5</v>
      </c>
      <c r="F11" s="15" t="s">
        <v>522</v>
      </c>
      <c r="G11">
        <v>5</v>
      </c>
      <c r="H11" s="15" t="s">
        <v>523</v>
      </c>
      <c r="J11" s="20"/>
      <c r="L11" s="20"/>
    </row>
    <row r="12" spans="2:12">
      <c r="B12">
        <v>10003</v>
      </c>
      <c r="C12" s="20"/>
      <c r="D12" s="17" t="s">
        <v>511</v>
      </c>
      <c r="E12">
        <v>10</v>
      </c>
      <c r="F12" s="20"/>
      <c r="G12">
        <v>90</v>
      </c>
      <c r="H12" s="20"/>
      <c r="I12">
        <v>1.2</v>
      </c>
      <c r="J12" s="20"/>
      <c r="L12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2023-09-23T16:24:35Z</dcterms:modified>
  <cp:version>1200.0100.01</cp:version>
</cp:coreProperties>
</file>