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9C488190-E3FA-4780-9E01-F521A927D73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10" l="1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7" i="10"/>
  <c r="I58" i="10"/>
  <c r="H45" i="10"/>
  <c r="H46" i="10"/>
  <c r="H47" i="10"/>
  <c r="H48" i="10"/>
  <c r="H49" i="10"/>
  <c r="H57" i="10"/>
  <c r="H58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E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<sst xmlns="http://schemas.openxmlformats.org/spreadsheetml/2006/main" count="1083" uniqueCount="552">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</sst>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7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8" borderId="0" xfId="0" applyFont="1" applyFill="1">
      <alignment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8" totalsRowShown="0">
  <autoFilter ref="B2:I58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1" t="s">
        <v>337</v>
      </c>
      <c r="C1" s="42"/>
      <c r="D1" s="42"/>
      <c r="E1" s="42"/>
    </row>
    <row r="2" spans="2:5" s="1" customFormat="1" x14ac:dyDescent="0.3">
      <c r="B2" s="42"/>
      <c r="C2" s="42"/>
      <c r="D2" s="42"/>
      <c r="E2" s="42"/>
    </row>
    <row r="3" spans="2:5" s="1" customFormat="1" x14ac:dyDescent="0.3">
      <c r="B3" s="42"/>
      <c r="C3" s="42"/>
      <c r="D3" s="42"/>
      <c r="E3" s="42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1" t="s">
        <v>216</v>
      </c>
      <c r="C1" s="42"/>
      <c r="D1" s="42"/>
      <c r="E1" s="42"/>
    </row>
    <row r="2" spans="2:12" s="1" customFormat="1" x14ac:dyDescent="0.3">
      <c r="B2" s="42"/>
      <c r="C2" s="42"/>
      <c r="D2" s="42"/>
      <c r="E2" s="42"/>
    </row>
    <row r="3" spans="2:12" s="1" customFormat="1" x14ac:dyDescent="0.3">
      <c r="B3" s="42"/>
      <c r="C3" s="42"/>
      <c r="D3" s="42"/>
      <c r="E3" s="42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512</v>
      </c>
      <c r="C10" s="2"/>
      <c r="D10" s="2"/>
      <c r="I10" s="2" t="s">
        <v>513</v>
      </c>
      <c r="J10" s="2"/>
      <c r="K10" s="2"/>
    </row>
    <row r="11" spans="2:12" x14ac:dyDescent="0.3">
      <c r="B11" s="19" t="s">
        <v>510</v>
      </c>
      <c r="C11" s="19" t="s">
        <v>511</v>
      </c>
      <c r="D11" s="19" t="s">
        <v>508</v>
      </c>
      <c r="E11" s="19" t="s">
        <v>509</v>
      </c>
      <c r="F11" s="19" t="s">
        <v>514</v>
      </c>
      <c r="I11" s="19" t="s">
        <v>515</v>
      </c>
      <c r="J11" s="19" t="s">
        <v>511</v>
      </c>
      <c r="K11" s="19" t="s">
        <v>508</v>
      </c>
      <c r="L11" s="19" t="s">
        <v>509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1" t="s">
        <v>315</v>
      </c>
      <c r="C1" s="42"/>
      <c r="D1" s="42"/>
      <c r="E1" s="42"/>
      <c r="F1" s="42"/>
    </row>
    <row r="2" spans="1:21" s="1" customFormat="1" x14ac:dyDescent="0.3">
      <c r="B2" s="42"/>
      <c r="C2" s="42"/>
      <c r="D2" s="42"/>
      <c r="E2" s="42"/>
      <c r="F2" s="42"/>
    </row>
    <row r="3" spans="1:21" s="1" customFormat="1" x14ac:dyDescent="0.3">
      <c r="B3" s="42"/>
      <c r="C3" s="42"/>
      <c r="D3" s="42"/>
      <c r="E3" s="42"/>
      <c r="F3" s="42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519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129.46428571428572</v>
      </c>
      <c r="P7">
        <f>(밸런스시트[[#This Row],[레벨당 평균 적]]*밸런스시트[[#This Row],[방 개수]]*밸런스시트[[#This Row],[적 체력]])/밸런스시트[[#This Row],[PC 최대 DPS]]</f>
        <v>38.620689655172413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129.46428571428572</v>
      </c>
      <c r="P8">
        <f>(밸런스시트[[#This Row],[레벨당 평균 적]]*밸런스시트[[#This Row],[방 개수]]*밸런스시트[[#This Row],[적 체력]])/밸런스시트[[#This Row],[PC 최대 DPS]]</f>
        <v>55.613793103448273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129.46428571428572</v>
      </c>
      <c r="P9">
        <f>(밸런스시트[[#This Row],[레벨당 평균 적]]*밸런스시트[[#This Row],[방 개수]]*밸런스시트[[#This Row],[적 체력]])/밸런스시트[[#This Row],[PC 최대 DPS]]</f>
        <v>75.696551724137933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129.46428571428572</v>
      </c>
      <c r="P10">
        <f>(밸런스시트[[#This Row],[레벨당 평균 적]]*밸런스시트[[#This Row],[방 개수]]*밸런스시트[[#This Row],[적 체력]])/밸런스시트[[#This Row],[PC 최대 DPS]]</f>
        <v>98.868965517241378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129.46428571428572</v>
      </c>
      <c r="P11">
        <f>(밸런스시트[[#This Row],[레벨당 평균 적]]*밸런스시트[[#This Row],[방 개수]]*밸런스시트[[#This Row],[적 체력]])/밸런스시트[[#This Row],[PC 최대 DPS]]</f>
        <v>125.13103448275861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129.46428571428572</v>
      </c>
      <c r="P12">
        <f>(밸런스시트[[#This Row],[레벨당 평균 적]]*밸런스시트[[#This Row],[방 개수]]*밸런스시트[[#This Row],[적 체력]])/밸런스시트[[#This Row],[PC 최대 DPS]]</f>
        <v>154.48275862068965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3" sqref="G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abSelected="1" topLeftCell="Q1" zoomScaleNormal="75" zoomScaleSheetLayoutView="100" workbookViewId="0">
      <selection activeCell="T4" sqref="T4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4" width="24.625" customWidth="1"/>
    <col min="25" max="25" width="14.125" bestFit="1" customWidth="1"/>
    <col min="26" max="26" width="28.875" bestFit="1" customWidth="1"/>
    <col min="27" max="27" width="17" customWidth="1"/>
    <col min="28" max="28" width="26.625" bestFit="1" customWidth="1"/>
    <col min="29" max="29" width="25" bestFit="1" customWidth="1"/>
    <col min="30" max="31" width="26.125" bestFit="1" customWidth="1"/>
    <col min="32" max="32" width="26" bestFit="1" customWidth="1"/>
    <col min="33" max="33" width="27.125" bestFit="1" customWidth="1"/>
  </cols>
  <sheetData>
    <row r="1" spans="2:33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550</v>
      </c>
      <c r="X2" s="43" t="s">
        <v>551</v>
      </c>
      <c r="Y2" s="1" t="s">
        <v>342</v>
      </c>
      <c r="Z2" s="1" t="s">
        <v>406</v>
      </c>
      <c r="AA2" s="6" t="s">
        <v>357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0.8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25</v>
      </c>
      <c r="AC3">
        <f>CharacterAtkTable[[#This Row],[ChargeRigidDmg2]]/(CharacterAtkTable[[#This Row],[SwingCooldown]]+CharacterAtkTable[[#This Row],[ChargeTime]])</f>
        <v>25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133.05000000000001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129.46428571428572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525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526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1"/>
  <sheetViews>
    <sheetView zoomScaleNormal="75" zoomScaleSheetLayoutView="100" workbookViewId="0">
      <selection activeCell="E16" sqref="E16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 s="35">
        <v>9001</v>
      </c>
      <c r="C3" s="38" t="s">
        <v>549</v>
      </c>
      <c r="D3" s="35">
        <v>0</v>
      </c>
      <c r="E3" s="35">
        <v>10000</v>
      </c>
      <c r="F3" s="35">
        <v>0</v>
      </c>
      <c r="G3" s="35">
        <v>0</v>
      </c>
      <c r="H3" s="35">
        <v>0</v>
      </c>
      <c r="I3" s="35">
        <v>0</v>
      </c>
    </row>
    <row r="4" spans="1:9" x14ac:dyDescent="0.3">
      <c r="B4">
        <v>9002</v>
      </c>
      <c r="C4" s="37" t="s">
        <v>548</v>
      </c>
      <c r="D4">
        <v>5000</v>
      </c>
      <c r="E4">
        <v>2500</v>
      </c>
      <c r="F4">
        <v>2500</v>
      </c>
      <c r="G4">
        <v>0</v>
      </c>
      <c r="H4">
        <v>0</v>
      </c>
      <c r="I4">
        <v>0</v>
      </c>
    </row>
    <row r="5" spans="1:9" x14ac:dyDescent="0.3">
      <c r="A5" s="19"/>
      <c r="B5">
        <v>9003</v>
      </c>
      <c r="C5" s="37" t="s">
        <v>545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</row>
    <row r="6" spans="1:9" x14ac:dyDescent="0.3">
      <c r="B6">
        <v>9100</v>
      </c>
      <c r="C6" s="23" t="s">
        <v>546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</row>
    <row r="7" spans="1:9" x14ac:dyDescent="0.3">
      <c r="A7" t="s">
        <v>51</v>
      </c>
      <c r="B7" s="39">
        <v>9101</v>
      </c>
      <c r="C7" s="40" t="s">
        <v>547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9" x14ac:dyDescent="0.3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9" x14ac:dyDescent="0.3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9" x14ac:dyDescent="0.3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9" x14ac:dyDescent="0.3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16"/>
  <sheetViews>
    <sheetView topLeftCell="B1" zoomScaleNormal="75" zoomScaleSheetLayoutView="100" workbookViewId="0">
      <selection activeCell="K7" sqref="K7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544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3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1.5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3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1.5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1.5</v>
      </c>
      <c r="L6" t="s">
        <v>128</v>
      </c>
      <c r="M6">
        <v>5</v>
      </c>
      <c r="N6">
        <v>602</v>
      </c>
      <c r="O6">
        <v>0</v>
      </c>
      <c r="P6">
        <v>0</v>
      </c>
      <c r="Q6">
        <v>3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1.5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3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1.5</v>
      </c>
    </row>
    <row r="10" spans="2:21" x14ac:dyDescent="0.3">
      <c r="B10">
        <v>507</v>
      </c>
      <c r="C10" s="4" t="s">
        <v>388</v>
      </c>
      <c r="D10" s="4"/>
      <c r="E10">
        <f>표14[적 기준 체력]*EnemyGameData[[#This Row],['#기준 적 체력 비율]]</f>
        <v>1000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4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10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3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1.5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1.5</v>
      </c>
      <c r="L12" t="s">
        <v>231</v>
      </c>
      <c r="M12">
        <v>2</v>
      </c>
      <c r="N12">
        <v>650</v>
      </c>
      <c r="O12">
        <v>0</v>
      </c>
      <c r="P12">
        <v>3</v>
      </c>
      <c r="Q12">
        <v>5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>
        <v>551</v>
      </c>
      <c r="C13" s="23" t="s">
        <v>473</v>
      </c>
      <c r="D13" s="23" t="s">
        <v>453</v>
      </c>
      <c r="E13">
        <f>표14[적 기준 체력]*EnemyGameData[[#This Row],['#기준 적 체력 비율]]</f>
        <v>160</v>
      </c>
      <c r="F13">
        <v>10</v>
      </c>
      <c r="G13" t="s">
        <v>125</v>
      </c>
      <c r="H13">
        <v>0.1</v>
      </c>
      <c r="I13">
        <v>1.2</v>
      </c>
      <c r="J13">
        <v>3</v>
      </c>
      <c r="K13">
        <v>1.5</v>
      </c>
      <c r="L13" t="s">
        <v>128</v>
      </c>
      <c r="M13">
        <v>3.5</v>
      </c>
      <c r="N13">
        <v>651</v>
      </c>
      <c r="O13">
        <v>0</v>
      </c>
      <c r="P13">
        <v>3</v>
      </c>
      <c r="Q13">
        <v>5</v>
      </c>
      <c r="R13">
        <v>501</v>
      </c>
      <c r="S13" t="s">
        <v>394</v>
      </c>
      <c r="T13">
        <v>1.6</v>
      </c>
      <c r="U1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</v>
      </c>
      <c r="L14" t="s">
        <v>128</v>
      </c>
      <c r="M14">
        <v>6</v>
      </c>
      <c r="N14">
        <v>652</v>
      </c>
      <c r="O14">
        <v>0</v>
      </c>
      <c r="P14">
        <v>3</v>
      </c>
      <c r="Q14">
        <v>5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1.5</v>
      </c>
      <c r="L15" t="s">
        <v>128</v>
      </c>
      <c r="M15">
        <v>3.5</v>
      </c>
      <c r="N15">
        <v>604</v>
      </c>
      <c r="O15">
        <v>0</v>
      </c>
      <c r="P15">
        <v>3</v>
      </c>
      <c r="Q15">
        <v>5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4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I13" sqref="I13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507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502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503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7" t="s">
        <v>534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7" t="s">
        <v>534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7" t="s">
        <v>534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7" t="s">
        <v>534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7" t="s">
        <v>534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7" t="s">
        <v>534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7" t="s">
        <v>534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7" t="s">
        <v>534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7" t="s">
        <v>534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7" t="s">
        <v>534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7" t="s">
        <v>534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7" t="s">
        <v>534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7" t="s">
        <v>534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7" t="s">
        <v>534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7" t="s">
        <v>534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7" t="s">
        <v>534</v>
      </c>
      <c r="D41">
        <v>717</v>
      </c>
      <c r="E41" t="s">
        <v>156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7" t="s">
        <v>504</v>
      </c>
      <c r="D42">
        <v>726</v>
      </c>
      <c r="E42" t="s">
        <v>156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7" t="s">
        <v>505</v>
      </c>
      <c r="D43">
        <v>726</v>
      </c>
      <c r="E43" t="s">
        <v>156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7" t="s">
        <v>506</v>
      </c>
      <c r="D44">
        <v>726</v>
      </c>
      <c r="E44" t="s">
        <v>156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8" t="s">
        <v>486</v>
      </c>
      <c r="D45">
        <v>700</v>
      </c>
      <c r="E45" t="s">
        <v>156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6.0500000000000007</v>
      </c>
    </row>
    <row r="46" spans="2:9" x14ac:dyDescent="0.3">
      <c r="B46">
        <v>9991</v>
      </c>
      <c r="C46" s="28" t="s">
        <v>486</v>
      </c>
      <c r="D46">
        <v>701</v>
      </c>
      <c r="E46" t="s">
        <v>156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6.0500000000000007</v>
      </c>
    </row>
    <row r="47" spans="2:9" x14ac:dyDescent="0.3">
      <c r="B47">
        <v>9991</v>
      </c>
      <c r="C47" s="28" t="s">
        <v>486</v>
      </c>
      <c r="D47">
        <v>700</v>
      </c>
      <c r="E47" t="s">
        <v>156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6.0500000000000007</v>
      </c>
    </row>
    <row r="48" spans="2:9" x14ac:dyDescent="0.3">
      <c r="B48">
        <v>9991</v>
      </c>
      <c r="C48" s="28" t="s">
        <v>486</v>
      </c>
      <c r="D48">
        <v>701</v>
      </c>
      <c r="E48" t="s">
        <v>156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6.0500000000000007</v>
      </c>
    </row>
    <row r="49" spans="2:9" x14ac:dyDescent="0.3">
      <c r="B49">
        <v>9991</v>
      </c>
      <c r="C49" s="28" t="s">
        <v>486</v>
      </c>
      <c r="D49">
        <v>700</v>
      </c>
      <c r="E49" t="s">
        <v>156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6.0500000000000007</v>
      </c>
    </row>
    <row r="50" spans="2:9" x14ac:dyDescent="0.3">
      <c r="B50">
        <v>9991</v>
      </c>
      <c r="C50" s="28" t="s">
        <v>486</v>
      </c>
      <c r="D50">
        <v>701</v>
      </c>
      <c r="E50" t="s">
        <v>156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6.0500000000000007</v>
      </c>
    </row>
    <row r="51" spans="2:9" x14ac:dyDescent="0.3">
      <c r="B51">
        <v>9991</v>
      </c>
      <c r="C51" s="28" t="s">
        <v>486</v>
      </c>
      <c r="D51">
        <v>700</v>
      </c>
      <c r="E51" t="s">
        <v>156</v>
      </c>
      <c r="F51">
        <v>0.4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6.0500000000000007</v>
      </c>
    </row>
    <row r="52" spans="2:9" x14ac:dyDescent="0.3">
      <c r="B52">
        <v>9991</v>
      </c>
      <c r="C52" s="28" t="s">
        <v>486</v>
      </c>
      <c r="D52">
        <v>701</v>
      </c>
      <c r="E52" t="s">
        <v>156</v>
      </c>
      <c r="F52">
        <v>0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6.0500000000000007</v>
      </c>
    </row>
    <row r="53" spans="2:9" x14ac:dyDescent="0.3">
      <c r="B53">
        <v>9991</v>
      </c>
      <c r="C53" s="28" t="s">
        <v>486</v>
      </c>
      <c r="D53">
        <v>700</v>
      </c>
      <c r="E53" t="s">
        <v>156</v>
      </c>
      <c r="F53">
        <v>0.4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6.0500000000000007</v>
      </c>
    </row>
    <row r="54" spans="2:9" x14ac:dyDescent="0.3">
      <c r="B54">
        <v>9991</v>
      </c>
      <c r="C54" s="28" t="s">
        <v>486</v>
      </c>
      <c r="D54">
        <v>701</v>
      </c>
      <c r="E54" t="s">
        <v>156</v>
      </c>
      <c r="F54">
        <v>0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6.0500000000000007</v>
      </c>
    </row>
    <row r="55" spans="2:9" x14ac:dyDescent="0.3">
      <c r="B55">
        <v>9991</v>
      </c>
      <c r="C55" s="28" t="s">
        <v>486</v>
      </c>
      <c r="D55">
        <v>701</v>
      </c>
      <c r="E55" t="s">
        <v>156</v>
      </c>
      <c r="F55">
        <v>0.4</v>
      </c>
      <c r="G55">
        <v>0</v>
      </c>
      <c r="H55" t="str">
        <f>INDEX(ShootTable['#설명],MATCH(EnemyAtkTable[[#This Row],[ShootDataId]],ShootTable[Index],0))</f>
        <v>4발 대각상하좌우 뿌리기</v>
      </c>
      <c r="I55">
        <f>SUMIF(EnemyAtkTable[Index],EnemyAtkTable[[#This Row],[Index]],EnemyAtkTable[BeforeDelay])+SUMIF(EnemyAtkTable[Index],EnemyAtkTable[[#This Row],[Index]],EnemyAtkTable[AfterDelay])</f>
        <v>6.0500000000000007</v>
      </c>
    </row>
    <row r="56" spans="2:9" x14ac:dyDescent="0.3">
      <c r="B56" s="26">
        <v>9991</v>
      </c>
      <c r="C56" s="28" t="s">
        <v>486</v>
      </c>
      <c r="D56">
        <v>700</v>
      </c>
      <c r="E56" t="s">
        <v>156</v>
      </c>
      <c r="F56">
        <v>0</v>
      </c>
      <c r="G56">
        <v>0.6</v>
      </c>
      <c r="H56" t="str">
        <f>INDEX(ShootTable['#설명],MATCH(EnemyAtkTable[[#This Row],[ShootDataId]],ShootTable[Index],0))</f>
        <v>4발 상하좌우 뿌리기</v>
      </c>
      <c r="I56">
        <f>SUMIF(EnemyAtkTable[Index],EnemyAtkTable[[#This Row],[Index]],EnemyAtkTable[BeforeDelay])+SUMIF(EnemyAtkTable[Index],EnemyAtkTable[[#This Row],[Index]],EnemyAtkTable[AfterDelay])</f>
        <v>6.0500000000000007</v>
      </c>
    </row>
    <row r="57" spans="2:9" x14ac:dyDescent="0.3">
      <c r="B57">
        <v>9992</v>
      </c>
      <c r="C57" s="28" t="s">
        <v>487</v>
      </c>
      <c r="D57">
        <v>725</v>
      </c>
      <c r="E57" s="26" t="s">
        <v>484</v>
      </c>
      <c r="F57">
        <v>0</v>
      </c>
      <c r="G57">
        <v>0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</v>
      </c>
    </row>
    <row r="58" spans="2:9" x14ac:dyDescent="0.3">
      <c r="B58">
        <v>9993</v>
      </c>
      <c r="C58" s="28" t="s">
        <v>488</v>
      </c>
      <c r="D58">
        <v>999</v>
      </c>
      <c r="E58" s="26" t="s">
        <v>485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52" zoomScaleNormal="75" zoomScaleSheetLayoutView="100" workbookViewId="0">
      <selection activeCell="B64" sqref="B64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999</v>
      </c>
      <c r="C73" s="28" t="s">
        <v>489</v>
      </c>
      <c r="D73">
        <v>0</v>
      </c>
      <c r="E73">
        <v>999</v>
      </c>
      <c r="F73">
        <v>8</v>
      </c>
      <c r="G73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D7" sqref="D7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535</v>
      </c>
      <c r="Q2" s="34" t="s">
        <v>522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538</v>
      </c>
      <c r="M12" s="21" t="s">
        <v>529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541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530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540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533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532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536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521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537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542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0.55999999999999994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16.000000000000007</v>
      </c>
      <c r="R3" s="5">
        <f t="array" ref="R3">SUM(IF($E$3:$E$56=E3,$Q$3:$Q$56))</f>
        <v>16.000000000000007</v>
      </c>
      <c r="S3" s="5">
        <f>INDEX(표9[],MATCH(ItemEffectTable[[#This Row],['#Grade]],표9[#Headers],0))-ItemEffectTable[[#This Row],['#총 효력가치]]</f>
        <v>13.999999999999993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529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527</v>
      </c>
      <c r="J10" s="19" t="s">
        <v>528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523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531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531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531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0.70000000000000007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0.96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-10.666666666666663</v>
      </c>
      <c r="R19" s="5">
        <f t="array" ref="R19">SUM(IF($E$3:$E$56=E19,$Q$3:$Q$56))</f>
        <v>43.333333333333336</v>
      </c>
      <c r="S19" s="5">
        <f>INDEX(표9[],MATCH(ItemEffectTable[[#This Row],['#Grade]],표9[#Headers],0))-ItemEffectTable[[#This Row],['#총 효력가치]]</f>
        <v>6.6666666666666643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43.333333333333336</v>
      </c>
      <c r="S20" s="5">
        <f>INDEX(표9[],MATCH(ItemEffectTable[[#This Row],['#Grade]],표9[#Headers],0))-ItemEffectTable[[#This Row],['#총 효력가치]]</f>
        <v>6.6666666666666643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520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2023-06-11T12:49:02Z</dcterms:modified>
  <cp:version>1200.0100.01</cp:version>
</cp:coreProperties>
</file>