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33E9FB4-A89C-7745-A388-C00E67F56D90}" xr6:coauthVersionLast="47" xr6:coauthVersionMax="47" xr10:uidLastSave="{00000000-0000-0000-0000-000000000000}"/>
  <bookViews>
    <workbookView xWindow="0" yWindow="1860" windowWidth="30240" windowHeight="17060" firstSheet="7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0" i="13" l="1"/>
  <c r="Q30" i="13" s="1"/>
  <c r="Q27" i="13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19" i="13" a="1"/>
  <c r="B19" i="13" s="1"/>
  <c r="I19" i="13" s="1" a="1"/>
  <c r="I19" i="13" s="1"/>
  <c r="C19" i="14" l="1"/>
  <c r="C24" i="14"/>
  <c r="B25" i="14"/>
  <c r="C25" i="14"/>
  <c r="B24" i="14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<sst xmlns="http://schemas.openxmlformats.org/spreadsheetml/2006/main" count="1088" uniqueCount="564">
  <si>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</si>
  <si>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</si>
  <si>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</si>
  <si>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</si>
  <si>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</si>
  <si>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</si>
  <si>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</si>
  <si>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</si>
  <si>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</si>
  <si>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</si>
  <si>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</si>
  <si>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</si>
  <si>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</si>
  <si>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</si>
  <si>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</si>
  <si>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</si>
  <si>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</si>
  <si>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</si>
  <si>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</si>
  <si>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</si>
  <si>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</si>
  <si>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</si>
  <si>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</si>
  <si>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</si>
  <si>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</si>
  <si>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</si>
  <si>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</si>
  <si>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</si>
  <si>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</si>
  <si>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</si>
  <si>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</si>
  <si>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</si>
  <si>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</si>
  <si>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</si>
  <si>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</si>
  <si>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</si>
  <si>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</si>
  <si>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</si>
  <si>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</si>
  <si>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</si>
  <si>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</si>
  <si>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</si>
  <si>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</si>
  <si>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</si>
  <si>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</si>
  <si>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</si>
  <si>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</si>
  <si>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</si>
  <si>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</si>
  <si>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</si>
  <si>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</si>
  <si>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</si>
  <si>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</si>
  <si>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</si>
  <si>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</si>
  <si>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</si>
  <si>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</si>
  <si>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</si>
  <si>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</si>
  <si>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</si>
  <si>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</si>
  <si>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</si>
  <si>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</si>
  <si>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</si>
  <si>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</si>
  <si>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</si>
  <si>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</si>
  <si>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</si>
  <si>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</si>
  <si>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</si>
  <si>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</si>
  <si>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</si>
  <si>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</si>
  <si>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</si>
  <si>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</si>
  <si>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</si>
  <si>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</si>
  <si>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</si>
  <si>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</si>
  <si>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</si>
  <si>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</si>
  <si>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</si>
  <si>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</si>
  <si>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</si>
  <si>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</si>
  <si>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</si>
  <si>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</si>
  <si>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</si>
  <si>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</si>
  <si>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</si>
  <si>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</si>
  <si>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</si>
  <si>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</si>
  <si>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</si>
  <si>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</si>
  <si>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</si>
  <si>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</si>
  <si>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</si>
  <si>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</si>
  <si>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</si>
  <si>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</si>
  <si>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</si>
  <si>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</si>
  <si>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</si>
  <si>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</si>
  <si>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</si>
  <si>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</si>
  <si>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</si>
  <si>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</si>
  <si>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</si>
  <si>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</si>
  <si>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</si>
  <si>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</si>
  <si>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</si>
  <si>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</si>
  <si>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</si>
  <si>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</si>
  <si>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</si>
  <si>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</si>
  <si>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</si>
  <si>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</si>
  <si>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</si>
  <si>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</si>
  <si>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</si>
  <si>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</si>
  <si>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</si>
  <si>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</si>
  <si>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</si>
  <si>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</si>
  <si>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</si>
  <si>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</si>
  <si>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</si>
  <si>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</si>
  <si>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</si>
  <si>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</si>
  <si>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</si>
  <si>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</si>
  <si>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</si>
  <si>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</si>
  <si>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</si>
  <si>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</si>
  <si>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</si>
  <si>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</si>
  <si>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</si>
  <si>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</si>
  <si>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</si>
  <si>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</si>
  <si>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</si>
  <si>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</si>
  <si>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</si>
  <si>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</si>
  <si>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</si>
  <si>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</si>
  <si>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</si>
  <si>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</si>
  <si>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</si>
  <si>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</si>
  <si>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</si>
  <si>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</si>
  <si>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</si>
  <si>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</si>
  <si>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</si>
  <si>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</si>
  <si>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</si>
  <si>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</si>
  <si>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</si>
  <si>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</si>
  <si>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</si>
  <si>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</si>
  <si>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</si>
  <si>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</si>
  <si>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</si>
  <si>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</si>
  <si>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</si>
  <si>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</si>
  <si>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</si>
  <si>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</si>
  <si>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</si>
  <si>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</si>
  <si>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</si>
  <si>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</si>
  <si>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</si>
  <si>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</si>
  <si>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</si>
  <si>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</si>
  <si>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</si>
  <si>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</si>
  <si>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</si>
  <si>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</si>
  <si>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</si>
  <si>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</si>
  <si>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</si>
  <si>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</si>
  <si>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</si>
  <si>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</si>
  <si>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</si>
  <si>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</si>
  <si>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</si>
  <si>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</si>
  <si>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</si>
  <si>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</si>
  <si>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</si>
  <si>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</si>
  <si>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</si>
  <si>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</si>
  <si>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</si>
  <si>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</si>
  <si>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</si>
  <si>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</si>
  <si>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</si>
  <si>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</si>
  <si>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</si>
  <si>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</si>
  <si>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</si>
  <si>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</si>
  <si>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</si>
  <si>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</si>
  <si>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</si>
  <si>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</si>
  <si>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</si>
  <si>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</si>
  <si>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</si>
  <si>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</si>
  <si>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</si>
  <si>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</si>
  <si>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</si>
  <si>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</si>
  <si>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</si>
  <si>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</si>
  <si>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</si>
  <si>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</si>
  <si>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</si>
  <si>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</si>
  <si>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</si>
  <si>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</si>
  <si>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</si>
  <si>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</si>
  <si>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</si>
  <si>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</si>
  <si>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</si>
  <si>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</si>
  <si>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</si>
  <si>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</si>
  <si>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</si>
  <si>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</si>
  <si>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</si>
  <si>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</si>
  <si>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</si>
  <si>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</si>
  <si>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</si>
  <si>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</si>
  <si>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</si>
  <si>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</si>
  <si>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</si>
  <si>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</si>
  <si>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</si>
  <si>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</si>
  <si>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</si>
  <si>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</si>
  <si>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</si>
  <si>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</si>
  <si>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</si>
  <si>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</si>
  <si>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</si>
  <si>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</si>
  <si>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</si>
  <si>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</si>
  <si>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</si>
  <si>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</si>
  <si>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</si>
  <si>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</si>
  <si>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</si>
  <si>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</si>
  <si>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</si>
  <si>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</si>
  <si>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</si>
  <si>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</si>
  <si>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</si>
  <si>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</si>
  <si>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</si>
  <si>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</si>
  <si>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</si>
  <si>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</si>
  <si>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</si>
  <si>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</si>
  <si>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</si>
  <si>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</si>
  <si>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</si>
  <si>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</si>
  <si>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</si>
  <si>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</si>
  <si>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</si>
  <si>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</si>
  <si>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</si>
  <si>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</si>
  <si>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</si>
  <si>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</si>
  <si>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</si>
  <si>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</si>
  <si>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</si>
  <si>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</si>
  <si>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</si>
  <si>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</si>
  <si>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</si>
  <si>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</si>
  <si>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</si>
  <si>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</si>
  <si>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</si>
  <si>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</si>
  <si>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</si>
  <si>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</si>
  <si>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</si>
  <si>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</si>
  <si>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</si>
  <si>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</si>
  <si>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</si>
  <si>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</si>
  <si>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</si>
  <si>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</si>
  <si>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</si>
  <si>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</si>
  <si>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</si>
  <si>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</si>
  <si>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</si>
  <si>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</si>
  <si>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</si>
  <si>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</si>
  <si>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</si>
  <si>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</si>
  <si>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</si>
  <si>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</si>
  <si>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</si>
  <si>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</si>
  <si>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</si>
  <si>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</si>
  <si>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</si>
  <si>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</si>
  <si>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</si>
  <si>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</si>
  <si>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</si>
  <si>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</si>
  <si>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</si>
  <si>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</si>
  <si>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</si>
  <si>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</si>
  <si>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</si>
  <si>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</si>
  <si>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</si>
  <si>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</si>
  <si>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</si>
  <si>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</si>
  <si>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</si>
  <si>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</si>
  <si>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</si>
  <si>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</si>
  <si>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</si>
  <si>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</si>
  <si>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</si>
  <si>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</si>
  <si>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</si>
  <si>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</si>
  <si>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</si>
  <si>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</si>
  <si>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</si>
  <si>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</si>
  <si>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</si>
  <si>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</si>
  <si>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</si>
  <si>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</si>
  <si>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</si>
  <si>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</si>
  <si>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</si>
  <si>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</si>
  <si>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</si>
  <si>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</si>
  <si>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</si>
  <si>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</si>
  <si>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</si>
  <si>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</si>
  <si>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</si>
  <si>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</si>
  <si>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</si>
  <si>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</si>
  <si>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</si>
  <si>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</si>
  <si>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</si>
  <si>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</si>
  <si>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</si>
  <si>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</si>
  <si>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</si>
  <si>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</si>
  <si>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</si>
  <si>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</si>
  <si>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</si>
  <si>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</si>
  <si>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</si>
  <si>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</si>
  <si>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</si>
  <si>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</si>
  <si>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</si>
  <si>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</si>
  <si>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</si>
  <si>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</si>
  <si>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</si>
  <si>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</si>
  <si>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</si>
  <si>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</si>
  <si>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</si>
  <si>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</si>
  <si>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</si>
  <si>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</si>
  <si>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</si>
  <si>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</si>
  <si>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</si>
  <si>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</si>
  <si>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</si>
  <si>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</si>
  <si>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</si>
  <si>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</si>
  <si>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</si>
  <si>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</si>
  <si>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</si>
  <si>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</si>
  <si>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</si>
  <si>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</si>
  <si>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</si>
  <si>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</si>
  <si>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</si>
  <si>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</si>
  <si>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</si>
  <si>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</si>
  <si>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</si>
  <si>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</si>
  <si>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</si>
  <si>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</si>
  <si>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</si>
  <si>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</si>
  <si>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</si>
  <si>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</si>
  <si>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</si>
  <si>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</si>
  <si>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</si>
  <si>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</si>
  <si>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</si>
  <si>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</si>
  <si>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</si>
  <si>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</si>
  <si>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</si>
  <si>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</si>
  <si>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</si>
  <si>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</si>
  <si>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</si>
  <si>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</si>
  <si>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</si>
  <si>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</si>
  <si>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</si>
  <si>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</si>
  <si>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</si>
  <si>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</si>
  <si>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</si>
  <si>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</si>
  <si>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</si>
  <si>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</si>
  <si>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</si>
  <si>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</si>
  <si>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</si>
  <si>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</si>
  <si>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</si>
  <si>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</si>
  <si>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</si>
  <si>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</si>
  <si>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</si>
  <si>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</si>
  <si>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</si>
  <si>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</si>
  <si>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</si>
  <si>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</si>
  <si>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</si>
  <si>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</si>
  <si>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</si>
  <si>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</si>
  <si>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</si>
  <si>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</si>
  <si>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</si>
  <si>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</si>
  <si>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</si>
  <si>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</si>
  <si>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</si>
  <si>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</si>
  <si>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</si>
  <si>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</si>
  <si>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</si>
  <si>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</si>
  <si>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</si>
  <si>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</si>
  <si>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</si>
  <si>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</si>
  <si>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</si>
  <si>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</si>
  <si>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</si>
  <si>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</si>
  <si>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</si>
  <si>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</si>
  <si>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</si>
  <si>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</si>
  <si>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</si>
  <si>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</si>
  <si>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</si>
  <si>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</si>
  <si>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</si>
  <si>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</si>
  <si>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</si>
  <si>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</si>
  <si>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</si>
  <si>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</si>
  <si>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</si>
  <si>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</si>
  <si>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</si>
  <si>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</si>
  <si>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</si>
  <si>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</si>
  <si>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</si>
  <si>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</si>
  <si>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</si>
  <si>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</si>
  <si>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</si>
  <si>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</si>
  <si>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</si>
  <si>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</si>
  <si>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</si>
  <si>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</si>
  <si>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</si>
  <si>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</si>
  <si>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</si>
  <si>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</si>
  <si>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</si>
  <si>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</si>
  <si>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</si>
  <si>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</si>
  <si>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</si>
  <si>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</si>
  <si>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</si>
  <si>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</si>
  <si>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</si>
  <si>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</si>
  <si>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</si>
  <si>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</si>
  <si>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</si>
  <si>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</si>
  <si>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</si>
  <si>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</si>
  <si>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</si>
  <si>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</si>
  <si>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</si>
  <si>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</si>
  <si>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</si>
  <si>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</si>
  <si>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</si>
  <si>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</si>
  <si>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</si>
  <si>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</si>
  <si>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</si>
  <si>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흡수</t>
    <phoneticPr fontId="8" type="noConversion"/>
  </si>
  <si>
    <t>액티브 버튼을 누르는 동안 주변 투사체를 흡수합니다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</si>
</sst>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  <fill>
      <patternFill patternType="solid">
        <fgColor rgb="FF262626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3" borderId="0" xfId="0" applyFill="1">
      <alignment vertical="center"/>
    </xf>
    <xf numFmtId="0" fontId="0" fillId="8" borderId="0" xfId="0" applyNumberFormat="1" applyFill="1">
      <alignment vertical="center"/>
    </xf>
    <xf numFmtId="0" fontId="14" fillId="10" borderId="0" xfId="0" applyNumberFormat="1" applyFont="1" applyFill="1">
      <alignment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30" totalsRowShown="0" headerRowDxfId="31">
  <autoFilter ref="B2:Q30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5" totalsRowShown="0" headerRowDxfId="14">
  <autoFilter ref="B2:K25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8" totalsRowShown="0" headerRowDxfId="9">
  <autoFilter ref="B2:F8" xr:uid="{00000000-0009-0000-0100-000001000000}"/>
  <tableColumns count="5">
    <tableColumn id="4" xr3:uid="{9F0C2145-5739-D948-B51C-59C2F70F8333}" name="Index" dataDxfId="8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4" t="s">
        <v>315</v>
      </c>
      <c r="C1" s="45"/>
      <c r="D1" s="45"/>
      <c r="E1" s="45"/>
    </row>
    <row r="2" spans="2:5" s="1" customFormat="1">
      <c r="B2" s="45"/>
      <c r="C2" s="45"/>
      <c r="D2" s="45"/>
      <c r="E2" s="45"/>
    </row>
    <row r="3" spans="2:5" s="1" customFormat="1">
      <c r="B3" s="45"/>
      <c r="C3" s="45"/>
      <c r="D3" s="45"/>
      <c r="E3" s="4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4" t="s">
        <v>202</v>
      </c>
      <c r="C1" s="45"/>
      <c r="D1" s="45"/>
      <c r="E1" s="45"/>
    </row>
    <row r="2" spans="2:12" s="1" customFormat="1">
      <c r="B2" s="45"/>
      <c r="C2" s="45"/>
      <c r="D2" s="45"/>
      <c r="E2" s="45"/>
    </row>
    <row r="3" spans="2:12" s="1" customFormat="1">
      <c r="B3" s="45"/>
      <c r="C3" s="45"/>
      <c r="D3" s="45"/>
      <c r="E3" s="45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4" t="s">
        <v>293</v>
      </c>
      <c r="C1" s="45"/>
      <c r="D1" s="45"/>
      <c r="E1" s="45"/>
      <c r="F1" s="45"/>
    </row>
    <row r="2" spans="1:21" s="1" customFormat="1">
      <c r="B2" s="45"/>
      <c r="C2" s="45"/>
      <c r="D2" s="45"/>
      <c r="E2" s="45"/>
      <c r="F2" s="45"/>
    </row>
    <row r="3" spans="1:21" s="1" customFormat="1">
      <c r="B3" s="45"/>
      <c r="C3" s="45"/>
      <c r="D3" s="45"/>
      <c r="E3" s="45"/>
      <c r="F3" s="45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I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6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30"/>
  <sheetViews>
    <sheetView topLeftCell="H1" zoomScaleNormal="75" zoomScaleSheetLayoutView="100" workbookViewId="0">
      <selection activeCell="L30" sqref="L30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51" customFormat="1" ht="18">
      <c r="B25" s="51">
        <v>5000</v>
      </c>
      <c r="C25" s="51" t="s">
        <v>545</v>
      </c>
      <c r="D25" s="51" t="s">
        <v>554</v>
      </c>
      <c r="E25" s="51" t="s">
        <v>82</v>
      </c>
      <c r="F25" s="51">
        <v>1</v>
      </c>
      <c r="G25" s="51">
        <v>50</v>
      </c>
      <c r="H25" s="51">
        <v>60</v>
      </c>
      <c r="I25" s="51">
        <v>9005</v>
      </c>
      <c r="J25" s="51" t="s">
        <v>262</v>
      </c>
      <c r="K25" s="52"/>
      <c r="L25" s="52"/>
      <c r="M25" s="52"/>
      <c r="N25" s="52"/>
      <c r="O25" s="52"/>
      <c r="P25" s="53"/>
      <c r="Q25" s="52" t="str">
        <f>IF(ItemTable[[#This Row],['#4]]=ItemTable[[#This Row],[Desc]],"T","F")</f>
        <v>F</v>
      </c>
    </row>
    <row r="26" spans="2:17" s="50" customFormat="1">
      <c r="Q26" s="50" t="str">
        <f>IF(ItemTable[[#This Row],['#4]]=ItemTable[[#This Row],[Desc]],"T","F")</f>
        <v>T</v>
      </c>
    </row>
    <row r="27" spans="2:17" s="50" customFormat="1">
      <c r="C27" s="49"/>
      <c r="D27" s="49"/>
      <c r="E27" s="49"/>
      <c r="F27" s="49"/>
      <c r="G27" s="49"/>
      <c r="H27" s="49"/>
      <c r="I27" s="49"/>
      <c r="J27" s="55"/>
      <c r="K27" s="49"/>
      <c r="L27" s="49"/>
      <c r="M27" s="49"/>
      <c r="N27" s="49"/>
      <c r="O27" s="49"/>
      <c r="Q27" s="49" t="str">
        <f>IF(ItemTable[[#This Row],['#4]]=ItemTable[[#This Row],[Desc]],"T","F")</f>
        <v>T</v>
      </c>
    </row>
    <row r="28" spans="2:17" s="50" customFormat="1">
      <c r="Q28" s="50" t="str">
        <f>IF(ItemTable[[#This Row],['#4]]=ItemTable[[#This Row],[Desc]],"T","F")</f>
        <v>T</v>
      </c>
    </row>
    <row r="29" spans="2:17">
      <c r="B29">
        <v>10000</v>
      </c>
      <c r="C29" t="s">
        <v>555</v>
      </c>
      <c r="D29" s="21" t="s">
        <v>557</v>
      </c>
      <c r="E29" s="21" t="s">
        <v>556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  <row r="30" spans="2:17">
      <c r="B30" s="41">
        <v>10001</v>
      </c>
      <c r="C30" s="48" t="s">
        <v>562</v>
      </c>
      <c r="D30" s="48" t="s">
        <v>563</v>
      </c>
      <c r="E30" s="21" t="s">
        <v>556</v>
      </c>
      <c r="F30">
        <v>1</v>
      </c>
      <c r="G30">
        <v>50</v>
      </c>
      <c r="H30">
        <v>60</v>
      </c>
      <c r="I30" s="47">
        <v>10001</v>
      </c>
      <c r="J30" t="s">
        <v>277</v>
      </c>
      <c r="K30" s="47"/>
      <c r="L30" s="47"/>
      <c r="M30" s="47"/>
      <c r="N30" s="47"/>
      <c r="O30" s="47" t="str">
        <f>_xlfn.CONCAT(
_xlfn.CONCAT("&lt;size=16&gt;",L30,"&lt;/size&gt;\n\n",
"&lt;size=20&gt;&lt;color=#97C456&gt;",M30,"&lt;/color&gt;&lt;/size&gt;"),
IF(ISBLANK(N30),"",_xlfn.CONCAT("\n","&lt;size=24&gt;&lt;color=#FF6A6A&gt;",N30,"&lt;/color&gt;&lt;/size&gt;"))
)</f>
        <v>&lt;size=16&gt;&lt;/size&gt;\n\n&lt;size=20&gt;&lt;color=#97C456&gt;&lt;/color&gt;&lt;/size&gt;</v>
      </c>
      <c r="P30" s="43"/>
      <c r="Q30" s="47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5"/>
  <sheetViews>
    <sheetView topLeftCell="A3" zoomScale="129" zoomScaleNormal="129" zoomScaleSheetLayoutView="100" workbookViewId="0">
      <selection activeCell="H27" sqref="H27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546</v>
      </c>
      <c r="F2" s="21" t="s">
        <v>547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50" customFormat="1">
      <c r="D9" s="54"/>
      <c r="J9" s="54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553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552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551</v>
      </c>
      <c r="J15" s="21" t="s">
        <v>536</v>
      </c>
    </row>
    <row r="16" spans="2:11" s="50" customFormat="1">
      <c r="D16" s="54"/>
      <c r="J16" s="54"/>
    </row>
    <row r="17" spans="2:10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537</v>
      </c>
      <c r="J17" s="21" t="s">
        <v>536</v>
      </c>
    </row>
    <row r="18" spans="2:10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537</v>
      </c>
      <c r="J18" s="21" t="s">
        <v>536</v>
      </c>
    </row>
    <row r="19" spans="2:10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537</v>
      </c>
      <c r="J19" s="21" t="s">
        <v>536</v>
      </c>
    </row>
    <row r="20" spans="2:10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537</v>
      </c>
      <c r="J20" s="21" t="s">
        <v>536</v>
      </c>
    </row>
    <row r="21" spans="2:10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537</v>
      </c>
      <c r="J21" s="21" t="s">
        <v>536</v>
      </c>
    </row>
    <row r="22" spans="2:10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550</v>
      </c>
      <c r="I22" s="21"/>
      <c r="J22" s="21" t="s">
        <v>536</v>
      </c>
    </row>
    <row r="23" spans="2:10" s="50" customFormat="1">
      <c r="J23" s="54"/>
    </row>
    <row r="24" spans="2:10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550</v>
      </c>
      <c r="J24" s="21"/>
    </row>
    <row r="25" spans="2:10">
      <c r="B25" s="46" t="str">
        <f>INDEX(ItemTable[Name],MATCH(ItemEffectTable[[#This Row],[Index]],ItemTable[ItemEffectDataId],0))</f>
        <v>흡수</v>
      </c>
      <c r="C25" s="41" t="str">
        <f>INDEX(ItemTable[GradeType],MATCH(ItemEffectTable[[#This Row],[Index]],ItemTable[ItemEffectDataId],0))</f>
        <v>Rare</v>
      </c>
      <c r="D25" s="41">
        <v>10001</v>
      </c>
      <c r="F25">
        <v>10001</v>
      </c>
      <c r="G25">
        <v>3.5</v>
      </c>
      <c r="H25" s="21" t="s">
        <v>550</v>
      </c>
      <c r="J25" s="21" t="s">
        <v>536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topLeftCell="A10" zoomScale="129" zoomScaleNormal="129" zoomScaleSheetLayoutView="100" workbookViewId="0">
      <selection activeCell="D14" sqref="D1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559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50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50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tabSelected="1" zoomScale="129" zoomScaleNormal="129" zoomScaleSheetLayoutView="100" workbookViewId="0">
      <selection activeCell="G12" sqref="G12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560</v>
      </c>
      <c r="D2" s="21" t="s">
        <v>522</v>
      </c>
      <c r="E2" s="39" t="s">
        <v>523</v>
      </c>
      <c r="F2" s="39" t="s">
        <v>524</v>
      </c>
    </row>
    <row r="3" spans="2:6">
      <c r="B3" s="21">
        <v>9002</v>
      </c>
      <c r="C3" s="21" t="s">
        <v>548</v>
      </c>
      <c r="D3" s="11"/>
    </row>
    <row r="4" spans="2:6">
      <c r="B4" s="21">
        <v>9005</v>
      </c>
      <c r="C4" s="21" t="s">
        <v>549</v>
      </c>
      <c r="D4">
        <v>0.5</v>
      </c>
      <c r="E4">
        <v>2</v>
      </c>
    </row>
    <row r="5" spans="2:6">
      <c r="B5" s="21"/>
      <c r="C5" s="21"/>
      <c r="D5" s="11"/>
    </row>
    <row r="6" spans="2:6" s="50" customFormat="1">
      <c r="B6" s="54"/>
      <c r="C6" s="54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561</v>
      </c>
      <c r="D8">
        <v>3</v>
      </c>
      <c r="E8">
        <v>23</v>
      </c>
      <c r="F8">
        <v>3</v>
      </c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2023-08-04T20:17:06Z</dcterms:modified>
  <cp:version>1200.0100.01</cp:version>
</cp:coreProperties>
</file>