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EA5E15B6-B7FB-44A1-98E0-9AB45E3D85B5}" xr6:coauthVersionLast="47" xr6:coauthVersionMax="47" xr10:uidLastSave="{00000000-0000-0000-0000-000000000000}"/>
  <bookViews>
    <workbookView xWindow="-108" yWindow="-108" windowWidth="23256" windowHeight="12456" firstSheet="4" activeTab="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4" l="1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4" i="14" l="1"/>
  <c r="B23" i="14"/>
  <c r="C15" i="14"/>
  <c r="B15" i="14"/>
  <c r="C22" i="14"/>
  <c r="B16" i="14"/>
  <c r="B19" i="14"/>
  <c r="C20" i="14"/>
  <c r="C23" i="14"/>
  <c r="B22" i="14"/>
  <c r="B17" i="14"/>
  <c r="C19" i="14"/>
  <c r="C24" i="14"/>
  <c r="C21" i="14"/>
  <c r="B20" i="14"/>
  <c r="C16" i="14"/>
  <c r="B25" i="14"/>
  <c r="C17" i="14"/>
  <c r="C25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<sst xmlns="http://schemas.openxmlformats.org/spreadsheetml/2006/main" count="1184" uniqueCount="627">
  <si>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</si>
  <si>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</si>
  <si>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</si>
  <si>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</si>
  <si>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</si>
  <si>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</si>
  <si>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</si>
  <si>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</si>
  <si>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</si>
  <si>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</si>
  <si>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</si>
  <si>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</si>
  <si>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</si>
  <si>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</si>
  <si>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</si>
  <si>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</si>
  <si>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</si>
  <si>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</si>
  <si>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</si>
  <si>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</si>
  <si>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</si>
  <si>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</si>
  <si>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</si>
  <si>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</si>
  <si>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</si>
  <si>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</si>
  <si>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</si>
  <si>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</si>
  <si>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</si>
  <si>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</si>
  <si>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</si>
  <si>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</si>
  <si>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</si>
  <si>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</si>
  <si>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</si>
  <si>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</si>
  <si>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</si>
  <si>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</si>
  <si>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</si>
  <si>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</si>
  <si>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</si>
  <si>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</si>
  <si>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</si>
  <si>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</si>
  <si>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</si>
  <si>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</si>
  <si>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</si>
  <si>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</si>
  <si>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</si>
  <si>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</si>
  <si>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</si>
  <si>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</si>
  <si>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</si>
  <si>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</si>
  <si>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</si>
  <si>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</si>
  <si>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</si>
  <si>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</si>
  <si>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</si>
  <si>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</si>
  <si>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</si>
  <si>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</si>
  <si>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</si>
  <si>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</si>
  <si>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</si>
  <si>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</si>
  <si>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</si>
  <si>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</si>
  <si>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</si>
  <si>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</si>
  <si>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</si>
  <si>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</si>
  <si>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</si>
  <si>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</si>
  <si>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</si>
  <si>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</si>
  <si>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</si>
  <si>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</si>
  <si>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</si>
  <si>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</si>
  <si>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</si>
  <si>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</si>
  <si>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</si>
  <si>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</si>
  <si>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</si>
  <si>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</si>
  <si>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</si>
  <si>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</si>
  <si>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</si>
  <si>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</si>
  <si>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</si>
  <si>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</si>
  <si>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</si>
  <si>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</si>
  <si>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</si>
  <si>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</si>
  <si>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</si>
  <si>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</si>
  <si>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</si>
  <si>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</si>
  <si>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</si>
  <si>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</si>
  <si>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</si>
  <si>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</si>
  <si>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</si>
  <si>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</si>
  <si>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</si>
  <si>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</si>
  <si>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</si>
  <si>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</si>
  <si>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</si>
  <si>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</si>
  <si>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</si>
  <si>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</si>
  <si>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</si>
  <si>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</si>
  <si>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</si>
  <si>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</si>
  <si>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</si>
  <si>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</si>
  <si>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</si>
  <si>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</si>
  <si>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</si>
  <si>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</si>
  <si>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</si>
  <si>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</si>
  <si>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</si>
  <si>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</si>
  <si>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</si>
  <si>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</si>
  <si>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</si>
  <si>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</si>
  <si>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</si>
  <si>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</si>
  <si>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</si>
  <si>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</si>
  <si>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</si>
  <si>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</si>
  <si>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</si>
  <si>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</si>
  <si>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</si>
  <si>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</si>
  <si>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</si>
  <si>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</si>
  <si>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</si>
  <si>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</si>
  <si>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</si>
  <si>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</si>
  <si>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</si>
  <si>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</si>
  <si>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</si>
  <si>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</si>
  <si>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</si>
  <si>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</si>
  <si>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</si>
  <si>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</si>
  <si>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</si>
  <si>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</si>
  <si>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</si>
  <si>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</si>
  <si>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</si>
  <si>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</si>
  <si>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</si>
  <si>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</si>
  <si>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</si>
  <si>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</si>
  <si>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</si>
  <si>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</si>
  <si>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</si>
  <si>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</si>
  <si>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</si>
  <si>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</si>
  <si>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</si>
  <si>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</si>
  <si>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</si>
  <si>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</si>
  <si>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</si>
  <si>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</si>
  <si>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</si>
  <si>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</si>
  <si>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</si>
  <si>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</si>
  <si>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</si>
  <si>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</si>
  <si>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</si>
  <si>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</si>
  <si>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</si>
  <si>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</si>
  <si>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</si>
  <si>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</si>
  <si>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</si>
  <si>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</si>
  <si>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</si>
  <si>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</si>
  <si>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</si>
  <si>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</si>
  <si>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</si>
  <si>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</si>
  <si>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</si>
  <si>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</si>
  <si>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</si>
  <si>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</si>
  <si>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</si>
  <si>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</si>
  <si>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</si>
  <si>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</si>
  <si>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</si>
  <si>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</si>
  <si>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</si>
  <si>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</si>
  <si>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</si>
  <si>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</si>
  <si>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</si>
  <si>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</si>
  <si>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</si>
  <si>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</si>
  <si>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</si>
  <si>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</si>
  <si>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</si>
  <si>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</si>
  <si>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</si>
  <si>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</si>
  <si>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</si>
  <si>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</si>
  <si>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</si>
  <si>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</si>
  <si>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</si>
  <si>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</si>
  <si>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</si>
  <si>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</si>
  <si>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</si>
  <si>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</si>
  <si>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</si>
  <si>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</si>
  <si>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</si>
  <si>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</si>
  <si>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</si>
  <si>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</si>
  <si>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</si>
  <si>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</si>
  <si>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</si>
  <si>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</si>
  <si>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</si>
  <si>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</si>
  <si>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</si>
  <si>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</si>
  <si>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</si>
  <si>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</si>
  <si>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</si>
  <si>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</si>
  <si>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</si>
  <si>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</si>
  <si>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</si>
  <si>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</si>
  <si>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</si>
  <si>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</si>
  <si>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</si>
  <si>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</si>
  <si>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</si>
  <si>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</si>
  <si>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</si>
  <si>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</si>
  <si>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</si>
  <si>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</si>
  <si>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</si>
  <si>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</si>
  <si>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</si>
  <si>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</si>
  <si>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</si>
  <si>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</si>
  <si>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</si>
  <si>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</si>
  <si>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</si>
  <si>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</si>
  <si>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</si>
  <si>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</si>
  <si>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</si>
  <si>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</si>
  <si>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</si>
  <si>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</si>
  <si>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</si>
  <si>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</si>
  <si>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</si>
  <si>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</si>
  <si>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</si>
  <si>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</si>
  <si>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</si>
  <si>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</si>
  <si>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</si>
  <si>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</si>
  <si>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</si>
  <si>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</si>
  <si>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</si>
  <si>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</si>
  <si>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</si>
  <si>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</si>
  <si>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</si>
  <si>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</si>
  <si>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</si>
  <si>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</si>
  <si>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</si>
  <si>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</si>
  <si>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</si>
  <si>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</si>
  <si>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</si>
  <si>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</si>
  <si>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</si>
  <si>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</si>
  <si>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</si>
  <si>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</si>
  <si>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</si>
  <si>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</si>
  <si>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</si>
  <si>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</si>
  <si>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</si>
  <si>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</si>
  <si>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</si>
  <si>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</si>
  <si>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</si>
  <si>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</si>
  <si>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</si>
  <si>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</si>
  <si>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</si>
  <si>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</si>
  <si>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</si>
  <si>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</si>
  <si>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</si>
  <si>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</si>
  <si>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</si>
  <si>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</si>
  <si>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</si>
  <si>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</si>
  <si>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</si>
  <si>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</si>
  <si>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</si>
  <si>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</si>
  <si>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</si>
  <si>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</si>
  <si>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</si>
  <si>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</si>
  <si>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</si>
  <si>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</si>
  <si>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</si>
  <si>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</si>
  <si>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</si>
  <si>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</si>
  <si>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</si>
  <si>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</si>
  <si>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</si>
  <si>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</si>
  <si>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</si>
  <si>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</si>
  <si>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</si>
  <si>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</si>
  <si>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</si>
  <si>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</si>
  <si>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</si>
  <si>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</si>
  <si>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</si>
  <si>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</si>
  <si>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</si>
  <si>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</si>
  <si>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</si>
  <si>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</si>
  <si>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</si>
  <si>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</si>
  <si>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</si>
  <si>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</si>
  <si>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</si>
  <si>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</si>
  <si>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</si>
  <si>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</si>
  <si>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</si>
  <si>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</si>
  <si>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</si>
  <si>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</si>
  <si>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</si>
  <si>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</si>
  <si>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</si>
  <si>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</si>
  <si>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</si>
  <si>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</si>
  <si>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</si>
  <si>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</si>
  <si>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</si>
  <si>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</si>
  <si>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</si>
  <si>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</si>
  <si>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</si>
  <si>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</si>
  <si>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</si>
  <si>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</si>
  <si>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</si>
  <si>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</si>
  <si>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</si>
  <si>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</si>
  <si>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</si>
  <si>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</si>
  <si>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</si>
  <si>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</si>
  <si>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</si>
  <si>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</si>
  <si>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</si>
  <si>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</si>
  <si>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</si>
  <si>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</si>
  <si>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</si>
  <si>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</si>
  <si>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</si>
  <si>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</si>
  <si>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</si>
  <si>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</si>
  <si>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</si>
  <si>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</si>
  <si>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</si>
  <si>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</si>
  <si>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</si>
  <si>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</si>
  <si>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</si>
  <si>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</si>
  <si>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</si>
  <si>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</si>
  <si>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</si>
  <si>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</si>
  <si>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</si>
  <si>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</si>
  <si>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</si>
  <si>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</si>
  <si>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</si>
  <si>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</si>
  <si>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</si>
  <si>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</si>
  <si>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</si>
  <si>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</si>
  <si>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</si>
  <si>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</si>
  <si>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</si>
  <si>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</si>
  <si>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</si>
  <si>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</si>
  <si>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</si>
  <si>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</si>
  <si>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</si>
  <si>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</si>
  <si>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</si>
  <si>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</si>
  <si>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</si>
  <si>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</si>
  <si>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</si>
  <si>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</si>
  <si>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</si>
  <si>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</si>
  <si>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</si>
  <si>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</si>
  <si>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</si>
  <si>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</si>
  <si>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</si>
  <si>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</si>
  <si>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</si>
  <si>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</si>
  <si>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</si>
  <si>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</si>
  <si>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</si>
  <si>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</si>
  <si>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</si>
  <si>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</si>
  <si>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</si>
  <si>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</si>
  <si>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</si>
  <si>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</si>
  <si>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</si>
  <si>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</si>
  <si>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</si>
  <si>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</si>
  <si>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</si>
  <si>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</si>
  <si>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</si>
  <si>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</si>
  <si>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</si>
  <si>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</si>
  <si>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</si>
  <si>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</si>
  <si>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</si>
  <si>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</si>
  <si>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</si>
  <si>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</si>
  <si>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</si>
  <si>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</si>
  <si>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</si>
  <si>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</si>
  <si>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</si>
  <si>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</si>
  <si>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</si>
  <si>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</si>
  <si>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</si>
  <si>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</si>
  <si>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</si>
  <si>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</si>
  <si>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</si>
  <si>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</si>
  <si>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</si>
  <si>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</si>
  <si>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</si>
  <si>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</si>
  <si>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</si>
  <si>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</si>
  <si>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</si>
  <si>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</si>
  <si>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</si>
  <si>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</si>
  <si>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</si>
  <si>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</si>
  <si>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</si>
  <si>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</si>
  <si>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</si>
  <si>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</si>
  <si>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</si>
  <si>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</si>
  <si>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</si>
  <si>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</si>
  <si>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(HP_Base - HP)*0.004</t>
    <phoneticPr fontId="8" type="noConversion"/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</si>
  <si>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</si>
  <si>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</si>
  <si>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</si>
  <si>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</si>
  <si>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</si>
  <si>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</si>
  <si>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</si>
  <si>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</si>
  <si>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</si>
  <si>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</si>
  <si>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</si>
  <si>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</si>
  <si>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</si>
  <si>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</si>
  <si>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</si>
  <si>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</si>
  <si>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</si>
  <si>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</si>
  <si>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</si>
  <si>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</si>
  <si>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</si>
  <si>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</si>
  <si>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이동속도 +12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</si>
  <si>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</si>
  <si>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</si>
  <si>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</si>
  <si>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</si>
  <si>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</si>
  <si>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</si>
  <si>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</si>
  <si>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</si>
  <si>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</si>
  <si>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</si>
  <si>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</si>
  <si>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</si>
  <si>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</si>
  <si>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</si>
  <si>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</si>
  <si>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</si>
  <si>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</si>
  <si>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</si>
  <si>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</si>
  <si>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</si>
  <si>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</si>
  <si>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</si>
  <si>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</si>
  <si>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</si>
  <si>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</si>
  <si>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</si>
  <si>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</si>
  <si>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</si>
  <si>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</si>
  <si>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</si>
  <si>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</si>
  <si>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</si>
  <si>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</si>
  <si>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</si>
  <si>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</si>
  <si>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</si>
  <si>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</si>
  <si>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</si>
  <si>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</si>
  <si>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icon/item/A_item_04.png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</si>
  <si>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</si>
  <si>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</si>
  <si>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</si>
  <si>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</si>
  <si>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</si>
  <si>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</si>
  <si>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</si>
  <si>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</si>
  <si>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</si>
  <si>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</si>
  <si>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</si>
  <si>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</si>
  <si>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공격시 공 3개 발사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</si>
  <si>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</si>
  <si>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</si>
  <si>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플레이어의 투사체가 적을 관통합니다.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</si>
  <si>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</si>
  <si>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</si>
  <si>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</si>
  <si>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패링 시 5초간 피해량 15%증가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</si>
  <si>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</si>
  <si>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</si>
  <si>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</si>
  <si>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</si>
  <si>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</si>
  <si>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</si>
  <si>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</si>
  <si>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</si>
  <si>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타격 시마다 6초간 공격속도 8% 상승</t>
    <phoneticPr fontId="19" type="noConversion"/>
  </si>
  <si>
    <t>기절한 적 공격시 4초간 공격력 30% 증가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</si>
  <si>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</si>
  <si>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</si>
  <si>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</si>
  <si>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타격 시마다 5초간\n공격속도 +8%\n(효과는 중첩될 수 있습니다.)</t>
    <phoneticPr fontId="8" type="noConversion"/>
  </si>
  <si>
    <t>차징 타격 시 5초간\n공격력 +20%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</si>
  <si>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</si>
  <si>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</si>
  <si>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</si>
  <si>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</si>
  <si>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</si>
  <si>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</si>
  <si>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</si>
  <si>
    <t>도넛에 구멍은 몇 개일까요? 적어도\n이 도넛은 무한한 구멍을 가졌습니다.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</si>
</sst>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22">
  <autoFilter ref="B2:K25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3" totalsRowShown="0" headerRowDxfId="17">
  <autoFilter ref="B2:H33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3" t="s">
        <v>201</v>
      </c>
      <c r="C1" s="54"/>
      <c r="D1" s="54"/>
      <c r="E1" s="54"/>
    </row>
    <row r="2" spans="2:12" s="1" customFormat="1">
      <c r="B2" s="54"/>
      <c r="C2" s="54"/>
      <c r="D2" s="54"/>
      <c r="E2" s="54"/>
    </row>
    <row r="3" spans="2:12" s="1" customFormat="1">
      <c r="B3" s="54"/>
      <c r="C3" s="54"/>
      <c r="D3" s="54"/>
      <c r="E3" s="54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45.833333333333329</v>
      </c>
      <c r="P7">
        <f>(밸런스시트[[#This Row],[레벨당 평균 적]]*밸런스시트[[#This Row],[방 개수]]*밸런스시트[[#This Row],[적 체력]])/밸런스시트[[#This Row],[PC 최대 DPS]]</f>
        <v>109.09090909090911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45.833333333333329</v>
      </c>
      <c r="P8">
        <f>(밸런스시트[[#This Row],[레벨당 평균 적]]*밸런스시트[[#This Row],[방 개수]]*밸런스시트[[#This Row],[적 체력]])/밸런스시트[[#This Row],[PC 최대 DPS]]</f>
        <v>157.09090909090909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45.833333333333329</v>
      </c>
      <c r="P9">
        <f>(밸런스시트[[#This Row],[레벨당 평균 적]]*밸런스시트[[#This Row],[방 개수]]*밸런스시트[[#This Row],[적 체력]])/밸런스시트[[#This Row],[PC 최대 DPS]]</f>
        <v>213.81818181818184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45.833333333333329</v>
      </c>
      <c r="P10">
        <f>(밸런스시트[[#This Row],[레벨당 평균 적]]*밸런스시트[[#This Row],[방 개수]]*밸런스시트[[#This Row],[적 체력]])/밸런스시트[[#This Row],[PC 최대 DPS]]</f>
        <v>279.27272727272731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45.833333333333329</v>
      </c>
      <c r="P11">
        <f>(밸런스시트[[#This Row],[레벨당 평균 적]]*밸런스시트[[#This Row],[방 개수]]*밸런스시트[[#This Row],[적 체력]])/밸런스시트[[#This Row],[PC 최대 DPS]]</f>
        <v>353.4545454545455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45.833333333333329</v>
      </c>
      <c r="P12">
        <f>(밸런스시트[[#This Row],[레벨당 평균 적]]*밸런스시트[[#This Row],[방 개수]]*밸런스시트[[#This Row],[적 체력]])/밸런스시트[[#This Row],[PC 최대 DPS]]</f>
        <v>436.36363636363643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576</v>
      </c>
      <c r="H2" t="s">
        <v>14</v>
      </c>
      <c r="I2" s="19" t="s">
        <v>534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K4" sqref="K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535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16.666666666666668</v>
      </c>
      <c r="AA3">
        <f>CharacterAtkTable[[#This Row],[ChargeRigidDmg2]]/(CharacterAtkTable[[#This Row],[SwingCooldown]]+CharacterAtkTable[[#This Row],[ChargeTime]])</f>
        <v>22.222222222222225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43.466666666666669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45.833333333333329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B1" zoomScaleNormal="75" zoomScaleSheetLayoutView="100" workbookViewId="0">
      <selection activeCell="B4" sqref="B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tabSelected="1" zoomScaleNormal="75" zoomScaleSheetLayoutView="100" workbookViewId="0">
      <selection activeCell="E5" sqref="E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539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5000</v>
      </c>
      <c r="E4">
        <v>2000</v>
      </c>
      <c r="F4">
        <v>2000</v>
      </c>
      <c r="G4">
        <v>1000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L1" zoomScaleNormal="75" zoomScaleSheetLayoutView="100" workbookViewId="0">
      <selection activeCell="Q13" sqref="Q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572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572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572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573</v>
      </c>
      <c r="D4" s="3" t="b">
        <v>0</v>
      </c>
      <c r="E4">
        <v>0.8</v>
      </c>
      <c r="F4">
        <v>20</v>
      </c>
      <c r="G4" s="14" t="s">
        <v>577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zoomScale="70" zoomScaleNormal="70" zoomScaleSheetLayoutView="100" workbookViewId="0">
      <selection activeCell="D27" sqref="D27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540</v>
      </c>
      <c r="F2" s="19" t="s">
        <v>541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542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618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593</v>
      </c>
      <c r="E12" s="28" t="s">
        <v>543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482</v>
      </c>
      <c r="O12" s="43" t="s">
        <v>476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616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615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477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483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586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594</v>
      </c>
      <c r="E16" s="14" t="s">
        <v>478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478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584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605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607</v>
      </c>
      <c r="E19" s="27" t="s">
        <v>623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568</v>
      </c>
      <c r="D20" s="19" t="s">
        <v>569</v>
      </c>
      <c r="E20" s="19" t="s">
        <v>596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587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600</v>
      </c>
      <c r="F21" s="27" t="s">
        <v>601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598</v>
      </c>
      <c r="E22" s="27" t="s">
        <v>617</v>
      </c>
      <c r="F22" s="27" t="s">
        <v>597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471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471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481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622</v>
      </c>
      <c r="F24" s="52" t="s">
        <v>621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575</v>
      </c>
      <c r="D25" s="14" t="s">
        <v>396</v>
      </c>
      <c r="E25" s="14" t="s">
        <v>599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564</v>
      </c>
      <c r="D26" s="17" t="s">
        <v>626</v>
      </c>
      <c r="E26" s="21" t="s">
        <v>565</v>
      </c>
      <c r="F26" s="21"/>
      <c r="G26" s="19" t="s">
        <v>539</v>
      </c>
      <c r="H26">
        <v>1</v>
      </c>
      <c r="I26">
        <v>50</v>
      </c>
      <c r="J26">
        <v>100</v>
      </c>
      <c r="K26">
        <v>10000</v>
      </c>
      <c r="L26" s="14" t="s">
        <v>581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588</v>
      </c>
      <c r="D27" s="40" t="s">
        <v>595</v>
      </c>
      <c r="E27" s="40" t="s">
        <v>585</v>
      </c>
      <c r="F27" s="40"/>
      <c r="G27" s="19" t="s">
        <v>539</v>
      </c>
      <c r="H27">
        <v>1</v>
      </c>
      <c r="I27">
        <v>50</v>
      </c>
      <c r="J27">
        <v>100</v>
      </c>
      <c r="K27">
        <v>10001</v>
      </c>
      <c r="L27" s="14" t="s">
        <v>582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589</v>
      </c>
      <c r="D28" s="40" t="s">
        <v>591</v>
      </c>
      <c r="E28" s="40" t="s">
        <v>592</v>
      </c>
      <c r="F28" s="40"/>
      <c r="G28" s="19" t="s">
        <v>539</v>
      </c>
      <c r="H28">
        <v>1</v>
      </c>
      <c r="I28">
        <v>50</v>
      </c>
      <c r="J28">
        <v>100</v>
      </c>
      <c r="K28">
        <v>10002</v>
      </c>
      <c r="L28" s="14" t="s">
        <v>583</v>
      </c>
      <c r="M28" s="22" t="str">
        <f>MID(ItemTable[[#This Row],[ItemIconPath]],FIND("icon",ItemTable[[#This Row],[ItemIconPath]]),999)</f>
        <v>icon/item/A_item_04.png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566</v>
      </c>
      <c r="D29" s="40" t="s">
        <v>590</v>
      </c>
      <c r="E29" s="40" t="s">
        <v>574</v>
      </c>
      <c r="F29" s="40"/>
      <c r="G29" s="19" t="s">
        <v>539</v>
      </c>
      <c r="H29">
        <v>1</v>
      </c>
      <c r="I29">
        <v>50</v>
      </c>
      <c r="J29">
        <v>100</v>
      </c>
      <c r="K29">
        <v>10003</v>
      </c>
      <c r="L29" s="14" t="s">
        <v>580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9"/>
  <sheetViews>
    <sheetView zoomScale="70" zoomScaleNormal="70" zoomScaleSheetLayoutView="100" workbookViewId="0">
      <selection activeCell="G15" sqref="G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522</v>
      </c>
      <c r="F2" s="19" t="s">
        <v>523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604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567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527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518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537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610</v>
      </c>
      <c r="J17" s="19" t="s">
        <v>517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>
        <v>9004</v>
      </c>
      <c r="F21" s="19"/>
      <c r="G21">
        <v>0</v>
      </c>
      <c r="H21" s="19" t="s">
        <v>518</v>
      </c>
      <c r="J21" s="19" t="s">
        <v>517</v>
      </c>
    </row>
    <row r="22" spans="2:11">
      <c r="B22" s="4" t="str">
        <f>INDEX(ItemTable[Name],MATCH(ItemEffectTable[[#This Row],[Index]],ItemTable[ItemEffectDataId],0))</f>
        <v>인피니티 도넛</v>
      </c>
      <c r="C22" s="39" t="str">
        <f>INDEX(ItemTable[GradeType],MATCH(ItemEffectTable[[#This Row],[Index]],ItemTable[ItemEffectDataId],0))</f>
        <v>Active</v>
      </c>
      <c r="D22" s="39">
        <v>10000</v>
      </c>
      <c r="F22">
        <v>10000</v>
      </c>
      <c r="G22">
        <v>0.01</v>
      </c>
      <c r="H22" s="19" t="s">
        <v>526</v>
      </c>
      <c r="J22" s="19" t="s">
        <v>517</v>
      </c>
    </row>
    <row r="23" spans="2:11">
      <c r="B23" s="4" t="str">
        <f>INDEX(ItemTable[Name],MATCH(ItemEffectTable[[#This Row],[Index]],ItemTable[ItemEffectDataId],0))</f>
        <v>초소형 블랙홀</v>
      </c>
      <c r="C23" s="39" t="str">
        <f>INDEX(ItemTable[GradeType],MATCH(ItemEffectTable[[#This Row],[Index]],ItemTable[ItemEffectDataId],0))</f>
        <v>Active</v>
      </c>
      <c r="D23" s="39">
        <v>10001</v>
      </c>
      <c r="F23">
        <v>10001</v>
      </c>
      <c r="G23">
        <v>6</v>
      </c>
      <c r="H23" s="19" t="s">
        <v>526</v>
      </c>
      <c r="I23" s="19" t="s">
        <v>533</v>
      </c>
      <c r="J23" s="19" t="s">
        <v>532</v>
      </c>
      <c r="K23" s="14">
        <v>6</v>
      </c>
    </row>
    <row r="24" spans="2:11">
      <c r="B24" s="4" t="str">
        <f>INDEX(ItemTable[Name],MATCH(ItemEffectTable[[#This Row],[Index]],ItemTable[ItemEffectDataId],0))</f>
        <v>신경 부스터</v>
      </c>
      <c r="C24" s="39" t="str">
        <f>INDEX(ItemTable[GradeType],MATCH(ItemEffectTable[[#This Row],[Index]],ItemTable[ItemEffectDataId],0))</f>
        <v>Active</v>
      </c>
      <c r="D24" s="39">
        <v>10002</v>
      </c>
      <c r="E24">
        <v>10002</v>
      </c>
      <c r="F24">
        <v>10002</v>
      </c>
      <c r="G24">
        <v>12</v>
      </c>
      <c r="H24" s="19" t="s">
        <v>526</v>
      </c>
      <c r="J24" s="19" t="s">
        <v>517</v>
      </c>
    </row>
    <row r="25" spans="2:11">
      <c r="B25" s="4" t="str">
        <f>INDEX(ItemTable[Name],MATCH(ItemEffectTable[[#This Row],[Index]],ItemTable[ItemEffectDataId],0))</f>
        <v>미사일 백팩</v>
      </c>
      <c r="C25" s="39" t="str">
        <f>INDEX(ItemTable[GradeType],MATCH(ItemEffectTable[[#This Row],[Index]],ItemTable[ItemEffectDataId],0))</f>
        <v>Active</v>
      </c>
      <c r="D25" s="39">
        <v>10003</v>
      </c>
      <c r="F25">
        <v>10003</v>
      </c>
      <c r="G25">
        <v>6</v>
      </c>
      <c r="H25" s="19" t="s">
        <v>526</v>
      </c>
      <c r="J25" s="19" t="s">
        <v>517</v>
      </c>
    </row>
    <row r="28" spans="2:11">
      <c r="G28" s="14"/>
    </row>
    <row r="29" spans="2:11">
      <c r="G29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3"/>
  <sheetViews>
    <sheetView zoomScale="70" zoomScaleNormal="70" zoomScaleSheetLayoutView="100" workbookViewId="0">
      <selection activeCell="D27" sqref="D27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4" t="s">
        <v>544</v>
      </c>
      <c r="H2" s="37" t="s">
        <v>555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550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551</v>
      </c>
      <c r="H4" s="17"/>
    </row>
    <row r="5" spans="2:8">
      <c r="B5" s="19">
        <v>7002</v>
      </c>
      <c r="C5" s="19" t="s">
        <v>529</v>
      </c>
      <c r="D5" s="11">
        <v>0.8</v>
      </c>
      <c r="E5" t="s">
        <v>347</v>
      </c>
      <c r="F5">
        <v>-1</v>
      </c>
      <c r="G5" s="17" t="s">
        <v>552</v>
      </c>
      <c r="H5" s="17"/>
    </row>
    <row r="6" spans="2:8">
      <c r="B6" s="27">
        <v>7003</v>
      </c>
      <c r="C6" s="48" t="s">
        <v>602</v>
      </c>
      <c r="D6" s="27">
        <v>0.2</v>
      </c>
      <c r="E6" t="s">
        <v>519</v>
      </c>
      <c r="F6" s="27">
        <v>5</v>
      </c>
      <c r="G6" s="20" t="s">
        <v>603</v>
      </c>
      <c r="H6" s="17"/>
    </row>
    <row r="7" spans="2:8">
      <c r="B7" s="19">
        <v>7004</v>
      </c>
      <c r="C7" s="11" t="s">
        <v>2</v>
      </c>
      <c r="D7">
        <v>1.2</v>
      </c>
      <c r="E7" t="s">
        <v>519</v>
      </c>
      <c r="F7">
        <v>-1</v>
      </c>
      <c r="G7" s="17" t="s">
        <v>553</v>
      </c>
      <c r="H7" s="17"/>
    </row>
    <row r="8" spans="2:8">
      <c r="B8" s="19">
        <v>7005</v>
      </c>
      <c r="C8" s="11" t="s">
        <v>55</v>
      </c>
      <c r="D8">
        <v>25</v>
      </c>
      <c r="E8" t="s">
        <v>519</v>
      </c>
      <c r="F8">
        <v>-1</v>
      </c>
      <c r="G8" s="17" t="s">
        <v>554</v>
      </c>
      <c r="H8" s="17"/>
    </row>
    <row r="9" spans="2:8">
      <c r="B9" s="27">
        <v>8000</v>
      </c>
      <c r="C9" s="48" t="s">
        <v>318</v>
      </c>
      <c r="D9" s="27">
        <v>0.3</v>
      </c>
      <c r="E9" s="27" t="s">
        <v>519</v>
      </c>
      <c r="F9" s="27">
        <v>4</v>
      </c>
      <c r="G9" s="20" t="s">
        <v>613</v>
      </c>
      <c r="H9" s="46"/>
    </row>
    <row r="10" spans="2:8">
      <c r="B10" s="19">
        <v>8001</v>
      </c>
      <c r="C10" s="11" t="s">
        <v>318</v>
      </c>
      <c r="D10" s="14" t="s">
        <v>520</v>
      </c>
      <c r="E10" t="s">
        <v>519</v>
      </c>
      <c r="F10">
        <v>-1</v>
      </c>
      <c r="G10" s="17" t="s">
        <v>556</v>
      </c>
      <c r="H10" s="22"/>
    </row>
    <row r="11" spans="2:8">
      <c r="B11" s="19">
        <v>8002</v>
      </c>
      <c r="C11" t="s">
        <v>318</v>
      </c>
      <c r="D11">
        <v>0.1</v>
      </c>
      <c r="E11" t="s">
        <v>519</v>
      </c>
      <c r="F11">
        <v>-1</v>
      </c>
      <c r="G11" s="17" t="s">
        <v>559</v>
      </c>
      <c r="H11" s="22"/>
    </row>
    <row r="12" spans="2:8">
      <c r="B12" s="19">
        <v>8002</v>
      </c>
      <c r="C12" t="s">
        <v>2</v>
      </c>
      <c r="D12">
        <v>0.5</v>
      </c>
      <c r="E12" t="s">
        <v>519</v>
      </c>
      <c r="F12">
        <v>-1</v>
      </c>
      <c r="G12" s="17" t="s">
        <v>557</v>
      </c>
      <c r="H12" s="22"/>
    </row>
    <row r="13" spans="2:8">
      <c r="B13" s="19">
        <v>8002</v>
      </c>
      <c r="C13" t="s">
        <v>218</v>
      </c>
      <c r="D13">
        <v>-0.1</v>
      </c>
      <c r="E13" t="s">
        <v>519</v>
      </c>
      <c r="F13">
        <v>-1</v>
      </c>
      <c r="G13" s="17" t="s">
        <v>558</v>
      </c>
      <c r="H13" s="22"/>
    </row>
    <row r="14" spans="2:8">
      <c r="B14" s="19">
        <v>8003</v>
      </c>
      <c r="C14" t="s">
        <v>279</v>
      </c>
      <c r="D14">
        <v>0.5</v>
      </c>
      <c r="E14" t="s">
        <v>519</v>
      </c>
      <c r="F14">
        <v>-1</v>
      </c>
      <c r="G14" s="17" t="s">
        <v>560</v>
      </c>
      <c r="H14" s="22"/>
    </row>
    <row r="15" spans="2:8">
      <c r="B15" s="19">
        <v>8004</v>
      </c>
      <c r="C15" s="11" t="s">
        <v>24</v>
      </c>
      <c r="D15">
        <v>3</v>
      </c>
      <c r="E15" t="s">
        <v>519</v>
      </c>
      <c r="F15">
        <v>-1</v>
      </c>
      <c r="G15" s="17" t="s">
        <v>606</v>
      </c>
      <c r="H15" s="22"/>
    </row>
    <row r="16" spans="2:8">
      <c r="B16" s="19">
        <v>8004</v>
      </c>
      <c r="C16" s="11" t="s">
        <v>30</v>
      </c>
      <c r="D16">
        <v>3</v>
      </c>
      <c r="E16" t="s">
        <v>519</v>
      </c>
      <c r="F16">
        <v>-1</v>
      </c>
      <c r="G16" s="17" t="s">
        <v>606</v>
      </c>
      <c r="H16" s="22"/>
    </row>
    <row r="17" spans="2:8">
      <c r="B17" s="27">
        <v>8004</v>
      </c>
      <c r="C17" s="48" t="s">
        <v>624</v>
      </c>
      <c r="D17" s="27">
        <v>50</v>
      </c>
      <c r="E17" s="27" t="s">
        <v>519</v>
      </c>
      <c r="F17" s="27">
        <v>-1</v>
      </c>
      <c r="G17" s="20" t="s">
        <v>625</v>
      </c>
      <c r="H17" s="46"/>
    </row>
    <row r="18" spans="2:8">
      <c r="B18" s="27">
        <v>9000</v>
      </c>
      <c r="C18" s="48" t="s">
        <v>218</v>
      </c>
      <c r="D18" s="27">
        <v>1.4</v>
      </c>
      <c r="E18" s="27" t="s">
        <v>347</v>
      </c>
      <c r="F18" s="27">
        <v>-1</v>
      </c>
      <c r="G18" s="20" t="s">
        <v>614</v>
      </c>
      <c r="H18" s="22"/>
    </row>
    <row r="19" spans="2:8">
      <c r="B19" s="27">
        <v>9000</v>
      </c>
      <c r="C19" s="48" t="s">
        <v>339</v>
      </c>
      <c r="D19" s="27">
        <v>0</v>
      </c>
      <c r="E19" s="27" t="s">
        <v>347</v>
      </c>
      <c r="F19" s="27">
        <v>-1</v>
      </c>
      <c r="G19" s="20" t="s">
        <v>608</v>
      </c>
      <c r="H19" s="22"/>
    </row>
    <row r="20" spans="2:8">
      <c r="B20" s="27">
        <v>9001</v>
      </c>
      <c r="C20" s="48" t="s">
        <v>611</v>
      </c>
      <c r="D20" s="27">
        <v>0.92</v>
      </c>
      <c r="E20" s="27" t="s">
        <v>347</v>
      </c>
      <c r="F20" s="27">
        <v>5</v>
      </c>
      <c r="G20" s="20" t="s">
        <v>612</v>
      </c>
      <c r="H20" s="22"/>
    </row>
    <row r="21" spans="2:8">
      <c r="B21" s="27">
        <v>9101</v>
      </c>
      <c r="C21" s="48" t="s">
        <v>611</v>
      </c>
      <c r="D21" s="27">
        <v>1.3</v>
      </c>
      <c r="E21" s="27" t="s">
        <v>347</v>
      </c>
      <c r="F21" s="27">
        <v>-1</v>
      </c>
      <c r="G21" s="20" t="s">
        <v>609</v>
      </c>
      <c r="H21" s="22"/>
    </row>
    <row r="22" spans="2:8">
      <c r="B22" s="19">
        <v>9002</v>
      </c>
      <c r="C22" t="s">
        <v>318</v>
      </c>
      <c r="D22">
        <v>1</v>
      </c>
      <c r="E22" t="s">
        <v>519</v>
      </c>
      <c r="F22">
        <v>-1</v>
      </c>
      <c r="G22" s="17" t="s">
        <v>561</v>
      </c>
      <c r="H22" s="22"/>
    </row>
    <row r="23" spans="2:8">
      <c r="B23" s="19">
        <v>9003</v>
      </c>
      <c r="C23" s="11" t="s">
        <v>55</v>
      </c>
      <c r="D23">
        <v>-50</v>
      </c>
      <c r="E23" t="s">
        <v>519</v>
      </c>
      <c r="F23">
        <v>-1</v>
      </c>
      <c r="G23" s="17" t="s">
        <v>619</v>
      </c>
      <c r="H23" s="22"/>
    </row>
    <row r="24" spans="2:8">
      <c r="B24" s="19">
        <v>9003</v>
      </c>
      <c r="C24" s="51" t="s">
        <v>602</v>
      </c>
      <c r="D24">
        <v>0.6</v>
      </c>
      <c r="E24" t="s">
        <v>519</v>
      </c>
      <c r="F24">
        <v>-1</v>
      </c>
      <c r="G24" s="17" t="s">
        <v>620</v>
      </c>
      <c r="H24" s="22"/>
    </row>
    <row r="25" spans="2:8">
      <c r="B25" s="19">
        <v>9004</v>
      </c>
      <c r="C25" s="11" t="s">
        <v>24</v>
      </c>
      <c r="D25">
        <v>-1</v>
      </c>
      <c r="E25" t="s">
        <v>519</v>
      </c>
      <c r="F25">
        <v>-1</v>
      </c>
      <c r="G25" s="17" t="s">
        <v>562</v>
      </c>
      <c r="H25" s="22"/>
    </row>
    <row r="26" spans="2:8">
      <c r="B26" s="19">
        <v>9004</v>
      </c>
      <c r="C26" s="11" t="s">
        <v>30</v>
      </c>
      <c r="D26">
        <v>-1</v>
      </c>
      <c r="E26" t="s">
        <v>519</v>
      </c>
      <c r="F26">
        <v>-1</v>
      </c>
      <c r="G26" s="17" t="s">
        <v>562</v>
      </c>
      <c r="H26" s="22"/>
    </row>
    <row r="27" spans="2:8">
      <c r="B27" s="19">
        <v>9004</v>
      </c>
      <c r="C27" t="s">
        <v>186</v>
      </c>
      <c r="D27">
        <v>1</v>
      </c>
      <c r="E27" t="s">
        <v>521</v>
      </c>
      <c r="F27">
        <v>-1</v>
      </c>
      <c r="G27" s="17" t="s">
        <v>563</v>
      </c>
      <c r="H27" s="22"/>
    </row>
    <row r="28" spans="2:8">
      <c r="B28" s="39">
        <v>10002</v>
      </c>
      <c r="C28" t="s">
        <v>2</v>
      </c>
      <c r="D28">
        <v>2.5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28</v>
      </c>
      <c r="D29">
        <v>0.2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227</v>
      </c>
      <c r="D30">
        <v>3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197</v>
      </c>
      <c r="D31">
        <v>0.05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218</v>
      </c>
      <c r="D32">
        <v>0.3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29</v>
      </c>
      <c r="D33">
        <v>2.5</v>
      </c>
      <c r="E33" t="s">
        <v>347</v>
      </c>
      <c r="F33">
        <v>5</v>
      </c>
      <c r="G33" s="22"/>
      <c r="H33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zoomScale="85" zoomScaleNormal="85" zoomScaleSheetLayoutView="100" workbookViewId="0">
      <selection activeCell="J12" sqref="J12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7" t="s">
        <v>570</v>
      </c>
      <c r="D2" s="19" t="s">
        <v>530</v>
      </c>
      <c r="E2" s="19" t="s">
        <v>503</v>
      </c>
      <c r="F2" s="19" t="s">
        <v>545</v>
      </c>
      <c r="G2" s="37" t="s">
        <v>504</v>
      </c>
      <c r="H2" s="19" t="s">
        <v>546</v>
      </c>
      <c r="I2" s="37" t="s">
        <v>505</v>
      </c>
      <c r="J2" s="37" t="s">
        <v>547</v>
      </c>
      <c r="K2" s="37" t="s">
        <v>579</v>
      </c>
      <c r="L2" s="37" t="s">
        <v>578</v>
      </c>
    </row>
    <row r="3" spans="2:12">
      <c r="B3" s="19">
        <v>8006</v>
      </c>
      <c r="C3" s="21" t="s">
        <v>571</v>
      </c>
      <c r="D3" s="19" t="s">
        <v>538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524</v>
      </c>
      <c r="E4" s="11"/>
      <c r="F4" s="45"/>
      <c r="H4" s="45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5"/>
      <c r="H5" s="45"/>
      <c r="J5" s="22"/>
      <c r="L5" s="22"/>
    </row>
    <row r="6" spans="2:12">
      <c r="B6">
        <v>10001</v>
      </c>
      <c r="C6" s="22"/>
      <c r="D6" s="19" t="s">
        <v>531</v>
      </c>
      <c r="E6">
        <v>6</v>
      </c>
      <c r="F6" s="22"/>
      <c r="G6">
        <v>30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525</v>
      </c>
      <c r="E7">
        <v>0.5</v>
      </c>
      <c r="F7" s="17" t="s">
        <v>548</v>
      </c>
      <c r="G7">
        <v>5</v>
      </c>
      <c r="H7" s="17" t="s">
        <v>549</v>
      </c>
      <c r="J7" s="22"/>
      <c r="L7" s="22"/>
    </row>
    <row r="8" spans="2:12">
      <c r="B8">
        <v>10003</v>
      </c>
      <c r="C8" s="22"/>
      <c r="D8" s="19" t="s">
        <v>536</v>
      </c>
      <c r="E8">
        <v>10</v>
      </c>
      <c r="F8" s="22"/>
      <c r="G8">
        <v>90</v>
      </c>
      <c r="H8" s="22"/>
      <c r="I8">
        <v>1.2</v>
      </c>
      <c r="J8" s="22"/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2023-08-22T17:17:08Z</dcterms:modified>
  <cp:version>1200.0100.01</cp:version>
</cp:coreProperties>
</file>