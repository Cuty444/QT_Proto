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6F5C58FA-C2C2-4520-AEB6-4D3862640DD1}" xr6:coauthVersionLast="47" xr6:coauthVersionMax="47" xr10:uidLastSave="{00000000-0000-0000-0000-000000000000}"/>
  <bookViews>
    <workbookView xWindow="-108" yWindow="-108" windowWidth="23256" windowHeight="12456" firstSheet="11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4" l="1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M9" i="2"/>
  <c r="L9" i="2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M19" i="2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<sst xmlns="http://schemas.openxmlformats.org/spreadsheetml/2006/main" count="1219" uniqueCount="646">
  <si>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</si>
  <si>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</si>
  <si>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</si>
  <si>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</si>
  <si>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</si>
  <si>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</si>
  <si>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</si>
  <si>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</si>
  <si>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</si>
  <si>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</si>
  <si>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</si>
  <si>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</si>
  <si>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</si>
  <si>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</si>
  <si>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</si>
  <si>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</si>
  <si>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</si>
  <si>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</si>
  <si>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</si>
  <si>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</si>
  <si>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</si>
  <si>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</si>
  <si>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</si>
  <si>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</si>
  <si>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</si>
  <si>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</si>
  <si>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</si>
  <si>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</si>
  <si>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</si>
  <si>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</si>
  <si>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</si>
  <si>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</si>
  <si>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</si>
  <si>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</si>
  <si>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</si>
  <si>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</si>
  <si>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</si>
  <si>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</si>
  <si>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</si>
  <si>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</si>
  <si>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</si>
  <si>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</si>
  <si>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</si>
  <si>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</si>
  <si>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</si>
  <si>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</si>
  <si>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</si>
  <si>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</si>
  <si>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</si>
  <si>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</si>
  <si>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</si>
  <si>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</si>
  <si>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</si>
  <si>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</si>
  <si>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</si>
  <si>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</si>
  <si>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</si>
  <si>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</si>
  <si>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</si>
  <si>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</si>
  <si>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</si>
  <si>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</si>
  <si>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</si>
  <si>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</si>
  <si>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</si>
  <si>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</si>
  <si>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</si>
  <si>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</si>
  <si>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</si>
  <si>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</si>
  <si>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</si>
  <si>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</si>
  <si>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</si>
  <si>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</si>
  <si>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</si>
  <si>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</si>
  <si>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</si>
  <si>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</si>
  <si>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</si>
  <si>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</si>
  <si>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</si>
  <si>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</si>
  <si>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</si>
  <si>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</si>
  <si>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</si>
  <si>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</si>
  <si>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</si>
  <si>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</si>
  <si>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</si>
  <si>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</si>
  <si>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</si>
  <si>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</si>
  <si>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</si>
  <si>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</si>
  <si>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</si>
  <si>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</si>
  <si>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</si>
  <si>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</si>
  <si>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</si>
  <si>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</si>
  <si>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</si>
  <si>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</si>
  <si>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</si>
  <si>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</si>
  <si>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</si>
  <si>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</si>
  <si>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</si>
  <si>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</si>
  <si>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</si>
  <si>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</si>
  <si>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</si>
  <si>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</si>
  <si>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</si>
  <si>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</si>
  <si>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</si>
  <si>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</si>
  <si>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</si>
  <si>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</si>
  <si>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</si>
  <si>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</si>
  <si>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</si>
  <si>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</si>
  <si>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</si>
  <si>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</si>
  <si>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</si>
  <si>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</si>
  <si>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</si>
  <si>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</si>
  <si>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</si>
  <si>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</si>
  <si>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</si>
  <si>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</si>
  <si>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</si>
  <si>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</si>
  <si>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</si>
  <si>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</si>
  <si>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</si>
  <si>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</si>
  <si>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</si>
  <si>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</si>
  <si>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</si>
  <si>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</si>
  <si>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</si>
  <si>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</si>
  <si>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</si>
  <si>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</si>
  <si>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</si>
  <si>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</si>
  <si>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</si>
  <si>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</si>
  <si>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</si>
  <si>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</si>
  <si>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</si>
  <si>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</si>
  <si>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</si>
  <si>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</si>
  <si>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</si>
  <si>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</si>
  <si>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</si>
  <si>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</si>
  <si>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</si>
  <si>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</si>
  <si>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</si>
  <si>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</si>
  <si>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</si>
  <si>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</si>
  <si>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</si>
  <si>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</si>
  <si>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</si>
  <si>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</si>
  <si>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</si>
  <si>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</si>
  <si>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</si>
  <si>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</si>
  <si>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</si>
  <si>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</si>
  <si>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</si>
  <si>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</si>
  <si>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</si>
  <si>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</si>
  <si>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</si>
  <si>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</si>
  <si>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</si>
  <si>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</si>
  <si>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</si>
  <si>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</si>
  <si>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</si>
  <si>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</si>
  <si>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</si>
  <si>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</si>
  <si>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</si>
  <si>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</si>
  <si>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</si>
  <si>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</si>
  <si>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</si>
  <si>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</si>
  <si>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</si>
  <si>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</si>
  <si>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</si>
  <si>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</si>
  <si>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</si>
  <si>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</si>
  <si>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</si>
  <si>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</si>
  <si>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</si>
  <si>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</si>
  <si>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</si>
  <si>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</si>
  <si>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</si>
  <si>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</si>
  <si>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</si>
  <si>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</si>
  <si>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</si>
  <si>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</si>
  <si>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</si>
  <si>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</si>
  <si>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</si>
  <si>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</si>
  <si>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</si>
  <si>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</si>
  <si>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</si>
  <si>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</si>
  <si>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</si>
  <si>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</si>
  <si>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</si>
  <si>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</si>
  <si>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</si>
  <si>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</si>
  <si>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</si>
  <si>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</si>
  <si>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</si>
  <si>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</si>
  <si>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</si>
  <si>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</si>
  <si>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</si>
  <si>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</si>
  <si>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</si>
  <si>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</si>
  <si>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</si>
  <si>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</si>
  <si>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</si>
  <si>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</si>
  <si>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</si>
  <si>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</si>
  <si>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</si>
  <si>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</si>
  <si>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</si>
  <si>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</si>
  <si>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</si>
  <si>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</si>
  <si>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</si>
  <si>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</si>
  <si>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</si>
  <si>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</si>
  <si>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</si>
  <si>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</si>
  <si>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</si>
  <si>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</si>
  <si>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</si>
  <si>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</si>
  <si>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</si>
  <si>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</si>
  <si>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</si>
  <si>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</si>
  <si>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</si>
  <si>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</si>
  <si>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</si>
  <si>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</si>
  <si>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</si>
  <si>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</si>
  <si>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</si>
  <si>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</si>
  <si>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</si>
  <si>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</si>
  <si>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</si>
  <si>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</si>
  <si>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</si>
  <si>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</si>
  <si>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</si>
  <si>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</si>
  <si>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</si>
  <si>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</si>
  <si>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</si>
  <si>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</si>
  <si>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</si>
  <si>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</si>
  <si>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</si>
  <si>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</si>
  <si>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</si>
  <si>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</si>
  <si>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</si>
  <si>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</si>
  <si>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</si>
  <si>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</si>
  <si>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</si>
  <si>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</si>
  <si>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</si>
  <si>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</si>
  <si>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</si>
  <si>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</si>
  <si>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</si>
  <si>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</si>
  <si>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</si>
  <si>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</si>
  <si>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</si>
  <si>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</si>
  <si>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</si>
  <si>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</si>
  <si>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</si>
  <si>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</si>
  <si>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</si>
  <si>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</si>
  <si>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</si>
  <si>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</si>
  <si>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</si>
  <si>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</si>
  <si>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</si>
  <si>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</si>
  <si>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</si>
  <si>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</si>
  <si>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</si>
  <si>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</si>
  <si>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</si>
  <si>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</si>
  <si>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</si>
  <si>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</si>
  <si>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</si>
  <si>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</si>
  <si>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</si>
  <si>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</si>
  <si>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</si>
  <si>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</si>
  <si>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</si>
  <si>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</si>
  <si>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</si>
  <si>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</si>
  <si>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</si>
  <si>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</si>
  <si>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</si>
  <si>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</si>
  <si>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</si>
  <si>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</si>
  <si>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</si>
  <si>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</si>
  <si>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</si>
  <si>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</si>
  <si>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</si>
  <si>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</si>
  <si>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</si>
  <si>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</si>
  <si>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</si>
  <si>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</si>
  <si>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</si>
  <si>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</si>
  <si>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</si>
  <si>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</si>
  <si>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</si>
  <si>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</si>
  <si>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</si>
  <si>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</si>
  <si>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</si>
  <si>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</si>
  <si>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</si>
  <si>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</si>
  <si>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</si>
  <si>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</si>
  <si>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</si>
  <si>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</si>
  <si>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</si>
  <si>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</si>
  <si>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</si>
  <si>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</si>
  <si>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</si>
  <si>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</si>
  <si>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</si>
  <si>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</si>
  <si>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</si>
  <si>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</si>
  <si>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</si>
  <si>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</si>
  <si>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</si>
  <si>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</si>
  <si>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</si>
  <si>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</si>
  <si>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</si>
  <si>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</si>
  <si>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</si>
  <si>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</si>
  <si>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</si>
  <si>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</si>
  <si>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</si>
  <si>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</si>
  <si>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</si>
  <si>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</si>
  <si>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</si>
  <si>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</si>
  <si>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</si>
  <si>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</si>
  <si>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</si>
  <si>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</si>
  <si>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</si>
  <si>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</si>
  <si>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</si>
  <si>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</si>
  <si>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</si>
  <si>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</si>
  <si>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</si>
  <si>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</si>
  <si>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</si>
  <si>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</si>
  <si>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</si>
  <si>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</si>
  <si>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</si>
  <si>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</si>
  <si>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</si>
  <si>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</si>
  <si>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</si>
  <si>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</si>
  <si>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</si>
  <si>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</si>
  <si>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</si>
  <si>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</si>
  <si>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</si>
  <si>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</si>
  <si>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</si>
  <si>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</si>
  <si>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</si>
  <si>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</si>
  <si>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</si>
  <si>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</si>
  <si>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</si>
  <si>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</si>
  <si>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</si>
  <si>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</si>
  <si>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</si>
  <si>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</si>
  <si>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</si>
  <si>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</si>
  <si>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</si>
  <si>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</si>
  <si>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</si>
  <si>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</si>
  <si>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</si>
  <si>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</si>
  <si>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</si>
  <si>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</si>
  <si>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</si>
  <si>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</si>
  <si>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</si>
  <si>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</si>
  <si>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</si>
  <si>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</si>
  <si>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</si>
  <si>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</si>
  <si>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</si>
  <si>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</si>
  <si>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</si>
  <si>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</si>
  <si>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</si>
  <si>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</si>
  <si>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</si>
  <si>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</si>
  <si>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</si>
  <si>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</si>
  <si>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</si>
  <si>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</si>
  <si>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</si>
  <si>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</si>
  <si>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</si>
  <si>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</si>
  <si>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</si>
  <si>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</si>
  <si>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</si>
  <si>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</si>
  <si>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</si>
  <si>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</si>
  <si>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</si>
  <si>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</si>
  <si>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</si>
  <si>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</si>
  <si>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</si>
  <si>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</si>
  <si>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</si>
  <si>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</si>
  <si>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</si>
  <si>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</si>
  <si>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</si>
  <si>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</si>
  <si>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</si>
  <si>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</si>
  <si>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</si>
  <si>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</si>
  <si>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</si>
  <si>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</si>
  <si>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</si>
  <si>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</si>
  <si>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</si>
  <si>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</si>
  <si>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</si>
  <si>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</si>
  <si>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</si>
  <si>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</si>
  <si>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</si>
  <si>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</si>
  <si>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</si>
  <si>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</si>
  <si>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</si>
  <si>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</si>
  <si>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</si>
  <si>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</si>
  <si>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</si>
  <si>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</si>
  <si>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</si>
  <si>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</si>
  <si>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</si>
  <si>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</si>
  <si>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</si>
  <si>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</si>
  <si>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</si>
  <si>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</si>
  <si>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</si>
  <si>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</si>
  <si>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</si>
  <si>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</si>
  <si>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</si>
  <si>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</si>
  <si>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</si>
  <si>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</si>
  <si>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</si>
  <si>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</si>
  <si>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</si>
  <si>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</si>
  <si>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</si>
  <si>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</si>
  <si>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</si>
  <si>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</si>
  <si>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</si>
  <si>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</si>
  <si>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</si>
  <si>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</si>
  <si>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</si>
  <si>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</si>
  <si>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</si>
  <si>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</si>
  <si>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차징속도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</si>
  <si>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</si>
  <si>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</si>
  <si>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</si>
  <si>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</si>
  <si>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</si>
  <si>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</si>
  <si>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</si>
  <si>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</si>
  <si>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</si>
  <si>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</si>
  <si>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</si>
  <si>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</si>
  <si>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</si>
  <si>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</si>
  <si>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</si>
  <si>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</si>
  <si>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</si>
  <si>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</si>
  <si>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</si>
  <si>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</si>
  <si>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</si>
  <si>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</si>
  <si>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</si>
  <si>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</si>
  <si>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</si>
  <si>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</si>
  <si>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</si>
  <si>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</si>
  <si>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고대에 멸종된 것으로 보이는 유물 입니다.\n많은 시간이 지났지만 튼튼하고 고통스럽습니다.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</si>
  <si>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</si>
  <si>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</si>
  <si>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</si>
  <si>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</si>
  <si>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</si>
  <si>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</si>
  <si>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</si>
  <si>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</si>
  <si>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</si>
  <si>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</si>
  <si>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</si>
  <si>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일반 공격이 차징 공격이 됩니다.</t>
    <phoneticPr fontId="8" type="noConversion"/>
  </si>
  <si>
    <t>공격속도 -40%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</si>
  <si>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</si>
  <si>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</si>
  <si>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</si>
  <si>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</si>
  <si>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</si>
  <si>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</si>
  <si>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</si>
  <si>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</si>
  <si>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</si>
  <si>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공격속도 40% 감소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</si>
  <si>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</si>
  <si>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</si>
  <si>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</si>
  <si>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</si>
  <si>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</si>
  <si>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</si>
  <si>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</si>
  <si>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</si>
  <si>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</si>
  <si>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</si>
  <si>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</si>
  <si>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</si>
  <si>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</si>
  <si>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</si>
  <si>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</si>
  <si>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</si>
  <si>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</si>
  <si>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</si>
  <si>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</si>
  <si>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</si>
  <si>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</si>
  <si>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</si>
  <si>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</si>
  <si>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일반5 희귀5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</si>
  <si>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</si>
  <si>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</si>
  <si>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</si>
  <si>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</si>
  <si>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</si>
  <si>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</si>
  <si>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</si>
  <si>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</si>
  <si>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</si>
  <si>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</si>
  <si>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</si>
  <si>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</si>
  <si>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</si>
  <si>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</si>
  <si>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</si>
  <si>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회피 시 공 4개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</si>
  <si>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</si>
  <si>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</si>
  <si>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</si>
  <si>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</si>
  <si>
    <t>DodgeCooldown</t>
    <phoneticPr fontId="19" type="noConversion"/>
  </si>
  <si>
    <t>3초에 한번씩\n공격 시 공 3개 발사</t>
    <phoneticPr fontId="8" type="noConversion"/>
  </si>
  <si>
    <t>회피 재사용 대기 +50%</t>
    <phoneticPr fontId="8" type="noConversion"/>
  </si>
  <si>
    <t>Prefabs/ItemProjectile2.prefab</t>
    <phoneticPr fontId="8" type="noConversion"/>
  </si>
  <si>
    <t>회피 쿨타임 100% 증가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</si>
</sst>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1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28" totalsRowShown="0" headerRowDxfId="17">
  <autoFilter ref="B2:H28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4" t="s">
        <v>312</v>
      </c>
      <c r="C1" s="55"/>
      <c r="D1" s="55"/>
      <c r="E1" s="55"/>
    </row>
    <row r="2" spans="2:5" s="1" customFormat="1">
      <c r="B2" s="55"/>
      <c r="C2" s="55"/>
      <c r="D2" s="55"/>
      <c r="E2" s="55"/>
    </row>
    <row r="3" spans="2:5" s="1" customFormat="1">
      <c r="B3" s="55"/>
      <c r="C3" s="55"/>
      <c r="D3" s="55"/>
      <c r="E3" s="55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10" sqref="L10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  <col min="9" max="9" width="11.796875" customWidth="1"/>
    <col min="11" max="11" width="8.3984375" customWidth="1"/>
    <col min="12" max="13" width="13.69921875" bestFit="1" customWidth="1"/>
  </cols>
  <sheetData>
    <row r="1" spans="2:13" s="1" customFormat="1">
      <c r="B1" s="54" t="s">
        <v>200</v>
      </c>
      <c r="C1" s="55"/>
      <c r="D1" s="55"/>
      <c r="E1" s="55"/>
    </row>
    <row r="2" spans="2:13" s="1" customFormat="1">
      <c r="B2" s="55"/>
      <c r="C2" s="55"/>
      <c r="D2" s="55"/>
      <c r="E2" s="55"/>
    </row>
    <row r="3" spans="2:13" s="1" customFormat="1">
      <c r="B3" s="55"/>
      <c r="C3" s="55"/>
      <c r="D3" s="55"/>
      <c r="E3" s="55"/>
    </row>
    <row r="5" spans="2:13">
      <c r="B5" s="2" t="s">
        <v>89</v>
      </c>
      <c r="J5" s="2" t="s">
        <v>463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464</v>
      </c>
      <c r="K6" s="14" t="s">
        <v>461</v>
      </c>
      <c r="L6" s="14" t="s">
        <v>458</v>
      </c>
      <c r="M6" s="14" t="s">
        <v>459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465</v>
      </c>
      <c r="K7">
        <v>0</v>
      </c>
      <c r="L7">
        <v>3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466</v>
      </c>
      <c r="K8">
        <v>0</v>
      </c>
      <c r="L8">
        <v>4</v>
      </c>
      <c r="M8">
        <v>12</v>
      </c>
    </row>
    <row r="9" spans="2:13">
      <c r="J9" t="s">
        <v>467</v>
      </c>
      <c r="K9">
        <f>SUBTOTAL(101,표20[박쥐])</f>
        <v>0</v>
      </c>
      <c r="L9">
        <f>SUBTOTAL(101,표20[일반])</f>
        <v>3.5</v>
      </c>
      <c r="M9">
        <f>SUBTOTAL(101,표20[정예])</f>
        <v>9.5</v>
      </c>
    </row>
    <row r="11" spans="2:13">
      <c r="B11" s="2" t="s">
        <v>462</v>
      </c>
      <c r="C11" s="2"/>
      <c r="D11" s="2"/>
      <c r="J11" s="2" t="s">
        <v>607</v>
      </c>
    </row>
    <row r="12" spans="2:13">
      <c r="B12" s="14" t="s">
        <v>606</v>
      </c>
      <c r="C12" s="14" t="s">
        <v>460</v>
      </c>
      <c r="D12" s="14" t="s">
        <v>461</v>
      </c>
      <c r="E12" s="14" t="s">
        <v>458</v>
      </c>
      <c r="F12" s="14" t="s">
        <v>459</v>
      </c>
      <c r="G12" s="14" t="s">
        <v>615</v>
      </c>
      <c r="H12" s="14"/>
      <c r="J12" s="14" t="s">
        <v>606</v>
      </c>
      <c r="K12" s="14" t="s">
        <v>614</v>
      </c>
      <c r="L12" s="14" t="s">
        <v>616</v>
      </c>
      <c r="M12" s="14" t="s">
        <v>617</v>
      </c>
    </row>
    <row r="13" spans="2:13">
      <c r="B13" s="14" t="s">
        <v>609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10.5</v>
      </c>
      <c r="J13" s="14" t="s">
        <v>609</v>
      </c>
      <c r="K13">
        <f>INDEX(ProductialTable[MaxRoomValue],MATCH(표24[[#This Row],[층]],ProductialTable['#이름],0))</f>
        <v>10</v>
      </c>
      <c r="L13">
        <f>(SUMIFS(표11[평균획득골드],표11[층],표24[[#This Row],[층]])/_xlfn.MAXIFS(표11[스테이지],표11[층],표24[[#This Row],[층]]))</f>
        <v>9.4499999999999993</v>
      </c>
      <c r="M13">
        <f>(SUMIFS(표11[평균획득골드],표11[층],표24[[#This Row],[층]])/_xlfn.MAXIFS(표11[스테이지],표11[층],표24[[#This Row],[층]]))*
(표24[[#This Row],[개수]]-3)</f>
        <v>66.149999999999991</v>
      </c>
    </row>
    <row r="14" spans="2:13">
      <c r="B14" s="14" t="s">
        <v>609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10.5</v>
      </c>
      <c r="J14" s="14" t="s">
        <v>611</v>
      </c>
      <c r="K14">
        <f>INDEX(ProductialTable[MaxRoomValue],MATCH(표24[[#This Row],[층]],ProductialTable['#이름],0))</f>
        <v>12</v>
      </c>
      <c r="L14">
        <f>(SUMIFS(표11[평균획득골드],표11[층],표24[[#This Row],[층]])/_xlfn.MAXIFS(표11[스테이지],표11[층],표24[[#This Row],[층]]))</f>
        <v>14.35</v>
      </c>
      <c r="M14">
        <f>(SUMIFS(표11[평균획득골드],표11[층],표24[[#This Row],[층]])/_xlfn.MAXIFS(표11[스테이지],표11[층],표24[[#This Row],[층]]))*
(표24[[#This Row],[개수]]-3)</f>
        <v>129.15</v>
      </c>
    </row>
    <row r="15" spans="2:13">
      <c r="B15" s="14" t="s">
        <v>608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7</v>
      </c>
      <c r="J15" s="14" t="s">
        <v>613</v>
      </c>
      <c r="K15">
        <f>INDEX(ProductialTable[MaxRoomValue],MATCH(표24[[#This Row],[층]],ProductialTable['#이름],0))</f>
        <v>14</v>
      </c>
      <c r="L15">
        <f>(SUMIFS(표11[평균획득골드],표11[층],표24[[#This Row],[층]])/_xlfn.MAXIFS(표11[스테이지],표11[층],표24[[#This Row],[층]]))</f>
        <v>25.95</v>
      </c>
      <c r="M15">
        <f>(SUMIFS(표11[평균획득골드],표11[층],표24[[#This Row],[층]])/_xlfn.MAXIFS(표11[스테이지],표11[층],표24[[#This Row],[층]]))*
(표24[[#This Row],[개수]]-3)</f>
        <v>285.45</v>
      </c>
    </row>
    <row r="16" spans="2:13">
      <c r="B16" s="14" t="s">
        <v>608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10.5</v>
      </c>
      <c r="J16" s="14" t="s">
        <v>467</v>
      </c>
      <c r="M16">
        <f>SUBTOTAL(109,표24[층 완료 획득])</f>
        <v>480.75</v>
      </c>
    </row>
    <row r="17" spans="2:13">
      <c r="B17" s="14" t="s">
        <v>608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10.5</v>
      </c>
    </row>
    <row r="18" spans="2:13">
      <c r="B18" s="14" t="s">
        <v>608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7</v>
      </c>
      <c r="L18" s="14" t="s">
        <v>618</v>
      </c>
      <c r="M18" s="14">
        <f>표24[[#Totals],[층 완료 획득]]/30</f>
        <v>16.024999999999999</v>
      </c>
    </row>
    <row r="19" spans="2:13">
      <c r="B19" s="14" t="s">
        <v>608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10.5</v>
      </c>
      <c r="L19" s="14" t="s">
        <v>619</v>
      </c>
      <c r="M19" s="14">
        <f>표24[[#Totals],[층 완료 획득]]/60</f>
        <v>8.0124999999999993</v>
      </c>
    </row>
    <row r="20" spans="2:13">
      <c r="B20" s="14" t="s">
        <v>608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10.5</v>
      </c>
      <c r="L20" s="14" t="s">
        <v>620</v>
      </c>
    </row>
    <row r="21" spans="2:13">
      <c r="B21" s="14" t="s">
        <v>608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7</v>
      </c>
    </row>
    <row r="22" spans="2:13">
      <c r="B22" s="14" t="s">
        <v>608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10.5</v>
      </c>
    </row>
    <row r="23" spans="2:13">
      <c r="B23" s="14" t="s">
        <v>611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14</v>
      </c>
    </row>
    <row r="24" spans="2:13">
      <c r="B24" s="14" t="s">
        <v>611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17.5</v>
      </c>
    </row>
    <row r="25" spans="2:13">
      <c r="B25" s="14" t="s">
        <v>610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10.5</v>
      </c>
    </row>
    <row r="26" spans="2:13">
      <c r="B26" s="14" t="s">
        <v>610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14</v>
      </c>
    </row>
    <row r="27" spans="2:13">
      <c r="B27" s="14" t="s">
        <v>610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14</v>
      </c>
    </row>
    <row r="28" spans="2:13">
      <c r="B28" s="14" t="s">
        <v>610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14</v>
      </c>
    </row>
    <row r="29" spans="2:13">
      <c r="B29" s="14" t="s">
        <v>610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14</v>
      </c>
    </row>
    <row r="30" spans="2:13">
      <c r="B30" s="14" t="s">
        <v>610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14</v>
      </c>
    </row>
    <row r="31" spans="2:13">
      <c r="B31" s="14" t="s">
        <v>610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14</v>
      </c>
    </row>
    <row r="32" spans="2:13">
      <c r="B32" s="14" t="s">
        <v>610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17.5</v>
      </c>
    </row>
    <row r="33" spans="2:7">
      <c r="B33" s="14" t="s">
        <v>613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23.5</v>
      </c>
    </row>
    <row r="34" spans="2:7">
      <c r="B34" s="14" t="s">
        <v>613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27</v>
      </c>
    </row>
    <row r="35" spans="2:7">
      <c r="B35" s="14" t="s">
        <v>612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27</v>
      </c>
    </row>
    <row r="36" spans="2:7">
      <c r="B36" s="14" t="s">
        <v>612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23.5</v>
      </c>
    </row>
    <row r="37" spans="2:7">
      <c r="B37" s="14" t="s">
        <v>612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27</v>
      </c>
    </row>
    <row r="38" spans="2:7">
      <c r="B38" s="14" t="s">
        <v>612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27</v>
      </c>
    </row>
    <row r="39" spans="2:7">
      <c r="B39" s="14" t="s">
        <v>612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30.5</v>
      </c>
    </row>
    <row r="40" spans="2:7">
      <c r="B40" s="14" t="s">
        <v>612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27</v>
      </c>
    </row>
    <row r="41" spans="2:7">
      <c r="B41" s="14" t="s">
        <v>612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20</v>
      </c>
    </row>
    <row r="42" spans="2:7">
      <c r="B42" s="14" t="s">
        <v>612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27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4" t="s">
        <v>290</v>
      </c>
      <c r="C1" s="55"/>
      <c r="D1" s="55"/>
      <c r="E1" s="55"/>
      <c r="F1" s="55"/>
    </row>
    <row r="2" spans="1:21" s="1" customFormat="1">
      <c r="B2" s="55"/>
      <c r="C2" s="55"/>
      <c r="D2" s="55"/>
      <c r="E2" s="55"/>
      <c r="F2" s="55"/>
    </row>
    <row r="3" spans="1:21" s="1" customFormat="1">
      <c r="B3" s="55"/>
      <c r="C3" s="55"/>
      <c r="D3" s="55"/>
      <c r="E3" s="55"/>
      <c r="F3" s="55"/>
    </row>
    <row r="5" spans="1:21">
      <c r="B5" s="2" t="s">
        <v>105</v>
      </c>
      <c r="G5" s="2" t="s">
        <v>214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331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294</v>
      </c>
      <c r="O6" t="s">
        <v>329</v>
      </c>
      <c r="P6" t="s">
        <v>292</v>
      </c>
      <c r="R6" t="s">
        <v>104</v>
      </c>
      <c r="S6" s="14" t="s">
        <v>468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11"/>
      <c r="B8" s="11" t="s">
        <v>2</v>
      </c>
      <c r="C8" s="11" t="s">
        <v>236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11"/>
      <c r="B9" s="11" t="s">
        <v>55</v>
      </c>
      <c r="C9" s="11" t="s">
        <v>236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266</v>
      </c>
      <c r="S9" s="2"/>
      <c r="T9" s="2"/>
    </row>
    <row r="10" spans="1:21">
      <c r="A10" s="11"/>
      <c r="B10" s="11" t="s">
        <v>194</v>
      </c>
      <c r="C10" s="11" t="s">
        <v>236</v>
      </c>
      <c r="D10" t="s">
        <v>326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278</v>
      </c>
      <c r="C11" s="11" t="s">
        <v>236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222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11"/>
      <c r="B13" s="11" t="s">
        <v>316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288</v>
      </c>
    </row>
    <row r="15" spans="1:21">
      <c r="A15" s="11"/>
      <c r="B15" s="11" t="s">
        <v>217</v>
      </c>
      <c r="C15" s="11" t="s">
        <v>22</v>
      </c>
      <c r="D15" t="s">
        <v>230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241</v>
      </c>
      <c r="E16" s="10">
        <v>40</v>
      </c>
    </row>
    <row r="17" spans="1:5">
      <c r="A17" s="11"/>
      <c r="B17" s="11" t="s">
        <v>317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338</v>
      </c>
      <c r="C18" s="11" t="s">
        <v>22</v>
      </c>
      <c r="D18" t="s">
        <v>328</v>
      </c>
      <c r="E18" s="12">
        <f>30/-0.2</f>
        <v>-150</v>
      </c>
    </row>
    <row r="19" spans="1:5">
      <c r="A19" s="11"/>
      <c r="B19" s="11" t="s">
        <v>207</v>
      </c>
      <c r="C19" s="11" t="s">
        <v>22</v>
      </c>
      <c r="D19" t="s">
        <v>229</v>
      </c>
      <c r="E19">
        <f>50/100</f>
        <v>0.5</v>
      </c>
    </row>
    <row r="20" spans="1:5">
      <c r="A20" s="11"/>
      <c r="B20" s="11" t="s">
        <v>238</v>
      </c>
      <c r="C20" s="11" t="s">
        <v>22</v>
      </c>
      <c r="D20" t="s">
        <v>232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256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248</v>
      </c>
      <c r="E22">
        <f>30/1/2</f>
        <v>15</v>
      </c>
    </row>
    <row r="23" spans="1:5">
      <c r="A23" s="11"/>
      <c r="B23" s="11" t="s">
        <v>220</v>
      </c>
      <c r="C23" s="11" t="s">
        <v>22</v>
      </c>
      <c r="D23" t="s">
        <v>324</v>
      </c>
      <c r="E23">
        <f>50/25</f>
        <v>2</v>
      </c>
    </row>
    <row r="24" spans="1:5">
      <c r="A24" s="11"/>
      <c r="B24" s="11" t="s">
        <v>228</v>
      </c>
      <c r="C24" s="11" t="s">
        <v>22</v>
      </c>
      <c r="D24" t="s">
        <v>325</v>
      </c>
      <c r="E24">
        <f>50/25</f>
        <v>2</v>
      </c>
    </row>
    <row r="25" spans="1:5">
      <c r="A25" s="11"/>
      <c r="B25" s="11" t="s">
        <v>247</v>
      </c>
      <c r="C25" s="11" t="s">
        <v>22</v>
      </c>
      <c r="D25" t="s">
        <v>343</v>
      </c>
      <c r="E25">
        <v>2</v>
      </c>
    </row>
    <row r="26" spans="1:5">
      <c r="A26" s="11"/>
      <c r="B26" s="11" t="s">
        <v>269</v>
      </c>
      <c r="C26" s="11" t="s">
        <v>22</v>
      </c>
      <c r="D26" t="s">
        <v>344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279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370</v>
      </c>
      <c r="E30">
        <v>50</v>
      </c>
    </row>
    <row r="31" spans="1:5">
      <c r="A31" s="11"/>
      <c r="B31" s="11" t="s">
        <v>277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223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204</v>
      </c>
    </row>
    <row r="4" spans="1:4">
      <c r="A4">
        <v>2</v>
      </c>
      <c r="B4" s="4" t="s">
        <v>245</v>
      </c>
      <c r="C4">
        <v>5</v>
      </c>
      <c r="D4" s="4" t="s">
        <v>180</v>
      </c>
    </row>
    <row r="5" spans="1:4">
      <c r="A5">
        <v>3</v>
      </c>
      <c r="B5" s="4" t="s">
        <v>270</v>
      </c>
      <c r="C5">
        <v>20</v>
      </c>
      <c r="D5" s="4" t="s">
        <v>8</v>
      </c>
    </row>
    <row r="6" spans="1:4">
      <c r="A6">
        <v>4</v>
      </c>
      <c r="B6" s="4" t="s">
        <v>272</v>
      </c>
      <c r="C6">
        <v>0.5</v>
      </c>
      <c r="D6" s="4" t="s">
        <v>196</v>
      </c>
    </row>
    <row r="7" spans="1:4">
      <c r="A7">
        <v>5</v>
      </c>
      <c r="B7" s="4" t="s">
        <v>320</v>
      </c>
      <c r="C7">
        <v>50</v>
      </c>
      <c r="D7" s="4" t="s">
        <v>369</v>
      </c>
    </row>
    <row r="8" spans="1:4">
      <c r="A8">
        <v>6</v>
      </c>
      <c r="B8" s="4" t="s">
        <v>323</v>
      </c>
      <c r="C8">
        <v>1</v>
      </c>
      <c r="D8" s="4" t="s">
        <v>169</v>
      </c>
    </row>
    <row r="9" spans="1:4">
      <c r="A9">
        <v>7</v>
      </c>
      <c r="B9" s="4" t="s">
        <v>368</v>
      </c>
      <c r="C9">
        <v>10</v>
      </c>
      <c r="D9" s="4" t="s">
        <v>366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5"/>
  <sheetViews>
    <sheetView topLeftCell="B1" zoomScaleNormal="75" zoomScaleSheetLayoutView="100" workbookViewId="0">
      <selection activeCell="I5" sqref="I5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286</v>
      </c>
      <c r="F2" t="s">
        <v>2</v>
      </c>
      <c r="G2" s="14" t="s">
        <v>565</v>
      </c>
      <c r="H2" t="s">
        <v>14</v>
      </c>
      <c r="I2" s="19" t="s">
        <v>527</v>
      </c>
      <c r="J2" t="s">
        <v>12</v>
      </c>
      <c r="K2" t="s">
        <v>28</v>
      </c>
      <c r="L2" t="s">
        <v>226</v>
      </c>
      <c r="M2" t="s">
        <v>282</v>
      </c>
      <c r="N2" t="s">
        <v>194</v>
      </c>
      <c r="O2" t="s">
        <v>278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  <row r="4" spans="2:16">
      <c r="I4" s="14"/>
    </row>
    <row r="5" spans="2:16">
      <c r="I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opLeftCell="M1" zoomScaleNormal="75" zoomScaleSheetLayoutView="100" workbookViewId="0">
      <selection activeCell="O4" sqref="O4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5" width="22.69921875" bestFit="1" customWidth="1"/>
    <col min="16" max="16" width="18.8984375" bestFit="1" customWidth="1"/>
    <col min="17" max="18" width="19.5" bestFit="1" customWidth="1"/>
    <col min="19" max="20" width="23.3984375" bestFit="1" customWidth="1"/>
    <col min="21" max="22" width="23.19921875" bestFit="1" customWidth="1"/>
    <col min="23" max="23" width="13.3984375" bestFit="1" customWidth="1"/>
    <col min="24" max="24" width="14.09765625" bestFit="1" customWidth="1"/>
    <col min="25" max="25" width="25.19921875" bestFit="1" customWidth="1"/>
    <col min="26" max="28" width="22.296875" bestFit="1" customWidth="1"/>
    <col min="29" max="29" width="21.19921875" customWidth="1"/>
    <col min="30" max="30" width="27.1992187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201</v>
      </c>
      <c r="E2" s="6" t="s">
        <v>208</v>
      </c>
      <c r="F2" s="6" t="s">
        <v>319</v>
      </c>
      <c r="G2" s="7" t="s">
        <v>20</v>
      </c>
      <c r="H2" s="41" t="s">
        <v>528</v>
      </c>
      <c r="I2" s="8" t="s">
        <v>316</v>
      </c>
      <c r="J2" s="8" t="s">
        <v>17</v>
      </c>
      <c r="K2" s="8" t="s">
        <v>338</v>
      </c>
      <c r="L2" s="8" t="s">
        <v>186</v>
      </c>
      <c r="M2" s="8" t="s">
        <v>207</v>
      </c>
      <c r="N2" s="8" t="s">
        <v>238</v>
      </c>
      <c r="O2" s="53" t="s">
        <v>640</v>
      </c>
      <c r="P2" s="8" t="s">
        <v>31</v>
      </c>
      <c r="Q2" s="9" t="s">
        <v>220</v>
      </c>
      <c r="R2" s="9" t="s">
        <v>228</v>
      </c>
      <c r="S2" s="9" t="s">
        <v>247</v>
      </c>
      <c r="T2" s="9" t="s">
        <v>269</v>
      </c>
      <c r="U2" s="9" t="s">
        <v>486</v>
      </c>
      <c r="V2" s="33" t="s">
        <v>487</v>
      </c>
      <c r="W2" s="1" t="s">
        <v>317</v>
      </c>
      <c r="X2" s="5" t="s">
        <v>332</v>
      </c>
      <c r="Y2" s="5" t="s">
        <v>221</v>
      </c>
      <c r="Z2" s="5" t="s">
        <v>244</v>
      </c>
      <c r="AA2" s="5" t="s">
        <v>224</v>
      </c>
      <c r="AB2" s="5" t="s">
        <v>243</v>
      </c>
      <c r="AC2" s="5" t="s">
        <v>235</v>
      </c>
      <c r="AD2" s="5" t="s">
        <v>26</v>
      </c>
    </row>
    <row r="3" spans="2:30">
      <c r="B3">
        <v>200</v>
      </c>
      <c r="C3" s="4" t="s">
        <v>293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2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30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44.06666666666667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E1" zoomScaleNormal="75" zoomScaleSheetLayoutView="100" workbookViewId="0">
      <selection activeCell="N4" sqref="N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213</v>
      </c>
      <c r="E2" s="27" t="s">
        <v>203</v>
      </c>
      <c r="F2" s="27" t="s">
        <v>287</v>
      </c>
      <c r="G2" t="s">
        <v>15</v>
      </c>
      <c r="H2" t="s">
        <v>305</v>
      </c>
      <c r="I2" t="s">
        <v>211</v>
      </c>
      <c r="J2" t="s">
        <v>209</v>
      </c>
      <c r="K2" t="s">
        <v>291</v>
      </c>
      <c r="L2" t="s">
        <v>205</v>
      </c>
      <c r="M2" t="s">
        <v>212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609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611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613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532</v>
      </c>
      <c r="H2" t="s">
        <v>48</v>
      </c>
      <c r="I2" t="s">
        <v>93</v>
      </c>
    </row>
    <row r="3" spans="1:11">
      <c r="B3" s="27">
        <v>9001</v>
      </c>
      <c r="C3" s="30" t="s">
        <v>485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484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481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398</v>
      </c>
      <c r="B6">
        <v>9100</v>
      </c>
      <c r="C6" s="16" t="s">
        <v>482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483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297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306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506</v>
      </c>
      <c r="D1" s="14" t="s">
        <v>398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490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505</v>
      </c>
      <c r="D2" s="15" t="s">
        <v>398</v>
      </c>
      <c r="E2" t="s">
        <v>128</v>
      </c>
      <c r="F2" s="19" t="s">
        <v>480</v>
      </c>
      <c r="G2" t="s">
        <v>299</v>
      </c>
      <c r="H2" t="s">
        <v>301</v>
      </c>
      <c r="I2" s="19" t="s">
        <v>510</v>
      </c>
      <c r="J2" t="s">
        <v>2</v>
      </c>
      <c r="K2" s="19" t="s">
        <v>491</v>
      </c>
      <c r="L2" t="s">
        <v>199</v>
      </c>
      <c r="M2" t="s">
        <v>195</v>
      </c>
      <c r="N2" t="s">
        <v>197</v>
      </c>
      <c r="O2" t="s">
        <v>298</v>
      </c>
      <c r="P2" t="s">
        <v>206</v>
      </c>
      <c r="Q2" t="s">
        <v>304</v>
      </c>
      <c r="R2" t="s">
        <v>302</v>
      </c>
      <c r="S2" t="s">
        <v>11</v>
      </c>
      <c r="T2" t="s">
        <v>307</v>
      </c>
      <c r="U2" s="5" t="s">
        <v>309</v>
      </c>
      <c r="V2" s="5" t="s">
        <v>327</v>
      </c>
    </row>
    <row r="3" spans="2:22">
      <c r="B3">
        <v>500</v>
      </c>
      <c r="C3" s="4" t="s">
        <v>40</v>
      </c>
      <c r="D3" s="16" t="s">
        <v>399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503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433</v>
      </c>
      <c r="D4" s="16" t="s">
        <v>401</v>
      </c>
      <c r="E4">
        <f>표14[적 기준 체력]*EnemyGameData[[#This Row],['#기준 적 체력 비율]]</f>
        <v>80</v>
      </c>
      <c r="F4">
        <v>12</v>
      </c>
      <c r="G4" t="s">
        <v>308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521</v>
      </c>
      <c r="N4">
        <v>2</v>
      </c>
      <c r="O4">
        <v>600</v>
      </c>
      <c r="P4">
        <v>0</v>
      </c>
      <c r="Q4">
        <v>3</v>
      </c>
      <c r="R4">
        <v>4</v>
      </c>
      <c r="S4">
        <v>501</v>
      </c>
      <c r="T4" s="19" t="s">
        <v>504</v>
      </c>
      <c r="U4">
        <v>0.8</v>
      </c>
      <c r="V4">
        <f>AVERAGE(EnemyGameData[[#This Row],[GoldDropMin]],EnemyGameData[[#This Row],[GoldDropMax]])</f>
        <v>3.5</v>
      </c>
    </row>
    <row r="5" spans="2:22">
      <c r="B5">
        <v>502</v>
      </c>
      <c r="C5" s="4" t="s">
        <v>335</v>
      </c>
      <c r="D5" s="16" t="s">
        <v>404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3</v>
      </c>
      <c r="R5">
        <v>4</v>
      </c>
      <c r="S5">
        <v>501</v>
      </c>
      <c r="T5" s="19" t="s">
        <v>504</v>
      </c>
      <c r="U5">
        <v>1</v>
      </c>
      <c r="V5">
        <f>AVERAGE(EnemyGameData[[#This Row],[GoldDropMin]],EnemyGameData[[#This Row],[GoldDropMax]])</f>
        <v>3.5</v>
      </c>
    </row>
    <row r="6" spans="2:22">
      <c r="B6">
        <v>503</v>
      </c>
      <c r="C6" s="4" t="s">
        <v>242</v>
      </c>
      <c r="D6" s="16" t="s">
        <v>423</v>
      </c>
      <c r="E6">
        <f>표14[적 기준 체력]*EnemyGameData[[#This Row],['#기준 적 체력 비율]]</f>
        <v>80</v>
      </c>
      <c r="F6">
        <v>12</v>
      </c>
      <c r="G6" t="s">
        <v>308</v>
      </c>
      <c r="H6">
        <v>8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3</v>
      </c>
      <c r="R6">
        <v>4</v>
      </c>
      <c r="S6">
        <v>501</v>
      </c>
      <c r="T6" s="19" t="s">
        <v>504</v>
      </c>
      <c r="U6">
        <v>0.8</v>
      </c>
      <c r="V6">
        <f>AVERAGE(EnemyGameData[[#This Row],[GoldDropMin]],EnemyGameData[[#This Row],[GoldDropMax]])</f>
        <v>3.5</v>
      </c>
    </row>
    <row r="7" spans="2:22" s="23" customFormat="1">
      <c r="B7" s="23">
        <v>504</v>
      </c>
      <c r="C7" s="24" t="s">
        <v>233</v>
      </c>
      <c r="D7" s="24" t="s">
        <v>431</v>
      </c>
      <c r="E7" s="23">
        <f>표14[적 기준 체력]*EnemyGameData[[#This Row],['#기준 적 체력 비율]]</f>
        <v>80</v>
      </c>
      <c r="F7">
        <v>12</v>
      </c>
      <c r="G7" s="23" t="s">
        <v>308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504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234</v>
      </c>
      <c r="D8" s="24" t="s">
        <v>431</v>
      </c>
      <c r="E8" s="23">
        <f>표14[적 기준 체력]*EnemyGameData[[#This Row],['#기준 적 체력 비율]]</f>
        <v>100</v>
      </c>
      <c r="F8">
        <v>12</v>
      </c>
      <c r="G8" s="23" t="s">
        <v>308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504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237</v>
      </c>
      <c r="D9" s="16" t="s">
        <v>429</v>
      </c>
      <c r="E9">
        <f>표14[적 기준 체력]*EnemyGameData[[#This Row],['#기준 적 체력 비율]]</f>
        <v>100</v>
      </c>
      <c r="F9">
        <v>12</v>
      </c>
      <c r="G9" t="s">
        <v>308</v>
      </c>
      <c r="H9">
        <v>0.1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3</v>
      </c>
      <c r="R9">
        <v>4</v>
      </c>
      <c r="S9">
        <v>501</v>
      </c>
      <c r="T9" s="19" t="s">
        <v>504</v>
      </c>
      <c r="U9">
        <v>1</v>
      </c>
      <c r="V9">
        <f>AVERAGE(EnemyGameData[[#This Row],[GoldDropMin]],EnemyGameData[[#This Row],[GoldDropMax]])</f>
        <v>3.5</v>
      </c>
    </row>
    <row r="10" spans="2:22">
      <c r="B10">
        <v>507</v>
      </c>
      <c r="C10" s="4" t="s">
        <v>359</v>
      </c>
      <c r="D10" s="4"/>
      <c r="E10">
        <v>2000</v>
      </c>
      <c r="F10">
        <v>12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435</v>
      </c>
      <c r="D11" s="16" t="s">
        <v>434</v>
      </c>
      <c r="E11">
        <f>표14[적 기준 체력]*EnemyGameData[[#This Row],['#기준 적 체력 비율]]</f>
        <v>80</v>
      </c>
      <c r="F11">
        <v>12</v>
      </c>
      <c r="G11" t="s">
        <v>308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215</v>
      </c>
      <c r="N11">
        <v>2</v>
      </c>
      <c r="O11">
        <v>607</v>
      </c>
      <c r="P11">
        <v>0</v>
      </c>
      <c r="Q11">
        <v>3</v>
      </c>
      <c r="R11">
        <v>4</v>
      </c>
      <c r="S11">
        <v>501</v>
      </c>
      <c r="T11" s="19" t="s">
        <v>504</v>
      </c>
      <c r="U11">
        <v>0.8</v>
      </c>
      <c r="V11">
        <f>AVERAGE(EnemyGameData[[#This Row],[GoldDropMin]],EnemyGameData[[#This Row],[GoldDropMax]])</f>
        <v>3.5</v>
      </c>
    </row>
    <row r="12" spans="2:22">
      <c r="B12">
        <v>550</v>
      </c>
      <c r="C12" s="16" t="s">
        <v>427</v>
      </c>
      <c r="D12" s="16" t="s">
        <v>400</v>
      </c>
      <c r="E12">
        <f>표14[적 기준 체력]*EnemyGameData[[#This Row],['#기준 적 체력 비율]]</f>
        <v>140</v>
      </c>
      <c r="F12">
        <v>12</v>
      </c>
      <c r="G12" t="s">
        <v>308</v>
      </c>
      <c r="H12">
        <v>8</v>
      </c>
      <c r="I12">
        <v>2</v>
      </c>
      <c r="J12">
        <v>3.5</v>
      </c>
      <c r="K12">
        <v>25</v>
      </c>
      <c r="L12">
        <v>1.3</v>
      </c>
      <c r="M12" t="s">
        <v>215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504</v>
      </c>
      <c r="U12">
        <v>1.4</v>
      </c>
      <c r="V12">
        <v>7</v>
      </c>
    </row>
    <row r="13" spans="2:22">
      <c r="B13" s="35">
        <v>551</v>
      </c>
      <c r="C13" s="36" t="s">
        <v>425</v>
      </c>
      <c r="D13" s="36" t="s">
        <v>405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504</v>
      </c>
      <c r="U13" s="35">
        <v>1.6</v>
      </c>
      <c r="V13" s="35">
        <v>7</v>
      </c>
    </row>
    <row r="14" spans="2:22">
      <c r="B14">
        <v>552</v>
      </c>
      <c r="C14" s="16" t="s">
        <v>426</v>
      </c>
      <c r="D14" s="16" t="s">
        <v>424</v>
      </c>
      <c r="E14">
        <f>표14[적 기준 체력]*EnemyGameData[[#This Row],['#기준 적 체력 비율]]</f>
        <v>140</v>
      </c>
      <c r="F14">
        <v>12</v>
      </c>
      <c r="G14" t="s">
        <v>308</v>
      </c>
      <c r="H14">
        <v>8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>
        <v>12</v>
      </c>
      <c r="S14">
        <v>501</v>
      </c>
      <c r="T14" s="19" t="s">
        <v>504</v>
      </c>
      <c r="U14">
        <v>1.4</v>
      </c>
      <c r="V14">
        <v>7</v>
      </c>
    </row>
    <row r="15" spans="2:22">
      <c r="B15">
        <v>553</v>
      </c>
      <c r="C15" s="17" t="s">
        <v>430</v>
      </c>
      <c r="D15" s="16" t="s">
        <v>428</v>
      </c>
      <c r="E15">
        <f>표14[적 기준 체력]*EnemyGameData[[#This Row],['#기준 적 체력 비율]]</f>
        <v>160</v>
      </c>
      <c r="F15">
        <v>12</v>
      </c>
      <c r="G15" t="s">
        <v>308</v>
      </c>
      <c r="H15">
        <v>0.1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504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432</v>
      </c>
      <c r="D16" s="24" t="s">
        <v>431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503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43"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398</v>
      </c>
      <c r="I1" s="14" t="s">
        <v>398</v>
      </c>
    </row>
    <row r="2" spans="2:9">
      <c r="B2" t="s">
        <v>75</v>
      </c>
      <c r="C2" s="5" t="s">
        <v>43</v>
      </c>
      <c r="D2" t="s">
        <v>314</v>
      </c>
      <c r="E2" t="s">
        <v>126</v>
      </c>
      <c r="F2" t="s">
        <v>313</v>
      </c>
      <c r="G2" t="s">
        <v>310</v>
      </c>
      <c r="H2" s="14" t="s">
        <v>398</v>
      </c>
      <c r="I2" s="14" t="s">
        <v>457</v>
      </c>
    </row>
    <row r="3" spans="2:9">
      <c r="B3">
        <v>600</v>
      </c>
      <c r="C3" s="18" t="s">
        <v>449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406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406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406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406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406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406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406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406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406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445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453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453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453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444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340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340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340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443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450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451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452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474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474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474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474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474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474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474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474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474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474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474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474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474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474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474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474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454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455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456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438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438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438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438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438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438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438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438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438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438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438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438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439</v>
      </c>
      <c r="D57">
        <v>725</v>
      </c>
      <c r="E57" s="19" t="s">
        <v>436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439</v>
      </c>
      <c r="D58">
        <v>725</v>
      </c>
      <c r="E58" s="19" t="s">
        <v>436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440</v>
      </c>
      <c r="D59">
        <v>999</v>
      </c>
      <c r="E59" s="19" t="s">
        <v>437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3" zoomScaleNormal="75" zoomScaleSheetLayoutView="100" workbookViewId="0">
      <selection activeCell="F103" sqref="F103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315</v>
      </c>
      <c r="E2" t="s">
        <v>11</v>
      </c>
      <c r="F2" t="s">
        <v>216</v>
      </c>
      <c r="G2" t="s">
        <v>318</v>
      </c>
    </row>
    <row r="3" spans="2:7">
      <c r="B3">
        <v>700</v>
      </c>
      <c r="C3" s="4" t="s">
        <v>333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333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333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333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225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225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225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225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409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410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411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412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413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414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415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416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417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418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419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407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420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408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421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422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446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227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227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227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227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227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227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227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227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239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239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239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239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239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239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239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239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231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231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231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231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231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231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231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231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403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403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402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402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402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402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402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402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334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489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489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488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488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488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488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488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488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489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489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488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488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488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488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488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488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561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561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561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624</v>
      </c>
      <c r="D92">
        <v>45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624</v>
      </c>
      <c r="D93">
        <v>-45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624</v>
      </c>
      <c r="D94">
        <v>225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624</v>
      </c>
      <c r="D95">
        <v>-225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441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F6" sqref="F6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330</v>
      </c>
      <c r="E2" t="s">
        <v>168</v>
      </c>
      <c r="F2" t="s">
        <v>300</v>
      </c>
      <c r="G2" t="s">
        <v>307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201</v>
      </c>
      <c r="C4" s="14" t="s">
        <v>562</v>
      </c>
      <c r="D4" t="b">
        <v>1</v>
      </c>
      <c r="E4">
        <v>0.8</v>
      </c>
      <c r="F4">
        <v>15</v>
      </c>
      <c r="G4" s="14" t="s">
        <v>626</v>
      </c>
    </row>
    <row r="5" spans="2:7">
      <c r="B5">
        <v>203</v>
      </c>
      <c r="C5" s="14" t="s">
        <v>625</v>
      </c>
      <c r="D5" t="b">
        <v>1</v>
      </c>
      <c r="E5">
        <v>1.2</v>
      </c>
      <c r="F5">
        <v>30</v>
      </c>
      <c r="G5" s="14" t="s">
        <v>644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364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364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364</v>
      </c>
    </row>
    <row r="9" spans="2:7">
      <c r="B9">
        <v>401</v>
      </c>
      <c r="C9" s="4" t="s">
        <v>342</v>
      </c>
      <c r="D9" s="3" t="b">
        <v>1</v>
      </c>
      <c r="E9">
        <v>0.25</v>
      </c>
      <c r="F9">
        <v>25</v>
      </c>
      <c r="G9" t="s">
        <v>364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364</v>
      </c>
    </row>
    <row r="11" spans="2:7">
      <c r="B11">
        <v>403</v>
      </c>
      <c r="C11" s="16" t="s">
        <v>447</v>
      </c>
      <c r="D11" s="3" t="b">
        <v>0</v>
      </c>
      <c r="E11">
        <v>0.8</v>
      </c>
      <c r="F11">
        <v>25</v>
      </c>
      <c r="G11" t="s">
        <v>364</v>
      </c>
    </row>
    <row r="12" spans="2:7">
      <c r="B12">
        <v>404</v>
      </c>
      <c r="C12" s="16" t="s">
        <v>448</v>
      </c>
      <c r="D12" s="3" t="b">
        <v>1</v>
      </c>
      <c r="E12">
        <v>0.8</v>
      </c>
      <c r="F12">
        <v>25</v>
      </c>
      <c r="G12" t="s">
        <v>364</v>
      </c>
    </row>
    <row r="13" spans="2:7">
      <c r="B13">
        <v>999</v>
      </c>
      <c r="C13" s="21" t="s">
        <v>442</v>
      </c>
      <c r="D13" t="b">
        <v>1</v>
      </c>
      <c r="E13">
        <v>1</v>
      </c>
      <c r="F13">
        <v>25</v>
      </c>
      <c r="G13" s="19" t="s">
        <v>479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abSelected="1" topLeftCell="B1" zoomScale="70" zoomScaleNormal="70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8.8984375" customWidth="1"/>
    <col min="5" max="5" width="64.3984375" bestFit="1" customWidth="1"/>
    <col min="6" max="6" width="26.5" bestFit="1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533</v>
      </c>
      <c r="F2" s="19" t="s">
        <v>534</v>
      </c>
      <c r="G2" t="s">
        <v>280</v>
      </c>
      <c r="H2" t="s">
        <v>88</v>
      </c>
      <c r="I2" t="s">
        <v>92</v>
      </c>
      <c r="J2" t="s">
        <v>281</v>
      </c>
      <c r="K2" t="s">
        <v>16</v>
      </c>
      <c r="L2" t="s">
        <v>193</v>
      </c>
      <c r="M2" s="5" t="s">
        <v>354</v>
      </c>
      <c r="N2" s="1" t="s">
        <v>49</v>
      </c>
      <c r="O2" s="1" t="s">
        <v>391</v>
      </c>
      <c r="P2" s="1" t="s">
        <v>392</v>
      </c>
      <c r="Q2" s="1" t="s">
        <v>393</v>
      </c>
      <c r="R2" s="26" t="s">
        <v>475</v>
      </c>
      <c r="S2" s="26" t="s">
        <v>470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339</v>
      </c>
      <c r="D8" s="14" t="s">
        <v>631</v>
      </c>
      <c r="E8" s="19" t="s">
        <v>639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254</v>
      </c>
      <c r="M8" s="22" t="str">
        <f>MID(ItemTable[[#This Row],[ItemIconPath]],FIND("icon",ItemTable[[#This Row],[ItemIconPath]]),999)</f>
        <v>icon/item/item_02.png</v>
      </c>
      <c r="N8" s="43" t="s">
        <v>378</v>
      </c>
      <c r="O8" s="42" t="s">
        <v>355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394</v>
      </c>
      <c r="E9" t="s">
        <v>362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257</v>
      </c>
      <c r="M9" s="22" t="str">
        <f>MID(ItemTable[[#This Row],[ItemIconPath]],FIND("icon",ItemTable[[#This Row],[ItemIconPath]]),999)</f>
        <v>icon/item/item_04.png</v>
      </c>
      <c r="N9" s="43" t="s">
        <v>394</v>
      </c>
      <c r="O9" s="42" t="s">
        <v>362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376</v>
      </c>
      <c r="E10" t="s">
        <v>351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251</v>
      </c>
      <c r="M10" s="22" t="str">
        <f>MID(ItemTable[[#This Row],[ItemIconPath]],FIND("icon",ItemTable[[#This Row],[ItemIconPath]]),999)</f>
        <v>icon/item/item_05.png</v>
      </c>
      <c r="N10" s="43" t="s">
        <v>376</v>
      </c>
      <c r="O10" s="42" t="s">
        <v>351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377</v>
      </c>
      <c r="E11" s="27" t="s">
        <v>634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249</v>
      </c>
      <c r="M11" s="22" t="str">
        <f>MID(ItemTable[[#This Row],[ItemIconPath]],FIND("icon",ItemTable[[#This Row],[ItemIconPath]]),999)</f>
        <v>icon/item/item_07.png</v>
      </c>
      <c r="N11" s="43" t="s">
        <v>377</v>
      </c>
      <c r="O11" s="42" t="s">
        <v>350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580</v>
      </c>
      <c r="E12" s="14" t="s">
        <v>535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252</v>
      </c>
      <c r="M12" s="22" t="str">
        <f>MID(ItemTable[[#This Row],[ItemIconPath]],FIND("icon",ItemTable[[#This Row],[ItemIconPath]]),999)</f>
        <v>icon/item/item_11.png</v>
      </c>
      <c r="N12" s="43" t="s">
        <v>477</v>
      </c>
      <c r="O12" s="43" t="s">
        <v>471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390</v>
      </c>
      <c r="E13" s="14" t="s">
        <v>598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253</v>
      </c>
      <c r="M13" s="22" t="str">
        <f>MID(ItemTable[[#This Row],[ItemIconPath]],FIND("icon",ItemTable[[#This Row],[ItemIconPath]]),999)</f>
        <v>icon/item/item_15.png</v>
      </c>
      <c r="N13" s="43" t="s">
        <v>390</v>
      </c>
      <c r="O13" s="42" t="s">
        <v>348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397</v>
      </c>
      <c r="E14" s="49" t="s">
        <v>597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255</v>
      </c>
      <c r="M14" s="22" t="str">
        <f>MID(ItemTable[[#This Row],[ItemIconPath]],FIND("icon",ItemTable[[#This Row],[ItemIconPath]]),999)</f>
        <v>icon/item/item_17.png</v>
      </c>
      <c r="N14" s="43" t="s">
        <v>397</v>
      </c>
      <c r="O14" s="43" t="s">
        <v>472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478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379</v>
      </c>
      <c r="D15" s="19" t="s">
        <v>573</v>
      </c>
      <c r="E15" s="14" t="s">
        <v>623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258</v>
      </c>
      <c r="M15" s="22" t="str">
        <f>MID(ItemTable[[#This Row],[ItemIconPath]],FIND("icon",ItemTable[[#This Row],[ItemIconPath]]),999)</f>
        <v>icon/item/item_12.png</v>
      </c>
      <c r="N15" s="43" t="s">
        <v>396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581</v>
      </c>
      <c r="E16" s="14" t="s">
        <v>473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260</v>
      </c>
      <c r="M16" s="22" t="str">
        <f>MID(ItemTable[[#This Row],[ItemIconPath]],FIND("icon",ItemTable[[#This Row],[ItemIconPath]]),999)</f>
        <v>icon/item/item_09.png</v>
      </c>
      <c r="N16" s="43" t="s">
        <v>389</v>
      </c>
      <c r="O16" s="43" t="s">
        <v>473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336</v>
      </c>
      <c r="D17" s="19" t="s">
        <v>380</v>
      </c>
      <c r="E17" s="14" t="s">
        <v>571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261</v>
      </c>
      <c r="M17" s="22" t="str">
        <f>MID(ItemTable[[#This Row],[ItemIconPath]],FIND("icon",ItemTable[[#This Row],[ItemIconPath]]),999)</f>
        <v>icon/item/item_10.png</v>
      </c>
      <c r="N17" s="43" t="s">
        <v>380</v>
      </c>
      <c r="O17" s="42" t="s">
        <v>347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353</v>
      </c>
      <c r="D18" s="19" t="s">
        <v>384</v>
      </c>
      <c r="E18" s="14" t="s">
        <v>589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262</v>
      </c>
      <c r="M18" s="22" t="str">
        <f>MID(ItemTable[[#This Row],[ItemIconPath]],FIND("icon",ItemTable[[#This Row],[ItemIconPath]]),999)</f>
        <v>icon/item/item_16.png</v>
      </c>
      <c r="N18" s="43" t="s">
        <v>384</v>
      </c>
      <c r="O18" s="42" t="s">
        <v>349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591</v>
      </c>
      <c r="E19" s="27" t="s">
        <v>603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264</v>
      </c>
      <c r="M19" s="22" t="str">
        <f>MID(ItemTable[[#This Row],[ItemIconPath]],FIND("icon",ItemTable[[#This Row],[ItemIconPath]]),999)</f>
        <v>icon/item/item_03.png</v>
      </c>
      <c r="N19" s="43" t="s">
        <v>381</v>
      </c>
      <c r="O19" s="43" t="s">
        <v>385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557</v>
      </c>
      <c r="D20" s="19" t="s">
        <v>558</v>
      </c>
      <c r="E20" s="19" t="s">
        <v>642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574</v>
      </c>
      <c r="M20" s="22" t="str">
        <f>MID(ItemTable[[#This Row],[ItemIconPath]],FIND("icon",ItemTable[[#This Row],[ItemIconPath]]),999)</f>
        <v>icon/item/item_18.png</v>
      </c>
      <c r="N20" s="43" t="s">
        <v>381</v>
      </c>
      <c r="O20" s="43" t="s">
        <v>385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388</v>
      </c>
      <c r="E21" s="27" t="s">
        <v>585</v>
      </c>
      <c r="F21" s="27" t="s">
        <v>586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273</v>
      </c>
      <c r="M21" s="22" t="str">
        <f>MID(ItemTable[[#This Row],[ItemIconPath]],FIND("icon",ItemTable[[#This Row],[ItemIconPath]]),999)</f>
        <v>icon/item/item_06.png</v>
      </c>
      <c r="N21" s="43" t="s">
        <v>388</v>
      </c>
      <c r="O21" s="42" t="s">
        <v>361</v>
      </c>
      <c r="P21" s="42" t="s">
        <v>357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584</v>
      </c>
      <c r="E22" s="27" t="s">
        <v>629</v>
      </c>
      <c r="F22" s="27" t="s">
        <v>583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276</v>
      </c>
      <c r="M22" s="22" t="str">
        <f>MID(ItemTable[[#This Row],[ItemIconPath]],FIND("icon",ItemTable[[#This Row],[ItemIconPath]]),999)</f>
        <v>icon/item/item_08.png</v>
      </c>
      <c r="N22" s="43" t="s">
        <v>382</v>
      </c>
      <c r="O22" s="42" t="s">
        <v>356</v>
      </c>
      <c r="P22" s="42" t="s">
        <v>358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345</v>
      </c>
      <c r="D23" s="19" t="s">
        <v>387</v>
      </c>
      <c r="E23" s="14" t="s">
        <v>469</v>
      </c>
      <c r="F23" t="s">
        <v>240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274</v>
      </c>
      <c r="M23" s="22" t="str">
        <f>MID(ItemTable[[#This Row],[ItemIconPath]],FIND("icon",ItemTable[[#This Row],[ItemIconPath]]),999)</f>
        <v>icon/item/item_14.png</v>
      </c>
      <c r="N23" s="43" t="s">
        <v>387</v>
      </c>
      <c r="O23" s="43" t="s">
        <v>469</v>
      </c>
      <c r="P23" s="42" t="s">
        <v>240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476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337</v>
      </c>
      <c r="D24" s="52" t="s">
        <v>383</v>
      </c>
      <c r="E24" s="52" t="s">
        <v>602</v>
      </c>
      <c r="F24" s="52" t="s">
        <v>601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275</v>
      </c>
      <c r="M24" s="22" t="str">
        <f>MID(ItemTable[[#This Row],[ItemIconPath]],FIND("icon",ItemTable[[#This Row],[ItemIconPath]]),999)</f>
        <v>icon/item/item_01.png</v>
      </c>
      <c r="N24" s="43" t="s">
        <v>383</v>
      </c>
      <c r="O24" s="42" t="s">
        <v>352</v>
      </c>
      <c r="P24" s="42" t="s">
        <v>360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564</v>
      </c>
      <c r="D25" s="27" t="s">
        <v>395</v>
      </c>
      <c r="E25" s="27" t="s">
        <v>636</v>
      </c>
      <c r="F25" s="27" t="s">
        <v>643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259</v>
      </c>
      <c r="M25" s="22" t="str">
        <f>MID(ItemTable[[#This Row],[ItemIconPath]],FIND("icon",ItemTable[[#This Row],[ItemIconPath]]),999)</f>
        <v>icon/item/item_13.png</v>
      </c>
      <c r="N25" s="43" t="s">
        <v>395</v>
      </c>
      <c r="O25" s="43" t="s">
        <v>386</v>
      </c>
      <c r="P25" s="42" t="s">
        <v>363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553</v>
      </c>
      <c r="D26" s="17" t="s">
        <v>604</v>
      </c>
      <c r="E26" s="21" t="s">
        <v>554</v>
      </c>
      <c r="F26" s="21"/>
      <c r="G26" s="19" t="s">
        <v>532</v>
      </c>
      <c r="H26">
        <v>1</v>
      </c>
      <c r="I26">
        <v>50</v>
      </c>
      <c r="J26">
        <v>100</v>
      </c>
      <c r="K26">
        <v>10000</v>
      </c>
      <c r="L26" s="14" t="s">
        <v>569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575</v>
      </c>
      <c r="D27" s="40" t="s">
        <v>582</v>
      </c>
      <c r="E27" s="40" t="s">
        <v>572</v>
      </c>
      <c r="F27" s="40"/>
      <c r="G27" s="19" t="s">
        <v>532</v>
      </c>
      <c r="H27">
        <v>1</v>
      </c>
      <c r="I27">
        <v>50</v>
      </c>
      <c r="J27">
        <v>100</v>
      </c>
      <c r="K27">
        <v>10001</v>
      </c>
      <c r="L27" s="14" t="s">
        <v>570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576</v>
      </c>
      <c r="D28" s="40" t="s">
        <v>578</v>
      </c>
      <c r="E28" s="40" t="s">
        <v>579</v>
      </c>
      <c r="F28" s="40"/>
      <c r="G28" s="19" t="s">
        <v>532</v>
      </c>
      <c r="H28">
        <v>1</v>
      </c>
      <c r="I28">
        <v>50</v>
      </c>
      <c r="J28">
        <v>100</v>
      </c>
      <c r="K28">
        <v>10002</v>
      </c>
      <c r="L28" s="14" t="s">
        <v>605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555</v>
      </c>
      <c r="D29" s="40" t="s">
        <v>577</v>
      </c>
      <c r="E29" s="40" t="s">
        <v>563</v>
      </c>
      <c r="F29" s="40"/>
      <c r="G29" s="19" t="s">
        <v>532</v>
      </c>
      <c r="H29">
        <v>1</v>
      </c>
      <c r="I29">
        <v>50</v>
      </c>
      <c r="J29">
        <v>100</v>
      </c>
      <c r="K29">
        <v>10003</v>
      </c>
      <c r="L29" s="14" t="s">
        <v>568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70" zoomScaleNormal="70" zoomScaleSheetLayoutView="100" workbookViewId="0">
      <selection activeCell="F30" sqref="F30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490</v>
      </c>
      <c r="F1" s="19" t="s">
        <v>490</v>
      </c>
      <c r="G1" s="19" t="s">
        <v>492</v>
      </c>
      <c r="H1" t="s">
        <v>124</v>
      </c>
      <c r="I1" s="19" t="s">
        <v>506</v>
      </c>
      <c r="J1" t="s">
        <v>124</v>
      </c>
      <c r="K1" s="19" t="s">
        <v>492</v>
      </c>
    </row>
    <row r="2" spans="2:11">
      <c r="B2" s="5" t="s">
        <v>125</v>
      </c>
      <c r="C2" s="5" t="s">
        <v>127</v>
      </c>
      <c r="D2" t="s">
        <v>75</v>
      </c>
      <c r="E2" s="19" t="s">
        <v>515</v>
      </c>
      <c r="F2" s="19" t="s">
        <v>516</v>
      </c>
      <c r="G2" s="19" t="s">
        <v>493</v>
      </c>
      <c r="H2" s="19" t="s">
        <v>494</v>
      </c>
      <c r="I2" s="37" t="s">
        <v>496</v>
      </c>
      <c r="J2" s="19" t="s">
        <v>495</v>
      </c>
      <c r="K2" s="37" t="s">
        <v>511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513</v>
      </c>
      <c r="I3" s="19"/>
      <c r="J3" s="19" t="s">
        <v>512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513</v>
      </c>
      <c r="J4" s="19" t="s">
        <v>512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513</v>
      </c>
      <c r="I5" s="19"/>
      <c r="J5" s="19" t="s">
        <v>512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588</v>
      </c>
      <c r="J6" s="19" t="s">
        <v>512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513</v>
      </c>
      <c r="J7" s="19" t="s">
        <v>512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513</v>
      </c>
      <c r="J8" s="19" t="s">
        <v>512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556</v>
      </c>
      <c r="J9" s="19" t="s">
        <v>512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520</v>
      </c>
      <c r="J10" s="19" t="s">
        <v>512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513</v>
      </c>
      <c r="J11" s="19" t="s">
        <v>512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513</v>
      </c>
      <c r="J12" s="19" t="s">
        <v>512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513</v>
      </c>
      <c r="J13" s="19" t="s">
        <v>512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513</v>
      </c>
      <c r="J14" s="19" t="s">
        <v>512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3</v>
      </c>
      <c r="H15" s="19" t="s">
        <v>530</v>
      </c>
      <c r="J15" s="19" t="s">
        <v>512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513</v>
      </c>
      <c r="J16" s="19" t="s">
        <v>512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594</v>
      </c>
      <c r="J17" s="19" t="s">
        <v>512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513</v>
      </c>
      <c r="J18" s="19" t="s">
        <v>512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513</v>
      </c>
      <c r="J19" s="19" t="s">
        <v>512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513</v>
      </c>
      <c r="J20" s="19" t="s">
        <v>512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635</v>
      </c>
      <c r="J21" s="19" t="s">
        <v>512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513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519</v>
      </c>
      <c r="J23" s="19" t="s">
        <v>512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519</v>
      </c>
      <c r="I24" s="19" t="s">
        <v>526</v>
      </c>
      <c r="J24" s="19" t="s">
        <v>525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519</v>
      </c>
      <c r="J25" s="19" t="s">
        <v>512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519</v>
      </c>
      <c r="J26" s="19" t="s">
        <v>512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28"/>
  <sheetViews>
    <sheetView zoomScale="70" zoomScaleNormal="70" zoomScaleSheetLayoutView="100" workbookViewId="0">
      <selection activeCell="D24" sqref="D24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11">
      <c r="B1" t="s">
        <v>46</v>
      </c>
      <c r="C1" t="s">
        <v>124</v>
      </c>
      <c r="D1" s="19" t="s">
        <v>506</v>
      </c>
      <c r="E1" s="19" t="s">
        <v>508</v>
      </c>
      <c r="F1" s="19" t="s">
        <v>501</v>
      </c>
      <c r="G1" s="19"/>
      <c r="H1" s="19"/>
    </row>
    <row r="2" spans="2:11">
      <c r="B2" t="s">
        <v>75</v>
      </c>
      <c r="C2" s="19" t="s">
        <v>497</v>
      </c>
      <c r="D2" s="19" t="s">
        <v>507</v>
      </c>
      <c r="E2" s="1" t="s">
        <v>13</v>
      </c>
      <c r="F2" s="37" t="s">
        <v>509</v>
      </c>
      <c r="G2" s="44" t="s">
        <v>536</v>
      </c>
      <c r="H2" s="37" t="s">
        <v>546</v>
      </c>
    </row>
    <row r="3" spans="2:11">
      <c r="B3">
        <v>7000</v>
      </c>
      <c r="C3" s="19" t="s">
        <v>186</v>
      </c>
      <c r="D3" s="19">
        <v>1</v>
      </c>
      <c r="E3" s="14" t="s">
        <v>637</v>
      </c>
      <c r="F3" s="19">
        <v>-1</v>
      </c>
      <c r="G3" s="21" t="s">
        <v>638</v>
      </c>
      <c r="H3" s="21"/>
    </row>
    <row r="4" spans="2:11">
      <c r="B4" s="19">
        <v>7001</v>
      </c>
      <c r="C4" s="11" t="s">
        <v>316</v>
      </c>
      <c r="D4" s="11">
        <v>1.2</v>
      </c>
      <c r="E4" t="s">
        <v>346</v>
      </c>
      <c r="F4">
        <v>-1</v>
      </c>
      <c r="G4" s="17" t="s">
        <v>543</v>
      </c>
      <c r="H4" s="17"/>
    </row>
    <row r="5" spans="2:11">
      <c r="B5" s="19">
        <v>7002</v>
      </c>
      <c r="C5" s="19" t="s">
        <v>522</v>
      </c>
      <c r="D5" s="11">
        <v>0.8</v>
      </c>
      <c r="E5" t="s">
        <v>346</v>
      </c>
      <c r="F5">
        <v>-1</v>
      </c>
      <c r="G5" s="17" t="s">
        <v>544</v>
      </c>
      <c r="H5" s="17"/>
    </row>
    <row r="6" spans="2:11">
      <c r="B6" s="27">
        <v>7003</v>
      </c>
      <c r="C6" s="48" t="s">
        <v>587</v>
      </c>
      <c r="D6" s="27">
        <v>0.2</v>
      </c>
      <c r="E6" t="s">
        <v>514</v>
      </c>
      <c r="F6" s="27">
        <v>5</v>
      </c>
      <c r="G6" s="20" t="s">
        <v>632</v>
      </c>
      <c r="H6" s="17"/>
    </row>
    <row r="7" spans="2:11">
      <c r="B7" s="19">
        <v>7004</v>
      </c>
      <c r="C7" s="11" t="s">
        <v>217</v>
      </c>
      <c r="D7">
        <v>0.7</v>
      </c>
      <c r="E7" t="s">
        <v>514</v>
      </c>
      <c r="F7">
        <v>-1</v>
      </c>
      <c r="G7" s="17" t="s">
        <v>542</v>
      </c>
      <c r="H7" s="17"/>
    </row>
    <row r="8" spans="2:11">
      <c r="B8" s="19">
        <v>7005</v>
      </c>
      <c r="C8" s="11" t="s">
        <v>55</v>
      </c>
      <c r="D8">
        <v>25</v>
      </c>
      <c r="E8" t="s">
        <v>514</v>
      </c>
      <c r="F8">
        <v>-1</v>
      </c>
      <c r="G8" s="17" t="s">
        <v>545</v>
      </c>
      <c r="H8" s="17"/>
    </row>
    <row r="9" spans="2:11">
      <c r="B9" s="27">
        <v>8000</v>
      </c>
      <c r="C9" s="48" t="s">
        <v>317</v>
      </c>
      <c r="D9" s="27">
        <v>0.4</v>
      </c>
      <c r="E9" s="27" t="s">
        <v>514</v>
      </c>
      <c r="F9" s="27">
        <v>4</v>
      </c>
      <c r="G9" s="20" t="s">
        <v>621</v>
      </c>
      <c r="H9" s="46"/>
    </row>
    <row r="10" spans="2:11">
      <c r="B10" s="19">
        <v>8001</v>
      </c>
      <c r="C10" s="11" t="s">
        <v>317</v>
      </c>
      <c r="D10" s="14" t="s">
        <v>622</v>
      </c>
      <c r="E10" t="s">
        <v>514</v>
      </c>
      <c r="F10">
        <v>-1</v>
      </c>
      <c r="G10" s="17" t="s">
        <v>547</v>
      </c>
      <c r="H10" s="22"/>
      <c r="K10" s="14"/>
    </row>
    <row r="11" spans="2:11">
      <c r="B11" s="19">
        <v>8002</v>
      </c>
      <c r="C11" t="s">
        <v>317</v>
      </c>
      <c r="D11">
        <v>0.1</v>
      </c>
      <c r="E11" t="s">
        <v>514</v>
      </c>
      <c r="F11">
        <v>-1</v>
      </c>
      <c r="G11" s="17" t="s">
        <v>550</v>
      </c>
      <c r="H11" s="22"/>
    </row>
    <row r="12" spans="2:11">
      <c r="B12" s="19">
        <v>8002</v>
      </c>
      <c r="C12" t="s">
        <v>2</v>
      </c>
      <c r="D12">
        <v>0.5</v>
      </c>
      <c r="E12" t="s">
        <v>514</v>
      </c>
      <c r="F12">
        <v>-1</v>
      </c>
      <c r="G12" s="17" t="s">
        <v>548</v>
      </c>
      <c r="H12" s="22"/>
    </row>
    <row r="13" spans="2:11">
      <c r="B13" s="19">
        <v>8002</v>
      </c>
      <c r="C13" t="s">
        <v>217</v>
      </c>
      <c r="D13">
        <v>-0.1</v>
      </c>
      <c r="E13" t="s">
        <v>514</v>
      </c>
      <c r="F13">
        <v>-1</v>
      </c>
      <c r="G13" s="17" t="s">
        <v>549</v>
      </c>
      <c r="H13" s="22"/>
    </row>
    <row r="14" spans="2:11">
      <c r="B14" s="19">
        <v>8003</v>
      </c>
      <c r="C14" t="s">
        <v>278</v>
      </c>
      <c r="D14">
        <v>0.5</v>
      </c>
      <c r="E14" t="s">
        <v>514</v>
      </c>
      <c r="F14">
        <v>-1</v>
      </c>
      <c r="G14" s="17" t="s">
        <v>551</v>
      </c>
      <c r="H14" s="22"/>
    </row>
    <row r="15" spans="2:11">
      <c r="B15" s="19">
        <v>8004</v>
      </c>
      <c r="C15" s="51" t="s">
        <v>630</v>
      </c>
      <c r="D15">
        <v>3</v>
      </c>
      <c r="E15" t="s">
        <v>514</v>
      </c>
      <c r="F15">
        <v>-1</v>
      </c>
      <c r="G15" s="17" t="s">
        <v>590</v>
      </c>
      <c r="H15" s="22"/>
    </row>
    <row r="16" spans="2:11">
      <c r="B16" s="27">
        <v>9000</v>
      </c>
      <c r="C16" s="48" t="s">
        <v>217</v>
      </c>
      <c r="D16" s="27">
        <v>1.4</v>
      </c>
      <c r="E16" s="27" t="s">
        <v>346</v>
      </c>
      <c r="F16" s="27">
        <v>-1</v>
      </c>
      <c r="G16" s="20" t="s">
        <v>596</v>
      </c>
      <c r="H16" s="22"/>
    </row>
    <row r="17" spans="2:8">
      <c r="B17" s="27">
        <v>9000</v>
      </c>
      <c r="C17" s="48" t="s">
        <v>338</v>
      </c>
      <c r="D17" s="27">
        <v>0</v>
      </c>
      <c r="E17" s="27" t="s">
        <v>346</v>
      </c>
      <c r="F17" s="27">
        <v>-1</v>
      </c>
      <c r="G17" s="20" t="s">
        <v>592</v>
      </c>
      <c r="H17" s="22"/>
    </row>
    <row r="18" spans="2:8">
      <c r="B18" s="27">
        <v>9001</v>
      </c>
      <c r="C18" s="48" t="s">
        <v>595</v>
      </c>
      <c r="D18" s="27">
        <v>0.85</v>
      </c>
      <c r="E18" s="27" t="s">
        <v>346</v>
      </c>
      <c r="F18" s="27">
        <v>4</v>
      </c>
      <c r="G18" s="20" t="s">
        <v>628</v>
      </c>
      <c r="H18" s="22"/>
    </row>
    <row r="19" spans="2:8">
      <c r="B19" s="27">
        <v>9101</v>
      </c>
      <c r="C19" s="48" t="s">
        <v>595</v>
      </c>
      <c r="D19" s="27">
        <v>1.3</v>
      </c>
      <c r="E19" s="27" t="s">
        <v>346</v>
      </c>
      <c r="F19" s="27">
        <v>-1</v>
      </c>
      <c r="G19" s="20" t="s">
        <v>593</v>
      </c>
      <c r="H19" s="22"/>
    </row>
    <row r="20" spans="2:8">
      <c r="B20" s="19">
        <v>9002</v>
      </c>
      <c r="C20" t="s">
        <v>317</v>
      </c>
      <c r="D20">
        <v>1</v>
      </c>
      <c r="E20" t="s">
        <v>514</v>
      </c>
      <c r="F20">
        <v>-1</v>
      </c>
      <c r="G20" s="17" t="s">
        <v>552</v>
      </c>
      <c r="H20" s="22"/>
    </row>
    <row r="21" spans="2:8">
      <c r="B21" s="19">
        <v>9003</v>
      </c>
      <c r="C21" s="11" t="s">
        <v>55</v>
      </c>
      <c r="D21">
        <v>-50</v>
      </c>
      <c r="E21" t="s">
        <v>514</v>
      </c>
      <c r="F21">
        <v>-1</v>
      </c>
      <c r="G21" s="17" t="s">
        <v>599</v>
      </c>
      <c r="H21" s="22"/>
    </row>
    <row r="22" spans="2:8">
      <c r="B22" s="19">
        <v>9003</v>
      </c>
      <c r="C22" s="51" t="s">
        <v>587</v>
      </c>
      <c r="D22">
        <v>0.6</v>
      </c>
      <c r="E22" t="s">
        <v>514</v>
      </c>
      <c r="F22">
        <v>-1</v>
      </c>
      <c r="G22" s="17" t="s">
        <v>600</v>
      </c>
      <c r="H22" s="22"/>
    </row>
    <row r="23" spans="2:8">
      <c r="B23" s="19">
        <v>9104</v>
      </c>
      <c r="C23" s="14" t="s">
        <v>641</v>
      </c>
      <c r="D23">
        <v>2</v>
      </c>
      <c r="E23" s="14" t="s">
        <v>627</v>
      </c>
      <c r="F23">
        <v>-1</v>
      </c>
      <c r="G23" s="17" t="s">
        <v>645</v>
      </c>
      <c r="H23" s="22"/>
    </row>
    <row r="24" spans="2:8">
      <c r="B24" s="39">
        <v>10002</v>
      </c>
      <c r="C24" t="s">
        <v>2</v>
      </c>
      <c r="D24">
        <v>2.5</v>
      </c>
      <c r="E24" t="s">
        <v>346</v>
      </c>
      <c r="F24">
        <v>5</v>
      </c>
      <c r="G24" s="22"/>
      <c r="H24" s="22"/>
    </row>
    <row r="25" spans="2:8">
      <c r="B25" s="39">
        <v>10002</v>
      </c>
      <c r="C25" t="s">
        <v>28</v>
      </c>
      <c r="D25">
        <v>0.2</v>
      </c>
      <c r="E25" t="s">
        <v>346</v>
      </c>
      <c r="F25">
        <v>5</v>
      </c>
      <c r="G25" s="22"/>
      <c r="H25" s="22"/>
    </row>
    <row r="26" spans="2:8">
      <c r="B26" s="39">
        <v>10002</v>
      </c>
      <c r="C26" t="s">
        <v>226</v>
      </c>
      <c r="D26">
        <v>3</v>
      </c>
      <c r="E26" t="s">
        <v>346</v>
      </c>
      <c r="F26">
        <v>5</v>
      </c>
      <c r="G26" s="22"/>
      <c r="H26" s="22"/>
    </row>
    <row r="27" spans="2:8">
      <c r="B27" s="39">
        <v>10002</v>
      </c>
      <c r="C27" t="s">
        <v>217</v>
      </c>
      <c r="D27">
        <v>0.3</v>
      </c>
      <c r="E27" t="s">
        <v>346</v>
      </c>
      <c r="F27">
        <v>5</v>
      </c>
      <c r="G27" s="22"/>
      <c r="H27" s="22"/>
    </row>
    <row r="28" spans="2:8">
      <c r="B28" s="39">
        <v>10002</v>
      </c>
      <c r="C28" t="s">
        <v>29</v>
      </c>
      <c r="D28">
        <v>2.5</v>
      </c>
      <c r="E28" t="s">
        <v>346</v>
      </c>
      <c r="F28">
        <v>5</v>
      </c>
      <c r="G28" s="22"/>
      <c r="H2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85" zoomScaleNormal="8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492</v>
      </c>
      <c r="F1" s="19"/>
      <c r="G1" s="19" t="s">
        <v>501</v>
      </c>
      <c r="H1" s="19"/>
      <c r="I1" s="19" t="s">
        <v>501</v>
      </c>
      <c r="J1" s="19"/>
      <c r="K1" s="19" t="s">
        <v>501</v>
      </c>
    </row>
    <row r="2" spans="2:12">
      <c r="B2" t="s">
        <v>75</v>
      </c>
      <c r="C2" s="47" t="s">
        <v>559</v>
      </c>
      <c r="D2" s="19" t="s">
        <v>523</v>
      </c>
      <c r="E2" s="19" t="s">
        <v>498</v>
      </c>
      <c r="F2" s="19" t="s">
        <v>537</v>
      </c>
      <c r="G2" s="37" t="s">
        <v>499</v>
      </c>
      <c r="H2" s="19" t="s">
        <v>538</v>
      </c>
      <c r="I2" s="37" t="s">
        <v>500</v>
      </c>
      <c r="J2" s="37" t="s">
        <v>539</v>
      </c>
      <c r="K2" s="37" t="s">
        <v>567</v>
      </c>
      <c r="L2" s="37" t="s">
        <v>566</v>
      </c>
    </row>
    <row r="3" spans="2:12">
      <c r="B3" s="19">
        <v>8006</v>
      </c>
      <c r="C3" s="21" t="s">
        <v>560</v>
      </c>
      <c r="D3" s="19" t="s">
        <v>531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633</v>
      </c>
      <c r="D4" s="19" t="s">
        <v>531</v>
      </c>
      <c r="E4">
        <v>802</v>
      </c>
      <c r="F4" s="17"/>
      <c r="G4">
        <v>0</v>
      </c>
      <c r="H4" s="22"/>
      <c r="J4" s="22"/>
      <c r="L4" s="22"/>
    </row>
    <row r="5" spans="2:12">
      <c r="B5" s="19">
        <v>9002</v>
      </c>
      <c r="C5" s="21"/>
      <c r="D5" s="19" t="s">
        <v>517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502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524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518</v>
      </c>
      <c r="E8">
        <v>0.5</v>
      </c>
      <c r="F8" s="17" t="s">
        <v>540</v>
      </c>
      <c r="G8">
        <v>5</v>
      </c>
      <c r="H8" s="17" t="s">
        <v>541</v>
      </c>
      <c r="J8" s="22"/>
      <c r="L8" s="22"/>
    </row>
    <row r="9" spans="2:12">
      <c r="B9">
        <v>10003</v>
      </c>
      <c r="C9" s="22"/>
      <c r="D9" s="19" t="s">
        <v>529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218</v>
      </c>
      <c r="F2" t="s">
        <v>219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321</v>
      </c>
      <c r="E3" t="s">
        <v>56</v>
      </c>
      <c r="F3" t="s">
        <v>246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296</v>
      </c>
      <c r="F4" t="s">
        <v>372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321</v>
      </c>
      <c r="E5" t="s">
        <v>56</v>
      </c>
      <c r="F5" t="s">
        <v>371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295</v>
      </c>
      <c r="E6" t="s">
        <v>198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322</v>
      </c>
      <c r="E7" t="s">
        <v>303</v>
      </c>
      <c r="F7" t="s">
        <v>374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321</v>
      </c>
      <c r="E8" t="s">
        <v>56</v>
      </c>
      <c r="F8" t="s">
        <v>373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322</v>
      </c>
      <c r="E9" t="s">
        <v>303</v>
      </c>
      <c r="F9" t="s">
        <v>268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285</v>
      </c>
      <c r="C2" t="s">
        <v>283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311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284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289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250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375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202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265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263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271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267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210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2023-08-23T11:27:20Z</dcterms:modified>
  <cp:version>1200.0100.01</cp:version>
</cp:coreProperties>
</file>