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1C2CD28D-7223-426C-88EE-18B35146F312}" xr6:coauthVersionLast="47" xr6:coauthVersionMax="47" xr10:uidLastSave="{00000000-0000-0000-0000-000000000000}"/>
  <bookViews>
    <workbookView xWindow="-120" yWindow="-120" windowWidth="29040" windowHeight="15840" firstSheet="8" activeTab="14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2" i="14"/>
  <c r="B13" i="14"/>
  <c r="B10" i="14"/>
  <c r="C11" i="14"/>
  <c r="B8" i="14"/>
  <c r="C18" i="14" l="1"/>
  <c r="B18" i="14"/>
  <c r="B14" i="14"/>
  <c r="B22" i="14"/>
  <c r="C22" i="14"/>
  <c r="B25" i="14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<sst xmlns="http://schemas.openxmlformats.org/spreadsheetml/2006/main" count="1209" uniqueCount="657">
  <si>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</si>
  <si>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</si>
  <si>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</si>
  <si>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</si>
  <si>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</si>
  <si>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</si>
  <si>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</si>
  <si>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</si>
  <si>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</si>
  <si>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</si>
  <si>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</si>
  <si>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</si>
  <si>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</si>
  <si>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</si>
  <si>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</si>
  <si>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</si>
  <si>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</si>
  <si>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</si>
  <si>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</si>
  <si>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</si>
  <si>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</si>
  <si>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</si>
  <si>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</si>
  <si>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</si>
  <si>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</si>
  <si>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</si>
  <si>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</si>
  <si>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</si>
  <si>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</si>
  <si>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</si>
  <si>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</si>
  <si>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</si>
  <si>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</si>
  <si>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</si>
  <si>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</si>
  <si>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</si>
  <si>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</si>
  <si>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</si>
  <si>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</si>
  <si>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</si>
  <si>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</si>
  <si>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</si>
  <si>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</si>
  <si>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</si>
  <si>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</si>
  <si>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</si>
  <si>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</si>
  <si>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</si>
  <si>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</si>
  <si>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</si>
  <si>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</si>
  <si>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</si>
  <si>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</si>
  <si>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</si>
  <si>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</si>
  <si>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</si>
  <si>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</si>
  <si>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</si>
  <si>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</si>
  <si>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</si>
  <si>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</si>
  <si>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</si>
  <si>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</si>
  <si>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</si>
  <si>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</si>
  <si>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</si>
  <si>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</si>
  <si>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</si>
  <si>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</si>
  <si>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</si>
  <si>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</si>
  <si>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</si>
  <si>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</si>
  <si>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</si>
  <si>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</si>
  <si>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</si>
  <si>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</si>
  <si>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</si>
  <si>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</si>
  <si>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</si>
  <si>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</si>
  <si>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</si>
  <si>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</si>
  <si>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</si>
  <si>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</si>
  <si>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</si>
  <si>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</si>
  <si>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</si>
  <si>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</si>
  <si>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</si>
  <si>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</si>
  <si>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</si>
  <si>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</si>
  <si>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</si>
  <si>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</si>
  <si>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</si>
  <si>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</si>
  <si>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</si>
  <si>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</si>
  <si>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</si>
  <si>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</si>
  <si>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</si>
  <si>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</si>
  <si>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</si>
  <si>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</si>
  <si>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</si>
  <si>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</si>
  <si>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</si>
  <si>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</si>
  <si>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</si>
  <si>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</si>
  <si>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</si>
  <si>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</si>
  <si>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</si>
  <si>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</si>
  <si>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</si>
  <si>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</si>
  <si>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</si>
  <si>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</si>
  <si>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</si>
  <si>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</si>
  <si>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</si>
  <si>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</si>
  <si>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</si>
  <si>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</si>
  <si>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</si>
  <si>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</si>
  <si>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</si>
  <si>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</si>
  <si>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</si>
  <si>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</si>
  <si>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</si>
  <si>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</si>
  <si>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</si>
  <si>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</si>
  <si>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</si>
  <si>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</si>
  <si>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</si>
  <si>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</si>
  <si>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</si>
  <si>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</si>
  <si>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</si>
  <si>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</si>
  <si>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</si>
  <si>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</si>
  <si>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</si>
  <si>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</si>
  <si>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</si>
  <si>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</si>
  <si>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</si>
  <si>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</si>
  <si>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</si>
  <si>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</si>
  <si>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</si>
  <si>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</si>
  <si>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</si>
  <si>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</si>
  <si>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</si>
  <si>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</si>
  <si>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</si>
  <si>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</si>
  <si>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</si>
  <si>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</si>
  <si>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</si>
  <si>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</si>
  <si>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</si>
  <si>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</si>
  <si>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</si>
  <si>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</si>
  <si>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</si>
  <si>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</si>
  <si>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</si>
  <si>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</si>
  <si>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</si>
  <si>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</si>
  <si>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</si>
  <si>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</si>
  <si>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</si>
  <si>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</si>
  <si>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</si>
  <si>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</si>
  <si>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</si>
  <si>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</si>
  <si>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</si>
  <si>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</si>
  <si>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</si>
  <si>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</si>
  <si>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</si>
  <si>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</si>
  <si>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</si>
  <si>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</si>
  <si>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</si>
  <si>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</si>
  <si>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</si>
  <si>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</si>
  <si>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</si>
  <si>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</si>
  <si>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</si>
  <si>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</si>
  <si>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</si>
  <si>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</si>
  <si>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</si>
  <si>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</si>
  <si>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</si>
  <si>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</si>
  <si>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</si>
  <si>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</si>
  <si>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</si>
  <si>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</si>
  <si>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</si>
  <si>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</si>
  <si>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</si>
  <si>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</si>
  <si>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</si>
  <si>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</si>
  <si>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</si>
  <si>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</si>
  <si>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</si>
  <si>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</si>
  <si>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</si>
  <si>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</si>
  <si>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</si>
  <si>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</si>
  <si>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</si>
  <si>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</si>
  <si>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</si>
  <si>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</si>
  <si>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</si>
  <si>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</si>
  <si>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</si>
  <si>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</si>
  <si>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</si>
  <si>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</si>
  <si>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</si>
  <si>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</si>
  <si>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</si>
  <si>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</si>
  <si>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</si>
  <si>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</si>
  <si>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</si>
  <si>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</si>
  <si>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</si>
  <si>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</si>
  <si>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</si>
  <si>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</si>
  <si>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</si>
  <si>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</si>
  <si>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</si>
  <si>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</si>
  <si>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</si>
  <si>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</si>
  <si>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</si>
  <si>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</si>
  <si>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</si>
  <si>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</si>
  <si>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</si>
  <si>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</si>
  <si>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</si>
  <si>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</si>
  <si>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</si>
  <si>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</si>
  <si>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</si>
  <si>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</si>
  <si>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</si>
  <si>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</si>
  <si>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</si>
  <si>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</si>
  <si>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</si>
  <si>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</si>
  <si>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</si>
  <si>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</si>
  <si>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</si>
  <si>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</si>
  <si>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</si>
  <si>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</si>
  <si>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</si>
  <si>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</si>
  <si>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</si>
  <si>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</si>
  <si>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</si>
  <si>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</si>
  <si>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</si>
  <si>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</si>
  <si>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</si>
  <si>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</si>
  <si>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</si>
  <si>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</si>
  <si>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</si>
  <si>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</si>
  <si>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</si>
  <si>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</si>
  <si>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</si>
  <si>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</si>
  <si>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</si>
  <si>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</si>
  <si>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</si>
  <si>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</si>
  <si>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</si>
  <si>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</si>
  <si>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</si>
  <si>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</si>
  <si>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</si>
  <si>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</si>
  <si>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</si>
  <si>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</si>
  <si>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</si>
  <si>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</si>
  <si>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</si>
  <si>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</si>
  <si>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</si>
  <si>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</si>
  <si>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</si>
  <si>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</si>
  <si>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</si>
  <si>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</si>
  <si>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</si>
  <si>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</si>
  <si>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</si>
  <si>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</si>
  <si>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</si>
  <si>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</si>
  <si>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</si>
  <si>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</si>
  <si>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</si>
  <si>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</si>
  <si>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</si>
  <si>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</si>
  <si>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</si>
  <si>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</si>
  <si>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</si>
  <si>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</si>
  <si>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</si>
  <si>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</si>
  <si>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</si>
  <si>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</si>
  <si>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</si>
  <si>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</si>
  <si>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</si>
  <si>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</si>
  <si>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</si>
  <si>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</si>
  <si>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</si>
  <si>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</si>
  <si>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</si>
  <si>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</si>
  <si>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</si>
  <si>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</si>
  <si>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</si>
  <si>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</si>
  <si>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</si>
  <si>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</si>
  <si>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</si>
  <si>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</si>
  <si>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</si>
  <si>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</si>
  <si>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</si>
  <si>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</si>
  <si>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</si>
  <si>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</si>
  <si>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</si>
  <si>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</si>
  <si>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</si>
  <si>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</si>
  <si>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</si>
  <si>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</si>
  <si>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</si>
  <si>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</si>
  <si>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</si>
  <si>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</si>
  <si>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</si>
  <si>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</si>
  <si>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</si>
  <si>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</si>
  <si>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</si>
  <si>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</si>
  <si>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</si>
  <si>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</si>
  <si>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</si>
  <si>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</si>
  <si>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</si>
  <si>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</si>
  <si>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</si>
  <si>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</si>
  <si>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</si>
  <si>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</si>
  <si>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</si>
  <si>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</si>
  <si>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</si>
  <si>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</si>
  <si>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</si>
  <si>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</si>
  <si>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</si>
  <si>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</si>
  <si>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</si>
  <si>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</si>
  <si>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</si>
  <si>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</si>
  <si>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</si>
  <si>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</si>
  <si>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</si>
  <si>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</si>
  <si>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</si>
  <si>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</si>
  <si>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</si>
  <si>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</si>
  <si>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</si>
  <si>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</si>
  <si>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</si>
  <si>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</si>
  <si>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</si>
  <si>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</si>
  <si>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</si>
  <si>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</si>
  <si>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</si>
  <si>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</si>
  <si>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</si>
  <si>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</si>
  <si>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</si>
  <si>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</si>
  <si>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</si>
  <si>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</si>
  <si>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</si>
  <si>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</si>
  <si>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</si>
  <si>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</si>
  <si>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</si>
  <si>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</si>
  <si>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</si>
  <si>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</si>
  <si>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</si>
  <si>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</si>
  <si>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</si>
  <si>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</si>
  <si>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</si>
  <si>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</si>
  <si>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</si>
  <si>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</si>
  <si>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</si>
  <si>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</si>
  <si>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</si>
  <si>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</si>
  <si>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</si>
  <si>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</si>
  <si>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</si>
  <si>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</si>
  <si>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</si>
  <si>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</si>
  <si>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</si>
  <si>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</si>
  <si>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</si>
  <si>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</si>
  <si>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</si>
  <si>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</si>
  <si>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</si>
  <si>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</si>
  <si>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</si>
  <si>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</si>
  <si>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</si>
  <si>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</si>
  <si>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</si>
  <si>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</si>
  <si>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</si>
  <si>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</si>
  <si>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</si>
  <si>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</si>
  <si>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</si>
  <si>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</si>
  <si>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</si>
  <si>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</si>
  <si>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</si>
  <si>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</si>
  <si>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</si>
  <si>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</si>
  <si>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</si>
  <si>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</si>
  <si>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</si>
  <si>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</si>
  <si>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</si>
  <si>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</si>
  <si>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</si>
  <si>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</si>
  <si>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</si>
  <si>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</si>
  <si>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</si>
  <si>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</si>
  <si>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</si>
  <si>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</si>
  <si>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</si>
  <si>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</si>
  <si>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</si>
  <si>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</si>
  <si>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</si>
  <si>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</si>
  <si>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</si>
  <si>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</si>
  <si>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</si>
  <si>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</si>
  <si>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</si>
  <si>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</si>
  <si>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</si>
  <si>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</si>
  <si>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</si>
  <si>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</si>
  <si>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Equip, OnHpChanged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</si>
  <si>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</si>
  <si>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</si>
  <si>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</si>
  <si>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</si>
  <si>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</si>
  <si>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</si>
  <si>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</si>
  <si>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</si>
  <si>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</si>
  <si>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</si>
  <si>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</si>
  <si>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</si>
  <si>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</si>
  <si>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</si>
  <si>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</si>
  <si>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</si>
  <si>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</si>
  <si>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</si>
  <si>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</si>
  <si>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</si>
  <si>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지속시간(초)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</si>
  <si>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</si>
  <si>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</si>
  <si>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</si>
  <si>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</si>
  <si>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</si>
  <si>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이동속도 0.5 증가</t>
    <phoneticPr fontId="17" type="noConversion"/>
  </si>
  <si>
    <t>공격속도 10% 증가</t>
    <phoneticPr fontId="17" type="noConversion"/>
  </si>
  <si>
    <t>피해량 10%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</si>
  <si>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</si>
  <si>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</si>
  <si>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</si>
  <si>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</si>
  <si>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</si>
  <si>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</si>
  <si>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</si>
  <si>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</si>
  <si>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</si>
  <si>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</si>
  <si>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</si>
  <si>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</si>
  <si>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</si>
  <si>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</si>
  <si>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</si>
  <si>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</si>
  <si>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</si>
  <si>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</si>
  <si>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</si>
  <si>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</si>
  <si>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</si>
  <si>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</si>
  <si>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</si>
  <si>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</si>
  <si>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</si>
  <si>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</si>
  <si>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</si>
  <si>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4초간 신경이 가속합니다.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</si>
  <si>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</si>
  <si>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</si>
  <si>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</si>
  <si>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</si>
  <si>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</si>
  <si>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</si>
  <si>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</si>
  <si>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</si>
  <si>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</si>
  <si>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</si>
  <si>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</si>
  <si>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</si>
  <si>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</si>
  <si>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</si>
  <si>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기절한 적을 공격할 경우\n4초간 공격력 +30%</t>
    <phoneticPr fontId="7" type="noConversion"/>
  </si>
  <si>
    <t>체력 +1</t>
    <phoneticPr fontId="7" type="noConversion"/>
  </si>
  <si>
    <t>체력 -50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</si>
  <si>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</si>
  <si>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</si>
  <si>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</si>
  <si>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체력 +2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</si>
  <si>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</si>
  <si>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</si>
  <si>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</si>
  <si>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</si>
  <si>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</si>
  <si>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</si>
  <si>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</si>
  <si>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</si>
  <si>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</si>
  <si>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</si>
  <si>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</si>
  <si>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</si>
  <si>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</si>
  <si>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</si>
  <si>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</si>
  <si>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</si>
  <si>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</si>
  <si>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</si>
  <si>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</si>
  <si>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</si>
  <si>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</si>
  <si>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</si>
  <si>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</si>
  <si>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</si>
  <si>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</si>
  <si>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</si>
  <si>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</si>
  <si>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</si>
  <si>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행성만세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</si>
  <si>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</si>
  <si>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</si>
  <si>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</si>
  <si>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</si>
  <si>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</si>
  <si>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</si>
  <si>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</si>
  <si>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</si>
  <si>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3초에 한번씩\n공격 시 공 3개 발사</t>
    <phoneticPr fontId="7" type="noConversion"/>
  </si>
  <si>
    <t>Prefabs/ItemProjectile2.prefab</t>
    <phoneticPr fontId="7" type="noConversion"/>
  </si>
  <si>
    <t>회피 쿨타임 100% 증가</t>
    <phoneticPr fontId="17" type="noConversion"/>
  </si>
  <si>
    <t>회피 재사용 대기 +100%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</si>
  <si>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</si>
  <si>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</si>
  <si>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</si>
  <si>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</si>
  <si>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</si>
  <si>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공격력 +10%\n이동속도 +5\n공격속도 +10%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</si>
  <si>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</si>
  <si>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</si>
  <si>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</si>
  <si>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</si>
  <si>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</si>
  <si>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</si>
  <si>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</si>
  <si>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</si>
  <si>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</si>
  <si>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</si>
  <si>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</si>
  <si>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</si>
  <si>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</si>
  <si>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</si>
  <si>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</si>
  <si>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</si>
  <si>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</si>
  <si>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</si>
  <si>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</si>
  <si>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</si>
  <si>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</si>
  <si>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</si>
  <si>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</si>
  <si>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</si>
  <si>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</si>
  <si>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삼각김곰</t>
    <phoneticPr fontId="17" type="noConversion"/>
  </si>
  <si>
    <t>이상한사탕</t>
    <phoneticPr fontId="17" type="noConversion"/>
  </si>
  <si>
    <t>Heal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</si>
</sst>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6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8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2" fillId="0" borderId="0" xfId="0" quotePrefix="1" applyFont="1">
      <alignment vertical="center"/>
    </xf>
    <xf numFmtId="0" fontId="16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4"/>
      <tableStyleElement type="headerRow" dxfId="113"/>
      <tableStyleElement type="totalRow" dxfId="112"/>
      <tableStyleElement type="firstColumn" dxfId="111"/>
      <tableStyleElement type="lastColumn" dxfId="110"/>
      <tableStyleElement type="firstRowStripe" dxfId="109"/>
      <tableStyleElement type="firstColumnStripe" dxfId="108"/>
    </tableStyle>
    <tableStyle name="Light Style 1 - Accent 1" table="0" count="7" xr9:uid="{00000000-0011-0000-FFFF-FFFF01000000}">
      <tableStyleElement type="wholeTable" dxfId="107"/>
      <tableStyleElement type="headerRow" dxfId="106"/>
      <tableStyleElement type="totalRow" dxfId="105"/>
      <tableStyleElement type="firstColumn" dxfId="104"/>
      <tableStyleElement type="lastColumn" dxfId="103"/>
      <tableStyleElement type="firstRowStripe" dxfId="102"/>
      <tableStyleElement type="firstColumnStripe" dxfId="101"/>
    </tableStyle>
    <tableStyle name="표 스타일 1" pivot="0" count="4" xr9:uid="{00000000-0011-0000-FFFF-FFFF02000000}">
      <tableStyleElement type="wholeTable" dxfId="100"/>
      <tableStyleElement type="headerRow" dxfId="99"/>
      <tableStyleElement type="firstRowStripe" dxfId="98"/>
      <tableStyleElement type="secondRowStripe" dxfId="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5">
  <autoFilter ref="B12:G42" xr:uid="{00000000-0009-0000-0100-00000B000000}"/>
  <tableColumns count="6">
    <tableColumn id="11" xr3:uid="{00000000-0010-0000-0100-00000B000000}" name="층" dataDxfId="9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3"/>
    <tableColumn id="6" xr3:uid="{00000000-0010-0000-0100-000006000000}" name="평균획득골드" totalsRowFunction="average" dataDxfId="92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1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0" totalsRowDxfId="89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8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7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6" dataDxfId="85">
  <autoFilter ref="B6:E32" xr:uid="{00000000-0009-0000-0100-000008000000}"/>
  <tableColumns count="4">
    <tableColumn id="1" xr3:uid="{00000000-0010-0000-0400-000001000000}" name="스텟" dataDxfId="84"/>
    <tableColumn id="2" xr3:uid="{00000000-0010-0000-0400-000002000000}" name="참조 테이블" dataDxfId="83"/>
    <tableColumn id="3" xr3:uid="{00000000-0010-0000-0400-000003000000}" name="설명" dataDxfId="82"/>
    <tableColumn id="4" xr3:uid="{00000000-0010-0000-0400-000004000000}" name="Value 1당 가치" dataDxfId="81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0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79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8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7"/>
    <tableColumn id="4" xr3:uid="{00000000-0010-0000-0700-000004000000}" name="획득 무기"/>
    <tableColumn id="5" xr3:uid="{00000000-0010-0000-0700-000005000000}" name="획득 골드" dataDxfId="76">
      <calculatedColumnFormula array="1">밸런스시트[[#This Row],[방 개수]]*표10[방 평균 골드]</calculatedColumnFormula>
    </tableColumn>
    <tableColumn id="6" xr3:uid="{00000000-0010-0000-0700-000006000000}" name="적 체력" dataDxfId="75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4">
      <calculatedColumnFormula array="1">CharacterAtkTable['#던진공 차징1 튕겨내기 DPS]</calculatedColumnFormula>
    </tableColumn>
    <tableColumn id="10" xr3:uid="{00000000-0010-0000-0700-00000A000000}" name="예상 전투 시간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2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1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0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69"/>
    <tableColumn id="3" xr3:uid="{00000000-0010-0000-0900-000003000000}" name="value"/>
    <tableColumn id="4" xr3:uid="{00000000-0010-0000-0900-000004000000}" name="#설명" dataDxfId="68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7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6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5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4"/>
    <tableColumn id="7" xr3:uid="{00000000-0010-0000-0B00-000007000000}" name="SwingCooldown" dataDxfId="63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2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1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0"/>
    <tableColumn id="14" xr3:uid="{00000000-0010-0000-0C00-00000E000000}" name="#드랍테이블2" dataDxfId="59"/>
    <tableColumn id="15" xr3:uid="{00000000-0010-0000-0C00-00000F000000}" name="#드랍테이블3" dataDxfId="58"/>
    <tableColumn id="16" xr3:uid="{00000000-0010-0000-0C00-000010000000}" name="#드랍테이블4" dataDxfId="57"/>
    <tableColumn id="17" xr3:uid="{00000000-0010-0000-0C00-000011000000}" name="#드랍테이블5" dataDxfId="56"/>
    <tableColumn id="18" xr3:uid="{00000000-0010-0000-0C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4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3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2"/>
    <tableColumn id="19" xr3:uid="{00000000-0010-0000-0E00-000013000000}" name="#" dataDxfId="51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0"/>
    <tableColumn id="17" xr3:uid="{00000000-0010-0000-0E00-000011000000}" name="#기준 적 체력 비율"/>
    <tableColumn id="18" xr3:uid="{00000000-0010-0000-0E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8"/>
    <tableColumn id="3" xr3:uid="{00000000-0010-0000-0F00-000003000000}" name="ShootDataId" dataDxfId="4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96" totalsRowShown="0">
  <autoFilter ref="B2:G96" xr:uid="{00000000-0009-0000-0100-000013000000}"/>
  <tableColumns count="6">
    <tableColumn id="1" xr3:uid="{00000000-0010-0000-1000-000001000000}" name="Index"/>
    <tableColumn id="2" xr3:uid="{00000000-0010-0000-1000-000002000000}" name="#설명" dataDxfId="4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3" totalsRowShown="0" headerRowDxfId="43">
  <autoFilter ref="B2:G13" xr:uid="{00000000-0009-0000-0100-000011000000}"/>
  <tableColumns count="6">
    <tableColumn id="1" xr3:uid="{00000000-0010-0000-1100-000001000000}" name="Index"/>
    <tableColumn id="2" xr3:uid="{00000000-0010-0000-1100-000002000000}" name="#설명" dataDxfId="4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29" totalsRowShown="0" headerRowDxfId="41">
  <autoFilter ref="B2:S29" xr:uid="{00000000-0009-0000-0100-000004000000}"/>
  <tableColumns count="18">
    <tableColumn id="1" xr3:uid="{00000000-0010-0000-1200-000001000000}" name="Index" dataDxfId="40"/>
    <tableColumn id="2" xr3:uid="{00000000-0010-0000-1200-000002000000}" name="Name" dataDxfId="39"/>
    <tableColumn id="3" xr3:uid="{00000000-0010-0000-1200-000003000000}" name="Desc" dataDxfId="38"/>
    <tableColumn id="18" xr3:uid="{00000000-0010-0000-1200-000012000000}" name="PlusDesc" dataDxfId="37"/>
    <tableColumn id="19" xr3:uid="{00000000-0010-0000-1200-000013000000}" name="MinusDesc" dataDxfId="36"/>
    <tableColumn id="4" xr3:uid="{00000000-0010-0000-1200-000004000000}" name="GradeType" dataDxfId="35"/>
    <tableColumn id="5" xr3:uid="{00000000-0010-0000-1200-000005000000}" name="Value" dataDxfId="34"/>
    <tableColumn id="6" xr3:uid="{00000000-0010-0000-1200-000006000000}" name="CostHp" dataDxfId="33"/>
    <tableColumn id="7" xr3:uid="{00000000-0010-0000-1200-000007000000}" name="CostGold" dataDxfId="32"/>
    <tableColumn id="8" xr3:uid="{00000000-0010-0000-1200-000008000000}" name="ItemEffectDataId" dataDxfId="31"/>
    <tableColumn id="9" xr3:uid="{00000000-0010-0000-1200-000009000000}" name="ItemIconPath" dataDxfId="30"/>
    <tableColumn id="10" xr3:uid="{00000000-0010-0000-1200-00000A000000}" name="#자료 위치 변환기" dataDxfId="29"/>
    <tableColumn id="11" xr3:uid="{00000000-0010-0000-1200-00000B000000}" name="#" dataDxfId="28"/>
    <tableColumn id="12" xr3:uid="{00000000-0010-0000-1200-00000C000000}" name="#2" dataDxfId="27"/>
    <tableColumn id="13" xr3:uid="{00000000-0010-0000-1200-00000D000000}" name="#3" dataDxfId="26"/>
    <tableColumn id="14" xr3:uid="{00000000-0010-0000-1200-00000E000000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4"/>
    <tableColumn id="15" xr3:uid="{00000000-0010-0000-1200-00000F000000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26" totalsRowShown="0" headerRowDxfId="22">
  <autoFilter ref="B2:K26" xr:uid="{00000000-0009-0000-0100-000001000000}"/>
  <tableColumns count="10">
    <tableColumn id="2" xr3:uid="{00000000-0010-0000-1300-000002000000}" name="#이름값" dataDxfId="21">
      <calculatedColumnFormula>INDEX(ItemTable[Name],MATCH(ItemEffectTable[[#This Row],[Index]],ItemTable[ItemEffectDataId],0))</calculatedColumnFormula>
    </tableColumn>
    <tableColumn id="3" xr3:uid="{00000000-0010-0000-13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300-000004000000}" name="Index" dataDxfId="1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8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H29" totalsRowShown="0" headerRowDxfId="17">
  <autoFilter ref="B2:H29" xr:uid="{00000000-0009-0000-0100-000016000000}"/>
  <tableColumns count="7"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1" totalsRowShown="0" headerRowDxfId="13">
  <autoFilter ref="B2:L11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/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54" t="s">
        <v>305</v>
      </c>
      <c r="C1" s="55"/>
      <c r="D1" s="55"/>
      <c r="E1" s="55"/>
    </row>
    <row r="2" spans="2:5" s="1" customFormat="1" x14ac:dyDescent="0.3">
      <c r="B2" s="55"/>
      <c r="C2" s="55"/>
      <c r="D2" s="55"/>
      <c r="E2" s="55"/>
    </row>
    <row r="3" spans="2:5" s="1" customFormat="1" x14ac:dyDescent="0.3">
      <c r="B3" s="55"/>
      <c r="C3" s="55"/>
      <c r="D3" s="55"/>
      <c r="E3" s="5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75" defaultRowHeight="16.5" x14ac:dyDescent="0.3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  <col min="9" max="9" width="11.875" customWidth="1"/>
    <col min="11" max="11" width="8.375" customWidth="1"/>
    <col min="12" max="13" width="13.625" bestFit="1" customWidth="1"/>
  </cols>
  <sheetData>
    <row r="1" spans="2:13" s="1" customFormat="1" x14ac:dyDescent="0.3">
      <c r="B1" s="54" t="s">
        <v>198</v>
      </c>
      <c r="C1" s="55"/>
      <c r="D1" s="55"/>
      <c r="E1" s="55"/>
    </row>
    <row r="2" spans="2:13" s="1" customFormat="1" x14ac:dyDescent="0.3">
      <c r="B2" s="55"/>
      <c r="C2" s="55"/>
      <c r="D2" s="55"/>
      <c r="E2" s="55"/>
    </row>
    <row r="3" spans="2:13" s="1" customFormat="1" x14ac:dyDescent="0.3">
      <c r="B3" s="55"/>
      <c r="C3" s="55"/>
      <c r="D3" s="55"/>
      <c r="E3" s="55"/>
    </row>
    <row r="5" spans="2:13" x14ac:dyDescent="0.3">
      <c r="B5" s="2" t="s">
        <v>87</v>
      </c>
      <c r="J5" s="2" t="s">
        <v>448</v>
      </c>
      <c r="K5" s="2"/>
    </row>
    <row r="6" spans="2:13" x14ac:dyDescent="0.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449</v>
      </c>
      <c r="K6" s="12" t="s">
        <v>446</v>
      </c>
      <c r="L6" s="12" t="s">
        <v>443</v>
      </c>
      <c r="M6" s="12" t="s">
        <v>444</v>
      </c>
    </row>
    <row r="7" spans="2:13" x14ac:dyDescent="0.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450</v>
      </c>
      <c r="K7">
        <v>0</v>
      </c>
      <c r="L7">
        <v>4</v>
      </c>
      <c r="M7">
        <v>7</v>
      </c>
    </row>
    <row r="8" spans="2:13" x14ac:dyDescent="0.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451</v>
      </c>
      <c r="K8">
        <v>0</v>
      </c>
      <c r="L8">
        <v>6</v>
      </c>
      <c r="M8">
        <v>12</v>
      </c>
    </row>
    <row r="9" spans="2:13" x14ac:dyDescent="0.3">
      <c r="J9" t="s">
        <v>452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 x14ac:dyDescent="0.3">
      <c r="B11" s="2" t="s">
        <v>447</v>
      </c>
      <c r="C11" s="2"/>
      <c r="D11" s="2"/>
      <c r="J11" s="2" t="s">
        <v>585</v>
      </c>
    </row>
    <row r="12" spans="2:13" x14ac:dyDescent="0.3">
      <c r="B12" s="12" t="s">
        <v>584</v>
      </c>
      <c r="C12" s="12" t="s">
        <v>445</v>
      </c>
      <c r="D12" s="12" t="s">
        <v>446</v>
      </c>
      <c r="E12" s="12" t="s">
        <v>443</v>
      </c>
      <c r="F12" s="12" t="s">
        <v>444</v>
      </c>
      <c r="G12" s="12" t="s">
        <v>593</v>
      </c>
      <c r="H12" s="12"/>
      <c r="J12" s="12" t="s">
        <v>584</v>
      </c>
      <c r="K12" s="12" t="s">
        <v>592</v>
      </c>
      <c r="L12" s="12" t="s">
        <v>594</v>
      </c>
      <c r="M12" s="12" t="s">
        <v>595</v>
      </c>
    </row>
    <row r="13" spans="2:13" x14ac:dyDescent="0.3">
      <c r="B13" s="12" t="s">
        <v>587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587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 x14ac:dyDescent="0.3">
      <c r="B14" s="12" t="s">
        <v>587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589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 x14ac:dyDescent="0.3">
      <c r="B15" s="12" t="s">
        <v>586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591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 x14ac:dyDescent="0.3">
      <c r="B16" s="12" t="s">
        <v>586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452</v>
      </c>
      <c r="M16">
        <f>SUBTOTAL(109,표24[층 완료 획득])</f>
        <v>508</v>
      </c>
    </row>
    <row r="17" spans="2:13" x14ac:dyDescent="0.3">
      <c r="B17" s="12" t="s">
        <v>586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 x14ac:dyDescent="0.3">
      <c r="B18" s="12" t="s">
        <v>586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596</v>
      </c>
      <c r="M18" s="12">
        <f>표24[[#Totals],[층 완료 획득]]/30</f>
        <v>16.933333333333334</v>
      </c>
    </row>
    <row r="19" spans="2:13" x14ac:dyDescent="0.3">
      <c r="B19" s="12" t="s">
        <v>586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597</v>
      </c>
      <c r="M19" s="12">
        <f>표24[[#Totals],[층 완료 획득]]/50</f>
        <v>10.16</v>
      </c>
    </row>
    <row r="20" spans="2:13" x14ac:dyDescent="0.3">
      <c r="B20" s="12" t="s">
        <v>586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 x14ac:dyDescent="0.3">
      <c r="B21" s="12" t="s">
        <v>586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 x14ac:dyDescent="0.3">
      <c r="B22" s="12" t="s">
        <v>586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 x14ac:dyDescent="0.3">
      <c r="B23" s="12" t="s">
        <v>589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 x14ac:dyDescent="0.3">
      <c r="B24" s="12" t="s">
        <v>589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 x14ac:dyDescent="0.3">
      <c r="B25" s="12" t="s">
        <v>588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 x14ac:dyDescent="0.3">
      <c r="B26" s="12" t="s">
        <v>588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 x14ac:dyDescent="0.3">
      <c r="B27" s="12" t="s">
        <v>588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 x14ac:dyDescent="0.3">
      <c r="B28" s="12" t="s">
        <v>588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 x14ac:dyDescent="0.3">
      <c r="B29" s="12" t="s">
        <v>588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 x14ac:dyDescent="0.3">
      <c r="B30" s="12" t="s">
        <v>588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 x14ac:dyDescent="0.3">
      <c r="B31" s="12" t="s">
        <v>588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 x14ac:dyDescent="0.3">
      <c r="B32" s="12" t="s">
        <v>588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 x14ac:dyDescent="0.3">
      <c r="B33" s="12" t="s">
        <v>591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 x14ac:dyDescent="0.3">
      <c r="B34" s="12" t="s">
        <v>591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 x14ac:dyDescent="0.3">
      <c r="B35" s="12" t="s">
        <v>590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 x14ac:dyDescent="0.3">
      <c r="B36" s="12" t="s">
        <v>590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 x14ac:dyDescent="0.3">
      <c r="B37" s="12" t="s">
        <v>590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 x14ac:dyDescent="0.3">
      <c r="B38" s="12" t="s">
        <v>590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 x14ac:dyDescent="0.3">
      <c r="B39" s="12" t="s">
        <v>590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 x14ac:dyDescent="0.3">
      <c r="B40" s="12" t="s">
        <v>590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 x14ac:dyDescent="0.3">
      <c r="B41" s="12" t="s">
        <v>590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 x14ac:dyDescent="0.3">
      <c r="B42" s="12" t="s">
        <v>590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54" t="s">
        <v>283</v>
      </c>
      <c r="C1" s="55"/>
      <c r="D1" s="55"/>
      <c r="E1" s="55"/>
      <c r="F1" s="55"/>
    </row>
    <row r="2" spans="1:21" s="1" customFormat="1" x14ac:dyDescent="0.3">
      <c r="B2" s="55"/>
      <c r="C2" s="55"/>
      <c r="D2" s="55"/>
      <c r="E2" s="55"/>
      <c r="F2" s="55"/>
    </row>
    <row r="3" spans="1:21" s="1" customFormat="1" x14ac:dyDescent="0.3">
      <c r="B3" s="55"/>
      <c r="C3" s="55"/>
      <c r="D3" s="55"/>
      <c r="E3" s="55"/>
      <c r="F3" s="55"/>
    </row>
    <row r="5" spans="1:21" x14ac:dyDescent="0.3">
      <c r="B5" s="2" t="s">
        <v>103</v>
      </c>
      <c r="G5" s="2" t="s">
        <v>210</v>
      </c>
      <c r="H5" s="2"/>
      <c r="R5" s="2" t="s">
        <v>110</v>
      </c>
    </row>
    <row r="6" spans="1:21" x14ac:dyDescent="0.3">
      <c r="B6" t="s">
        <v>50</v>
      </c>
      <c r="C6" t="s">
        <v>141</v>
      </c>
      <c r="D6" t="s">
        <v>56</v>
      </c>
      <c r="E6" t="s">
        <v>323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287</v>
      </c>
      <c r="O6" t="s">
        <v>321</v>
      </c>
      <c r="P6" t="s">
        <v>285</v>
      </c>
      <c r="R6" t="s">
        <v>102</v>
      </c>
      <c r="S6" s="12" t="s">
        <v>453</v>
      </c>
    </row>
    <row r="7" spans="1:21" x14ac:dyDescent="0.3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x14ac:dyDescent="0.3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x14ac:dyDescent="0.3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260</v>
      </c>
      <c r="S9" s="2"/>
      <c r="T9" s="2"/>
    </row>
    <row r="10" spans="1:21" x14ac:dyDescent="0.3">
      <c r="A10" s="9"/>
      <c r="B10" s="9" t="s">
        <v>192</v>
      </c>
      <c r="C10" s="9" t="s">
        <v>232</v>
      </c>
      <c r="D10" t="s">
        <v>318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 x14ac:dyDescent="0.3">
      <c r="A11" s="9"/>
      <c r="B11" s="9" t="s">
        <v>272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x14ac:dyDescent="0.3">
      <c r="A13" s="9"/>
      <c r="B13" s="9" t="s">
        <v>309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 x14ac:dyDescent="0.3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281</v>
      </c>
    </row>
    <row r="15" spans="1:21" x14ac:dyDescent="0.3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 x14ac:dyDescent="0.3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 x14ac:dyDescent="0.3">
      <c r="A17" s="9"/>
      <c r="B17" s="9" t="s">
        <v>310</v>
      </c>
      <c r="C17" s="9" t="s">
        <v>20</v>
      </c>
      <c r="D17" t="s">
        <v>135</v>
      </c>
      <c r="E17">
        <f>50/0.3</f>
        <v>166.66666666666669</v>
      </c>
    </row>
    <row r="18" spans="1:5" x14ac:dyDescent="0.3">
      <c r="A18" s="9"/>
      <c r="B18" s="9" t="s">
        <v>329</v>
      </c>
      <c r="C18" s="9" t="s">
        <v>20</v>
      </c>
      <c r="D18" t="s">
        <v>320</v>
      </c>
      <c r="E18" s="10">
        <f>30/-0.2</f>
        <v>-150</v>
      </c>
    </row>
    <row r="19" spans="1:5" x14ac:dyDescent="0.3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 x14ac:dyDescent="0.3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 x14ac:dyDescent="0.3">
      <c r="A21" s="9"/>
      <c r="B21" s="9" t="s">
        <v>22</v>
      </c>
      <c r="C21" s="9" t="s">
        <v>20</v>
      </c>
      <c r="D21" t="s">
        <v>250</v>
      </c>
      <c r="E21">
        <f>30/1/2</f>
        <v>15</v>
      </c>
    </row>
    <row r="22" spans="1:5" x14ac:dyDescent="0.3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 x14ac:dyDescent="0.3">
      <c r="A23" s="9"/>
      <c r="B23" s="9" t="s">
        <v>216</v>
      </c>
      <c r="C23" s="9" t="s">
        <v>20</v>
      </c>
      <c r="D23" t="s">
        <v>316</v>
      </c>
      <c r="E23">
        <f>50/25</f>
        <v>2</v>
      </c>
    </row>
    <row r="24" spans="1:5" x14ac:dyDescent="0.3">
      <c r="A24" s="9"/>
      <c r="B24" s="9" t="s">
        <v>224</v>
      </c>
      <c r="C24" s="9" t="s">
        <v>20</v>
      </c>
      <c r="D24" t="s">
        <v>317</v>
      </c>
      <c r="E24">
        <f>50/25</f>
        <v>2</v>
      </c>
    </row>
    <row r="25" spans="1:5" x14ac:dyDescent="0.3">
      <c r="A25" s="9"/>
      <c r="B25" s="9" t="s">
        <v>241</v>
      </c>
      <c r="C25" s="9" t="s">
        <v>20</v>
      </c>
      <c r="D25" t="s">
        <v>334</v>
      </c>
      <c r="E25">
        <v>2</v>
      </c>
    </row>
    <row r="26" spans="1:5" x14ac:dyDescent="0.3">
      <c r="A26" s="9"/>
      <c r="B26" s="9" t="s">
        <v>263</v>
      </c>
      <c r="C26" s="9" t="s">
        <v>20</v>
      </c>
      <c r="D26" t="s">
        <v>335</v>
      </c>
      <c r="E26">
        <v>2</v>
      </c>
    </row>
    <row r="27" spans="1:5" x14ac:dyDescent="0.3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 x14ac:dyDescent="0.3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 x14ac:dyDescent="0.3">
      <c r="A29" s="9"/>
      <c r="B29" s="9" t="s">
        <v>273</v>
      </c>
      <c r="C29" s="9" t="s">
        <v>55</v>
      </c>
      <c r="D29" s="9" t="s">
        <v>19</v>
      </c>
      <c r="E29">
        <v>50</v>
      </c>
    </row>
    <row r="30" spans="1:5" x14ac:dyDescent="0.3">
      <c r="A30" s="9"/>
      <c r="B30" s="9" t="s">
        <v>48</v>
      </c>
      <c r="C30" s="9" t="s">
        <v>55</v>
      </c>
      <c r="D30" s="9" t="s">
        <v>361</v>
      </c>
      <c r="E30">
        <v>50</v>
      </c>
    </row>
    <row r="31" spans="1:5" x14ac:dyDescent="0.3">
      <c r="A31" s="9"/>
      <c r="B31" s="9" t="s">
        <v>271</v>
      </c>
      <c r="C31" s="9" t="s">
        <v>55</v>
      </c>
      <c r="D31" s="9" t="s">
        <v>177</v>
      </c>
      <c r="E31">
        <v>50</v>
      </c>
    </row>
    <row r="32" spans="1:5" x14ac:dyDescent="0.3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97</v>
      </c>
      <c r="B1" t="s">
        <v>47</v>
      </c>
      <c r="C1" t="s">
        <v>98</v>
      </c>
      <c r="D1" t="s">
        <v>47</v>
      </c>
    </row>
    <row r="2" spans="1:4" x14ac:dyDescent="0.3">
      <c r="A2" t="s">
        <v>73</v>
      </c>
      <c r="B2" s="5" t="s">
        <v>113</v>
      </c>
      <c r="C2" t="s">
        <v>69</v>
      </c>
      <c r="D2" s="5" t="s">
        <v>41</v>
      </c>
    </row>
    <row r="3" spans="1:4" x14ac:dyDescent="0.3">
      <c r="A3">
        <v>1</v>
      </c>
      <c r="B3" s="4" t="s">
        <v>179</v>
      </c>
      <c r="C3">
        <v>5</v>
      </c>
      <c r="D3" s="4" t="s">
        <v>201</v>
      </c>
    </row>
    <row r="4" spans="1:4" x14ac:dyDescent="0.3">
      <c r="A4">
        <v>2</v>
      </c>
      <c r="B4" s="4" t="s">
        <v>239</v>
      </c>
      <c r="C4">
        <v>5</v>
      </c>
      <c r="D4" s="4" t="s">
        <v>178</v>
      </c>
    </row>
    <row r="5" spans="1:4" x14ac:dyDescent="0.3">
      <c r="A5">
        <v>3</v>
      </c>
      <c r="B5" s="4" t="s">
        <v>264</v>
      </c>
      <c r="C5">
        <v>20</v>
      </c>
      <c r="D5" s="4" t="s">
        <v>8</v>
      </c>
    </row>
    <row r="6" spans="1:4" x14ac:dyDescent="0.3">
      <c r="A6">
        <v>4</v>
      </c>
      <c r="B6" s="4" t="s">
        <v>266</v>
      </c>
      <c r="C6">
        <v>0.5</v>
      </c>
      <c r="D6" s="4" t="s">
        <v>194</v>
      </c>
    </row>
    <row r="7" spans="1:4" x14ac:dyDescent="0.3">
      <c r="A7">
        <v>5</v>
      </c>
      <c r="B7" s="4" t="s">
        <v>312</v>
      </c>
      <c r="C7">
        <v>50</v>
      </c>
      <c r="D7" s="4" t="s">
        <v>360</v>
      </c>
    </row>
    <row r="8" spans="1:4" x14ac:dyDescent="0.3">
      <c r="A8">
        <v>6</v>
      </c>
      <c r="B8" s="4" t="s">
        <v>315</v>
      </c>
      <c r="C8">
        <v>1</v>
      </c>
      <c r="D8" s="4" t="s">
        <v>167</v>
      </c>
    </row>
    <row r="9" spans="1:4" x14ac:dyDescent="0.3">
      <c r="A9">
        <v>7</v>
      </c>
      <c r="B9" s="4" t="s">
        <v>359</v>
      </c>
      <c r="C9">
        <v>10</v>
      </c>
      <c r="D9" s="4" t="s">
        <v>357</v>
      </c>
    </row>
    <row r="10" spans="1:4" x14ac:dyDescent="0.3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 x14ac:dyDescent="0.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 x14ac:dyDescent="0.3">
      <c r="B2" t="s">
        <v>73</v>
      </c>
      <c r="C2" s="5" t="s">
        <v>41</v>
      </c>
      <c r="D2" t="s">
        <v>148</v>
      </c>
      <c r="E2" t="s">
        <v>279</v>
      </c>
      <c r="F2" t="s">
        <v>2</v>
      </c>
      <c r="G2" s="12" t="s">
        <v>547</v>
      </c>
      <c r="H2" t="s">
        <v>14</v>
      </c>
      <c r="I2" s="17" t="s">
        <v>510</v>
      </c>
      <c r="J2" t="s">
        <v>12</v>
      </c>
      <c r="K2" t="s">
        <v>26</v>
      </c>
      <c r="L2" t="s">
        <v>222</v>
      </c>
      <c r="M2" t="s">
        <v>272</v>
      </c>
    </row>
    <row r="3" spans="2:13" x14ac:dyDescent="0.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 x14ac:dyDescent="0.3">
      <c r="I4" s="12"/>
    </row>
    <row r="5" spans="2:13" x14ac:dyDescent="0.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I35" sqref="I35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3" x14ac:dyDescent="0.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 x14ac:dyDescent="0.3">
      <c r="B2" t="s">
        <v>73</v>
      </c>
      <c r="C2" s="5" t="s">
        <v>41</v>
      </c>
      <c r="D2" s="37" t="s">
        <v>511</v>
      </c>
      <c r="E2" s="6" t="s">
        <v>309</v>
      </c>
      <c r="F2" s="6" t="s">
        <v>17</v>
      </c>
      <c r="G2" s="6" t="s">
        <v>329</v>
      </c>
      <c r="H2" s="6" t="s">
        <v>184</v>
      </c>
      <c r="I2" s="37" t="s">
        <v>633</v>
      </c>
      <c r="J2" s="49" t="s">
        <v>617</v>
      </c>
      <c r="K2" s="6" t="s">
        <v>29</v>
      </c>
      <c r="L2" s="7" t="s">
        <v>216</v>
      </c>
      <c r="M2" s="7" t="s">
        <v>224</v>
      </c>
      <c r="N2" s="50" t="s">
        <v>631</v>
      </c>
      <c r="O2" s="31" t="s">
        <v>632</v>
      </c>
      <c r="P2" s="1" t="s">
        <v>310</v>
      </c>
      <c r="Q2" s="5" t="s">
        <v>324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 x14ac:dyDescent="0.3">
      <c r="B3">
        <v>200</v>
      </c>
      <c r="C3" s="4" t="s">
        <v>286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 x14ac:dyDescent="0.3">
      <c r="L5" s="12"/>
    </row>
    <row r="15" spans="2:23" x14ac:dyDescent="0.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 x14ac:dyDescent="0.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 x14ac:dyDescent="0.3">
      <c r="B2" t="s">
        <v>73</v>
      </c>
      <c r="C2" s="5" t="s">
        <v>58</v>
      </c>
      <c r="D2" t="s">
        <v>209</v>
      </c>
      <c r="E2" s="25" t="s">
        <v>200</v>
      </c>
      <c r="F2" s="25" t="s">
        <v>280</v>
      </c>
      <c r="G2" t="s">
        <v>15</v>
      </c>
      <c r="H2" t="s">
        <v>298</v>
      </c>
      <c r="I2" t="s">
        <v>207</v>
      </c>
      <c r="J2" t="s">
        <v>205</v>
      </c>
      <c r="K2" t="s">
        <v>284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 x14ac:dyDescent="0.3">
      <c r="B3">
        <v>800</v>
      </c>
      <c r="C3" s="14" t="s">
        <v>587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 x14ac:dyDescent="0.3">
      <c r="B4">
        <v>801</v>
      </c>
      <c r="C4" s="14" t="s">
        <v>589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 x14ac:dyDescent="0.3">
      <c r="B5">
        <v>802</v>
      </c>
      <c r="C5" s="14" t="s">
        <v>591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11" x14ac:dyDescent="0.3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 x14ac:dyDescent="0.3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515</v>
      </c>
      <c r="H2" t="s">
        <v>46</v>
      </c>
      <c r="I2" t="s">
        <v>91</v>
      </c>
    </row>
    <row r="3" spans="1:11" x14ac:dyDescent="0.3">
      <c r="B3" s="25">
        <v>9001</v>
      </c>
      <c r="C3" s="28" t="s">
        <v>470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 x14ac:dyDescent="0.3">
      <c r="B4">
        <v>9002</v>
      </c>
      <c r="C4" s="27" t="s">
        <v>469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 x14ac:dyDescent="0.3">
      <c r="A5" s="12"/>
      <c r="B5">
        <v>9003</v>
      </c>
      <c r="C5" s="27" t="s">
        <v>466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 x14ac:dyDescent="0.3">
      <c r="A6" s="17" t="s">
        <v>389</v>
      </c>
      <c r="B6">
        <v>9100</v>
      </c>
      <c r="C6" s="14" t="s">
        <v>467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 x14ac:dyDescent="0.3">
      <c r="A7" t="s">
        <v>47</v>
      </c>
      <c r="B7" s="29">
        <v>9101</v>
      </c>
      <c r="C7" s="30" t="s">
        <v>468</v>
      </c>
      <c r="D7" s="29">
        <v>4000</v>
      </c>
      <c r="E7" s="29">
        <v>2000</v>
      </c>
      <c r="F7" s="29">
        <v>2000</v>
      </c>
      <c r="G7" s="29">
        <v>0</v>
      </c>
      <c r="H7" s="29">
        <v>2000</v>
      </c>
      <c r="I7" s="29">
        <v>0</v>
      </c>
      <c r="K7">
        <f>SUM(DropTable[[#This Row],[Normal]:[Active]])</f>
        <v>8000</v>
      </c>
    </row>
    <row r="8" spans="1:11" x14ac:dyDescent="0.3">
      <c r="A8" t="s">
        <v>47</v>
      </c>
      <c r="B8" s="29">
        <v>9102</v>
      </c>
      <c r="C8" s="30" t="s">
        <v>290</v>
      </c>
      <c r="D8" s="29">
        <v>4000</v>
      </c>
      <c r="E8" s="29">
        <v>2000</v>
      </c>
      <c r="F8" s="29">
        <v>2000</v>
      </c>
      <c r="G8" s="29">
        <v>0</v>
      </c>
      <c r="H8" s="29">
        <v>0</v>
      </c>
      <c r="I8" s="29">
        <v>2000</v>
      </c>
      <c r="K8">
        <f>SUM(DropTable[[#This Row],[Normal]:[Active]])</f>
        <v>8000</v>
      </c>
    </row>
    <row r="9" spans="1:11" x14ac:dyDescent="0.3">
      <c r="A9" t="s">
        <v>47</v>
      </c>
      <c r="B9" s="29">
        <v>9103</v>
      </c>
      <c r="C9" s="30" t="s">
        <v>119</v>
      </c>
      <c r="D9" s="29">
        <v>4000</v>
      </c>
      <c r="E9" s="29">
        <v>2000</v>
      </c>
      <c r="F9" s="29">
        <v>2000</v>
      </c>
      <c r="G9" s="29">
        <v>0</v>
      </c>
      <c r="H9" s="29">
        <v>2000</v>
      </c>
      <c r="I9" s="29">
        <v>0</v>
      </c>
      <c r="K9">
        <f>SUM(DropTable[[#This Row],[Normal]:[Active]])</f>
        <v>8000</v>
      </c>
    </row>
    <row r="10" spans="1:11" x14ac:dyDescent="0.3">
      <c r="A10" t="s">
        <v>47</v>
      </c>
      <c r="B10" s="29">
        <v>9104</v>
      </c>
      <c r="C10" s="30" t="s">
        <v>118</v>
      </c>
      <c r="D10" s="29">
        <v>0</v>
      </c>
      <c r="E10" s="29">
        <v>7000</v>
      </c>
      <c r="F10" s="29">
        <v>3000</v>
      </c>
      <c r="G10" s="29">
        <v>0</v>
      </c>
      <c r="H10" s="29">
        <v>0</v>
      </c>
      <c r="I10" s="29">
        <v>0</v>
      </c>
      <c r="K10">
        <f>SUM(DropTable[[#This Row],[Normal]:[Active]])</f>
        <v>10000</v>
      </c>
    </row>
    <row r="11" spans="1:11" x14ac:dyDescent="0.3">
      <c r="A11" t="s">
        <v>47</v>
      </c>
      <c r="B11" s="29">
        <v>9105</v>
      </c>
      <c r="C11" s="30" t="s">
        <v>299</v>
      </c>
      <c r="D11" s="29">
        <v>0</v>
      </c>
      <c r="E11" s="29">
        <v>0</v>
      </c>
      <c r="F11" s="29">
        <v>0</v>
      </c>
      <c r="G11" s="29">
        <v>10000</v>
      </c>
      <c r="H11" s="29">
        <v>0</v>
      </c>
      <c r="I11" s="29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E6" sqref="E6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 x14ac:dyDescent="0.3">
      <c r="B1" t="s">
        <v>44</v>
      </c>
      <c r="C1" s="17" t="s">
        <v>489</v>
      </c>
      <c r="D1" s="12" t="s">
        <v>389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473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 x14ac:dyDescent="0.3">
      <c r="B2" t="s">
        <v>73</v>
      </c>
      <c r="C2" s="34" t="s">
        <v>488</v>
      </c>
      <c r="D2" s="13" t="s">
        <v>389</v>
      </c>
      <c r="E2" t="s">
        <v>126</v>
      </c>
      <c r="F2" s="17" t="s">
        <v>465</v>
      </c>
      <c r="G2" t="s">
        <v>292</v>
      </c>
      <c r="H2" t="s">
        <v>294</v>
      </c>
      <c r="I2" s="17" t="s">
        <v>493</v>
      </c>
      <c r="J2" t="s">
        <v>2</v>
      </c>
      <c r="K2" s="17" t="s">
        <v>474</v>
      </c>
      <c r="L2" t="s">
        <v>197</v>
      </c>
      <c r="M2" t="s">
        <v>193</v>
      </c>
      <c r="N2" t="s">
        <v>195</v>
      </c>
      <c r="O2" t="s">
        <v>291</v>
      </c>
      <c r="P2" t="s">
        <v>203</v>
      </c>
      <c r="Q2" t="s">
        <v>297</v>
      </c>
      <c r="R2" t="s">
        <v>295</v>
      </c>
      <c r="S2" t="s">
        <v>11</v>
      </c>
      <c r="T2" t="s">
        <v>300</v>
      </c>
      <c r="U2" s="5" t="s">
        <v>302</v>
      </c>
      <c r="V2" s="5" t="s">
        <v>319</v>
      </c>
    </row>
    <row r="3" spans="2:22" x14ac:dyDescent="0.3">
      <c r="B3">
        <v>500</v>
      </c>
      <c r="C3" s="4" t="s">
        <v>38</v>
      </c>
      <c r="D3" s="14" t="s">
        <v>390</v>
      </c>
      <c r="E3">
        <f>표14[적 기준 체력]*EnemyGameData[[#This Row],['#기준 적 체력 비율]]</f>
        <v>20</v>
      </c>
      <c r="F3">
        <v>12</v>
      </c>
      <c r="G3" t="s">
        <v>120</v>
      </c>
      <c r="H3">
        <v>0.5</v>
      </c>
      <c r="I3">
        <v>0.3</v>
      </c>
      <c r="J3">
        <v>0.5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486</v>
      </c>
      <c r="U3">
        <v>0.2</v>
      </c>
      <c r="V3">
        <f>AVERAGE(EnemyGameData[[#This Row],[GoldDropMin]],EnemyGameData[[#This Row],[GoldDropMax]])</f>
        <v>0</v>
      </c>
    </row>
    <row r="4" spans="2:22" x14ac:dyDescent="0.3">
      <c r="B4">
        <v>501</v>
      </c>
      <c r="C4" s="14" t="s">
        <v>645</v>
      </c>
      <c r="D4" s="14" t="s">
        <v>392</v>
      </c>
      <c r="E4">
        <f>표14[적 기준 체력]*EnemyGameData[[#This Row],['#기준 적 체력 비율]]</f>
        <v>80</v>
      </c>
      <c r="F4">
        <v>12</v>
      </c>
      <c r="G4" t="s">
        <v>120</v>
      </c>
      <c r="H4">
        <v>6</v>
      </c>
      <c r="I4">
        <v>2</v>
      </c>
      <c r="J4">
        <v>2</v>
      </c>
      <c r="K4">
        <v>0</v>
      </c>
      <c r="L4">
        <v>1.8</v>
      </c>
      <c r="M4" s="17" t="s">
        <v>504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635</v>
      </c>
      <c r="U4">
        <v>0.8</v>
      </c>
      <c r="V4">
        <f>AVERAGE(EnemyGameData[[#This Row],[GoldDropMin]],EnemyGameData[[#This Row],[GoldDropMax]])</f>
        <v>5</v>
      </c>
    </row>
    <row r="5" spans="2:22" x14ac:dyDescent="0.3">
      <c r="B5">
        <v>502</v>
      </c>
      <c r="C5" s="53" t="s">
        <v>646</v>
      </c>
      <c r="D5" s="14" t="s">
        <v>395</v>
      </c>
      <c r="E5">
        <f>표14[적 기준 체력]*EnemyGameData[[#This Row],['#기준 적 체력 비율]]</f>
        <v>100</v>
      </c>
      <c r="F5">
        <v>12</v>
      </c>
      <c r="G5" t="s">
        <v>120</v>
      </c>
      <c r="H5">
        <v>3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636</v>
      </c>
      <c r="U5">
        <v>1</v>
      </c>
      <c r="V5">
        <f>AVERAGE(EnemyGameData[[#This Row],[GoldDropMin]],EnemyGameData[[#This Row],[GoldDropMax]])</f>
        <v>5</v>
      </c>
    </row>
    <row r="6" spans="2:22" x14ac:dyDescent="0.3">
      <c r="B6">
        <v>503</v>
      </c>
      <c r="C6" s="53" t="s">
        <v>647</v>
      </c>
      <c r="D6" s="14" t="s">
        <v>414</v>
      </c>
      <c r="E6">
        <f>표14[적 기준 체력]*EnemyGameData[[#This Row],['#기준 적 체력 비율]]</f>
        <v>80</v>
      </c>
      <c r="F6">
        <v>12</v>
      </c>
      <c r="G6" t="s">
        <v>301</v>
      </c>
      <c r="H6">
        <v>6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637</v>
      </c>
      <c r="U6">
        <v>0.8</v>
      </c>
      <c r="V6">
        <f>AVERAGE(EnemyGameData[[#This Row],[GoldDropMin]],EnemyGameData[[#This Row],[GoldDropMax]])</f>
        <v>5</v>
      </c>
    </row>
    <row r="7" spans="2:22" s="21" customFormat="1" x14ac:dyDescent="0.3">
      <c r="B7" s="21" t="s">
        <v>638</v>
      </c>
      <c r="C7" s="22" t="s">
        <v>229</v>
      </c>
      <c r="D7" s="22" t="s">
        <v>418</v>
      </c>
      <c r="E7" s="21">
        <f>표14[적 기준 체력]*EnemyGameData[[#This Row],['#기준 적 체력 비율]]</f>
        <v>80</v>
      </c>
      <c r="F7">
        <v>12</v>
      </c>
      <c r="G7" s="21" t="s">
        <v>301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487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 x14ac:dyDescent="0.3">
      <c r="B8" s="21" t="s">
        <v>639</v>
      </c>
      <c r="C8" s="22" t="s">
        <v>230</v>
      </c>
      <c r="D8" s="22" t="s">
        <v>418</v>
      </c>
      <c r="E8" s="21">
        <f>표14[적 기준 체력]*EnemyGameData[[#This Row],['#기준 적 체력 비율]]</f>
        <v>100</v>
      </c>
      <c r="F8">
        <v>12</v>
      </c>
      <c r="G8" s="21" t="s">
        <v>301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487</v>
      </c>
      <c r="U8" s="21">
        <v>1</v>
      </c>
      <c r="V8" s="21">
        <f>AVERAGE(EnemyGameData[[#This Row],[GoldDropMin]],EnemyGameData[[#This Row],[GoldDropMax]])</f>
        <v>0</v>
      </c>
    </row>
    <row r="9" spans="2:22" x14ac:dyDescent="0.3">
      <c r="B9">
        <v>506</v>
      </c>
      <c r="C9" s="53" t="s">
        <v>648</v>
      </c>
      <c r="D9" s="14" t="s">
        <v>417</v>
      </c>
      <c r="E9">
        <f>표14[적 기준 체력]*EnemyGameData[[#This Row],['#기준 적 체력 비율]]</f>
        <v>100</v>
      </c>
      <c r="F9">
        <v>12</v>
      </c>
      <c r="G9" t="s">
        <v>301</v>
      </c>
      <c r="H9">
        <v>2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640</v>
      </c>
      <c r="U9">
        <v>1</v>
      </c>
      <c r="V9">
        <f>AVERAGE(EnemyGameData[[#This Row],[GoldDropMin]],EnemyGameData[[#This Row],[GoldDropMax]])</f>
        <v>5</v>
      </c>
    </row>
    <row r="10" spans="2:22" x14ac:dyDescent="0.3">
      <c r="B10">
        <v>507</v>
      </c>
      <c r="C10" s="4" t="s">
        <v>350</v>
      </c>
      <c r="D10" s="4"/>
      <c r="E10">
        <v>2000</v>
      </c>
      <c r="F10">
        <v>12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 x14ac:dyDescent="0.3">
      <c r="B11">
        <v>508</v>
      </c>
      <c r="C11" s="15" t="s">
        <v>649</v>
      </c>
      <c r="D11" s="14" t="s">
        <v>420</v>
      </c>
      <c r="E11">
        <f>표14[적 기준 체력]*EnemyGameData[[#This Row],['#기준 적 체력 비율]]</f>
        <v>80</v>
      </c>
      <c r="F11">
        <v>12</v>
      </c>
      <c r="G11" t="s">
        <v>301</v>
      </c>
      <c r="H11">
        <v>6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643</v>
      </c>
      <c r="U11">
        <v>0.8</v>
      </c>
      <c r="V11">
        <f>AVERAGE(EnemyGameData[[#This Row],[GoldDropMin]],EnemyGameData[[#This Row],[GoldDropMax]])</f>
        <v>5</v>
      </c>
    </row>
    <row r="12" spans="2:22" x14ac:dyDescent="0.3">
      <c r="B12">
        <v>550</v>
      </c>
      <c r="C12" s="14" t="s">
        <v>650</v>
      </c>
      <c r="D12" s="14" t="s">
        <v>391</v>
      </c>
      <c r="E12">
        <f>표14[적 기준 체력]*EnemyGameData[[#This Row],['#기준 적 체력 비율]]</f>
        <v>140</v>
      </c>
      <c r="F12">
        <v>12</v>
      </c>
      <c r="G12" s="17" t="s">
        <v>630</v>
      </c>
      <c r="H12">
        <v>6.5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644</v>
      </c>
      <c r="U12">
        <v>1.4</v>
      </c>
      <c r="V12">
        <v>7</v>
      </c>
    </row>
    <row r="13" spans="2:22" x14ac:dyDescent="0.3">
      <c r="B13" s="51">
        <v>551</v>
      </c>
      <c r="C13" s="52" t="s">
        <v>651</v>
      </c>
      <c r="D13" s="52" t="s">
        <v>396</v>
      </c>
      <c r="E13" s="51">
        <f>표14[적 기준 체력]*EnemyGameData[[#This Row],['#기준 적 체력 비율]]</f>
        <v>160</v>
      </c>
      <c r="F13" s="51">
        <v>12</v>
      </c>
      <c r="G13" s="51" t="s">
        <v>120</v>
      </c>
      <c r="H13" s="51">
        <v>4</v>
      </c>
      <c r="I13" s="51">
        <v>1.2</v>
      </c>
      <c r="J13" s="51">
        <v>3</v>
      </c>
      <c r="K13" s="51">
        <v>0</v>
      </c>
      <c r="L13" s="51">
        <v>1.5</v>
      </c>
      <c r="M13" s="51" t="s">
        <v>121</v>
      </c>
      <c r="N13" s="51">
        <v>5</v>
      </c>
      <c r="O13" s="51">
        <v>651</v>
      </c>
      <c r="P13" s="51">
        <v>0</v>
      </c>
      <c r="Q13" s="51">
        <v>3</v>
      </c>
      <c r="R13" s="51">
        <v>5</v>
      </c>
      <c r="S13" s="51">
        <v>501</v>
      </c>
      <c r="T13" s="51" t="s">
        <v>636</v>
      </c>
      <c r="U13" s="51">
        <v>1.6</v>
      </c>
      <c r="V13" s="51">
        <v>7</v>
      </c>
    </row>
    <row r="14" spans="2:22" x14ac:dyDescent="0.3">
      <c r="B14">
        <v>552</v>
      </c>
      <c r="C14" s="14" t="s">
        <v>652</v>
      </c>
      <c r="D14" s="14" t="s">
        <v>415</v>
      </c>
      <c r="E14">
        <f>표14[적 기준 체력]*EnemyGameData[[#This Row],['#기준 적 체력 비율]]</f>
        <v>140</v>
      </c>
      <c r="F14">
        <v>12</v>
      </c>
      <c r="G14" t="s">
        <v>301</v>
      </c>
      <c r="H14">
        <v>7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642</v>
      </c>
      <c r="U14">
        <v>1.4</v>
      </c>
      <c r="V14">
        <v>7</v>
      </c>
    </row>
    <row r="15" spans="2:22" x14ac:dyDescent="0.3">
      <c r="B15">
        <v>553</v>
      </c>
      <c r="C15" s="15" t="s">
        <v>653</v>
      </c>
      <c r="D15" s="14" t="s">
        <v>416</v>
      </c>
      <c r="E15">
        <f>표14[적 기준 체력]*EnemyGameData[[#This Row],['#기준 적 체력 비율]]</f>
        <v>160</v>
      </c>
      <c r="F15">
        <v>12</v>
      </c>
      <c r="G15" t="s">
        <v>301</v>
      </c>
      <c r="H15">
        <v>2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641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 x14ac:dyDescent="0.3">
      <c r="B16" s="21" t="s">
        <v>634</v>
      </c>
      <c r="C16" s="23" t="s">
        <v>419</v>
      </c>
      <c r="D16" s="22" t="s">
        <v>418</v>
      </c>
      <c r="E16" s="21">
        <f>표14[적 기준 체력]*EnemyGameData[[#This Row],['#기준 적 체력 비율]]</f>
        <v>20</v>
      </c>
      <c r="F16">
        <v>12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486</v>
      </c>
      <c r="U16" s="21">
        <v>0.2</v>
      </c>
      <c r="V16" s="21">
        <f>AVERAGE(EnemyGameData[[#This Row],[GoldDropMin]],EnemyGameData[[#This Row],[GoldDropMax]])</f>
        <v>0</v>
      </c>
    </row>
    <row r="20" spans="19:19" x14ac:dyDescent="0.3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 x14ac:dyDescent="0.3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389</v>
      </c>
      <c r="I1" s="12" t="s">
        <v>389</v>
      </c>
    </row>
    <row r="2" spans="2:9" x14ac:dyDescent="0.3">
      <c r="B2" t="s">
        <v>73</v>
      </c>
      <c r="C2" s="5" t="s">
        <v>41</v>
      </c>
      <c r="D2" t="s">
        <v>307</v>
      </c>
      <c r="E2" t="s">
        <v>124</v>
      </c>
      <c r="F2" t="s">
        <v>306</v>
      </c>
      <c r="G2" t="s">
        <v>303</v>
      </c>
      <c r="H2" s="12" t="s">
        <v>389</v>
      </c>
      <c r="I2" s="12" t="s">
        <v>442</v>
      </c>
    </row>
    <row r="3" spans="2:9" x14ac:dyDescent="0.3">
      <c r="B3">
        <v>600</v>
      </c>
      <c r="C3" s="16" t="s">
        <v>434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 x14ac:dyDescent="0.3">
      <c r="B4">
        <v>601</v>
      </c>
      <c r="C4" s="14" t="s">
        <v>397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 x14ac:dyDescent="0.3">
      <c r="B5">
        <v>601</v>
      </c>
      <c r="C5" s="14" t="s">
        <v>397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 x14ac:dyDescent="0.3">
      <c r="B6">
        <v>601</v>
      </c>
      <c r="C6" s="14" t="s">
        <v>397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 x14ac:dyDescent="0.3">
      <c r="B7">
        <v>601</v>
      </c>
      <c r="C7" s="14" t="s">
        <v>397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 x14ac:dyDescent="0.3">
      <c r="B8">
        <v>601</v>
      </c>
      <c r="C8" s="14" t="s">
        <v>397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 x14ac:dyDescent="0.3">
      <c r="B9">
        <v>601</v>
      </c>
      <c r="C9" s="14" t="s">
        <v>397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 x14ac:dyDescent="0.3">
      <c r="B10">
        <v>601</v>
      </c>
      <c r="C10" s="14" t="s">
        <v>397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 x14ac:dyDescent="0.3">
      <c r="B11">
        <v>601</v>
      </c>
      <c r="C11" s="14" t="s">
        <v>397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 x14ac:dyDescent="0.3">
      <c r="B12">
        <v>601</v>
      </c>
      <c r="C12" s="14" t="s">
        <v>397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 x14ac:dyDescent="0.3">
      <c r="B13">
        <v>602</v>
      </c>
      <c r="C13" s="16" t="s">
        <v>430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 x14ac:dyDescent="0.3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 x14ac:dyDescent="0.3">
      <c r="B15">
        <v>604</v>
      </c>
      <c r="C15" s="16" t="s">
        <v>438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 x14ac:dyDescent="0.3">
      <c r="B16">
        <v>604</v>
      </c>
      <c r="C16" s="16" t="s">
        <v>438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 x14ac:dyDescent="0.3">
      <c r="B17">
        <v>604</v>
      </c>
      <c r="C17" s="16" t="s">
        <v>438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 x14ac:dyDescent="0.3">
      <c r="B18">
        <v>605</v>
      </c>
      <c r="C18" s="16" t="s">
        <v>429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 x14ac:dyDescent="0.3">
      <c r="B19">
        <v>606</v>
      </c>
      <c r="C19" s="4" t="s">
        <v>331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 x14ac:dyDescent="0.3">
      <c r="B20">
        <v>606</v>
      </c>
      <c r="C20" s="4" t="s">
        <v>331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 x14ac:dyDescent="0.3">
      <c r="B21">
        <v>606</v>
      </c>
      <c r="C21" s="4" t="s">
        <v>331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 x14ac:dyDescent="0.3">
      <c r="B22">
        <v>607</v>
      </c>
      <c r="C22" s="18" t="s">
        <v>428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 x14ac:dyDescent="0.3">
      <c r="B23">
        <v>650</v>
      </c>
      <c r="C23" s="16" t="s">
        <v>435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 x14ac:dyDescent="0.3">
      <c r="B24">
        <v>650</v>
      </c>
      <c r="C24" s="16" t="s">
        <v>436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 x14ac:dyDescent="0.3">
      <c r="B25">
        <v>650</v>
      </c>
      <c r="C25" s="16" t="s">
        <v>437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 x14ac:dyDescent="0.3">
      <c r="B26">
        <v>651</v>
      </c>
      <c r="C26" s="18" t="s">
        <v>459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 x14ac:dyDescent="0.3">
      <c r="B27">
        <v>651</v>
      </c>
      <c r="C27" s="18" t="s">
        <v>459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 x14ac:dyDescent="0.3">
      <c r="B28">
        <v>651</v>
      </c>
      <c r="C28" s="18" t="s">
        <v>459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 x14ac:dyDescent="0.3">
      <c r="B29">
        <v>651</v>
      </c>
      <c r="C29" s="18" t="s">
        <v>459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 x14ac:dyDescent="0.3">
      <c r="B30">
        <v>651</v>
      </c>
      <c r="C30" s="18" t="s">
        <v>459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 x14ac:dyDescent="0.3">
      <c r="B31">
        <v>651</v>
      </c>
      <c r="C31" s="18" t="s">
        <v>459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 x14ac:dyDescent="0.3">
      <c r="B32">
        <v>651</v>
      </c>
      <c r="C32" s="18" t="s">
        <v>459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 x14ac:dyDescent="0.3">
      <c r="B33">
        <v>651</v>
      </c>
      <c r="C33" s="18" t="s">
        <v>459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 x14ac:dyDescent="0.3">
      <c r="B34">
        <v>651</v>
      </c>
      <c r="C34" s="18" t="s">
        <v>459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 x14ac:dyDescent="0.3">
      <c r="B35">
        <v>651</v>
      </c>
      <c r="C35" s="18" t="s">
        <v>459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 x14ac:dyDescent="0.3">
      <c r="B36">
        <v>651</v>
      </c>
      <c r="C36" s="18" t="s">
        <v>459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 x14ac:dyDescent="0.3">
      <c r="B37">
        <v>651</v>
      </c>
      <c r="C37" s="18" t="s">
        <v>459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 x14ac:dyDescent="0.3">
      <c r="B38">
        <v>651</v>
      </c>
      <c r="C38" s="18" t="s">
        <v>459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 x14ac:dyDescent="0.3">
      <c r="B39">
        <v>651</v>
      </c>
      <c r="C39" s="18" t="s">
        <v>459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 x14ac:dyDescent="0.3">
      <c r="B40">
        <v>651</v>
      </c>
      <c r="C40" s="18" t="s">
        <v>459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 x14ac:dyDescent="0.3">
      <c r="B41">
        <v>651</v>
      </c>
      <c r="C41" s="18" t="s">
        <v>459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 x14ac:dyDescent="0.3">
      <c r="B42">
        <v>652</v>
      </c>
      <c r="C42" s="18" t="s">
        <v>439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 x14ac:dyDescent="0.3">
      <c r="B43">
        <v>652</v>
      </c>
      <c r="C43" s="18" t="s">
        <v>440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 x14ac:dyDescent="0.3">
      <c r="B44">
        <v>652</v>
      </c>
      <c r="C44" s="18" t="s">
        <v>441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 x14ac:dyDescent="0.3">
      <c r="B45">
        <v>9991</v>
      </c>
      <c r="C45" s="32" t="s">
        <v>423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 x14ac:dyDescent="0.3">
      <c r="B46">
        <v>9991</v>
      </c>
      <c r="C46" s="18" t="s">
        <v>423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 x14ac:dyDescent="0.3">
      <c r="B47">
        <v>9991</v>
      </c>
      <c r="C47" s="18" t="s">
        <v>423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 x14ac:dyDescent="0.3">
      <c r="B48">
        <v>9991</v>
      </c>
      <c r="C48" s="18" t="s">
        <v>423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 x14ac:dyDescent="0.3">
      <c r="B49">
        <v>9991</v>
      </c>
      <c r="C49" s="18" t="s">
        <v>423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 x14ac:dyDescent="0.3">
      <c r="B50">
        <v>9991</v>
      </c>
      <c r="C50" s="18" t="s">
        <v>423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 x14ac:dyDescent="0.3">
      <c r="B51">
        <v>9991</v>
      </c>
      <c r="C51" s="18" t="s">
        <v>423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 x14ac:dyDescent="0.3">
      <c r="B52">
        <v>9991</v>
      </c>
      <c r="C52" s="18" t="s">
        <v>423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 x14ac:dyDescent="0.3">
      <c r="B53">
        <v>9991</v>
      </c>
      <c r="C53" s="18" t="s">
        <v>423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 x14ac:dyDescent="0.3">
      <c r="B54">
        <v>9991</v>
      </c>
      <c r="C54" s="18" t="s">
        <v>423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 x14ac:dyDescent="0.3">
      <c r="B55">
        <v>9991</v>
      </c>
      <c r="C55" s="18" t="s">
        <v>423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 x14ac:dyDescent="0.3">
      <c r="B56" s="17">
        <v>9991</v>
      </c>
      <c r="C56" s="18" t="s">
        <v>423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 x14ac:dyDescent="0.3">
      <c r="B57">
        <v>9992</v>
      </c>
      <c r="C57" s="18" t="s">
        <v>424</v>
      </c>
      <c r="D57">
        <v>725</v>
      </c>
      <c r="E57" s="17" t="s">
        <v>421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 x14ac:dyDescent="0.3">
      <c r="B58">
        <v>9992</v>
      </c>
      <c r="C58" s="18" t="s">
        <v>424</v>
      </c>
      <c r="D58">
        <v>725</v>
      </c>
      <c r="E58" s="17" t="s">
        <v>421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 x14ac:dyDescent="0.3">
      <c r="B59">
        <v>9993</v>
      </c>
      <c r="C59" s="18" t="s">
        <v>425</v>
      </c>
      <c r="D59">
        <v>999</v>
      </c>
      <c r="E59" s="17" t="s">
        <v>422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 x14ac:dyDescent="0.3">
      <c r="B2" t="s">
        <v>73</v>
      </c>
      <c r="C2" s="5" t="s">
        <v>41</v>
      </c>
      <c r="D2" t="s">
        <v>308</v>
      </c>
      <c r="E2" t="s">
        <v>11</v>
      </c>
      <c r="F2" t="s">
        <v>212</v>
      </c>
      <c r="G2" t="s">
        <v>311</v>
      </c>
    </row>
    <row r="3" spans="2:7" x14ac:dyDescent="0.3">
      <c r="B3">
        <v>700</v>
      </c>
      <c r="C3" s="4" t="s">
        <v>325</v>
      </c>
      <c r="D3">
        <v>0</v>
      </c>
      <c r="E3">
        <v>400</v>
      </c>
      <c r="F3">
        <v>0</v>
      </c>
      <c r="G3">
        <v>6.5</v>
      </c>
    </row>
    <row r="4" spans="2:7" x14ac:dyDescent="0.3">
      <c r="B4">
        <v>700</v>
      </c>
      <c r="C4" s="4" t="s">
        <v>325</v>
      </c>
      <c r="D4">
        <v>90</v>
      </c>
      <c r="E4">
        <v>400</v>
      </c>
      <c r="F4">
        <v>0</v>
      </c>
      <c r="G4">
        <v>6.5</v>
      </c>
    </row>
    <row r="5" spans="2:7" x14ac:dyDescent="0.3">
      <c r="B5">
        <v>700</v>
      </c>
      <c r="C5" s="4" t="s">
        <v>325</v>
      </c>
      <c r="D5">
        <v>180</v>
      </c>
      <c r="E5">
        <v>400</v>
      </c>
      <c r="F5">
        <v>0</v>
      </c>
      <c r="G5">
        <v>6.5</v>
      </c>
    </row>
    <row r="6" spans="2:7" x14ac:dyDescent="0.3">
      <c r="B6">
        <v>700</v>
      </c>
      <c r="C6" s="4" t="s">
        <v>325</v>
      </c>
      <c r="D6">
        <v>-90</v>
      </c>
      <c r="E6">
        <v>400</v>
      </c>
      <c r="F6">
        <v>0</v>
      </c>
      <c r="G6">
        <v>6.5</v>
      </c>
    </row>
    <row r="7" spans="2:7" x14ac:dyDescent="0.3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 x14ac:dyDescent="0.3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 x14ac:dyDescent="0.3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 x14ac:dyDescent="0.3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 x14ac:dyDescent="0.3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 x14ac:dyDescent="0.3">
      <c r="B12">
        <v>703</v>
      </c>
      <c r="C12" s="14" t="s">
        <v>400</v>
      </c>
      <c r="D12">
        <v>5</v>
      </c>
      <c r="E12">
        <v>400</v>
      </c>
      <c r="F12">
        <v>0</v>
      </c>
      <c r="G12">
        <v>5.5</v>
      </c>
    </row>
    <row r="13" spans="2:7" x14ac:dyDescent="0.3">
      <c r="B13">
        <v>704</v>
      </c>
      <c r="C13" s="14" t="s">
        <v>401</v>
      </c>
      <c r="D13">
        <v>10</v>
      </c>
      <c r="E13">
        <v>400</v>
      </c>
      <c r="F13">
        <v>0</v>
      </c>
      <c r="G13">
        <v>5.5</v>
      </c>
    </row>
    <row r="14" spans="2:7" x14ac:dyDescent="0.3">
      <c r="B14">
        <v>705</v>
      </c>
      <c r="C14" s="14" t="s">
        <v>402</v>
      </c>
      <c r="D14">
        <v>15</v>
      </c>
      <c r="E14">
        <v>400</v>
      </c>
      <c r="F14">
        <v>0</v>
      </c>
      <c r="G14">
        <v>5.5</v>
      </c>
    </row>
    <row r="15" spans="2:7" x14ac:dyDescent="0.3">
      <c r="B15">
        <v>706</v>
      </c>
      <c r="C15" s="14" t="s">
        <v>403</v>
      </c>
      <c r="D15">
        <v>20</v>
      </c>
      <c r="E15">
        <v>400</v>
      </c>
      <c r="F15">
        <v>0</v>
      </c>
      <c r="G15">
        <v>5.5</v>
      </c>
    </row>
    <row r="16" spans="2:7" x14ac:dyDescent="0.3">
      <c r="B16">
        <v>707</v>
      </c>
      <c r="C16" s="14" t="s">
        <v>404</v>
      </c>
      <c r="D16">
        <v>25</v>
      </c>
      <c r="E16">
        <v>400</v>
      </c>
      <c r="F16">
        <v>0</v>
      </c>
      <c r="G16">
        <v>5.5</v>
      </c>
    </row>
    <row r="17" spans="2:7" x14ac:dyDescent="0.3">
      <c r="B17">
        <v>708</v>
      </c>
      <c r="C17" s="14" t="s">
        <v>405</v>
      </c>
      <c r="D17" s="12">
        <v>30</v>
      </c>
      <c r="E17">
        <v>400</v>
      </c>
      <c r="F17">
        <v>0</v>
      </c>
      <c r="G17">
        <v>5.5</v>
      </c>
    </row>
    <row r="18" spans="2:7" x14ac:dyDescent="0.3">
      <c r="B18">
        <v>709</v>
      </c>
      <c r="C18" s="14" t="s">
        <v>406</v>
      </c>
      <c r="D18">
        <v>35</v>
      </c>
      <c r="E18">
        <v>400</v>
      </c>
      <c r="F18">
        <v>0</v>
      </c>
      <c r="G18">
        <v>5.5</v>
      </c>
    </row>
    <row r="19" spans="2:7" x14ac:dyDescent="0.3">
      <c r="B19">
        <v>710</v>
      </c>
      <c r="C19" s="14" t="s">
        <v>407</v>
      </c>
      <c r="D19">
        <v>40</v>
      </c>
      <c r="E19">
        <v>400</v>
      </c>
      <c r="F19">
        <v>0</v>
      </c>
      <c r="G19">
        <v>5.5</v>
      </c>
    </row>
    <row r="20" spans="2:7" x14ac:dyDescent="0.3">
      <c r="B20">
        <v>711</v>
      </c>
      <c r="C20" s="14" t="s">
        <v>408</v>
      </c>
      <c r="D20">
        <v>-5</v>
      </c>
      <c r="E20">
        <v>400</v>
      </c>
      <c r="F20">
        <v>0</v>
      </c>
      <c r="G20">
        <v>5.5</v>
      </c>
    </row>
    <row r="21" spans="2:7" x14ac:dyDescent="0.3">
      <c r="B21">
        <v>712</v>
      </c>
      <c r="C21" s="14" t="s">
        <v>409</v>
      </c>
      <c r="D21">
        <v>-10</v>
      </c>
      <c r="E21">
        <v>400</v>
      </c>
      <c r="F21">
        <v>0</v>
      </c>
      <c r="G21">
        <v>5.5</v>
      </c>
    </row>
    <row r="22" spans="2:7" x14ac:dyDescent="0.3">
      <c r="B22">
        <v>713</v>
      </c>
      <c r="C22" s="14" t="s">
        <v>410</v>
      </c>
      <c r="D22">
        <v>-15</v>
      </c>
      <c r="E22">
        <v>400</v>
      </c>
      <c r="F22">
        <v>0</v>
      </c>
      <c r="G22">
        <v>5.5</v>
      </c>
    </row>
    <row r="23" spans="2:7" x14ac:dyDescent="0.3">
      <c r="B23">
        <v>714</v>
      </c>
      <c r="C23" s="14" t="s">
        <v>398</v>
      </c>
      <c r="D23">
        <v>-20</v>
      </c>
      <c r="E23">
        <v>400</v>
      </c>
      <c r="F23">
        <v>0</v>
      </c>
      <c r="G23">
        <v>5.5</v>
      </c>
    </row>
    <row r="24" spans="2:7" x14ac:dyDescent="0.3">
      <c r="B24">
        <v>715</v>
      </c>
      <c r="C24" s="14" t="s">
        <v>411</v>
      </c>
      <c r="D24">
        <v>-25</v>
      </c>
      <c r="E24">
        <v>400</v>
      </c>
      <c r="F24">
        <v>0</v>
      </c>
      <c r="G24">
        <v>5.5</v>
      </c>
    </row>
    <row r="25" spans="2:7" x14ac:dyDescent="0.3">
      <c r="B25">
        <v>716</v>
      </c>
      <c r="C25" s="14" t="s">
        <v>399</v>
      </c>
      <c r="D25">
        <v>-30</v>
      </c>
      <c r="E25">
        <v>400</v>
      </c>
      <c r="F25">
        <v>0</v>
      </c>
      <c r="G25">
        <v>5.5</v>
      </c>
    </row>
    <row r="26" spans="2:7" x14ac:dyDescent="0.3">
      <c r="B26">
        <v>717</v>
      </c>
      <c r="C26" s="14" t="s">
        <v>412</v>
      </c>
      <c r="D26">
        <v>-35</v>
      </c>
      <c r="E26">
        <v>400</v>
      </c>
      <c r="F26">
        <v>0</v>
      </c>
      <c r="G26">
        <v>5.5</v>
      </c>
    </row>
    <row r="27" spans="2:7" x14ac:dyDescent="0.3">
      <c r="B27">
        <v>718</v>
      </c>
      <c r="C27" s="14" t="s">
        <v>413</v>
      </c>
      <c r="D27">
        <v>-40</v>
      </c>
      <c r="E27">
        <v>400</v>
      </c>
      <c r="F27">
        <v>0</v>
      </c>
      <c r="G27">
        <v>5.5</v>
      </c>
    </row>
    <row r="28" spans="2:7" x14ac:dyDescent="0.3">
      <c r="B28">
        <v>719</v>
      </c>
      <c r="C28" s="14" t="s">
        <v>431</v>
      </c>
      <c r="D28">
        <v>0</v>
      </c>
      <c r="E28">
        <v>403</v>
      </c>
      <c r="F28">
        <v>0</v>
      </c>
      <c r="G28">
        <v>6</v>
      </c>
    </row>
    <row r="29" spans="2:7" x14ac:dyDescent="0.3">
      <c r="B29">
        <v>720</v>
      </c>
      <c r="C29" s="4" t="s">
        <v>332</v>
      </c>
      <c r="D29">
        <v>-35</v>
      </c>
      <c r="E29">
        <v>400</v>
      </c>
      <c r="F29">
        <v>0</v>
      </c>
      <c r="G29">
        <v>5.5</v>
      </c>
    </row>
    <row r="30" spans="2:7" x14ac:dyDescent="0.3">
      <c r="B30">
        <v>720</v>
      </c>
      <c r="C30" s="4" t="s">
        <v>332</v>
      </c>
      <c r="D30">
        <v>-25</v>
      </c>
      <c r="E30">
        <v>400</v>
      </c>
      <c r="F30">
        <v>0</v>
      </c>
      <c r="G30">
        <v>5.5</v>
      </c>
    </row>
    <row r="31" spans="2:7" x14ac:dyDescent="0.3">
      <c r="B31">
        <v>720</v>
      </c>
      <c r="C31" s="4" t="s">
        <v>332</v>
      </c>
      <c r="D31">
        <v>-15</v>
      </c>
      <c r="E31">
        <v>400</v>
      </c>
      <c r="F31">
        <v>0</v>
      </c>
      <c r="G31">
        <v>5.5</v>
      </c>
    </row>
    <row r="32" spans="2:7" x14ac:dyDescent="0.3">
      <c r="B32">
        <v>720</v>
      </c>
      <c r="C32" s="4" t="s">
        <v>332</v>
      </c>
      <c r="D32">
        <v>-5</v>
      </c>
      <c r="E32">
        <v>400</v>
      </c>
      <c r="F32">
        <v>0</v>
      </c>
      <c r="G32">
        <v>5.5</v>
      </c>
    </row>
    <row r="33" spans="2:7" x14ac:dyDescent="0.3">
      <c r="B33">
        <v>720</v>
      </c>
      <c r="C33" s="4" t="s">
        <v>332</v>
      </c>
      <c r="D33">
        <v>5</v>
      </c>
      <c r="E33">
        <v>400</v>
      </c>
      <c r="F33">
        <v>0</v>
      </c>
      <c r="G33">
        <v>5.5</v>
      </c>
    </row>
    <row r="34" spans="2:7" x14ac:dyDescent="0.3">
      <c r="B34">
        <v>720</v>
      </c>
      <c r="C34" s="4" t="s">
        <v>332</v>
      </c>
      <c r="D34">
        <v>15</v>
      </c>
      <c r="E34">
        <v>400</v>
      </c>
      <c r="F34">
        <v>0</v>
      </c>
      <c r="G34">
        <v>5.5</v>
      </c>
    </row>
    <row r="35" spans="2:7" x14ac:dyDescent="0.3">
      <c r="B35">
        <v>720</v>
      </c>
      <c r="C35" s="4" t="s">
        <v>332</v>
      </c>
      <c r="D35">
        <v>25</v>
      </c>
      <c r="E35">
        <v>400</v>
      </c>
      <c r="F35">
        <v>0</v>
      </c>
      <c r="G35">
        <v>5.5</v>
      </c>
    </row>
    <row r="36" spans="2:7" x14ac:dyDescent="0.3">
      <c r="B36">
        <v>720</v>
      </c>
      <c r="C36" s="4" t="s">
        <v>332</v>
      </c>
      <c r="D36">
        <v>35</v>
      </c>
      <c r="E36">
        <v>400</v>
      </c>
      <c r="F36">
        <v>0</v>
      </c>
      <c r="G36">
        <v>5.5</v>
      </c>
    </row>
    <row r="37" spans="2:7" x14ac:dyDescent="0.3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 x14ac:dyDescent="0.3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 x14ac:dyDescent="0.3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 x14ac:dyDescent="0.3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 x14ac:dyDescent="0.3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 x14ac:dyDescent="0.3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 x14ac:dyDescent="0.3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 x14ac:dyDescent="0.3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 x14ac:dyDescent="0.3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 x14ac:dyDescent="0.3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 x14ac:dyDescent="0.3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 x14ac:dyDescent="0.3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 x14ac:dyDescent="0.3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 x14ac:dyDescent="0.3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 x14ac:dyDescent="0.3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 x14ac:dyDescent="0.3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 x14ac:dyDescent="0.3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 x14ac:dyDescent="0.3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 x14ac:dyDescent="0.3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 x14ac:dyDescent="0.3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 x14ac:dyDescent="0.3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 x14ac:dyDescent="0.3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 x14ac:dyDescent="0.3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 x14ac:dyDescent="0.3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 x14ac:dyDescent="0.3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 x14ac:dyDescent="0.3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 x14ac:dyDescent="0.3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 x14ac:dyDescent="0.3">
      <c r="B64">
        <v>725</v>
      </c>
      <c r="C64" s="14" t="s">
        <v>394</v>
      </c>
      <c r="D64">
        <v>0</v>
      </c>
      <c r="E64">
        <v>401</v>
      </c>
      <c r="F64">
        <v>0</v>
      </c>
      <c r="G64">
        <v>6.5</v>
      </c>
    </row>
    <row r="65" spans="2:7" x14ac:dyDescent="0.3">
      <c r="B65">
        <v>725</v>
      </c>
      <c r="C65" s="14" t="s">
        <v>394</v>
      </c>
      <c r="D65">
        <v>90</v>
      </c>
      <c r="E65">
        <v>401</v>
      </c>
      <c r="F65">
        <v>0</v>
      </c>
      <c r="G65">
        <v>6.5</v>
      </c>
    </row>
    <row r="66" spans="2:7" x14ac:dyDescent="0.3">
      <c r="B66">
        <v>725</v>
      </c>
      <c r="C66" s="14" t="s">
        <v>393</v>
      </c>
      <c r="D66">
        <v>180</v>
      </c>
      <c r="E66">
        <v>401</v>
      </c>
      <c r="F66">
        <v>0</v>
      </c>
      <c r="G66">
        <v>6.5</v>
      </c>
    </row>
    <row r="67" spans="2:7" x14ac:dyDescent="0.3">
      <c r="B67">
        <v>725</v>
      </c>
      <c r="C67" s="14" t="s">
        <v>393</v>
      </c>
      <c r="D67">
        <v>-90</v>
      </c>
      <c r="E67">
        <v>401</v>
      </c>
      <c r="F67">
        <v>0</v>
      </c>
      <c r="G67">
        <v>6.5</v>
      </c>
    </row>
    <row r="68" spans="2:7" x14ac:dyDescent="0.3">
      <c r="B68">
        <v>725</v>
      </c>
      <c r="C68" s="14" t="s">
        <v>393</v>
      </c>
      <c r="D68">
        <v>45</v>
      </c>
      <c r="E68">
        <v>401</v>
      </c>
      <c r="F68">
        <v>0</v>
      </c>
      <c r="G68">
        <v>6.5</v>
      </c>
    </row>
    <row r="69" spans="2:7" x14ac:dyDescent="0.3">
      <c r="B69">
        <v>725</v>
      </c>
      <c r="C69" s="14" t="s">
        <v>393</v>
      </c>
      <c r="D69">
        <v>-45</v>
      </c>
      <c r="E69">
        <v>401</v>
      </c>
      <c r="F69">
        <v>0</v>
      </c>
      <c r="G69">
        <v>6.5</v>
      </c>
    </row>
    <row r="70" spans="2:7" x14ac:dyDescent="0.3">
      <c r="B70">
        <v>725</v>
      </c>
      <c r="C70" s="14" t="s">
        <v>393</v>
      </c>
      <c r="D70">
        <v>135</v>
      </c>
      <c r="E70">
        <v>401</v>
      </c>
      <c r="F70">
        <v>0</v>
      </c>
      <c r="G70">
        <v>6.5</v>
      </c>
    </row>
    <row r="71" spans="2:7" x14ac:dyDescent="0.3">
      <c r="B71">
        <v>725</v>
      </c>
      <c r="C71" s="14" t="s">
        <v>393</v>
      </c>
      <c r="D71">
        <v>-135</v>
      </c>
      <c r="E71">
        <v>401</v>
      </c>
      <c r="F71">
        <v>0</v>
      </c>
      <c r="G71">
        <v>6.5</v>
      </c>
    </row>
    <row r="72" spans="2:7" x14ac:dyDescent="0.3">
      <c r="B72">
        <v>726</v>
      </c>
      <c r="C72" s="20" t="s">
        <v>326</v>
      </c>
      <c r="D72">
        <v>0</v>
      </c>
      <c r="E72">
        <v>404</v>
      </c>
      <c r="F72">
        <v>1</v>
      </c>
      <c r="G72">
        <v>6.5</v>
      </c>
    </row>
    <row r="73" spans="2:7" x14ac:dyDescent="0.3">
      <c r="B73">
        <v>727</v>
      </c>
      <c r="C73" s="15" t="s">
        <v>472</v>
      </c>
      <c r="D73">
        <v>0</v>
      </c>
      <c r="E73">
        <v>401</v>
      </c>
      <c r="F73">
        <v>0</v>
      </c>
      <c r="G73">
        <v>6.5</v>
      </c>
    </row>
    <row r="74" spans="2:7" x14ac:dyDescent="0.3">
      <c r="B74">
        <v>727</v>
      </c>
      <c r="C74" s="15" t="s">
        <v>472</v>
      </c>
      <c r="D74">
        <v>90</v>
      </c>
      <c r="E74">
        <v>401</v>
      </c>
      <c r="F74">
        <v>0</v>
      </c>
      <c r="G74">
        <v>6.5</v>
      </c>
    </row>
    <row r="75" spans="2:7" x14ac:dyDescent="0.3">
      <c r="B75">
        <v>727</v>
      </c>
      <c r="C75" s="15" t="s">
        <v>471</v>
      </c>
      <c r="D75">
        <v>180</v>
      </c>
      <c r="E75">
        <v>401</v>
      </c>
      <c r="F75">
        <v>0</v>
      </c>
      <c r="G75">
        <v>6.5</v>
      </c>
    </row>
    <row r="76" spans="2:7" x14ac:dyDescent="0.3">
      <c r="B76">
        <v>727</v>
      </c>
      <c r="C76" s="15" t="s">
        <v>471</v>
      </c>
      <c r="D76">
        <v>-90</v>
      </c>
      <c r="E76">
        <v>401</v>
      </c>
      <c r="F76">
        <v>0</v>
      </c>
      <c r="G76">
        <v>6.5</v>
      </c>
    </row>
    <row r="77" spans="2:7" x14ac:dyDescent="0.3">
      <c r="B77">
        <v>727</v>
      </c>
      <c r="C77" s="15" t="s">
        <v>471</v>
      </c>
      <c r="D77">
        <v>45</v>
      </c>
      <c r="E77">
        <v>401</v>
      </c>
      <c r="F77">
        <v>0</v>
      </c>
      <c r="G77">
        <v>6.5</v>
      </c>
    </row>
    <row r="78" spans="2:7" x14ac:dyDescent="0.3">
      <c r="B78">
        <v>727</v>
      </c>
      <c r="C78" s="15" t="s">
        <v>471</v>
      </c>
      <c r="D78">
        <v>-45</v>
      </c>
      <c r="E78">
        <v>401</v>
      </c>
      <c r="F78">
        <v>0</v>
      </c>
      <c r="G78">
        <v>6.5</v>
      </c>
    </row>
    <row r="79" spans="2:7" x14ac:dyDescent="0.3">
      <c r="B79">
        <v>727</v>
      </c>
      <c r="C79" s="15" t="s">
        <v>471</v>
      </c>
      <c r="D79">
        <v>135</v>
      </c>
      <c r="E79">
        <v>401</v>
      </c>
      <c r="F79">
        <v>0</v>
      </c>
      <c r="G79">
        <v>6.5</v>
      </c>
    </row>
    <row r="80" spans="2:7" x14ac:dyDescent="0.3">
      <c r="B80">
        <v>727</v>
      </c>
      <c r="C80" s="15" t="s">
        <v>471</v>
      </c>
      <c r="D80">
        <v>-135</v>
      </c>
      <c r="E80">
        <v>401</v>
      </c>
      <c r="F80">
        <v>0</v>
      </c>
      <c r="G80">
        <v>6.5</v>
      </c>
    </row>
    <row r="81" spans="2:7" x14ac:dyDescent="0.3">
      <c r="B81">
        <v>727</v>
      </c>
      <c r="C81" s="15" t="s">
        <v>472</v>
      </c>
      <c r="D81">
        <v>22.5</v>
      </c>
      <c r="E81">
        <v>401</v>
      </c>
      <c r="F81">
        <v>0</v>
      </c>
      <c r="G81">
        <v>6.5</v>
      </c>
    </row>
    <row r="82" spans="2:7" x14ac:dyDescent="0.3">
      <c r="B82">
        <v>727</v>
      </c>
      <c r="C82" s="15" t="s">
        <v>472</v>
      </c>
      <c r="D82">
        <v>112.5</v>
      </c>
      <c r="E82">
        <v>401</v>
      </c>
      <c r="F82">
        <v>0</v>
      </c>
      <c r="G82">
        <v>6.5</v>
      </c>
    </row>
    <row r="83" spans="2:7" x14ac:dyDescent="0.3">
      <c r="B83">
        <v>727</v>
      </c>
      <c r="C83" s="15" t="s">
        <v>471</v>
      </c>
      <c r="D83">
        <v>202.5</v>
      </c>
      <c r="E83">
        <v>401</v>
      </c>
      <c r="F83">
        <v>0</v>
      </c>
      <c r="G83">
        <v>6.5</v>
      </c>
    </row>
    <row r="84" spans="2:7" x14ac:dyDescent="0.3">
      <c r="B84">
        <v>727</v>
      </c>
      <c r="C84" s="15" t="s">
        <v>471</v>
      </c>
      <c r="D84">
        <v>-67.5</v>
      </c>
      <c r="E84">
        <v>401</v>
      </c>
      <c r="F84">
        <v>0</v>
      </c>
      <c r="G84">
        <v>6.5</v>
      </c>
    </row>
    <row r="85" spans="2:7" x14ac:dyDescent="0.3">
      <c r="B85">
        <v>727</v>
      </c>
      <c r="C85" s="15" t="s">
        <v>471</v>
      </c>
      <c r="D85">
        <v>67.5</v>
      </c>
      <c r="E85">
        <v>401</v>
      </c>
      <c r="F85">
        <v>0</v>
      </c>
      <c r="G85">
        <v>6.5</v>
      </c>
    </row>
    <row r="86" spans="2:7" x14ac:dyDescent="0.3">
      <c r="B86">
        <v>727</v>
      </c>
      <c r="C86" s="15" t="s">
        <v>471</v>
      </c>
      <c r="D86">
        <v>-22.5</v>
      </c>
      <c r="E86">
        <v>401</v>
      </c>
      <c r="F86">
        <v>0</v>
      </c>
      <c r="G86">
        <v>6.5</v>
      </c>
    </row>
    <row r="87" spans="2:7" x14ac:dyDescent="0.3">
      <c r="B87">
        <v>727</v>
      </c>
      <c r="C87" s="15" t="s">
        <v>471</v>
      </c>
      <c r="D87">
        <v>157.5</v>
      </c>
      <c r="E87">
        <v>401</v>
      </c>
      <c r="F87">
        <v>0</v>
      </c>
      <c r="G87">
        <v>6.5</v>
      </c>
    </row>
    <row r="88" spans="2:7" x14ac:dyDescent="0.3">
      <c r="B88">
        <v>727</v>
      </c>
      <c r="C88" s="15" t="s">
        <v>471</v>
      </c>
      <c r="D88">
        <v>-112.5</v>
      </c>
      <c r="E88">
        <v>401</v>
      </c>
      <c r="F88">
        <v>0</v>
      </c>
      <c r="G88">
        <v>6.5</v>
      </c>
    </row>
    <row r="89" spans="2:7" x14ac:dyDescent="0.3">
      <c r="B89">
        <v>800</v>
      </c>
      <c r="C89" s="12" t="s">
        <v>543</v>
      </c>
      <c r="D89">
        <v>30</v>
      </c>
      <c r="E89">
        <v>201</v>
      </c>
      <c r="F89">
        <v>0</v>
      </c>
      <c r="G89">
        <v>6.5</v>
      </c>
    </row>
    <row r="90" spans="2:7" x14ac:dyDescent="0.3">
      <c r="B90">
        <v>800</v>
      </c>
      <c r="C90" s="12" t="s">
        <v>543</v>
      </c>
      <c r="D90">
        <v>0</v>
      </c>
      <c r="E90">
        <v>201</v>
      </c>
      <c r="F90">
        <v>0</v>
      </c>
      <c r="G90">
        <v>6.5</v>
      </c>
    </row>
    <row r="91" spans="2:7" x14ac:dyDescent="0.3">
      <c r="B91">
        <v>800</v>
      </c>
      <c r="C91" s="12" t="s">
        <v>543</v>
      </c>
      <c r="D91">
        <v>-30</v>
      </c>
      <c r="E91">
        <v>201</v>
      </c>
      <c r="F91">
        <v>0</v>
      </c>
      <c r="G91">
        <v>6.5</v>
      </c>
    </row>
    <row r="92" spans="2:7" x14ac:dyDescent="0.3">
      <c r="B92">
        <v>802</v>
      </c>
      <c r="C92" s="12" t="s">
        <v>601</v>
      </c>
      <c r="D92">
        <v>45</v>
      </c>
      <c r="E92">
        <v>203</v>
      </c>
      <c r="F92">
        <v>0</v>
      </c>
      <c r="G92">
        <v>8</v>
      </c>
    </row>
    <row r="93" spans="2:7" x14ac:dyDescent="0.3">
      <c r="B93">
        <v>802</v>
      </c>
      <c r="C93" s="12" t="s">
        <v>601</v>
      </c>
      <c r="D93">
        <v>-45</v>
      </c>
      <c r="E93">
        <v>203</v>
      </c>
      <c r="F93">
        <v>0</v>
      </c>
      <c r="G93">
        <v>8</v>
      </c>
    </row>
    <row r="94" spans="2:7" x14ac:dyDescent="0.3">
      <c r="B94">
        <v>802</v>
      </c>
      <c r="C94" s="12" t="s">
        <v>601</v>
      </c>
      <c r="D94">
        <v>225</v>
      </c>
      <c r="E94">
        <v>203</v>
      </c>
      <c r="F94">
        <v>0</v>
      </c>
      <c r="G94">
        <v>8</v>
      </c>
    </row>
    <row r="95" spans="2:7" x14ac:dyDescent="0.3">
      <c r="B95">
        <v>802</v>
      </c>
      <c r="C95" s="12" t="s">
        <v>601</v>
      </c>
      <c r="D95">
        <v>-225</v>
      </c>
      <c r="E95">
        <v>203</v>
      </c>
      <c r="F95">
        <v>0</v>
      </c>
      <c r="G95">
        <v>8</v>
      </c>
    </row>
    <row r="96" spans="2:7" x14ac:dyDescent="0.3">
      <c r="B96">
        <v>999</v>
      </c>
      <c r="C96" s="17" t="s">
        <v>426</v>
      </c>
      <c r="D96">
        <v>0</v>
      </c>
      <c r="E96">
        <v>999</v>
      </c>
      <c r="F96">
        <v>8</v>
      </c>
      <c r="G96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topLeftCell="A4" zoomScaleNormal="75" zoomScaleSheetLayoutView="100" workbookViewId="0">
      <selection activeCell="F6" sqref="F6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 x14ac:dyDescent="0.3">
      <c r="B2" t="s">
        <v>73</v>
      </c>
      <c r="C2" s="5" t="s">
        <v>41</v>
      </c>
      <c r="D2" t="s">
        <v>322</v>
      </c>
      <c r="E2" t="s">
        <v>166</v>
      </c>
      <c r="F2" t="s">
        <v>293</v>
      </c>
      <c r="G2" t="s">
        <v>300</v>
      </c>
    </row>
    <row r="3" spans="2:7" x14ac:dyDescent="0.3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356</v>
      </c>
    </row>
    <row r="4" spans="2:7" x14ac:dyDescent="0.3">
      <c r="B4">
        <v>201</v>
      </c>
      <c r="C4" s="12" t="s">
        <v>544</v>
      </c>
      <c r="D4" t="b">
        <v>1</v>
      </c>
      <c r="E4">
        <v>0.8</v>
      </c>
      <c r="F4">
        <v>15</v>
      </c>
      <c r="G4" s="12" t="s">
        <v>603</v>
      </c>
    </row>
    <row r="5" spans="2:7" x14ac:dyDescent="0.3">
      <c r="B5">
        <v>203</v>
      </c>
      <c r="C5" s="12" t="s">
        <v>602</v>
      </c>
      <c r="D5" t="b">
        <v>1</v>
      </c>
      <c r="E5">
        <v>1.2</v>
      </c>
      <c r="F5">
        <v>30</v>
      </c>
      <c r="G5" s="12" t="s">
        <v>620</v>
      </c>
    </row>
    <row r="6" spans="2:7" x14ac:dyDescent="0.3">
      <c r="B6">
        <v>500</v>
      </c>
      <c r="C6" s="4" t="s">
        <v>38</v>
      </c>
      <c r="D6" s="3" t="b">
        <v>0</v>
      </c>
      <c r="E6">
        <v>1</v>
      </c>
      <c r="F6">
        <v>60</v>
      </c>
      <c r="G6" t="s">
        <v>355</v>
      </c>
    </row>
    <row r="7" spans="2:7" x14ac:dyDescent="0.3">
      <c r="B7">
        <v>501</v>
      </c>
      <c r="C7" s="4" t="s">
        <v>149</v>
      </c>
      <c r="D7" s="3" t="b">
        <v>0</v>
      </c>
      <c r="E7">
        <v>1</v>
      </c>
      <c r="F7">
        <v>60</v>
      </c>
      <c r="G7" t="s">
        <v>355</v>
      </c>
    </row>
    <row r="8" spans="2:7" x14ac:dyDescent="0.3">
      <c r="B8">
        <v>400</v>
      </c>
      <c r="C8" s="4" t="s">
        <v>130</v>
      </c>
      <c r="D8" s="3" t="b">
        <v>0</v>
      </c>
      <c r="E8">
        <v>0.25</v>
      </c>
      <c r="F8">
        <v>25</v>
      </c>
      <c r="G8" t="s">
        <v>355</v>
      </c>
    </row>
    <row r="9" spans="2:7" x14ac:dyDescent="0.3">
      <c r="B9">
        <v>401</v>
      </c>
      <c r="C9" s="4" t="s">
        <v>333</v>
      </c>
      <c r="D9" s="3" t="b">
        <v>1</v>
      </c>
      <c r="E9">
        <v>0.25</v>
      </c>
      <c r="F9">
        <v>25</v>
      </c>
      <c r="G9" t="s">
        <v>355</v>
      </c>
    </row>
    <row r="10" spans="2:7" x14ac:dyDescent="0.3">
      <c r="B10">
        <v>402</v>
      </c>
      <c r="C10" s="4" t="s">
        <v>127</v>
      </c>
      <c r="D10" s="3" t="b">
        <v>0</v>
      </c>
      <c r="E10">
        <v>0.4</v>
      </c>
      <c r="F10">
        <v>25</v>
      </c>
      <c r="G10" t="s">
        <v>355</v>
      </c>
    </row>
    <row r="11" spans="2:7" x14ac:dyDescent="0.3">
      <c r="B11">
        <v>403</v>
      </c>
      <c r="C11" s="14" t="s">
        <v>432</v>
      </c>
      <c r="D11" s="3" t="b">
        <v>0</v>
      </c>
      <c r="E11">
        <v>0.8</v>
      </c>
      <c r="F11">
        <v>25</v>
      </c>
      <c r="G11" t="s">
        <v>355</v>
      </c>
    </row>
    <row r="12" spans="2:7" x14ac:dyDescent="0.3">
      <c r="B12">
        <v>404</v>
      </c>
      <c r="C12" s="14" t="s">
        <v>433</v>
      </c>
      <c r="D12" s="3" t="b">
        <v>1</v>
      </c>
      <c r="E12">
        <v>0.8</v>
      </c>
      <c r="F12">
        <v>25</v>
      </c>
      <c r="G12" t="s">
        <v>355</v>
      </c>
    </row>
    <row r="13" spans="2:7" x14ac:dyDescent="0.3">
      <c r="B13">
        <v>999</v>
      </c>
      <c r="C13" s="19" t="s">
        <v>427</v>
      </c>
      <c r="D13" t="b">
        <v>1</v>
      </c>
      <c r="E13">
        <v>1</v>
      </c>
      <c r="F13">
        <v>25</v>
      </c>
      <c r="G13" s="17" t="s">
        <v>464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A4" zoomScale="136" zoomScaleNormal="136" zoomScaleSheetLayoutView="100" workbookViewId="0">
      <selection activeCell="B12" sqref="B12"/>
    </sheetView>
  </sheetViews>
  <sheetFormatPr defaultColWidth="8.875" defaultRowHeight="16.5" x14ac:dyDescent="0.3"/>
  <cols>
    <col min="2" max="2" width="8.625" bestFit="1" customWidth="1"/>
    <col min="3" max="3" width="19.375" customWidth="1"/>
    <col min="4" max="4" width="98.875" customWidth="1"/>
    <col min="5" max="5" width="64.375" bestFit="1" customWidth="1"/>
    <col min="6" max="6" width="26.5" bestFit="1" customWidth="1"/>
    <col min="7" max="7" width="13.375" bestFit="1" customWidth="1"/>
    <col min="8" max="8" width="18.5" bestFit="1" customWidth="1"/>
    <col min="9" max="11" width="18.5" customWidth="1"/>
    <col min="12" max="12" width="35.625" bestFit="1" customWidth="1"/>
    <col min="13" max="13" width="17.875" bestFit="1" customWidth="1"/>
    <col min="14" max="14" width="97" customWidth="1"/>
    <col min="15" max="15" width="44.625" customWidth="1"/>
    <col min="16" max="16" width="24.375" customWidth="1"/>
    <col min="17" max="18" width="64.5" customWidth="1"/>
  </cols>
  <sheetData>
    <row r="1" spans="2:19" x14ac:dyDescent="0.3">
      <c r="B1" t="s">
        <v>49</v>
      </c>
      <c r="C1" t="s">
        <v>74</v>
      </c>
      <c r="D1" t="s">
        <v>74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 x14ac:dyDescent="0.3">
      <c r="B2" t="s">
        <v>73</v>
      </c>
      <c r="C2" t="s">
        <v>77</v>
      </c>
      <c r="D2" t="s">
        <v>161</v>
      </c>
      <c r="E2" s="17" t="s">
        <v>516</v>
      </c>
      <c r="F2" s="17" t="s">
        <v>517</v>
      </c>
      <c r="G2" t="s">
        <v>274</v>
      </c>
      <c r="H2" t="s">
        <v>86</v>
      </c>
      <c r="I2" t="s">
        <v>90</v>
      </c>
      <c r="J2" t="s">
        <v>275</v>
      </c>
      <c r="K2" t="s">
        <v>16</v>
      </c>
      <c r="L2" t="s">
        <v>191</v>
      </c>
      <c r="M2" s="5" t="s">
        <v>345</v>
      </c>
      <c r="N2" s="1" t="s">
        <v>47</v>
      </c>
      <c r="O2" s="1" t="s">
        <v>382</v>
      </c>
      <c r="P2" s="1" t="s">
        <v>383</v>
      </c>
      <c r="Q2" s="1" t="s">
        <v>384</v>
      </c>
      <c r="R2" s="24" t="s">
        <v>460</v>
      </c>
      <c r="S2" s="24" t="s">
        <v>455</v>
      </c>
    </row>
    <row r="3" spans="2:19" x14ac:dyDescent="0.3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8"/>
      <c r="O3" s="38"/>
      <c r="P3" s="38"/>
      <c r="Q3" s="38"/>
      <c r="R3" s="38"/>
      <c r="S3" s="38" t="str">
        <f>IF(ItemTable[[#This Row],['#4]]=ItemTable[[#This Row],[Desc]],"T","F")</f>
        <v>T</v>
      </c>
    </row>
    <row r="4" spans="2:19" x14ac:dyDescent="0.3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8"/>
      <c r="O4" s="38"/>
      <c r="P4" s="38"/>
      <c r="Q4" s="38"/>
      <c r="R4" s="38"/>
      <c r="S4" s="38" t="str">
        <f>IF(ItemTable[[#This Row],['#4]]=ItemTable[[#This Row],[Desc]],"T","F")</f>
        <v>T</v>
      </c>
    </row>
    <row r="5" spans="2:19" x14ac:dyDescent="0.3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8"/>
      <c r="O5" s="38"/>
      <c r="P5" s="38"/>
      <c r="Q5" s="38"/>
      <c r="R5" s="38"/>
      <c r="S5" s="38" t="str">
        <f>IF(ItemTable[[#This Row],['#4]]=ItemTable[[#This Row],[Desc]],"T","F")</f>
        <v>T</v>
      </c>
    </row>
    <row r="6" spans="2:19" x14ac:dyDescent="0.3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8"/>
      <c r="O6" s="38"/>
      <c r="P6" s="38"/>
      <c r="Q6" s="38"/>
      <c r="R6" s="38"/>
      <c r="S6" s="38" t="str">
        <f>IF(ItemTable[[#This Row],['#4]]=ItemTable[[#This Row],[Desc]],"T","F")</f>
        <v>T</v>
      </c>
    </row>
    <row r="7" spans="2:19" x14ac:dyDescent="0.3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8"/>
      <c r="O7" s="38"/>
      <c r="P7" s="38"/>
      <c r="Q7" s="38"/>
      <c r="R7" s="38"/>
      <c r="S7" s="38" t="str">
        <f>IF(ItemTable[[#This Row],['#4]]=ItemTable[[#This Row],[Desc]],"T","F")</f>
        <v>T</v>
      </c>
    </row>
    <row r="8" spans="2:19" x14ac:dyDescent="0.3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330</v>
      </c>
      <c r="D8" s="12" t="s">
        <v>608</v>
      </c>
      <c r="E8" s="17" t="s">
        <v>616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248</v>
      </c>
      <c r="M8" s="20" t="str">
        <f>MID(ItemTable[[#This Row],[ItemIconPath]],FIND("icon",ItemTable[[#This Row],[ItemIconPath]]),999)</f>
        <v>icon/item/item_02.png</v>
      </c>
      <c r="N8" s="39" t="s">
        <v>369</v>
      </c>
      <c r="O8" s="38" t="s">
        <v>346</v>
      </c>
      <c r="P8" s="38"/>
      <c r="Q8" s="38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8"/>
      <c r="S8" s="38" t="str">
        <f>IF(ItemTable[[#This Row],['#4]]=ItemTable[[#This Row],[Desc]],"T","F")</f>
        <v>F</v>
      </c>
    </row>
    <row r="9" spans="2:19" x14ac:dyDescent="0.3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156</v>
      </c>
      <c r="D9" s="17" t="s">
        <v>385</v>
      </c>
      <c r="E9" t="s">
        <v>353</v>
      </c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251</v>
      </c>
      <c r="M9" s="20" t="str">
        <f>MID(ItemTable[[#This Row],[ItemIconPath]],FIND("icon",ItemTable[[#This Row],[ItemIconPath]]),999)</f>
        <v>icon/item/item_04.png</v>
      </c>
      <c r="N9" s="39" t="s">
        <v>385</v>
      </c>
      <c r="O9" s="38" t="s">
        <v>353</v>
      </c>
      <c r="P9" s="38"/>
      <c r="Q9" s="38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8"/>
      <c r="S9" s="38" t="str">
        <f>IF(ItemTable[[#This Row],['#4]]=ItemTable[[#This Row],[Desc]],"T","F")</f>
        <v>F</v>
      </c>
    </row>
    <row r="10" spans="2:19" x14ac:dyDescent="0.3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159</v>
      </c>
      <c r="D10" s="17" t="s">
        <v>367</v>
      </c>
      <c r="E10" t="s">
        <v>342</v>
      </c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245</v>
      </c>
      <c r="M10" s="20" t="str">
        <f>MID(ItemTable[[#This Row],[ItemIconPath]],FIND("icon",ItemTable[[#This Row],[ItemIconPath]]),999)</f>
        <v>icon/item/item_05.png</v>
      </c>
      <c r="N10" s="39" t="s">
        <v>367</v>
      </c>
      <c r="O10" s="38" t="s">
        <v>342</v>
      </c>
      <c r="P10" s="38"/>
      <c r="Q10" s="38" t="str">
        <f t="shared" si="0"/>
        <v>얼.죽.아 클럽의 새로운 유행입니다.\n\n&lt;size=20&gt;&lt;color=#97C456&gt;차징속도 +20%&lt;/color&gt;&lt;/size&gt;</v>
      </c>
      <c r="R10" s="38"/>
      <c r="S10" s="38" t="str">
        <f>IF(ItemTable[[#This Row],['#4]]=ItemTable[[#This Row],[Desc]],"T","F")</f>
        <v>F</v>
      </c>
    </row>
    <row r="11" spans="2:19" x14ac:dyDescent="0.3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5" t="s">
        <v>158</v>
      </c>
      <c r="D11" s="25" t="s">
        <v>368</v>
      </c>
      <c r="E11" s="25" t="s">
        <v>611</v>
      </c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243</v>
      </c>
      <c r="M11" s="20" t="str">
        <f>MID(ItemTable[[#This Row],[ItemIconPath]],FIND("icon",ItemTable[[#This Row],[ItemIconPath]]),999)</f>
        <v>icon/item/item_07.png</v>
      </c>
      <c r="N11" s="39" t="s">
        <v>368</v>
      </c>
      <c r="O11" s="38" t="s">
        <v>341</v>
      </c>
      <c r="P11" s="38"/>
      <c r="Q11" s="38" t="str">
        <f t="shared" si="0"/>
        <v>배트 이외의 물건에 사용하지 마시오\nQT추출물 0.0006% 함유\nQT향 0.1%함유\n\n&lt;size=20&gt;&lt;color=#97C456&gt;공 충돌횟수 +1&lt;/color&gt;&lt;/size&gt;</v>
      </c>
      <c r="R11" s="38"/>
      <c r="S11" s="38" t="str">
        <f>IF(ItemTable[[#This Row],['#4]]=ItemTable[[#This Row],[Desc]],"T","F")</f>
        <v>F</v>
      </c>
    </row>
    <row r="12" spans="2:19" x14ac:dyDescent="0.3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154</v>
      </c>
      <c r="D12" s="26" t="s">
        <v>561</v>
      </c>
      <c r="E12" s="12" t="s">
        <v>518</v>
      </c>
      <c r="F12" s="26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246</v>
      </c>
      <c r="M12" s="20" t="str">
        <f>MID(ItemTable[[#This Row],[ItemIconPath]],FIND("icon",ItemTable[[#This Row],[ItemIconPath]]),999)</f>
        <v>icon/item/item_11.png</v>
      </c>
      <c r="N12" s="39" t="s">
        <v>462</v>
      </c>
      <c r="O12" s="39" t="s">
        <v>456</v>
      </c>
      <c r="P12" s="38"/>
      <c r="Q12" s="38" t="str">
        <f t="shared" si="0"/>
        <v>시크한 표정이 매력적입니다.\n세 나라 이야기의 붉은 목마 입니다.\n\n&lt;size=20&gt;&lt;color=#97C456&gt;이동속도 +6&lt;/color&gt;&lt;/size&gt;</v>
      </c>
      <c r="R12" s="38"/>
      <c r="S12" s="38" t="str">
        <f>IF(ItemTable[[#This Row],['#4]]=ItemTable[[#This Row],[Desc]],"T","F")</f>
        <v>F</v>
      </c>
    </row>
    <row r="13" spans="2:19" x14ac:dyDescent="0.3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160</v>
      </c>
      <c r="D13" s="17" t="s">
        <v>381</v>
      </c>
      <c r="E13" s="12" t="s">
        <v>576</v>
      </c>
      <c r="G13" t="s">
        <v>78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247</v>
      </c>
      <c r="M13" s="20" t="str">
        <f>MID(ItemTable[[#This Row],[ItemIconPath]],FIND("icon",ItemTable[[#This Row],[ItemIconPath]]),999)</f>
        <v>icon/item/item_15.png</v>
      </c>
      <c r="N13" s="39" t="s">
        <v>381</v>
      </c>
      <c r="O13" s="38" t="s">
        <v>339</v>
      </c>
      <c r="P13" s="38"/>
      <c r="Q13" s="38" t="str">
        <f t="shared" si="0"/>
        <v>대나무 향을 머금은 흰 밥이\n까만 김을 만나 완성된 환상적인 조합.\n\n&lt;size=20&gt;&lt;color=#97C456&gt;최대 체력 +1하트&lt;/color&gt;&lt;/size&gt;</v>
      </c>
      <c r="R13" s="38"/>
      <c r="S13" s="38" t="str">
        <f>IF(ItemTable[[#This Row],['#4]]=ItemTable[[#This Row],[Desc]],"T","F")</f>
        <v>F</v>
      </c>
    </row>
    <row r="14" spans="2:19" x14ac:dyDescent="0.3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5" t="s">
        <v>57</v>
      </c>
      <c r="D14" s="45" t="s">
        <v>388</v>
      </c>
      <c r="E14" s="45" t="s">
        <v>575</v>
      </c>
      <c r="F14" s="26"/>
      <c r="G14" t="s">
        <v>79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249</v>
      </c>
      <c r="M14" s="20" t="str">
        <f>MID(ItemTable[[#This Row],[ItemIconPath]],FIND("icon",ItemTable[[#This Row],[ItemIconPath]]),999)</f>
        <v>icon/item/item_17.png</v>
      </c>
      <c r="N14" s="39" t="s">
        <v>388</v>
      </c>
      <c r="O14" s="39" t="s">
        <v>457</v>
      </c>
      <c r="P14" s="38"/>
      <c r="Q14" s="38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9" t="s">
        <v>463</v>
      </c>
      <c r="S14" s="38" t="str">
        <f>IF(ItemTable[[#This Row],['#4]]=ItemTable[[#This Row],[Desc]],"T","F")</f>
        <v>F</v>
      </c>
    </row>
    <row r="15" spans="2:19" x14ac:dyDescent="0.3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2" t="s">
        <v>370</v>
      </c>
      <c r="D15" s="17" t="s">
        <v>387</v>
      </c>
      <c r="E15" s="12" t="s">
        <v>600</v>
      </c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252</v>
      </c>
      <c r="M15" s="20" t="str">
        <f>MID(ItemTable[[#This Row],[ItemIconPath]],FIND("icon",ItemTable[[#This Row],[ItemIconPath]]),999)</f>
        <v>icon/item/item_12.png</v>
      </c>
      <c r="N15" s="39" t="s">
        <v>387</v>
      </c>
      <c r="O15" s="38" t="s">
        <v>34</v>
      </c>
      <c r="P15" s="38"/>
      <c r="Q15" s="38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8"/>
      <c r="S15" s="38" t="str">
        <f>IF(ItemTable[[#This Row],['#4]]=ItemTable[[#This Row],[Desc]],"T","F")</f>
        <v>F</v>
      </c>
    </row>
    <row r="16" spans="2:19" x14ac:dyDescent="0.3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59</v>
      </c>
      <c r="D16" s="17" t="s">
        <v>562</v>
      </c>
      <c r="E16" s="12" t="s">
        <v>628</v>
      </c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254</v>
      </c>
      <c r="M16" s="20" t="str">
        <f>MID(ItemTable[[#This Row],[ItemIconPath]],FIND("icon",ItemTable[[#This Row],[ItemIconPath]]),999)</f>
        <v>icon/item/item_09.png</v>
      </c>
      <c r="N16" s="39" t="s">
        <v>380</v>
      </c>
      <c r="O16" s="39" t="s">
        <v>458</v>
      </c>
      <c r="P16" s="38"/>
      <c r="Q16" s="38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8"/>
      <c r="S16" s="38" t="str">
        <f>IF(ItemTable[[#This Row],['#4]]=ItemTable[[#This Row],[Desc]],"T","F")</f>
        <v>F</v>
      </c>
    </row>
    <row r="17" spans="2:19" x14ac:dyDescent="0.3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327</v>
      </c>
      <c r="D17" s="17" t="s">
        <v>371</v>
      </c>
      <c r="E17" s="12" t="s">
        <v>553</v>
      </c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255</v>
      </c>
      <c r="M17" s="20" t="str">
        <f>MID(ItemTable[[#This Row],[ItemIconPath]],FIND("icon",ItemTable[[#This Row],[ItemIconPath]]),999)</f>
        <v>icon/item/item_10.png</v>
      </c>
      <c r="N17" s="39" t="s">
        <v>371</v>
      </c>
      <c r="O17" s="38" t="s">
        <v>338</v>
      </c>
      <c r="P17" s="38"/>
      <c r="Q17" s="38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8"/>
      <c r="S17" s="38" t="str">
        <f>IF(ItemTable[[#This Row],['#4]]=ItemTable[[#This Row],[Desc]],"T","F")</f>
        <v>F</v>
      </c>
    </row>
    <row r="18" spans="2:19" x14ac:dyDescent="0.3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344</v>
      </c>
      <c r="D18" s="17" t="s">
        <v>375</v>
      </c>
      <c r="E18" s="12" t="s">
        <v>568</v>
      </c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256</v>
      </c>
      <c r="M18" s="20" t="str">
        <f>MID(ItemTable[[#This Row],[ItemIconPath]],FIND("icon",ItemTable[[#This Row],[ItemIconPath]]),999)</f>
        <v>icon/item/item_16.png</v>
      </c>
      <c r="N18" s="39" t="s">
        <v>375</v>
      </c>
      <c r="O18" s="38" t="s">
        <v>340</v>
      </c>
      <c r="P18" s="38"/>
      <c r="Q18" s="38" t="str">
        <f t="shared" si="0"/>
        <v>종교적인 용도로 보이는 컵입니다.\n잠깐, 방금 조금 움직인 것 같은데요?\n\n&lt;size=20&gt;&lt;color=#97C456&gt;공 충돌횟수 +2&lt;/color&gt;&lt;/size&gt;</v>
      </c>
      <c r="R18" s="38"/>
      <c r="S18" s="38" t="str">
        <f>IF(ItemTable[[#This Row],['#4]]=ItemTable[[#This Row],[Desc]],"T","F")</f>
        <v>F</v>
      </c>
    </row>
    <row r="19" spans="2:19" x14ac:dyDescent="0.3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46" t="s">
        <v>570</v>
      </c>
      <c r="E19" s="25" t="s">
        <v>581</v>
      </c>
      <c r="G19" t="s">
        <v>79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258</v>
      </c>
      <c r="M19" s="20" t="str">
        <f>MID(ItemTable[[#This Row],[ItemIconPath]],FIND("icon",ItemTable[[#This Row],[ItemIconPath]]),999)</f>
        <v>icon/item/item_03.png</v>
      </c>
      <c r="N19" s="39" t="s">
        <v>372</v>
      </c>
      <c r="O19" s="39" t="s">
        <v>376</v>
      </c>
      <c r="P19" s="38"/>
      <c r="Q19" s="38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38"/>
      <c r="S19" s="38" t="str">
        <f>IF(ItemTable[[#This Row],['#4]]=ItemTable[[#This Row],[Desc]],"T","F")</f>
        <v>F</v>
      </c>
    </row>
    <row r="20" spans="2:19" x14ac:dyDescent="0.3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7" t="s">
        <v>539</v>
      </c>
      <c r="D20" s="17" t="s">
        <v>540</v>
      </c>
      <c r="E20" s="17" t="s">
        <v>619</v>
      </c>
      <c r="F20" s="17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555</v>
      </c>
      <c r="M20" s="20" t="str">
        <f>MID(ItemTable[[#This Row],[ItemIconPath]],FIND("icon",ItemTable[[#This Row],[ItemIconPath]]),999)</f>
        <v>icon/item/item_18.png</v>
      </c>
      <c r="N20" s="39" t="s">
        <v>372</v>
      </c>
      <c r="O20" s="39" t="s">
        <v>376</v>
      </c>
      <c r="P20" s="38"/>
      <c r="Q20" s="38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8"/>
      <c r="S20" s="38" t="str">
        <f>IF(ItemTable[[#This Row],['#4]]=ItemTable[[#This Row],[Desc]],"T","F")</f>
        <v>F</v>
      </c>
    </row>
    <row r="21" spans="2:19" x14ac:dyDescent="0.3">
      <c r="B21" s="25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5" t="s">
        <v>157</v>
      </c>
      <c r="D21" s="25" t="s">
        <v>379</v>
      </c>
      <c r="E21" s="25" t="s">
        <v>629</v>
      </c>
      <c r="F21" s="25" t="s">
        <v>627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267</v>
      </c>
      <c r="M21" s="20" t="str">
        <f>MID(ItemTable[[#This Row],[ItemIconPath]],FIND("icon",ItemTable[[#This Row],[ItemIconPath]]),999)</f>
        <v>icon/item/item_06.png</v>
      </c>
      <c r="N21" s="39" t="s">
        <v>379</v>
      </c>
      <c r="O21" s="38" t="s">
        <v>352</v>
      </c>
      <c r="P21" s="38" t="s">
        <v>348</v>
      </c>
      <c r="Q21" s="38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8"/>
      <c r="S21" s="38" t="str">
        <f>IF(ItemTable[[#This Row],['#4]]=ItemTable[[#This Row],[Desc]],"T","F")</f>
        <v>F</v>
      </c>
    </row>
    <row r="22" spans="2:19" x14ac:dyDescent="0.3">
      <c r="B22" s="25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5" t="s">
        <v>153</v>
      </c>
      <c r="D22" s="25" t="s">
        <v>565</v>
      </c>
      <c r="E22" s="25" t="s">
        <v>606</v>
      </c>
      <c r="F22" s="25" t="s">
        <v>564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270</v>
      </c>
      <c r="M22" s="20" t="str">
        <f>MID(ItemTable[[#This Row],[ItemIconPath]],FIND("icon",ItemTable[[#This Row],[ItemIconPath]]),999)</f>
        <v>icon/item/item_08.png</v>
      </c>
      <c r="N22" s="39" t="s">
        <v>373</v>
      </c>
      <c r="O22" s="38" t="s">
        <v>347</v>
      </c>
      <c r="P22" s="38" t="s">
        <v>349</v>
      </c>
      <c r="Q22" s="38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8"/>
      <c r="S22" s="38" t="str">
        <f>IF(ItemTable[[#This Row],['#4]]=ItemTable[[#This Row],[Desc]],"T","F")</f>
        <v>F</v>
      </c>
    </row>
    <row r="23" spans="2:19" x14ac:dyDescent="0.3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336</v>
      </c>
      <c r="D23" s="17" t="s">
        <v>378</v>
      </c>
      <c r="E23" s="12" t="s">
        <v>454</v>
      </c>
      <c r="F23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268</v>
      </c>
      <c r="M23" s="20" t="str">
        <f>MID(ItemTable[[#This Row],[ItemIconPath]],FIND("icon",ItemTable[[#This Row],[ItemIconPath]]),999)</f>
        <v>icon/item/item_14.png</v>
      </c>
      <c r="N23" s="39" t="s">
        <v>378</v>
      </c>
      <c r="O23" s="39" t="s">
        <v>454</v>
      </c>
      <c r="P23" s="38" t="s">
        <v>235</v>
      </c>
      <c r="Q23" s="38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9" t="s">
        <v>461</v>
      </c>
      <c r="S23" s="38" t="str">
        <f>IF(ItemTable[[#This Row],['#4]]=ItemTable[[#This Row],[Desc]],"T","F")</f>
        <v>F</v>
      </c>
    </row>
    <row r="24" spans="2:19" x14ac:dyDescent="0.3">
      <c r="B24" s="48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8" t="s">
        <v>328</v>
      </c>
      <c r="D24" s="48" t="s">
        <v>374</v>
      </c>
      <c r="E24" s="48" t="s">
        <v>580</v>
      </c>
      <c r="F24" s="48" t="s">
        <v>579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269</v>
      </c>
      <c r="M24" s="20" t="str">
        <f>MID(ItemTable[[#This Row],[ItemIconPath]],FIND("icon",ItemTable[[#This Row],[ItemIconPath]]),999)</f>
        <v>icon/item/item_01.png</v>
      </c>
      <c r="N24" s="39" t="s">
        <v>374</v>
      </c>
      <c r="O24" s="38" t="s">
        <v>343</v>
      </c>
      <c r="P24" s="38" t="s">
        <v>351</v>
      </c>
      <c r="Q24" s="38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8"/>
      <c r="S24" s="38" t="str">
        <f>IF(ItemTable[[#This Row],['#4]]=ItemTable[[#This Row],[Desc]],"T","F")</f>
        <v>F</v>
      </c>
    </row>
    <row r="25" spans="2:19" x14ac:dyDescent="0.3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546</v>
      </c>
      <c r="D25" s="25" t="s">
        <v>386</v>
      </c>
      <c r="E25" s="25" t="s">
        <v>613</v>
      </c>
      <c r="F25" s="25" t="s">
        <v>622</v>
      </c>
      <c r="G25" t="s">
        <v>88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253</v>
      </c>
      <c r="M25" s="20" t="str">
        <f>MID(ItemTable[[#This Row],[ItemIconPath]],FIND("icon",ItemTable[[#This Row],[ItemIconPath]]),999)</f>
        <v>icon/item/item_13.png</v>
      </c>
      <c r="N25" s="39" t="s">
        <v>386</v>
      </c>
      <c r="O25" s="39" t="s">
        <v>377</v>
      </c>
      <c r="P25" s="38" t="s">
        <v>354</v>
      </c>
      <c r="Q25" s="38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38"/>
      <c r="S25" s="38" t="str">
        <f>IF(ItemTable[[#This Row],['#4]]=ItemTable[[#This Row],[Desc]],"T","F")</f>
        <v>F</v>
      </c>
    </row>
    <row r="26" spans="2:19" x14ac:dyDescent="0.3">
      <c r="B26" s="20">
        <v>10000</v>
      </c>
      <c r="C26" s="15" t="s">
        <v>535</v>
      </c>
      <c r="D26" s="15" t="s">
        <v>582</v>
      </c>
      <c r="E26" s="19" t="s">
        <v>536</v>
      </c>
      <c r="F26" s="19"/>
      <c r="G26" s="17" t="s">
        <v>515</v>
      </c>
      <c r="H26">
        <v>1</v>
      </c>
      <c r="I26">
        <v>50</v>
      </c>
      <c r="J26">
        <v>100</v>
      </c>
      <c r="K26">
        <v>10000</v>
      </c>
      <c r="L26" s="12" t="s">
        <v>551</v>
      </c>
      <c r="M26" s="20" t="str">
        <f>MID(ItemTable[[#This Row],[ItemIconPath]],FIND("icon",ItemTable[[#This Row],[ItemIconPath]]),999)</f>
        <v>icon/item/A_item_02.png</v>
      </c>
      <c r="N26" s="38"/>
      <c r="O26" s="38"/>
      <c r="P26" s="38"/>
      <c r="Q26" s="38"/>
      <c r="R26" s="38"/>
      <c r="S26" s="38" t="str">
        <f>IF(ItemTable[[#This Row],['#4]]=ItemTable[[#This Row],[Desc]],"T","F")</f>
        <v>F</v>
      </c>
    </row>
    <row r="27" spans="2:19" x14ac:dyDescent="0.3">
      <c r="B27" s="35">
        <v>10001</v>
      </c>
      <c r="C27" s="36" t="s">
        <v>556</v>
      </c>
      <c r="D27" s="36" t="s">
        <v>563</v>
      </c>
      <c r="E27" s="36" t="s">
        <v>554</v>
      </c>
      <c r="F27" s="36"/>
      <c r="G27" s="17" t="s">
        <v>515</v>
      </c>
      <c r="H27">
        <v>1</v>
      </c>
      <c r="I27">
        <v>50</v>
      </c>
      <c r="J27">
        <v>100</v>
      </c>
      <c r="K27">
        <v>10001</v>
      </c>
      <c r="L27" s="12" t="s">
        <v>552</v>
      </c>
      <c r="M27" s="20" t="str">
        <f>MID(ItemTable[[#This Row],[ItemIconPath]],FIND("icon",ItemTable[[#This Row],[ItemIconPath]]),999)</f>
        <v>icon/item/A_item_03.png</v>
      </c>
      <c r="N27" s="38"/>
      <c r="O27" s="38"/>
      <c r="P27" s="38"/>
      <c r="Q27" s="38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38"/>
      <c r="S27" s="38" t="str">
        <f>IF(ItemTable[[#This Row],['#4]]=ItemTable[[#This Row],[Desc]],"T","F")</f>
        <v>F</v>
      </c>
    </row>
    <row r="28" spans="2:19" x14ac:dyDescent="0.3">
      <c r="B28" s="35">
        <v>10002</v>
      </c>
      <c r="C28" s="36" t="s">
        <v>557</v>
      </c>
      <c r="D28" s="36" t="s">
        <v>559</v>
      </c>
      <c r="E28" s="36" t="s">
        <v>560</v>
      </c>
      <c r="F28" s="36"/>
      <c r="G28" s="17" t="s">
        <v>515</v>
      </c>
      <c r="H28">
        <v>1</v>
      </c>
      <c r="I28">
        <v>50</v>
      </c>
      <c r="J28">
        <v>100</v>
      </c>
      <c r="K28">
        <v>10002</v>
      </c>
      <c r="L28" s="12" t="s">
        <v>583</v>
      </c>
      <c r="M28" s="20" t="str">
        <f>MID(ItemTable[[#This Row],[ItemIconPath]],FIND("icon",ItemTable[[#This Row],[ItemIconPath]]),999)</f>
        <v>icon/item/A_item_06.png</v>
      </c>
      <c r="N28" s="38"/>
      <c r="O28" s="38"/>
      <c r="P28" s="38"/>
      <c r="Q28" s="38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38"/>
      <c r="S28" s="38" t="str">
        <f>IF(ItemTable[[#This Row],['#4]]=ItemTable[[#This Row],[Desc]],"T","F")</f>
        <v>F</v>
      </c>
    </row>
    <row r="29" spans="2:19" x14ac:dyDescent="0.3">
      <c r="B29" s="35">
        <v>10003</v>
      </c>
      <c r="C29" s="36" t="s">
        <v>537</v>
      </c>
      <c r="D29" s="36" t="s">
        <v>558</v>
      </c>
      <c r="E29" s="36" t="s">
        <v>545</v>
      </c>
      <c r="F29" s="36"/>
      <c r="G29" s="17" t="s">
        <v>515</v>
      </c>
      <c r="H29">
        <v>1</v>
      </c>
      <c r="I29">
        <v>50</v>
      </c>
      <c r="J29">
        <v>100</v>
      </c>
      <c r="K29">
        <v>10003</v>
      </c>
      <c r="L29" s="12" t="s">
        <v>550</v>
      </c>
      <c r="M29" s="20" t="str">
        <f>MID(ItemTable[[#This Row],[ItemIconPath]],FIND("icon",ItemTable[[#This Row],[ItemIconPath]]),999)</f>
        <v>icon/item/A_item_01.png</v>
      </c>
      <c r="N29" s="38"/>
      <c r="O29" s="38"/>
      <c r="P29" s="38"/>
      <c r="Q29" s="38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8"/>
      <c r="S29" s="38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129" zoomScaleNormal="129" zoomScaleSheetLayoutView="100" workbookViewId="0">
      <selection activeCell="F8" sqref="F8"/>
    </sheetView>
  </sheetViews>
  <sheetFormatPr defaultColWidth="8.875" defaultRowHeight="16.5" x14ac:dyDescent="0.3"/>
  <cols>
    <col min="2" max="2" width="20" bestFit="1" customWidth="1"/>
    <col min="3" max="3" width="10.125" bestFit="1" customWidth="1"/>
    <col min="4" max="4" width="8.625" bestFit="1" customWidth="1"/>
    <col min="5" max="5" width="21.125" bestFit="1" customWidth="1"/>
    <col min="6" max="6" width="21.125" customWidth="1"/>
    <col min="7" max="7" width="22.5" customWidth="1"/>
    <col min="8" max="8" width="36" customWidth="1"/>
    <col min="9" max="9" width="21.625" customWidth="1"/>
    <col min="10" max="10" width="22.875" bestFit="1" customWidth="1"/>
    <col min="11" max="11" width="17.875" customWidth="1"/>
  </cols>
  <sheetData>
    <row r="1" spans="2:11" x14ac:dyDescent="0.3">
      <c r="D1" t="s">
        <v>44</v>
      </c>
      <c r="E1" s="17" t="s">
        <v>473</v>
      </c>
      <c r="F1" s="17" t="s">
        <v>473</v>
      </c>
      <c r="G1" s="17" t="s">
        <v>475</v>
      </c>
      <c r="H1" t="s">
        <v>122</v>
      </c>
      <c r="I1" s="17" t="s">
        <v>489</v>
      </c>
      <c r="J1" t="s">
        <v>122</v>
      </c>
      <c r="K1" s="17" t="s">
        <v>475</v>
      </c>
    </row>
    <row r="2" spans="2:11" x14ac:dyDescent="0.3">
      <c r="B2" s="5" t="s">
        <v>123</v>
      </c>
      <c r="C2" s="5" t="s">
        <v>125</v>
      </c>
      <c r="D2" t="s">
        <v>73</v>
      </c>
      <c r="E2" s="17" t="s">
        <v>498</v>
      </c>
      <c r="F2" s="17" t="s">
        <v>499</v>
      </c>
      <c r="G2" s="17" t="s">
        <v>476</v>
      </c>
      <c r="H2" s="17" t="s">
        <v>477</v>
      </c>
      <c r="I2" s="33" t="s">
        <v>479</v>
      </c>
      <c r="J2" s="17" t="s">
        <v>478</v>
      </c>
      <c r="K2" s="33" t="s">
        <v>494</v>
      </c>
    </row>
    <row r="3" spans="2:11" x14ac:dyDescent="0.3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496</v>
      </c>
      <c r="I3" s="17"/>
      <c r="J3" s="17" t="s">
        <v>495</v>
      </c>
    </row>
    <row r="4" spans="2:11" x14ac:dyDescent="0.3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496</v>
      </c>
      <c r="J4" s="17" t="s">
        <v>495</v>
      </c>
    </row>
    <row r="5" spans="2:11" x14ac:dyDescent="0.3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496</v>
      </c>
      <c r="I5" s="17"/>
      <c r="J5" s="17" t="s">
        <v>495</v>
      </c>
    </row>
    <row r="6" spans="2:11" x14ac:dyDescent="0.3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567</v>
      </c>
      <c r="J6" s="17" t="s">
        <v>495</v>
      </c>
    </row>
    <row r="7" spans="2:11" x14ac:dyDescent="0.3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496</v>
      </c>
      <c r="J7" s="17" t="s">
        <v>495</v>
      </c>
    </row>
    <row r="8" spans="2:11" x14ac:dyDescent="0.3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496</v>
      </c>
      <c r="J8" s="17" t="s">
        <v>495</v>
      </c>
    </row>
    <row r="9" spans="2:11" x14ac:dyDescent="0.3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538</v>
      </c>
      <c r="J9" s="17" t="s">
        <v>495</v>
      </c>
    </row>
    <row r="10" spans="2:11" x14ac:dyDescent="0.3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503</v>
      </c>
      <c r="J10" s="17" t="s">
        <v>495</v>
      </c>
    </row>
    <row r="11" spans="2:11" x14ac:dyDescent="0.3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>
        <v>8002</v>
      </c>
      <c r="F11" s="17"/>
      <c r="G11">
        <v>0</v>
      </c>
      <c r="H11" s="17" t="s">
        <v>496</v>
      </c>
      <c r="J11" s="17" t="s">
        <v>495</v>
      </c>
    </row>
    <row r="12" spans="2:11" x14ac:dyDescent="0.3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496</v>
      </c>
      <c r="J12" s="17" t="s">
        <v>495</v>
      </c>
    </row>
    <row r="13" spans="2:11" x14ac:dyDescent="0.3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496</v>
      </c>
      <c r="J13" s="17" t="s">
        <v>495</v>
      </c>
    </row>
    <row r="14" spans="2:11" x14ac:dyDescent="0.3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496</v>
      </c>
      <c r="J14" s="17" t="s">
        <v>495</v>
      </c>
    </row>
    <row r="15" spans="2:11" x14ac:dyDescent="0.3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513</v>
      </c>
      <c r="J15" s="17" t="s">
        <v>495</v>
      </c>
    </row>
    <row r="16" spans="2:11" x14ac:dyDescent="0.3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496</v>
      </c>
      <c r="J16" s="17" t="s">
        <v>495</v>
      </c>
    </row>
    <row r="17" spans="2:11" x14ac:dyDescent="0.3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573</v>
      </c>
      <c r="J17" s="17" t="s">
        <v>495</v>
      </c>
    </row>
    <row r="18" spans="2:11" x14ac:dyDescent="0.3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496</v>
      </c>
      <c r="J18" s="17" t="s">
        <v>495</v>
      </c>
    </row>
    <row r="19" spans="2:11" x14ac:dyDescent="0.3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496</v>
      </c>
      <c r="J19" s="17" t="s">
        <v>495</v>
      </c>
    </row>
    <row r="20" spans="2:11" x14ac:dyDescent="0.3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/>
      <c r="G20">
        <v>0</v>
      </c>
      <c r="H20" s="17" t="s">
        <v>496</v>
      </c>
      <c r="J20" s="17" t="s">
        <v>495</v>
      </c>
    </row>
    <row r="21" spans="2:11" x14ac:dyDescent="0.3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612</v>
      </c>
      <c r="J21" s="17" t="s">
        <v>495</v>
      </c>
    </row>
    <row r="22" spans="2:11" x14ac:dyDescent="0.3">
      <c r="B22" s="4" t="str">
        <f>INDEX(ItemTable[Name],MATCH(ItemEffectTable[[#This Row],[Index]],ItemTable[ItemEffectDataId],0))</f>
        <v>행성 만세</v>
      </c>
      <c r="C22" s="35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496</v>
      </c>
      <c r="J22" s="17" t="s">
        <v>495</v>
      </c>
    </row>
    <row r="23" spans="2:11" x14ac:dyDescent="0.3">
      <c r="B23" s="4" t="str">
        <f>INDEX(ItemTable[Name],MATCH(ItemEffectTable[[#This Row],[Index]],ItemTable[ItemEffectDataId],0))</f>
        <v>인피니티 도넛</v>
      </c>
      <c r="C23" s="35" t="str">
        <f>INDEX(ItemTable[GradeType],MATCH(ItemEffectTable[[#This Row],[Index]],ItemTable[ItemEffectDataId],0))</f>
        <v>Active</v>
      </c>
      <c r="D23" s="35">
        <v>10000</v>
      </c>
      <c r="F23">
        <v>10000</v>
      </c>
      <c r="G23">
        <v>0</v>
      </c>
      <c r="H23" s="17" t="s">
        <v>502</v>
      </c>
      <c r="I23" s="17"/>
      <c r="J23" s="17" t="s">
        <v>495</v>
      </c>
    </row>
    <row r="24" spans="2:11" x14ac:dyDescent="0.3">
      <c r="B24" s="4" t="str">
        <f>INDEX(ItemTable[Name],MATCH(ItemEffectTable[[#This Row],[Index]],ItemTable[ItemEffectDataId],0))</f>
        <v>초소형 블랙홀</v>
      </c>
      <c r="C24" s="35" t="str">
        <f>INDEX(ItemTable[GradeType],MATCH(ItemEffectTable[[#This Row],[Index]],ItemTable[ItemEffectDataId],0))</f>
        <v>Active</v>
      </c>
      <c r="D24" s="35">
        <v>10001</v>
      </c>
      <c r="F24">
        <v>10001</v>
      </c>
      <c r="G24">
        <v>6</v>
      </c>
      <c r="H24" s="17" t="s">
        <v>502</v>
      </c>
      <c r="I24" s="17" t="s">
        <v>509</v>
      </c>
      <c r="J24" s="17" t="s">
        <v>508</v>
      </c>
      <c r="K24" s="12">
        <v>6</v>
      </c>
    </row>
    <row r="25" spans="2:11" x14ac:dyDescent="0.3">
      <c r="B25" s="4" t="str">
        <f>INDEX(ItemTable[Name],MATCH(ItemEffectTable[[#This Row],[Index]],ItemTable[ItemEffectDataId],0))</f>
        <v>신경 부스터</v>
      </c>
      <c r="C25" s="35" t="str">
        <f>INDEX(ItemTable[GradeType],MATCH(ItemEffectTable[[#This Row],[Index]],ItemTable[ItemEffectDataId],0))</f>
        <v>Active</v>
      </c>
      <c r="D25" s="35">
        <v>10002</v>
      </c>
      <c r="E25">
        <v>10002</v>
      </c>
      <c r="F25">
        <v>10002</v>
      </c>
      <c r="G25">
        <v>12</v>
      </c>
      <c r="H25" s="17" t="s">
        <v>502</v>
      </c>
      <c r="J25" s="17" t="s">
        <v>495</v>
      </c>
    </row>
    <row r="26" spans="2:11" x14ac:dyDescent="0.3">
      <c r="B26" s="4" t="str">
        <f>INDEX(ItemTable[Name],MATCH(ItemEffectTable[[#This Row],[Index]],ItemTable[ItemEffectDataId],0))</f>
        <v>미사일 백팩</v>
      </c>
      <c r="C26" s="35" t="str">
        <f>INDEX(ItemTable[GradeType],MATCH(ItemEffectTable[[#This Row],[Index]],ItemTable[ItemEffectDataId],0))</f>
        <v>Active</v>
      </c>
      <c r="D26" s="35">
        <v>10003</v>
      </c>
      <c r="F26">
        <v>10003</v>
      </c>
      <c r="G26">
        <v>6</v>
      </c>
      <c r="H26" s="17" t="s">
        <v>502</v>
      </c>
      <c r="J26" s="17" t="s">
        <v>495</v>
      </c>
    </row>
    <row r="29" spans="2:11" x14ac:dyDescent="0.3">
      <c r="G29" s="12"/>
    </row>
    <row r="30" spans="2:11" x14ac:dyDescent="0.3">
      <c r="G30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K29"/>
  <sheetViews>
    <sheetView tabSelected="1" zoomScale="115" zoomScaleNormal="115" zoomScaleSheetLayoutView="100" workbookViewId="0">
      <selection activeCell="D27" sqref="D27"/>
    </sheetView>
  </sheetViews>
  <sheetFormatPr defaultColWidth="8.875" defaultRowHeight="16.5" x14ac:dyDescent="0.3"/>
  <cols>
    <col min="2" max="2" width="8.625" bestFit="1" customWidth="1"/>
    <col min="3" max="3" width="21.125" bestFit="1" customWidth="1"/>
    <col min="4" max="4" width="23" customWidth="1"/>
    <col min="5" max="5" width="22" customWidth="1"/>
    <col min="6" max="6" width="18.375" customWidth="1"/>
    <col min="7" max="7" width="31.5" customWidth="1"/>
    <col min="8" max="8" width="18.375" customWidth="1"/>
  </cols>
  <sheetData>
    <row r="1" spans="2:11" x14ac:dyDescent="0.3">
      <c r="B1" t="s">
        <v>44</v>
      </c>
      <c r="C1" t="s">
        <v>122</v>
      </c>
      <c r="D1" s="17" t="s">
        <v>489</v>
      </c>
      <c r="E1" s="17" t="s">
        <v>491</v>
      </c>
      <c r="F1" s="17" t="s">
        <v>484</v>
      </c>
      <c r="G1" s="17"/>
      <c r="H1" s="17"/>
    </row>
    <row r="2" spans="2:11" x14ac:dyDescent="0.3">
      <c r="B2" t="s">
        <v>73</v>
      </c>
      <c r="C2" s="17" t="s">
        <v>480</v>
      </c>
      <c r="D2" s="17" t="s">
        <v>490</v>
      </c>
      <c r="E2" s="1" t="s">
        <v>13</v>
      </c>
      <c r="F2" s="33" t="s">
        <v>492</v>
      </c>
      <c r="G2" s="40" t="s">
        <v>519</v>
      </c>
      <c r="H2" s="33" t="s">
        <v>528</v>
      </c>
    </row>
    <row r="3" spans="2:11" x14ac:dyDescent="0.3">
      <c r="B3">
        <v>7000</v>
      </c>
      <c r="C3" s="17" t="s">
        <v>184</v>
      </c>
      <c r="D3" s="17">
        <v>1</v>
      </c>
      <c r="E3" s="12" t="s">
        <v>614</v>
      </c>
      <c r="F3" s="17">
        <v>-1</v>
      </c>
      <c r="G3" s="19" t="s">
        <v>615</v>
      </c>
      <c r="H3" s="19"/>
    </row>
    <row r="4" spans="2:11" x14ac:dyDescent="0.3">
      <c r="B4" s="17">
        <v>7001</v>
      </c>
      <c r="C4" s="9" t="s">
        <v>309</v>
      </c>
      <c r="D4" s="9">
        <v>1.2</v>
      </c>
      <c r="E4" t="s">
        <v>337</v>
      </c>
      <c r="F4">
        <v>-1</v>
      </c>
      <c r="G4" s="15" t="s">
        <v>526</v>
      </c>
      <c r="H4" s="15"/>
    </row>
    <row r="5" spans="2:11" x14ac:dyDescent="0.3">
      <c r="B5" s="17">
        <v>7002</v>
      </c>
      <c r="C5" s="17" t="s">
        <v>505</v>
      </c>
      <c r="D5" s="9">
        <v>0.5</v>
      </c>
      <c r="E5" t="s">
        <v>337</v>
      </c>
      <c r="F5">
        <v>-1</v>
      </c>
      <c r="G5" s="15" t="s">
        <v>625</v>
      </c>
      <c r="H5" s="15"/>
    </row>
    <row r="6" spans="2:11" x14ac:dyDescent="0.3">
      <c r="B6" s="25">
        <v>7003</v>
      </c>
      <c r="C6" s="44" t="s">
        <v>566</v>
      </c>
      <c r="D6" s="25">
        <v>0.2</v>
      </c>
      <c r="E6" t="s">
        <v>497</v>
      </c>
      <c r="F6" s="25">
        <v>5</v>
      </c>
      <c r="G6" s="18" t="s">
        <v>609</v>
      </c>
      <c r="H6" s="15"/>
    </row>
    <row r="7" spans="2:11" x14ac:dyDescent="0.3">
      <c r="B7" s="17">
        <v>7004</v>
      </c>
      <c r="C7" s="9" t="s">
        <v>213</v>
      </c>
      <c r="D7">
        <v>0.7</v>
      </c>
      <c r="E7" t="s">
        <v>337</v>
      </c>
      <c r="F7">
        <v>-1</v>
      </c>
      <c r="G7" s="15" t="s">
        <v>525</v>
      </c>
      <c r="H7" s="15"/>
    </row>
    <row r="8" spans="2:11" x14ac:dyDescent="0.3">
      <c r="B8" s="17">
        <v>7005</v>
      </c>
      <c r="C8" s="9" t="s">
        <v>53</v>
      </c>
      <c r="D8">
        <v>25</v>
      </c>
      <c r="E8" t="s">
        <v>497</v>
      </c>
      <c r="F8">
        <v>-1</v>
      </c>
      <c r="G8" s="15" t="s">
        <v>527</v>
      </c>
      <c r="H8" s="15"/>
    </row>
    <row r="9" spans="2:11" x14ac:dyDescent="0.3">
      <c r="B9" s="25">
        <v>8000</v>
      </c>
      <c r="C9" s="44" t="s">
        <v>310</v>
      </c>
      <c r="D9" s="25">
        <v>0.4</v>
      </c>
      <c r="E9" s="25" t="s">
        <v>497</v>
      </c>
      <c r="F9" s="25">
        <v>4</v>
      </c>
      <c r="G9" s="18" t="s">
        <v>598</v>
      </c>
      <c r="H9" s="42"/>
    </row>
    <row r="10" spans="2:11" x14ac:dyDescent="0.3">
      <c r="B10" s="17">
        <v>8001</v>
      </c>
      <c r="C10" s="9" t="s">
        <v>310</v>
      </c>
      <c r="D10" s="12" t="s">
        <v>599</v>
      </c>
      <c r="E10" t="s">
        <v>497</v>
      </c>
      <c r="F10">
        <v>-1</v>
      </c>
      <c r="G10" s="15" t="s">
        <v>529</v>
      </c>
      <c r="H10" s="20"/>
      <c r="K10" s="12"/>
    </row>
    <row r="11" spans="2:11" x14ac:dyDescent="0.3">
      <c r="B11" s="17">
        <v>8002</v>
      </c>
      <c r="C11" t="s">
        <v>310</v>
      </c>
      <c r="D11">
        <v>0.1</v>
      </c>
      <c r="E11" t="s">
        <v>497</v>
      </c>
      <c r="F11">
        <v>-1</v>
      </c>
      <c r="G11" s="15" t="s">
        <v>532</v>
      </c>
      <c r="H11" s="20"/>
    </row>
    <row r="12" spans="2:11" x14ac:dyDescent="0.3">
      <c r="B12" s="17">
        <v>8002</v>
      </c>
      <c r="C12" t="s">
        <v>2</v>
      </c>
      <c r="D12">
        <v>0.5</v>
      </c>
      <c r="E12" t="s">
        <v>497</v>
      </c>
      <c r="F12">
        <v>-1</v>
      </c>
      <c r="G12" s="15" t="s">
        <v>530</v>
      </c>
      <c r="H12" s="20"/>
    </row>
    <row r="13" spans="2:11" x14ac:dyDescent="0.3">
      <c r="B13" s="17">
        <v>8002</v>
      </c>
      <c r="C13" t="s">
        <v>213</v>
      </c>
      <c r="D13">
        <v>-0.1</v>
      </c>
      <c r="E13" t="s">
        <v>497</v>
      </c>
      <c r="F13">
        <v>-1</v>
      </c>
      <c r="G13" s="15" t="s">
        <v>531</v>
      </c>
      <c r="H13" s="20"/>
    </row>
    <row r="14" spans="2:11" x14ac:dyDescent="0.3">
      <c r="B14" s="17">
        <v>8003</v>
      </c>
      <c r="C14" t="s">
        <v>272</v>
      </c>
      <c r="D14">
        <v>0.5</v>
      </c>
      <c r="E14" t="s">
        <v>497</v>
      </c>
      <c r="F14">
        <v>-1</v>
      </c>
      <c r="G14" s="15" t="s">
        <v>533</v>
      </c>
      <c r="H14" s="20"/>
    </row>
    <row r="15" spans="2:11" x14ac:dyDescent="0.3">
      <c r="B15" s="17">
        <v>8004</v>
      </c>
      <c r="C15" s="47" t="s">
        <v>607</v>
      </c>
      <c r="D15">
        <v>3</v>
      </c>
      <c r="E15" t="s">
        <v>497</v>
      </c>
      <c r="F15">
        <v>-1</v>
      </c>
      <c r="G15" s="15" t="s">
        <v>569</v>
      </c>
      <c r="H15" s="20"/>
    </row>
    <row r="16" spans="2:11" x14ac:dyDescent="0.3">
      <c r="B16" s="17">
        <v>8005</v>
      </c>
      <c r="C16" s="47" t="s">
        <v>623</v>
      </c>
      <c r="D16">
        <v>50</v>
      </c>
      <c r="E16" t="s">
        <v>497</v>
      </c>
      <c r="F16">
        <v>-1</v>
      </c>
      <c r="G16" s="15" t="s">
        <v>624</v>
      </c>
      <c r="H16" s="20"/>
    </row>
    <row r="17" spans="2:8" x14ac:dyDescent="0.3">
      <c r="B17" s="25">
        <v>9000</v>
      </c>
      <c r="C17" s="44" t="s">
        <v>213</v>
      </c>
      <c r="D17" s="25">
        <v>1.2</v>
      </c>
      <c r="E17" s="25" t="s">
        <v>337</v>
      </c>
      <c r="F17" s="25">
        <v>-1</v>
      </c>
      <c r="G17" s="18" t="s">
        <v>626</v>
      </c>
      <c r="H17" s="20"/>
    </row>
    <row r="18" spans="2:8" x14ac:dyDescent="0.3">
      <c r="B18" s="25">
        <v>9000</v>
      </c>
      <c r="C18" s="44" t="s">
        <v>329</v>
      </c>
      <c r="D18" s="25">
        <v>0</v>
      </c>
      <c r="E18" s="25" t="s">
        <v>337</v>
      </c>
      <c r="F18" s="25">
        <v>-1</v>
      </c>
      <c r="G18" s="18" t="s">
        <v>571</v>
      </c>
      <c r="H18" s="20"/>
    </row>
    <row r="19" spans="2:8" x14ac:dyDescent="0.3">
      <c r="B19" s="25">
        <v>9001</v>
      </c>
      <c r="C19" s="44" t="s">
        <v>574</v>
      </c>
      <c r="D19" s="25">
        <v>0.85</v>
      </c>
      <c r="E19" s="25" t="s">
        <v>337</v>
      </c>
      <c r="F19" s="25">
        <v>4</v>
      </c>
      <c r="G19" s="18" t="s">
        <v>605</v>
      </c>
      <c r="H19" s="20"/>
    </row>
    <row r="20" spans="2:8" x14ac:dyDescent="0.3">
      <c r="B20" s="25">
        <v>9101</v>
      </c>
      <c r="C20" s="44" t="s">
        <v>574</v>
      </c>
      <c r="D20" s="25">
        <v>1.3</v>
      </c>
      <c r="E20" s="25" t="s">
        <v>337</v>
      </c>
      <c r="F20" s="25">
        <v>-1</v>
      </c>
      <c r="G20" s="18" t="s">
        <v>572</v>
      </c>
      <c r="H20" s="20"/>
    </row>
    <row r="21" spans="2:8" x14ac:dyDescent="0.3">
      <c r="B21" s="17">
        <v>9002</v>
      </c>
      <c r="C21" t="s">
        <v>310</v>
      </c>
      <c r="D21">
        <v>1</v>
      </c>
      <c r="E21" t="s">
        <v>497</v>
      </c>
      <c r="F21">
        <v>-1</v>
      </c>
      <c r="G21" s="15" t="s">
        <v>534</v>
      </c>
      <c r="H21" s="20"/>
    </row>
    <row r="22" spans="2:8" x14ac:dyDescent="0.3">
      <c r="B22" s="17">
        <v>9003</v>
      </c>
      <c r="C22" s="9" t="s">
        <v>53</v>
      </c>
      <c r="D22">
        <v>-50</v>
      </c>
      <c r="E22" t="s">
        <v>497</v>
      </c>
      <c r="F22">
        <v>-1</v>
      </c>
      <c r="G22" s="15" t="s">
        <v>577</v>
      </c>
      <c r="H22" s="20"/>
    </row>
    <row r="23" spans="2:8" x14ac:dyDescent="0.3">
      <c r="B23" s="17">
        <v>9003</v>
      </c>
      <c r="C23" s="47" t="s">
        <v>566</v>
      </c>
      <c r="D23">
        <v>0.6</v>
      </c>
      <c r="E23" t="s">
        <v>497</v>
      </c>
      <c r="F23">
        <v>-1</v>
      </c>
      <c r="G23" s="15" t="s">
        <v>578</v>
      </c>
      <c r="H23" s="20"/>
    </row>
    <row r="24" spans="2:8" x14ac:dyDescent="0.3">
      <c r="B24" s="17">
        <v>9104</v>
      </c>
      <c r="C24" s="12" t="s">
        <v>618</v>
      </c>
      <c r="D24">
        <v>2</v>
      </c>
      <c r="E24" s="12" t="s">
        <v>604</v>
      </c>
      <c r="F24">
        <v>-1</v>
      </c>
      <c r="G24" s="15" t="s">
        <v>621</v>
      </c>
      <c r="H24" s="20"/>
    </row>
    <row r="25" spans="2:8" x14ac:dyDescent="0.3">
      <c r="B25" s="35">
        <v>10002</v>
      </c>
      <c r="C25" t="s">
        <v>2</v>
      </c>
      <c r="D25">
        <v>2.5</v>
      </c>
      <c r="E25" t="s">
        <v>337</v>
      </c>
      <c r="F25">
        <v>5</v>
      </c>
      <c r="G25" s="20"/>
      <c r="H25" s="20"/>
    </row>
    <row r="26" spans="2:8" x14ac:dyDescent="0.3">
      <c r="B26" s="35">
        <v>10002</v>
      </c>
      <c r="C26" t="s">
        <v>26</v>
      </c>
      <c r="D26">
        <v>0.8</v>
      </c>
      <c r="E26" t="s">
        <v>337</v>
      </c>
      <c r="F26">
        <v>5</v>
      </c>
      <c r="G26" s="20"/>
      <c r="H26" s="20"/>
    </row>
    <row r="27" spans="2:8" x14ac:dyDescent="0.3">
      <c r="B27" s="35">
        <v>10002</v>
      </c>
      <c r="C27" t="s">
        <v>222</v>
      </c>
      <c r="D27">
        <v>3</v>
      </c>
      <c r="E27" t="s">
        <v>337</v>
      </c>
      <c r="F27">
        <v>5</v>
      </c>
      <c r="G27" s="20"/>
      <c r="H27" s="20"/>
    </row>
    <row r="28" spans="2:8" x14ac:dyDescent="0.3">
      <c r="B28" s="35">
        <v>10002</v>
      </c>
      <c r="C28" t="s">
        <v>213</v>
      </c>
      <c r="D28">
        <v>0.8</v>
      </c>
      <c r="E28" t="s">
        <v>337</v>
      </c>
      <c r="F28">
        <v>5</v>
      </c>
      <c r="G28" s="20"/>
      <c r="H28" s="20"/>
    </row>
    <row r="29" spans="2:8" x14ac:dyDescent="0.3">
      <c r="B29" s="35">
        <v>10002</v>
      </c>
      <c r="C29" t="s">
        <v>27</v>
      </c>
      <c r="D29">
        <v>2.5</v>
      </c>
      <c r="E29" t="s">
        <v>337</v>
      </c>
      <c r="F29">
        <v>5</v>
      </c>
      <c r="G29" s="20"/>
      <c r="H29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B1:L11"/>
  <sheetViews>
    <sheetView zoomScale="200" zoomScaleNormal="200" zoomScaleSheetLayoutView="100" workbookViewId="0">
      <selection activeCell="H21" sqref="H21"/>
    </sheetView>
  </sheetViews>
  <sheetFormatPr defaultColWidth="8.875" defaultRowHeight="16.5" x14ac:dyDescent="0.3"/>
  <cols>
    <col min="2" max="2" width="8.625" bestFit="1" customWidth="1"/>
    <col min="3" max="3" width="11" bestFit="1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2:12" x14ac:dyDescent="0.3">
      <c r="B1" t="s">
        <v>44</v>
      </c>
      <c r="D1" t="s">
        <v>122</v>
      </c>
      <c r="E1" s="17" t="s">
        <v>475</v>
      </c>
      <c r="F1" s="17"/>
      <c r="G1" s="17" t="s">
        <v>484</v>
      </c>
      <c r="H1" s="17"/>
      <c r="I1" s="17" t="s">
        <v>484</v>
      </c>
      <c r="J1" s="17"/>
      <c r="K1" s="17" t="s">
        <v>484</v>
      </c>
    </row>
    <row r="2" spans="2:12" x14ac:dyDescent="0.3">
      <c r="B2" t="s">
        <v>73</v>
      </c>
      <c r="C2" s="43" t="s">
        <v>541</v>
      </c>
      <c r="D2" s="17" t="s">
        <v>506</v>
      </c>
      <c r="E2" s="17" t="s">
        <v>481</v>
      </c>
      <c r="F2" s="17" t="s">
        <v>520</v>
      </c>
      <c r="G2" s="33" t="s">
        <v>482</v>
      </c>
      <c r="H2" s="17" t="s">
        <v>521</v>
      </c>
      <c r="I2" s="33" t="s">
        <v>483</v>
      </c>
      <c r="J2" s="33" t="s">
        <v>522</v>
      </c>
      <c r="K2" s="33" t="s">
        <v>549</v>
      </c>
      <c r="L2" s="33" t="s">
        <v>548</v>
      </c>
    </row>
    <row r="3" spans="2:12" x14ac:dyDescent="0.3">
      <c r="B3" s="17">
        <v>7005</v>
      </c>
      <c r="C3" s="19" t="s">
        <v>654</v>
      </c>
      <c r="D3" s="17" t="s">
        <v>656</v>
      </c>
      <c r="E3">
        <v>1</v>
      </c>
      <c r="F3" s="15"/>
      <c r="H3" s="20"/>
      <c r="J3" s="20"/>
      <c r="L3" s="20"/>
    </row>
    <row r="4" spans="2:12" x14ac:dyDescent="0.3">
      <c r="B4" s="17">
        <v>8005</v>
      </c>
      <c r="C4" s="19" t="s">
        <v>655</v>
      </c>
      <c r="D4" s="17" t="s">
        <v>656</v>
      </c>
      <c r="E4">
        <v>2</v>
      </c>
      <c r="F4" s="15"/>
      <c r="H4" s="20"/>
      <c r="J4" s="20"/>
      <c r="L4" s="20"/>
    </row>
    <row r="5" spans="2:12" x14ac:dyDescent="0.3">
      <c r="B5" s="17">
        <v>8006</v>
      </c>
      <c r="C5" s="19" t="s">
        <v>542</v>
      </c>
      <c r="D5" s="17" t="s">
        <v>514</v>
      </c>
      <c r="E5">
        <v>800</v>
      </c>
      <c r="F5" s="15"/>
      <c r="G5">
        <v>1</v>
      </c>
      <c r="H5" s="20"/>
      <c r="J5" s="20"/>
      <c r="L5" s="20"/>
    </row>
    <row r="6" spans="2:12" x14ac:dyDescent="0.3">
      <c r="B6" s="17">
        <v>9004</v>
      </c>
      <c r="C6" s="19" t="s">
        <v>610</v>
      </c>
      <c r="D6" s="17" t="s">
        <v>514</v>
      </c>
      <c r="E6">
        <v>802</v>
      </c>
      <c r="F6" s="15"/>
      <c r="G6">
        <v>0</v>
      </c>
      <c r="H6" s="20"/>
      <c r="J6" s="20"/>
      <c r="L6" s="20"/>
    </row>
    <row r="7" spans="2:12" x14ac:dyDescent="0.3">
      <c r="B7" s="17">
        <v>9002</v>
      </c>
      <c r="C7" s="19"/>
      <c r="D7" s="17" t="s">
        <v>500</v>
      </c>
      <c r="E7" s="9"/>
      <c r="F7" s="41"/>
      <c r="H7" s="41"/>
      <c r="J7" s="20"/>
      <c r="L7" s="20"/>
    </row>
    <row r="8" spans="2:12" x14ac:dyDescent="0.3">
      <c r="B8" s="17">
        <v>10000</v>
      </c>
      <c r="C8" s="19"/>
      <c r="D8" s="17" t="s">
        <v>485</v>
      </c>
      <c r="E8" s="9">
        <v>8</v>
      </c>
      <c r="F8" s="41"/>
      <c r="H8" s="41"/>
      <c r="J8" s="20"/>
      <c r="L8" s="20"/>
    </row>
    <row r="9" spans="2:12" x14ac:dyDescent="0.3">
      <c r="B9">
        <v>10001</v>
      </c>
      <c r="C9" s="20"/>
      <c r="D9" s="17" t="s">
        <v>507</v>
      </c>
      <c r="E9">
        <v>6</v>
      </c>
      <c r="F9" s="20"/>
      <c r="G9">
        <v>30</v>
      </c>
      <c r="H9" s="20"/>
      <c r="I9">
        <v>3</v>
      </c>
      <c r="J9" s="20"/>
      <c r="K9">
        <v>4</v>
      </c>
      <c r="L9" s="20"/>
    </row>
    <row r="10" spans="2:12" x14ac:dyDescent="0.3">
      <c r="B10">
        <v>10002</v>
      </c>
      <c r="C10" s="20"/>
      <c r="D10" s="17" t="s">
        <v>501</v>
      </c>
      <c r="E10">
        <v>0.5</v>
      </c>
      <c r="F10" s="15" t="s">
        <v>523</v>
      </c>
      <c r="G10">
        <v>5</v>
      </c>
      <c r="H10" s="15" t="s">
        <v>524</v>
      </c>
      <c r="J10" s="20"/>
      <c r="L10" s="20"/>
    </row>
    <row r="11" spans="2:12" x14ac:dyDescent="0.3">
      <c r="B11">
        <v>10003</v>
      </c>
      <c r="C11" s="20"/>
      <c r="D11" s="17" t="s">
        <v>512</v>
      </c>
      <c r="E11">
        <v>10</v>
      </c>
      <c r="F11" s="20"/>
      <c r="G11">
        <v>90</v>
      </c>
      <c r="H11" s="20"/>
      <c r="I11">
        <v>1.2</v>
      </c>
      <c r="J11" s="20"/>
      <c r="L11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 x14ac:dyDescent="0.3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 x14ac:dyDescent="0.3">
      <c r="B3">
        <v>900</v>
      </c>
      <c r="C3" s="4" t="e">
        <f>INDEX(#REF!,MATCH(ItemResourceTable[[#This Row],[Index]],#REF!,0))</f>
        <v>#REF!</v>
      </c>
      <c r="D3" s="4" t="s">
        <v>313</v>
      </c>
      <c r="E3" t="s">
        <v>54</v>
      </c>
      <c r="F3" t="s">
        <v>240</v>
      </c>
    </row>
    <row r="4" spans="2:6" x14ac:dyDescent="0.3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289</v>
      </c>
      <c r="F4" t="s">
        <v>363</v>
      </c>
    </row>
    <row r="5" spans="2:6" x14ac:dyDescent="0.3">
      <c r="B5">
        <v>901</v>
      </c>
      <c r="C5" s="4" t="e">
        <f>INDEX(#REF!,MATCH(ItemResourceTable[[#This Row],[Index]],#REF!,0))</f>
        <v>#REF!</v>
      </c>
      <c r="D5" s="4" t="s">
        <v>313</v>
      </c>
      <c r="E5" t="s">
        <v>54</v>
      </c>
      <c r="F5" t="s">
        <v>362</v>
      </c>
    </row>
    <row r="6" spans="2:6" x14ac:dyDescent="0.3">
      <c r="B6">
        <v>901</v>
      </c>
      <c r="C6" s="4" t="e">
        <f>INDEX(#REF!,MATCH(ItemResourceTable[[#This Row],[Index]],#REF!,0))</f>
        <v>#REF!</v>
      </c>
      <c r="D6" s="4" t="s">
        <v>288</v>
      </c>
      <c r="E6" t="s">
        <v>196</v>
      </c>
      <c r="F6" t="s">
        <v>180</v>
      </c>
    </row>
    <row r="7" spans="2:6" x14ac:dyDescent="0.3">
      <c r="B7">
        <v>901</v>
      </c>
      <c r="C7" s="4" t="e">
        <f>INDEX(#REF!,MATCH(ItemResourceTable[[#This Row],[Index]],#REF!,0))</f>
        <v>#REF!</v>
      </c>
      <c r="D7" s="4" t="s">
        <v>314</v>
      </c>
      <c r="E7" t="s">
        <v>296</v>
      </c>
      <c r="F7" t="s">
        <v>365</v>
      </c>
    </row>
    <row r="8" spans="2:6" x14ac:dyDescent="0.3">
      <c r="B8">
        <v>902</v>
      </c>
      <c r="C8" s="4" t="e">
        <f>INDEX(#REF!,MATCH(ItemResourceTable[[#This Row],[Index]],#REF!,0))</f>
        <v>#REF!</v>
      </c>
      <c r="D8" s="4" t="s">
        <v>313</v>
      </c>
      <c r="E8" t="s">
        <v>54</v>
      </c>
      <c r="F8" t="s">
        <v>364</v>
      </c>
    </row>
    <row r="9" spans="2:6" x14ac:dyDescent="0.3">
      <c r="B9">
        <v>902</v>
      </c>
      <c r="C9" s="4" t="e">
        <f>INDEX(#REF!,MATCH(ItemResourceTable[[#This Row],[Index]],#REF!,0))</f>
        <v>#REF!</v>
      </c>
      <c r="D9" s="4" t="s">
        <v>314</v>
      </c>
      <c r="E9" t="s">
        <v>296</v>
      </c>
      <c r="F9" t="s">
        <v>262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49</v>
      </c>
      <c r="B1" t="s">
        <v>74</v>
      </c>
      <c r="C1" t="s">
        <v>74</v>
      </c>
      <c r="D1" t="s">
        <v>47</v>
      </c>
    </row>
    <row r="2" spans="1:4" x14ac:dyDescent="0.3">
      <c r="A2" t="s">
        <v>73</v>
      </c>
      <c r="B2" t="s">
        <v>278</v>
      </c>
      <c r="C2" t="s">
        <v>276</v>
      </c>
      <c r="D2" s="5" t="s">
        <v>114</v>
      </c>
    </row>
    <row r="3" spans="1:4" x14ac:dyDescent="0.3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304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61</v>
      </c>
      <c r="C12" t="s">
        <v>277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282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244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358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366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259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257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265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261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2023-09-22T05:43:19Z</dcterms:modified>
  <cp:version>1200.0100.01</cp:version>
</cp:coreProperties>
</file>