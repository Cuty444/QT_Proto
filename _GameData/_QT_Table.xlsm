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FB25482B-026B-4FD6-9FF6-D33637F33B9A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19" l="1"/>
  <c r="I33" i="19" a="1"/>
  <c r="I33" i="19" s="1"/>
  <c r="J33" i="19" s="1" a="1"/>
  <c r="J33" i="19" s="1"/>
  <c r="L33" i="19" s="1"/>
  <c r="N33" i="19"/>
  <c r="T33" i="19" a="1"/>
  <c r="T33" i="19" s="1"/>
  <c r="F18" i="20" a="1"/>
  <c r="F18" i="20" s="1"/>
  <c r="F19" i="20" a="1"/>
  <c r="F19" i="20" s="1"/>
  <c r="F13" i="20" a="1"/>
  <c r="F13" i="20" s="1"/>
  <c r="F14" i="20" a="1"/>
  <c r="F14" i="20" s="1"/>
  <c r="F15" i="20" a="1"/>
  <c r="F15" i="20" s="1"/>
  <c r="F16" i="20" a="1"/>
  <c r="F16" i="20" s="1"/>
  <c r="F17" i="20" a="1"/>
  <c r="F17" i="20"/>
  <c r="G29" i="13"/>
  <c r="C21" i="19"/>
  <c r="I21" i="19" a="1"/>
  <c r="I21" i="19" s="1"/>
  <c r="J21" i="19" s="1" a="1"/>
  <c r="J21" i="19" s="1"/>
  <c r="L21" i="19" s="1"/>
  <c r="N21" i="19"/>
  <c r="T21" i="19" a="1"/>
  <c r="T21" i="19" s="1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8" i="20"/>
  <c r="M8" i="20" s="1"/>
  <c r="L16" i="14"/>
  <c r="O16" i="14" s="1"/>
  <c r="M16" i="14"/>
  <c r="P16" i="14" s="1"/>
  <c r="N16" i="14"/>
  <c r="S16" i="14"/>
  <c r="L17" i="14"/>
  <c r="O17" i="14" s="1"/>
  <c r="M17" i="14"/>
  <c r="P17" i="14" s="1"/>
  <c r="N17" i="14"/>
  <c r="Q17" i="14" s="1"/>
  <c r="S17" i="14"/>
  <c r="I147" i="16"/>
  <c r="B147" i="16" s="1"/>
  <c r="I119" i="16"/>
  <c r="B119" i="16" s="1"/>
  <c r="I91" i="16"/>
  <c r="B91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7" i="20" a="1"/>
  <c r="F7" i="20" s="1"/>
  <c r="F9" i="20" a="1"/>
  <c r="F9" i="20" s="1"/>
  <c r="F10" i="20" a="1"/>
  <c r="F10" i="20" s="1"/>
  <c r="F11" i="20" a="1"/>
  <c r="F11" i="20" s="1"/>
  <c r="F12" i="20" a="1"/>
  <c r="F12" i="20" s="1"/>
  <c r="F3" i="20" a="1"/>
  <c r="F3" i="20" s="1"/>
  <c r="I169" i="16"/>
  <c r="B169" i="16" s="1"/>
  <c r="I155" i="16"/>
  <c r="B155" i="16" s="1"/>
  <c r="O24" i="13" a="1"/>
  <c r="O24" i="13" s="1"/>
  <c r="I99" i="16"/>
  <c r="B99" i="16" s="1"/>
  <c r="I127" i="16"/>
  <c r="B127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4" i="20"/>
  <c r="M14" i="20" s="1"/>
  <c r="L29" i="14"/>
  <c r="O29" i="14" s="1"/>
  <c r="M29" i="14"/>
  <c r="P29" i="14" s="1"/>
  <c r="N29" i="14"/>
  <c r="Q29" i="14" s="1"/>
  <c r="S29" i="14"/>
  <c r="L30" i="14"/>
  <c r="O30" i="14" s="1"/>
  <c r="M30" i="14"/>
  <c r="P30" i="14" s="1"/>
  <c r="N30" i="14"/>
  <c r="Q30" i="14" s="1"/>
  <c r="S30" i="14"/>
  <c r="C31" i="19"/>
  <c r="I31" i="19" a="1"/>
  <c r="I31" i="19" s="1"/>
  <c r="J31" i="19" s="1" a="1"/>
  <c r="J31" i="19" s="1"/>
  <c r="L31" i="19" s="1"/>
  <c r="N31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2" i="19"/>
  <c r="C23" i="19"/>
  <c r="C24" i="19"/>
  <c r="C25" i="19"/>
  <c r="C26" i="19"/>
  <c r="C27" i="19"/>
  <c r="C28" i="19"/>
  <c r="C29" i="19"/>
  <c r="C30" i="19"/>
  <c r="C32" i="19"/>
  <c r="C34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14" i="11"/>
  <c r="D122" i="11" s="1"/>
  <c r="D130" i="11" s="1"/>
  <c r="D138" i="11" s="1"/>
  <c r="D146" i="11" s="1"/>
  <c r="D154" i="11" s="1"/>
  <c r="D162" i="11" s="1"/>
  <c r="D170" i="11" s="1"/>
  <c r="D178" i="11" s="1"/>
  <c r="D186" i="11" s="1"/>
  <c r="D115" i="11"/>
  <c r="D123" i="11" s="1"/>
  <c r="D131" i="11" s="1"/>
  <c r="D139" i="11" s="1"/>
  <c r="D147" i="11" s="1"/>
  <c r="D155" i="11" s="1"/>
  <c r="D163" i="11" s="1"/>
  <c r="D171" i="11" s="1"/>
  <c r="D179" i="11" s="1"/>
  <c r="D187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B115" i="11"/>
  <c r="B123" i="11" s="1"/>
  <c r="B114" i="11"/>
  <c r="B122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C107" i="11"/>
  <c r="C106" i="11"/>
  <c r="C105" i="11"/>
  <c r="C104" i="11"/>
  <c r="C103" i="11"/>
  <c r="C102" i="11"/>
  <c r="C101" i="11"/>
  <c r="C100" i="11"/>
  <c r="E17" i="3"/>
  <c r="E22" i="3"/>
  <c r="M7" i="20"/>
  <c r="M9" i="20"/>
  <c r="M10" i="20"/>
  <c r="M11" i="20"/>
  <c r="M13" i="20"/>
  <c r="M15" i="20"/>
  <c r="M16" i="20"/>
  <c r="M17" i="20"/>
  <c r="M18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8" i="14"/>
  <c r="S19" i="14"/>
  <c r="S20" i="14"/>
  <c r="S21" i="14"/>
  <c r="S22" i="14"/>
  <c r="S23" i="14"/>
  <c r="S24" i="14"/>
  <c r="S25" i="14"/>
  <c r="S26" i="14"/>
  <c r="S27" i="14"/>
  <c r="S28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2" i="19"/>
  <c r="N23" i="19"/>
  <c r="N24" i="19"/>
  <c r="N25" i="19"/>
  <c r="N26" i="19"/>
  <c r="N27" i="19"/>
  <c r="N28" i="19"/>
  <c r="N29" i="19"/>
  <c r="N30" i="19"/>
  <c r="N32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8" i="14"/>
  <c r="L19" i="14"/>
  <c r="L20" i="14"/>
  <c r="L21" i="14"/>
  <c r="L22" i="14"/>
  <c r="L23" i="14"/>
  <c r="L24" i="14"/>
  <c r="L25" i="14"/>
  <c r="L26" i="14"/>
  <c r="L27" i="14"/>
  <c r="L28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I30" i="19" a="1"/>
  <c r="I30" i="19" s="1"/>
  <c r="J30" i="19" s="1" a="1"/>
  <c r="J30" i="19" s="1"/>
  <c r="I32" i="19" a="1"/>
  <c r="I32" i="19" s="1"/>
  <c r="J32" i="19" s="1" a="1"/>
  <c r="J32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6" i="14" l="1"/>
  <c r="M23" i="19" s="1"/>
  <c r="O23" i="19" s="1"/>
  <c r="P23" i="19" s="1"/>
  <c r="G17" i="13"/>
  <c r="Q16" i="13" a="1"/>
  <c r="Q16" i="13" s="1"/>
  <c r="G25" i="13"/>
  <c r="G28" i="13"/>
  <c r="G27" i="13"/>
  <c r="G26" i="13"/>
  <c r="G30" i="13"/>
  <c r="Q16" i="14"/>
  <c r="R16" i="14" s="1"/>
  <c r="R17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7" i="14"/>
  <c r="M24" i="19" s="1"/>
  <c r="O24" i="19" s="1"/>
  <c r="R29" i="14"/>
  <c r="M21" i="19" s="1"/>
  <c r="O21" i="19" s="1"/>
  <c r="P21" i="19" s="1"/>
  <c r="R13" i="14"/>
  <c r="M11" i="19" s="1"/>
  <c r="O11" i="19" s="1"/>
  <c r="R30" i="14"/>
  <c r="P10" i="14"/>
  <c r="M12" i="20"/>
  <c r="M3" i="20"/>
  <c r="M4" i="20"/>
  <c r="M6" i="20"/>
  <c r="O32" i="14"/>
  <c r="R32" i="14" s="1"/>
  <c r="C115" i="11"/>
  <c r="C113" i="11"/>
  <c r="Q21" i="2"/>
  <c r="Q22" i="2"/>
  <c r="Q20" i="2"/>
  <c r="C109" i="11"/>
  <c r="C114" i="11"/>
  <c r="C110" i="11"/>
  <c r="C111" i="11"/>
  <c r="C120" i="11"/>
  <c r="B128" i="11"/>
  <c r="C121" i="11"/>
  <c r="B129" i="11"/>
  <c r="C117" i="11"/>
  <c r="B125" i="11"/>
  <c r="C122" i="11"/>
  <c r="B130" i="11"/>
  <c r="C118" i="11"/>
  <c r="B126" i="11"/>
  <c r="B124" i="11"/>
  <c r="C116" i="11"/>
  <c r="C123" i="11"/>
  <c r="B131" i="11"/>
  <c r="C119" i="11"/>
  <c r="B127" i="11"/>
  <c r="C112" i="11"/>
  <c r="C108" i="11"/>
  <c r="O4" i="14"/>
  <c r="O18" i="14"/>
  <c r="L34" i="19"/>
  <c r="O28" i="14"/>
  <c r="R28" i="14" s="1"/>
  <c r="O14" i="14"/>
  <c r="Q10" i="14"/>
  <c r="K10" i="19" a="1"/>
  <c r="K10" i="19" s="1"/>
  <c r="L10" i="19" s="1"/>
  <c r="R24" i="14"/>
  <c r="M22" i="19" s="1"/>
  <c r="O22" i="19" s="1"/>
  <c r="R8" i="14"/>
  <c r="M8" i="19" s="1"/>
  <c r="O8" i="19" s="1"/>
  <c r="R22" i="14"/>
  <c r="R20" i="14"/>
  <c r="M17" i="19" s="1"/>
  <c r="O17" i="19" s="1"/>
  <c r="R10" i="14"/>
  <c r="M10" i="19" s="1"/>
  <c r="O10" i="19" s="1"/>
  <c r="R14" i="14"/>
  <c r="R21" i="14"/>
  <c r="M18" i="19" s="1"/>
  <c r="O18" i="19" s="1"/>
  <c r="R7" i="14"/>
  <c r="M7" i="19" s="1"/>
  <c r="O7" i="19" s="1"/>
  <c r="P7" i="19" s="1"/>
  <c r="R5" i="14"/>
  <c r="M5" i="19" s="1"/>
  <c r="O5" i="19" s="1"/>
  <c r="R18" i="14"/>
  <c r="R4" i="14"/>
  <c r="M4" i="19" s="1"/>
  <c r="O4" i="19" s="1"/>
  <c r="R3" i="14"/>
  <c r="M3" i="19" s="1"/>
  <c r="O3" i="19" s="1"/>
  <c r="P3" i="19" s="1"/>
  <c r="O34" i="14"/>
  <c r="R34" i="14" s="1"/>
  <c r="O24" i="14"/>
  <c r="O20" i="14"/>
  <c r="O10" i="14"/>
  <c r="O6" i="14"/>
  <c r="R6" i="14" s="1"/>
  <c r="M6" i="19" s="1"/>
  <c r="O6" i="19" s="1"/>
  <c r="O33" i="14"/>
  <c r="R33" i="14" s="1"/>
  <c r="M31" i="19" s="1"/>
  <c r="O31" i="19" s="1"/>
  <c r="P31" i="19" s="1"/>
  <c r="O27" i="14"/>
  <c r="O23" i="14"/>
  <c r="R23" i="14" s="1"/>
  <c r="O19" i="14"/>
  <c r="O13" i="14"/>
  <c r="O9" i="14"/>
  <c r="R9" i="14" s="1"/>
  <c r="M9" i="19" s="1"/>
  <c r="O9" i="19" s="1"/>
  <c r="O5" i="14"/>
  <c r="O36" i="14"/>
  <c r="O26" i="14"/>
  <c r="O22" i="14"/>
  <c r="O12" i="14"/>
  <c r="R12" i="14" s="1"/>
  <c r="O8" i="14"/>
  <c r="O35" i="14"/>
  <c r="O31" i="14"/>
  <c r="R31" i="14" s="1"/>
  <c r="O25" i="14"/>
  <c r="R25" i="14" s="1"/>
  <c r="O21" i="14"/>
  <c r="O15" i="14"/>
  <c r="R15" i="14" s="1"/>
  <c r="O11" i="14"/>
  <c r="R11" i="14" s="1"/>
  <c r="O7" i="14"/>
  <c r="O3" i="14"/>
  <c r="L30" i="19"/>
  <c r="L16" i="19"/>
  <c r="L17" i="19"/>
  <c r="L29" i="19"/>
  <c r="L14" i="19"/>
  <c r="L25" i="19"/>
  <c r="L24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6" i="14" s="1"/>
  <c r="C8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5" i="19"/>
  <c r="O25" i="19" s="1"/>
  <c r="P25" i="19" s="1"/>
  <c r="P24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6" i="11"/>
  <c r="B134" i="11"/>
  <c r="C130" i="11"/>
  <c r="B138" i="11"/>
  <c r="C124" i="11"/>
  <c r="B132" i="11"/>
  <c r="C127" i="11"/>
  <c r="B135" i="11"/>
  <c r="C129" i="11"/>
  <c r="B137" i="11"/>
  <c r="C125" i="11"/>
  <c r="B133" i="11"/>
  <c r="C131" i="11"/>
  <c r="B139" i="11"/>
  <c r="B136" i="11"/>
  <c r="C128" i="11"/>
  <c r="P9" i="19"/>
  <c r="P6" i="19"/>
  <c r="P10" i="19"/>
  <c r="P17" i="19"/>
  <c r="P4" i="19"/>
  <c r="P5" i="19"/>
  <c r="P18" i="19"/>
  <c r="M29" i="19"/>
  <c r="O29" i="19" s="1"/>
  <c r="P29" i="19" s="1"/>
  <c r="M30" i="19"/>
  <c r="O30" i="19" s="1"/>
  <c r="P30" i="19" s="1"/>
  <c r="M27" i="19"/>
  <c r="O27" i="19" s="1"/>
  <c r="P27" i="19" s="1"/>
  <c r="M26" i="19"/>
  <c r="O26" i="19" s="1"/>
  <c r="M28" i="19"/>
  <c r="O28" i="19" s="1"/>
  <c r="P28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R19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2" i="19" l="1"/>
  <c r="O32" i="19" s="1"/>
  <c r="M33" i="19"/>
  <c r="O33" i="19" s="1"/>
  <c r="P33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3" i="11"/>
  <c r="B141" i="11"/>
  <c r="C135" i="11"/>
  <c r="B143" i="11"/>
  <c r="C137" i="11"/>
  <c r="B145" i="11"/>
  <c r="C132" i="11"/>
  <c r="B140" i="11"/>
  <c r="C138" i="11"/>
  <c r="B146" i="11"/>
  <c r="B144" i="11"/>
  <c r="C136" i="11"/>
  <c r="C139" i="11"/>
  <c r="B147" i="11"/>
  <c r="C134" i="11"/>
  <c r="B142" i="11"/>
  <c r="L26" i="19"/>
  <c r="P26" i="19" s="1"/>
  <c r="L22" i="19"/>
  <c r="P22" i="19" s="1"/>
  <c r="L32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2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4" i="11"/>
  <c r="B152" i="11"/>
  <c r="B148" i="11"/>
  <c r="C140" i="11"/>
  <c r="C143" i="11"/>
  <c r="B151" i="11"/>
  <c r="C146" i="11"/>
  <c r="B154" i="11"/>
  <c r="C147" i="11"/>
  <c r="B155" i="11"/>
  <c r="C141" i="11"/>
  <c r="B149" i="11"/>
  <c r="C145" i="11"/>
  <c r="B153" i="11"/>
  <c r="C142" i="11"/>
  <c r="B150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51" i="11"/>
  <c r="B159" i="11"/>
  <c r="C149" i="11"/>
  <c r="B157" i="11"/>
  <c r="C155" i="11"/>
  <c r="B163" i="11"/>
  <c r="C154" i="11"/>
  <c r="B162" i="11"/>
  <c r="B156" i="11"/>
  <c r="C148" i="11"/>
  <c r="C150" i="11"/>
  <c r="B158" i="11"/>
  <c r="C153" i="11"/>
  <c r="B161" i="11"/>
  <c r="B160" i="11"/>
  <c r="C152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4" i="11"/>
  <c r="C156" i="11"/>
  <c r="C162" i="11"/>
  <c r="B170" i="11"/>
  <c r="C157" i="11"/>
  <c r="B165" i="11"/>
  <c r="C160" i="11"/>
  <c r="B168" i="11"/>
  <c r="C163" i="11"/>
  <c r="B171" i="11"/>
  <c r="C161" i="11"/>
  <c r="B169" i="11"/>
  <c r="C159" i="11"/>
  <c r="B167" i="11"/>
  <c r="C158" i="11"/>
  <c r="B166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71" i="11"/>
  <c r="B179" i="11"/>
  <c r="C168" i="11"/>
  <c r="B176" i="11"/>
  <c r="C169" i="11"/>
  <c r="B177" i="11"/>
  <c r="C166" i="11"/>
  <c r="B174" i="11"/>
  <c r="C170" i="11"/>
  <c r="B178" i="11"/>
  <c r="C165" i="11"/>
  <c r="B173" i="11"/>
  <c r="C167" i="11"/>
  <c r="B175" i="11"/>
  <c r="B172" i="11"/>
  <c r="C164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3" i="11"/>
  <c r="B181" i="11"/>
  <c r="C181" i="11" s="1"/>
  <c r="C174" i="11"/>
  <c r="B182" i="11"/>
  <c r="C182" i="11" s="1"/>
  <c r="C177" i="11"/>
  <c r="B185" i="11"/>
  <c r="C185" i="11" s="1"/>
  <c r="C176" i="11"/>
  <c r="B184" i="11"/>
  <c r="C184" i="11" s="1"/>
  <c r="C178" i="11"/>
  <c r="B186" i="11"/>
  <c r="C186" i="11" s="1"/>
  <c r="C172" i="11"/>
  <c r="B180" i="11"/>
  <c r="C180" i="11" s="1"/>
  <c r="C175" i="11"/>
  <c r="B183" i="11"/>
  <c r="C183" i="11" s="1"/>
  <c r="C179" i="11"/>
  <c r="B187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7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7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6" i="14" l="1"/>
  <c r="T5" i="19" a="1"/>
  <c r="T5" i="19" s="1"/>
  <c r="C17" i="14"/>
  <c r="B13" i="19"/>
  <c r="T13" i="19" a="1"/>
  <c r="T13" i="19" s="1"/>
  <c r="B15" i="14"/>
  <c r="C7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7" i="20" s="1"/>
  <c r="B28" i="14"/>
  <c r="C13" i="20" s="1"/>
  <c r="B18" i="14"/>
  <c r="B14" i="19" s="1"/>
  <c r="B36" i="14"/>
  <c r="B34" i="19" s="1"/>
  <c r="B21" i="14"/>
  <c r="C11" i="20" s="1"/>
  <c r="B19" i="14"/>
  <c r="B16" i="19" s="1"/>
  <c r="B26" i="14"/>
  <c r="B23" i="19" s="1"/>
  <c r="B24" i="14"/>
  <c r="B22" i="19" s="1"/>
  <c r="B8" i="14"/>
  <c r="C3" i="20" s="1"/>
  <c r="B30" i="14"/>
  <c r="B23" i="14"/>
  <c r="C9" i="20" s="1"/>
  <c r="B31" i="14"/>
  <c r="C15" i="20" s="1"/>
  <c r="T3" i="19" a="1"/>
  <c r="T3" i="19" s="1"/>
  <c r="B6" i="14"/>
  <c r="B6" i="19" s="1"/>
  <c r="B20" i="14"/>
  <c r="B17" i="19" s="1"/>
  <c r="B32" i="14"/>
  <c r="C16" i="20" s="1"/>
  <c r="B25" i="14"/>
  <c r="C10" i="20" s="1"/>
  <c r="T8" i="19" a="1"/>
  <c r="T8" i="19" s="1"/>
  <c r="C7" i="14"/>
  <c r="B22" i="14"/>
  <c r="C12" i="20" s="1"/>
  <c r="C5" i="14"/>
  <c r="B29" i="14"/>
  <c r="B34" i="14"/>
  <c r="C18" i="20" s="1"/>
  <c r="B27" i="14"/>
  <c r="B35" i="14"/>
  <c r="C15" i="14"/>
  <c r="T34" i="19" a="1"/>
  <c r="T34" i="19" s="1"/>
  <c r="T23" i="19" a="1"/>
  <c r="T23" i="19" s="1"/>
  <c r="C32" i="14"/>
  <c r="C33" i="14"/>
  <c r="T25" i="19" a="1"/>
  <c r="T25" i="19" s="1"/>
  <c r="T22" i="19" a="1"/>
  <c r="T22" i="19" s="1"/>
  <c r="C26" i="14"/>
  <c r="T26" i="19" a="1"/>
  <c r="T26" i="19" s="1"/>
  <c r="C19" i="14"/>
  <c r="T18" i="19" a="1"/>
  <c r="T18" i="19" s="1"/>
  <c r="C24" i="14"/>
  <c r="C22" i="14"/>
  <c r="C34" i="14"/>
  <c r="T27" i="19" a="1"/>
  <c r="T27" i="19" s="1"/>
  <c r="C30" i="14"/>
  <c r="C29" i="14"/>
  <c r="C23" i="14"/>
  <c r="C36" i="14"/>
  <c r="T30" i="19" a="1"/>
  <c r="T30" i="19" s="1"/>
  <c r="T20" i="19" a="1"/>
  <c r="T20" i="19" s="1"/>
  <c r="T17" i="19" a="1"/>
  <c r="T17" i="19" s="1"/>
  <c r="C18" i="14"/>
  <c r="T16" i="19" a="1"/>
  <c r="T16" i="19" s="1"/>
  <c r="T32" i="19" a="1"/>
  <c r="T32" i="19" s="1"/>
  <c r="C35" i="14"/>
  <c r="C28" i="14"/>
  <c r="C31" i="14"/>
  <c r="T28" i="19" a="1"/>
  <c r="T28" i="19" s="1"/>
  <c r="T15" i="19" a="1"/>
  <c r="T15" i="19" s="1"/>
  <c r="C25" i="14"/>
  <c r="T14" i="19" a="1"/>
  <c r="T14" i="19" s="1"/>
  <c r="T24" i="19" a="1"/>
  <c r="T24" i="19" s="1"/>
  <c r="C20" i="14"/>
  <c r="C21" i="14"/>
  <c r="C27" i="14"/>
  <c r="T19" i="19" a="1"/>
  <c r="T19" i="19" s="1"/>
  <c r="T29" i="19" a="1"/>
  <c r="T29" i="19" s="1"/>
  <c r="T31" i="19" a="1"/>
  <c r="T31" i="19" s="1"/>
  <c r="B32" i="19" l="1"/>
  <c r="B33" i="19"/>
  <c r="R33" i="19" s="1"/>
  <c r="C19" i="20"/>
  <c r="C14" i="20"/>
  <c r="B21" i="19"/>
  <c r="R21" i="19" s="1"/>
  <c r="B24" i="19"/>
  <c r="R13" i="19"/>
  <c r="B12" i="19"/>
  <c r="B25" i="19"/>
  <c r="B31" i="19"/>
  <c r="B26" i="19"/>
  <c r="B29" i="19"/>
  <c r="B30" i="19"/>
  <c r="B28" i="19"/>
  <c r="B27" i="19"/>
  <c r="B18" i="19"/>
  <c r="B15" i="19"/>
  <c r="B19" i="19"/>
  <c r="B20" i="19"/>
  <c r="B8" i="19"/>
  <c r="Q33" i="19" s="1"/>
  <c r="Q21" i="19" l="1"/>
  <c r="Q13" i="19"/>
  <c r="R31" i="19"/>
  <c r="Q31" i="19"/>
  <c r="R18" i="19"/>
  <c r="R32" i="19"/>
  <c r="R19" i="19"/>
  <c r="Q27" i="19"/>
  <c r="Q19" i="19"/>
  <c r="Q30" i="19"/>
  <c r="R22" i="19"/>
  <c r="R34" i="19"/>
  <c r="R28" i="19"/>
  <c r="R25" i="19"/>
  <c r="R23" i="19"/>
  <c r="R26" i="19"/>
  <c r="R24" i="19"/>
  <c r="R27" i="19"/>
  <c r="R29" i="19"/>
  <c r="R30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2" i="19"/>
  <c r="Q12" i="19"/>
  <c r="Q34" i="19"/>
  <c r="Q17" i="19"/>
  <c r="Q15" i="19"/>
  <c r="Q25" i="19"/>
  <c r="Q28" i="19"/>
  <c r="Q16" i="19"/>
  <c r="Q23" i="19"/>
  <c r="Q20" i="19"/>
  <c r="Q14" i="19"/>
  <c r="Q32" i="19"/>
  <c r="Q24" i="19"/>
  <c r="Q26" i="19"/>
  <c r="Q18" i="19"/>
  <c r="Q29" i="19"/>
  <c r="S33" i="19" l="1"/>
  <c r="U33" i="19" s="1"/>
  <c r="S21" i="19"/>
  <c r="U21" i="19" s="1"/>
  <c r="S13" i="19"/>
  <c r="U13" i="19" s="1"/>
  <c r="S31" i="19"/>
  <c r="U31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2" i="19"/>
  <c r="U32" i="19" s="1"/>
  <c r="S22" i="19"/>
  <c r="U22" i="19" s="1"/>
  <c r="S23" i="19"/>
  <c r="U23" i="19" s="1"/>
  <c r="S24" i="19"/>
  <c r="U24" i="19" s="1"/>
  <c r="S26" i="19"/>
  <c r="U26" i="19" s="1"/>
  <c r="S27" i="19"/>
  <c r="U27" i="19" s="1"/>
  <c r="S28" i="19"/>
  <c r="U28" i="19" s="1"/>
  <c r="S29" i="19"/>
  <c r="U29" i="19" s="1"/>
  <c r="S30" i="19"/>
  <c r="U30" i="19" s="1"/>
  <c r="S25" i="19"/>
  <c r="U25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<sst xmlns="http://schemas.openxmlformats.org/spreadsheetml/2006/main" count="2351" uniqueCount="936">
  <si>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</si>
  <si>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</si>
  <si>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</si>
  <si>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</si>
  <si>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</si>
  <si>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</si>
  <si>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</si>
  <si>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</si>
  <si>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</si>
  <si>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</si>
  <si>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</si>
  <si>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</si>
  <si>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</si>
  <si>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</si>
  <si>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</si>
  <si>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</si>
  <si>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</si>
  <si>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</si>
  <si>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</si>
  <si>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</si>
  <si>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</si>
  <si>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</si>
  <si>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</si>
  <si>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</si>
  <si>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</si>
  <si>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</si>
  <si>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</si>
  <si>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</si>
  <si>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</si>
  <si>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</si>
  <si>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</si>
  <si>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</si>
  <si>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</si>
  <si>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</si>
  <si>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</si>
  <si>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</si>
  <si>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</si>
  <si>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</si>
  <si>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</si>
  <si>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</si>
  <si>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</si>
  <si>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</si>
  <si>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</si>
  <si>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</si>
  <si>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</si>
  <si>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</si>
  <si>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</si>
  <si>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</si>
  <si>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</si>
  <si>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</si>
  <si>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</si>
  <si>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</si>
  <si>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</si>
  <si>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</si>
  <si>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</si>
  <si>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</si>
  <si>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</si>
  <si>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</si>
  <si>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</si>
  <si>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</si>
  <si>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</si>
  <si>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</si>
  <si>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</si>
  <si>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</si>
  <si>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</si>
  <si>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</si>
  <si>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</si>
  <si>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</si>
  <si>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</si>
  <si>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</si>
  <si>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</si>
  <si>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</si>
  <si>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</si>
  <si>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</si>
  <si>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</si>
  <si>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</si>
  <si>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</si>
  <si>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</si>
  <si>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</si>
  <si>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</si>
  <si>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</si>
  <si>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</si>
  <si>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</si>
  <si>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</si>
  <si>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</si>
  <si>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</si>
  <si>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</si>
  <si>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</si>
  <si>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</si>
  <si>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</si>
  <si>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</si>
  <si>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</si>
  <si>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</si>
  <si>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</si>
  <si>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</si>
  <si>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</si>
  <si>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</si>
  <si>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</si>
  <si>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</si>
  <si>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</si>
  <si>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</si>
  <si>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</si>
  <si>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</si>
  <si>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</si>
  <si>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</si>
  <si>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</si>
  <si>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</si>
  <si>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</si>
  <si>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</si>
  <si>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</si>
  <si>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</si>
  <si>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</si>
  <si>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</si>
  <si>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</si>
  <si>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</si>
  <si>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</si>
  <si>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</si>
  <si>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</si>
  <si>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</si>
  <si>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</si>
  <si>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</si>
  <si>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</si>
  <si>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</si>
  <si>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</si>
  <si>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</si>
  <si>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</si>
  <si>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</si>
  <si>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</si>
  <si>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</si>
  <si>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</si>
  <si>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</si>
  <si>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</si>
  <si>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</si>
  <si>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</si>
  <si>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</si>
  <si>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</si>
  <si>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</si>
  <si>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</si>
  <si>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</si>
  <si>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</si>
  <si>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</si>
  <si>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</si>
  <si>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</si>
  <si>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</si>
  <si>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</si>
  <si>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</si>
  <si>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</si>
  <si>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</si>
  <si>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</si>
  <si>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</si>
  <si>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</si>
  <si>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</si>
  <si>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</si>
  <si>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</si>
  <si>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</si>
  <si>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</si>
  <si>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</si>
  <si>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</si>
  <si>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</si>
  <si>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</si>
  <si>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</si>
  <si>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</si>
  <si>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</si>
  <si>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</si>
  <si>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</si>
  <si>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</si>
  <si>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</si>
  <si>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</si>
  <si>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</si>
  <si>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</si>
  <si>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</si>
  <si>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</si>
  <si>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</si>
  <si>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</si>
  <si>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</si>
  <si>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</si>
  <si>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</si>
  <si>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</si>
  <si>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</si>
  <si>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</si>
  <si>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</si>
  <si>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</si>
  <si>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</si>
  <si>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</si>
  <si>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</si>
  <si>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</si>
  <si>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</si>
  <si>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</si>
  <si>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</si>
  <si>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</si>
  <si>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</si>
  <si>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</si>
  <si>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</si>
  <si>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</si>
  <si>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</si>
  <si>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</si>
  <si>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</si>
  <si>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</si>
  <si>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</si>
  <si>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</si>
  <si>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</si>
  <si>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</si>
  <si>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</si>
  <si>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</si>
  <si>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</si>
  <si>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</si>
  <si>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</si>
  <si>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</si>
  <si>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</si>
  <si>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</si>
  <si>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</si>
  <si>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</si>
  <si>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</si>
  <si>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</si>
  <si>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</si>
  <si>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</si>
  <si>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</si>
  <si>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</si>
  <si>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</si>
  <si>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</si>
  <si>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</si>
  <si>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</si>
  <si>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</si>
  <si>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</si>
  <si>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</si>
  <si>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</si>
  <si>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</si>
  <si>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</si>
  <si>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</si>
  <si>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</si>
  <si>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</si>
  <si>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</si>
  <si>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</si>
  <si>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</si>
  <si>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</si>
  <si>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</si>
  <si>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</si>
  <si>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</si>
  <si>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</si>
  <si>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</si>
  <si>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</si>
  <si>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</si>
  <si>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</si>
  <si>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</si>
  <si>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</si>
  <si>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</si>
  <si>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</si>
  <si>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</si>
  <si>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</si>
  <si>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</si>
  <si>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</si>
  <si>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</si>
  <si>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</si>
  <si>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</si>
  <si>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</si>
  <si>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</si>
  <si>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</si>
  <si>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</si>
  <si>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</si>
  <si>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</si>
  <si>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</si>
  <si>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</si>
  <si>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</si>
  <si>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</si>
  <si>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</si>
  <si>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</si>
  <si>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</si>
  <si>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</si>
  <si>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</si>
  <si>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</si>
  <si>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</si>
  <si>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</si>
  <si>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</si>
  <si>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</si>
  <si>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</si>
  <si>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</si>
  <si>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</si>
  <si>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</si>
  <si>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</si>
  <si>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</si>
  <si>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</si>
  <si>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</si>
  <si>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</si>
  <si>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</si>
  <si>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</si>
  <si>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</si>
  <si>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</si>
  <si>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</si>
  <si>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</si>
  <si>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</si>
  <si>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</si>
  <si>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</si>
  <si>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</si>
  <si>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</si>
  <si>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</si>
  <si>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</si>
  <si>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</si>
  <si>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</si>
  <si>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</si>
  <si>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</si>
  <si>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</si>
  <si>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</si>
  <si>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</si>
  <si>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</si>
  <si>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</si>
  <si>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</si>
  <si>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</si>
  <si>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</si>
  <si>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</si>
  <si>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</si>
  <si>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</si>
  <si>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</si>
  <si>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</si>
  <si>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</si>
  <si>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</si>
  <si>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</si>
  <si>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</si>
  <si>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</si>
  <si>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</si>
  <si>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</si>
  <si>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</si>
  <si>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</si>
  <si>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</si>
  <si>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</si>
  <si>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</si>
  <si>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</si>
  <si>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</si>
  <si>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</si>
  <si>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</si>
  <si>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</si>
  <si>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</si>
  <si>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</si>
  <si>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</si>
  <si>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</si>
  <si>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</si>
  <si>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</si>
  <si>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</si>
  <si>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</si>
  <si>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</si>
  <si>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</si>
  <si>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</si>
  <si>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</si>
  <si>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</si>
  <si>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</si>
  <si>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</si>
  <si>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</si>
  <si>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</si>
  <si>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</si>
  <si>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</si>
  <si>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</si>
  <si>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</si>
  <si>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</si>
  <si>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</si>
  <si>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</si>
  <si>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</si>
  <si>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</si>
  <si>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</si>
  <si>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</si>
  <si>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</si>
  <si>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</si>
  <si>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</si>
  <si>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</si>
  <si>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</si>
  <si>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</si>
  <si>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</si>
  <si>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</si>
  <si>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</si>
  <si>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</si>
  <si>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</si>
  <si>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</si>
  <si>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</si>
  <si>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</si>
  <si>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</si>
  <si>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</si>
  <si>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</si>
  <si>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</si>
  <si>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</si>
  <si>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</si>
  <si>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</si>
  <si>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</si>
  <si>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</si>
  <si>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</si>
  <si>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</si>
  <si>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</si>
  <si>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</si>
  <si>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</si>
  <si>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</si>
  <si>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</si>
  <si>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</si>
  <si>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</si>
  <si>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</si>
  <si>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</si>
  <si>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</si>
  <si>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</si>
  <si>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</si>
  <si>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</si>
  <si>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</si>
  <si>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</si>
  <si>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</si>
  <si>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</si>
  <si>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</si>
  <si>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</si>
  <si>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</si>
  <si>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</si>
  <si>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</si>
  <si>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</si>
  <si>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</si>
  <si>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</si>
  <si>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</si>
  <si>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</si>
  <si>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</si>
  <si>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</si>
  <si>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</si>
  <si>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</si>
  <si>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</si>
  <si>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</si>
  <si>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</si>
  <si>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</si>
  <si>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</si>
  <si>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</si>
  <si>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</si>
  <si>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</si>
  <si>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</si>
  <si>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</si>
  <si>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</si>
  <si>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</si>
  <si>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</si>
  <si>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</si>
  <si>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</si>
  <si>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</si>
  <si>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</si>
  <si>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</si>
  <si>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</si>
  <si>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</si>
  <si>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</si>
  <si>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</si>
  <si>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</si>
  <si>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</si>
  <si>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</si>
  <si>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</si>
  <si>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</si>
  <si>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</si>
  <si>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</si>
  <si>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</si>
  <si>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</si>
  <si>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</si>
  <si>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</si>
  <si>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</si>
  <si>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</si>
  <si>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</si>
  <si>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</si>
  <si>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</si>
  <si>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</si>
  <si>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</si>
  <si>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</si>
  <si>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</si>
  <si>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</si>
  <si>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</si>
  <si>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</si>
  <si>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</si>
  <si>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</si>
  <si>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</si>
  <si>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</si>
  <si>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</si>
  <si>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</si>
  <si>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</si>
  <si>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</si>
  <si>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</si>
  <si>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</si>
  <si>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</si>
  <si>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</si>
  <si>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</si>
  <si>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</si>
  <si>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</si>
  <si>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</si>
  <si>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</si>
  <si>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</si>
  <si>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</si>
  <si>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</si>
  <si>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</si>
  <si>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</si>
  <si>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</si>
  <si>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</si>
  <si>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</si>
  <si>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</si>
  <si>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</si>
  <si>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</si>
  <si>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</si>
  <si>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</si>
  <si>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</si>
  <si>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</si>
  <si>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</si>
  <si>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</si>
  <si>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</si>
  <si>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</si>
  <si>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</si>
  <si>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</si>
  <si>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</si>
  <si>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</si>
  <si>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</si>
  <si>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</si>
  <si>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</si>
  <si>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</si>
  <si>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</si>
  <si>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</si>
  <si>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</si>
  <si>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</si>
  <si>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</si>
  <si>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</si>
  <si>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</si>
  <si>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</si>
  <si>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</si>
  <si>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</si>
  <si>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</si>
  <si>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</si>
  <si>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</si>
  <si>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</si>
  <si>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</si>
  <si>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</si>
  <si>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</si>
  <si>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</si>
  <si>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</si>
  <si>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</si>
  <si>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</si>
  <si>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</si>
  <si>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</si>
  <si>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</si>
  <si>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</si>
  <si>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</si>
  <si>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</si>
  <si>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</si>
  <si>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</si>
  <si>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</si>
  <si>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</si>
  <si>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</si>
  <si>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</si>
  <si>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</si>
  <si>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</si>
  <si>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</si>
  <si>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</si>
  <si>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</si>
  <si>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</si>
  <si>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</si>
  <si>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</si>
  <si>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</si>
  <si>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</si>
  <si>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</si>
  <si>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</si>
  <si>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</si>
  <si>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</si>
  <si>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</si>
  <si>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</si>
  <si>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</si>
  <si>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</si>
  <si>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</si>
  <si>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</si>
  <si>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</si>
  <si>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</si>
  <si>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</si>
  <si>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</si>
  <si>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</si>
  <si>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</si>
  <si>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</si>
  <si>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</si>
  <si>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</si>
  <si>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</si>
  <si>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</si>
  <si>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</si>
  <si>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</si>
  <si>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</si>
  <si>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</si>
  <si>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</si>
  <si>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</si>
  <si>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</si>
  <si>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</si>
  <si>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</si>
  <si>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</si>
  <si>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</si>
  <si>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</si>
  <si>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</si>
  <si>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</si>
  <si>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</si>
  <si>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</si>
  <si>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</si>
  <si>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</si>
  <si>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</si>
  <si>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</si>
  <si>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</si>
  <si>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</si>
  <si>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</si>
  <si>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</si>
  <si>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</si>
  <si>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</si>
  <si>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</si>
  <si>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</si>
  <si>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</si>
  <si>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</si>
  <si>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</si>
  <si>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</si>
  <si>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</si>
  <si>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</si>
  <si>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</si>
  <si>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</si>
  <si>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</si>
  <si>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</si>
  <si>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</si>
  <si>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</si>
  <si>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</si>
  <si>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</si>
  <si>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</si>
  <si>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</si>
  <si>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</si>
  <si>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</si>
  <si>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</si>
  <si>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</si>
  <si>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</si>
  <si>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</si>
  <si>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</si>
  <si>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</si>
  <si>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</si>
  <si>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</si>
  <si>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</si>
  <si>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</si>
  <si>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</si>
  <si>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</si>
  <si>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</si>
  <si>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</si>
  <si>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</si>
  <si>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</si>
  <si>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</si>
  <si>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</si>
  <si>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</si>
  <si>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</si>
  <si>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</si>
  <si>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</si>
  <si>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</si>
  <si>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</si>
  <si>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</si>
  <si>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</si>
  <si>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</si>
  <si>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</si>
  <si>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</si>
  <si>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</si>
  <si>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</si>
  <si>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</si>
  <si>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</si>
  <si>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</si>
  <si>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</si>
  <si>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</si>
  <si>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</si>
  <si>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</si>
  <si>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</si>
  <si>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</si>
  <si>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</si>
  <si>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</si>
  <si>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</si>
  <si>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</si>
  <si>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</si>
  <si>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</si>
  <si>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</si>
  <si>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</si>
  <si>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</si>
  <si>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</si>
  <si>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</si>
  <si>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</si>
  <si>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</si>
  <si>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</si>
  <si>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</si>
  <si>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</si>
  <si>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</si>
  <si>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</si>
  <si>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</si>
  <si>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</si>
  <si>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</si>
  <si>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</si>
  <si>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</si>
  <si>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</si>
  <si>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</si>
  <si>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</si>
  <si>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</si>
  <si>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</si>
  <si>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</si>
  <si>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</si>
  <si>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</si>
  <si>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</si>
  <si>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</si>
  <si>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</si>
  <si>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</si>
  <si>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</si>
  <si>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</si>
  <si>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</si>
  <si>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</si>
  <si>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</si>
  <si>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</si>
  <si>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</si>
  <si>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</si>
  <si>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</si>
  <si>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</si>
  <si>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</si>
  <si>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</si>
  <si>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</si>
  <si>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</si>
  <si>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</si>
  <si>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</si>
  <si>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</si>
  <si>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</si>
  <si>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</si>
  <si>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</si>
  <si>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</si>
  <si>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</si>
  <si>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</si>
  <si>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</si>
  <si>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</si>
  <si>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</si>
  <si>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</si>
  <si>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</si>
  <si>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</si>
  <si>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</si>
  <si>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</si>
  <si>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</si>
  <si>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</si>
  <si>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</si>
  <si>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</si>
  <si>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</si>
  <si>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</si>
  <si>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</si>
  <si>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</si>
  <si>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</si>
  <si>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</si>
  <si>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</si>
  <si>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</si>
  <si>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</si>
  <si>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</si>
  <si>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</si>
  <si>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</si>
  <si>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</si>
  <si>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</si>
  <si>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</si>
  <si>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</si>
  <si>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</si>
  <si>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</si>
  <si>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</si>
  <si>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</si>
  <si>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</si>
  <si>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</si>
  <si>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</si>
  <si>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</si>
  <si>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</si>
  <si>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</si>
  <si>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</si>
  <si>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</si>
  <si>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</si>
  <si>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</si>
  <si>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</si>
  <si>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</si>
  <si>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</si>
  <si>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</si>
  <si>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</si>
  <si>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</si>
  <si>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</si>
  <si>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</si>
  <si>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</si>
  <si>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</si>
  <si>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</si>
  <si>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</si>
  <si>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</si>
  <si>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</si>
  <si>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</si>
  <si>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</si>
  <si>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</si>
  <si>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</si>
  <si>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</si>
  <si>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</si>
  <si>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</si>
  <si>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</si>
  <si>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</si>
  <si>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</si>
  <si>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</si>
  <si>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</si>
  <si>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</si>
  <si>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</si>
  <si>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</si>
  <si>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</si>
  <si>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</si>
  <si>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</si>
  <si>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</si>
  <si>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</si>
  <si>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</si>
  <si>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</si>
  <si>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</si>
  <si>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</si>
  <si>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</si>
  <si>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</si>
  <si>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</si>
  <si>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</si>
  <si>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</si>
  <si>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</si>
  <si>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</si>
  <si>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</si>
  <si>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</si>
  <si>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</si>
  <si>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</si>
  <si>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</si>
  <si>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</si>
  <si>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</si>
  <si>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</si>
  <si>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</si>
  <si>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</si>
  <si>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</si>
  <si>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</si>
  <si>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</si>
  <si>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</si>
  <si>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</si>
  <si>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</si>
  <si>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</si>
  <si>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</si>
  <si>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</si>
  <si>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</si>
  <si>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</si>
  <si>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</si>
  <si>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</si>
  <si>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</si>
  <si>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</si>
  <si>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</si>
  <si>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</si>
  <si>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</si>
  <si>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</si>
  <si>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</si>
  <si>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</si>
  <si>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</si>
  <si>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</si>
  <si>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</si>
  <si>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</si>
  <si>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</si>
  <si>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</si>
  <si>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</si>
  <si>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</si>
  <si>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</si>
  <si>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</si>
  <si>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</si>
  <si>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</si>
  <si>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</si>
  <si>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</si>
  <si>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</si>
  <si>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</si>
  <si>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</si>
  <si>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</si>
  <si>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</si>
  <si>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</si>
  <si>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</si>
  <si>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</si>
  <si>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</si>
  <si>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</si>
  <si>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</si>
  <si>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</si>
  <si>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</si>
  <si>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</si>
  <si>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</si>
  <si>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</si>
  <si>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</si>
  <si>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</si>
  <si>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</si>
  <si>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</si>
  <si>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</si>
  <si>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</si>
  <si>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</si>
  <si>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</si>
  <si>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</si>
  <si>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</si>
  <si>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</si>
  <si>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</si>
  <si>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</si>
  <si>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</si>
  <si>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</si>
  <si>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</si>
  <si>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</si>
  <si>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</si>
  <si>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</si>
  <si>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</si>
  <si>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</si>
  <si>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</si>
  <si>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</si>
  <si>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</si>
  <si>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</si>
  <si>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</si>
  <si>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</si>
  <si>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</si>
  <si>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</si>
  <si>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</si>
  <si>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</si>
  <si>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</si>
  <si>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</si>
  <si>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</si>
  <si>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</si>
  <si>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</si>
  <si>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</si>
  <si>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</si>
  <si>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</si>
  <si>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</si>
  <si>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</si>
  <si>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</si>
  <si>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</si>
  <si>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</si>
  <si>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</si>
  <si>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</si>
  <si>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</si>
  <si>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</si>
  <si>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</si>
  <si>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</si>
  <si>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</si>
  <si>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</si>
  <si>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</si>
  <si>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</si>
  <si>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</si>
  <si>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</si>
  <si>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</si>
  <si>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</si>
  <si>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</si>
  <si>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</si>
  <si>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</si>
  <si>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</si>
  <si>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</si>
  <si>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</si>
  <si>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</si>
  <si>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</si>
  <si>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</si>
  <si>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골드를 전부 잃습니다.</t>
    <phoneticPr fontId="6" type="noConversion"/>
  </si>
  <si>
    <t>Lose all gold</t>
    <phoneticPr fontId="6" type="noConversion"/>
  </si>
  <si>
    <t>방을 클리어할 때마다 골드 +10</t>
    <phoneticPr fontId="6" type="noConversion"/>
  </si>
  <si>
    <t>Gold +10 for clearing the room</t>
  </si>
  <si>
    <t>GoldGain +60%</t>
    <phoneticPr fontId="6" type="noConversion"/>
  </si>
  <si>
    <t>골드획득량 +60%</t>
    <phoneticPr fontId="6" type="noConversion"/>
  </si>
  <si>
    <t>icon/item/Passive_Item/item_21.png</t>
    <phoneticPr fontId="6" type="noConversion"/>
  </si>
  <si>
    <t>액스칼리배트</t>
    <phoneticPr fontId="6" type="noConversion"/>
  </si>
  <si>
    <t>조준 방향으로 강력한 공을 3개 발사합니다.</t>
    <phoneticPr fontId="6" type="noConversion"/>
  </si>
  <si>
    <t>Fires 3 powerful balls in the aiming direction.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</si>
</sst>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7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41" totalsRowShown="0">
  <autoFilter ref="B2:H241" xr:uid="{00000000-0009-0000-0100-000013000000}"/>
  <sortState xmlns:xlrd2="http://schemas.microsoft.com/office/spreadsheetml/2017/richdata2" ref="B3:H240">
    <sortCondition ref="B234:B240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71" dataDxfId="70">
  <autoFilter ref="B2:R30" xr:uid="{00000000-0009-0000-0100-000004000000}"/>
  <tableColumns count="17">
    <tableColumn id="1" xr3:uid="{00000000-0010-0000-12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68">
      <calculatedColumnFormula>INDEX(LocaleTable[LocaleKR],MATCH(ItemTable[[#This Row],[Name]],LocaleTable[StringKey],0))</calculatedColumnFormula>
    </tableColumn>
    <tableColumn id="13" xr3:uid="{0228A5D9-BA73-4AE8-96BB-B4E0516E7318}" name="#설명" dataDxfId="6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5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64">
      <calculatedColumnFormula>ItemTable[[#This Row],['#Index 참조용]]</calculatedColumnFormula>
    </tableColumn>
    <tableColumn id="2" xr3:uid="{00000000-0010-0000-1200-000002000000}" name="Name" dataDxfId="63"/>
    <tableColumn id="3" xr3:uid="{00000000-0010-0000-1200-000003000000}" name="Desc" dataDxfId="62"/>
    <tableColumn id="18" xr3:uid="{00000000-0010-0000-1200-000012000000}" name="PlusDesc" dataDxfId="61"/>
    <tableColumn id="19" xr3:uid="{00000000-0010-0000-1200-000013000000}" name="MinusDesc" dataDxfId="60"/>
    <tableColumn id="4" xr3:uid="{00000000-0010-0000-1200-000004000000}" name="GradeType" dataDxfId="59"/>
    <tableColumn id="10" xr3:uid="{6DE5866A-8A04-9347-9CC2-5EDCEC20C35F}" name="MaxStack" dataDxfId="58"/>
    <tableColumn id="5" xr3:uid="{00000000-0010-0000-1200-000005000000}" name="Value" dataDxfId="57"/>
    <tableColumn id="6" xr3:uid="{00000000-0010-0000-1200-000006000000}" name="CostHp" dataDxfId="56"/>
    <tableColumn id="7" xr3:uid="{00000000-0010-0000-1200-000007000000}" name="CostGold" dataDxfId="55"/>
    <tableColumn id="8" xr3:uid="{00000000-0010-0000-1200-000008000000}" name="ItemEffectDataId" dataDxfId="54"/>
    <tableColumn id="9" xr3:uid="{00000000-0010-0000-12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52">
  <autoFilter ref="B2:S36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9" totalsRowShown="0" headerRowDxfId="9" dataDxfId="8">
  <autoFilter ref="B2:I16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0" t="s">
        <v>184</v>
      </c>
      <c r="C1" s="81"/>
      <c r="D1" s="81"/>
      <c r="E1" s="81"/>
    </row>
    <row r="2" spans="2:5" s="1" customFormat="1">
      <c r="B2" s="81"/>
      <c r="C2" s="81"/>
      <c r="D2" s="81"/>
      <c r="E2" s="81"/>
    </row>
    <row r="3" spans="2:5" s="1" customFormat="1">
      <c r="B3" s="81"/>
      <c r="C3" s="81"/>
      <c r="D3" s="81"/>
      <c r="E3" s="8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0" t="s">
        <v>117</v>
      </c>
      <c r="C1" s="81"/>
      <c r="D1" s="81"/>
      <c r="E1" s="81"/>
    </row>
    <row r="2" spans="2:18" s="1" customFormat="1">
      <c r="B2" s="81"/>
      <c r="C2" s="81"/>
      <c r="D2" s="81"/>
      <c r="E2" s="81"/>
    </row>
    <row r="3" spans="2:18" s="1" customFormat="1">
      <c r="B3" s="81"/>
      <c r="C3" s="81"/>
      <c r="D3" s="81"/>
      <c r="E3" s="81"/>
    </row>
    <row r="5" spans="2:18">
      <c r="B5" s="2" t="s">
        <v>46</v>
      </c>
      <c r="J5" s="2" t="s">
        <v>287</v>
      </c>
      <c r="K5" s="2"/>
      <c r="O5" s="31" t="s">
        <v>568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548</v>
      </c>
      <c r="K6" s="11" t="s">
        <v>286</v>
      </c>
      <c r="L6" s="11" t="s">
        <v>283</v>
      </c>
      <c r="M6" s="11" t="s">
        <v>284</v>
      </c>
      <c r="O6" s="16" t="s">
        <v>375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377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378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380</v>
      </c>
      <c r="P9">
        <v>20</v>
      </c>
      <c r="Q9">
        <v>80</v>
      </c>
      <c r="R9">
        <v>150</v>
      </c>
    </row>
    <row r="11" spans="2:18">
      <c r="B11" s="2" t="s">
        <v>561</v>
      </c>
      <c r="C11" s="2"/>
      <c r="D11" s="2"/>
      <c r="J11" s="2" t="s">
        <v>376</v>
      </c>
    </row>
    <row r="12" spans="2:18">
      <c r="B12" s="11" t="s">
        <v>375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382</v>
      </c>
      <c r="H12" s="16"/>
      <c r="J12" s="11" t="s">
        <v>375</v>
      </c>
      <c r="K12" s="11" t="s">
        <v>381</v>
      </c>
      <c r="L12" s="11" t="s">
        <v>546</v>
      </c>
      <c r="M12" s="11" t="s">
        <v>547</v>
      </c>
    </row>
    <row r="13" spans="2:18">
      <c r="B13" s="11" t="s">
        <v>377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377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383</v>
      </c>
      <c r="P13" s="11">
        <f>FloorInfo[[#Totals],[층 완료 획득 골드]]/30</f>
        <v>19.716666666666665</v>
      </c>
    </row>
    <row r="14" spans="2:18">
      <c r="B14" s="11" t="s">
        <v>378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378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384</v>
      </c>
      <c r="P14" s="11">
        <f>FloorInfo[[#Totals],[층 완료 획득 골드]]/50</f>
        <v>11.83</v>
      </c>
    </row>
    <row r="15" spans="2:18">
      <c r="B15" s="11" t="s">
        <v>379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380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559</v>
      </c>
      <c r="K18" s="5"/>
    </row>
    <row r="19" spans="2:17">
      <c r="B19" s="11"/>
      <c r="J19" s="16" t="s">
        <v>375</v>
      </c>
      <c r="K19" s="16" t="s">
        <v>564</v>
      </c>
      <c r="L19" s="16" t="s">
        <v>563</v>
      </c>
      <c r="M19" s="16" t="s">
        <v>565</v>
      </c>
      <c r="N19" s="16" t="s">
        <v>562</v>
      </c>
      <c r="O19" s="16" t="s">
        <v>566</v>
      </c>
      <c r="P19" s="16" t="s">
        <v>567</v>
      </c>
      <c r="Q19" s="16" t="s">
        <v>560</v>
      </c>
    </row>
    <row r="20" spans="2:17">
      <c r="B20" s="11"/>
      <c r="J20" s="16" t="s">
        <v>377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0" t="s">
        <v>164</v>
      </c>
      <c r="C1" s="81"/>
      <c r="D1" s="81"/>
      <c r="E1" s="81"/>
      <c r="F1" s="81"/>
      <c r="G1" s="81"/>
    </row>
    <row r="2" spans="1:17" s="1" customFormat="1">
      <c r="B2" s="81"/>
      <c r="C2" s="81"/>
      <c r="D2" s="81"/>
      <c r="E2" s="81"/>
      <c r="F2" s="81"/>
      <c r="G2" s="81"/>
    </row>
    <row r="3" spans="1:17" s="1" customFormat="1">
      <c r="B3" s="81"/>
      <c r="C3" s="81"/>
      <c r="D3" s="81"/>
      <c r="E3" s="81"/>
      <c r="F3" s="81"/>
      <c r="G3" s="81"/>
    </row>
    <row r="5" spans="1:17">
      <c r="B5" s="2" t="s">
        <v>623</v>
      </c>
      <c r="C5" s="8" t="s">
        <v>624</v>
      </c>
      <c r="H5" s="2" t="s">
        <v>569</v>
      </c>
      <c r="N5" s="2" t="s">
        <v>56</v>
      </c>
    </row>
    <row r="6" spans="1:17">
      <c r="B6" s="11" t="s">
        <v>632</v>
      </c>
      <c r="C6" s="11" t="s">
        <v>633</v>
      </c>
      <c r="D6" s="11" t="s">
        <v>705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377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378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380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634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621</v>
      </c>
      <c r="H11" s="58" t="s">
        <v>545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3">
        <v>0</v>
      </c>
      <c r="H12" s="11" t="s">
        <v>615</v>
      </c>
      <c r="I12" s="11" t="s">
        <v>616</v>
      </c>
      <c r="J12" s="11" t="s">
        <v>617</v>
      </c>
      <c r="K12" t="s">
        <v>609</v>
      </c>
      <c r="L12" t="s">
        <v>610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3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3">
        <v>0</v>
      </c>
      <c r="N14" t="s">
        <v>55</v>
      </c>
      <c r="O14" t="s">
        <v>163</v>
      </c>
    </row>
    <row r="15" spans="1:17">
      <c r="A15" s="9"/>
      <c r="B15" s="59" t="s">
        <v>111</v>
      </c>
      <c r="C15" s="59" t="s">
        <v>143</v>
      </c>
      <c r="D15" s="20" t="s">
        <v>197</v>
      </c>
      <c r="E15" s="22">
        <f>50/3</f>
        <v>16.666666666666668</v>
      </c>
      <c r="F15" s="63">
        <v>0</v>
      </c>
      <c r="H15" s="11" t="s">
        <v>739</v>
      </c>
      <c r="I15" t="s">
        <v>611</v>
      </c>
      <c r="J15" t="s">
        <v>612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3">
        <v>0</v>
      </c>
      <c r="H16">
        <v>1</v>
      </c>
      <c r="I16">
        <v>1</v>
      </c>
      <c r="J16">
        <v>0.8</v>
      </c>
    </row>
    <row r="17" spans="1:15">
      <c r="A17" s="9"/>
      <c r="B17" s="60" t="s">
        <v>339</v>
      </c>
      <c r="C17" s="9" t="s">
        <v>143</v>
      </c>
      <c r="D17" s="11" t="s">
        <v>598</v>
      </c>
      <c r="E17" s="14">
        <f>50/0.8</f>
        <v>62.5</v>
      </c>
      <c r="F17" s="63">
        <v>0</v>
      </c>
    </row>
    <row r="18" spans="1:15">
      <c r="A18" s="9"/>
      <c r="B18" s="60" t="s">
        <v>600</v>
      </c>
      <c r="C18" s="9" t="s">
        <v>143</v>
      </c>
      <c r="D18" s="11" t="s">
        <v>601</v>
      </c>
      <c r="E18" s="19">
        <v>100</v>
      </c>
      <c r="F18" s="63">
        <v>0</v>
      </c>
      <c r="H18" t="s">
        <v>613</v>
      </c>
      <c r="I18" t="s">
        <v>614</v>
      </c>
      <c r="J18" s="11" t="s">
        <v>622</v>
      </c>
    </row>
    <row r="19" spans="1:15">
      <c r="A19" s="9"/>
      <c r="B19" t="s">
        <v>135</v>
      </c>
      <c r="C19" s="9" t="s">
        <v>133</v>
      </c>
      <c r="D19" s="11" t="s">
        <v>602</v>
      </c>
      <c r="E19" s="19">
        <v>100</v>
      </c>
      <c r="F19" s="63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3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3">
        <v>0</v>
      </c>
    </row>
    <row r="22" spans="1:15">
      <c r="A22" s="9"/>
      <c r="B22" s="9" t="s">
        <v>188</v>
      </c>
      <c r="C22" s="9" t="s">
        <v>9</v>
      </c>
      <c r="D22" s="11" t="s">
        <v>620</v>
      </c>
      <c r="E22" s="19">
        <f>30/0.3</f>
        <v>100</v>
      </c>
      <c r="F22" s="63">
        <v>0</v>
      </c>
    </row>
    <row r="23" spans="1:15">
      <c r="A23" s="9"/>
      <c r="B23" s="9" t="s">
        <v>8</v>
      </c>
      <c r="C23" s="9" t="s">
        <v>9</v>
      </c>
      <c r="D23" s="11" t="s">
        <v>619</v>
      </c>
      <c r="E23" s="19">
        <f>50/360</f>
        <v>0.1388888888888889</v>
      </c>
      <c r="F23" s="63">
        <v>0</v>
      </c>
    </row>
    <row r="24" spans="1:15">
      <c r="A24" s="9"/>
      <c r="B24" s="9" t="s">
        <v>129</v>
      </c>
      <c r="C24" s="9" t="s">
        <v>9</v>
      </c>
      <c r="D24" s="11" t="s">
        <v>618</v>
      </c>
      <c r="E24" s="19" cm="1">
        <f t="array" ref="E24">30/(CharacterAtkTable[SwingCooldown]*-0.08)</f>
        <v>-750</v>
      </c>
      <c r="F24" s="63">
        <v>0</v>
      </c>
    </row>
    <row r="25" spans="1:15">
      <c r="A25" s="9"/>
      <c r="B25" s="73" t="s">
        <v>844</v>
      </c>
      <c r="C25" s="9" t="s">
        <v>9</v>
      </c>
      <c r="D25" s="16" t="s">
        <v>848</v>
      </c>
      <c r="E25" s="19">
        <v>50</v>
      </c>
      <c r="F25" s="63">
        <v>0</v>
      </c>
    </row>
    <row r="26" spans="1:15">
      <c r="A26" s="9"/>
      <c r="B26" s="73" t="s">
        <v>845</v>
      </c>
      <c r="C26" s="9" t="s">
        <v>9</v>
      </c>
      <c r="D26" s="16" t="s">
        <v>847</v>
      </c>
      <c r="E26" s="19">
        <v>30</v>
      </c>
      <c r="F26" s="63">
        <v>0</v>
      </c>
    </row>
    <row r="27" spans="1:15">
      <c r="A27" s="9"/>
      <c r="B27" s="73" t="s">
        <v>841</v>
      </c>
      <c r="C27" s="9" t="s">
        <v>9</v>
      </c>
      <c r="D27" s="16" t="s">
        <v>846</v>
      </c>
      <c r="E27" s="61">
        <v>30</v>
      </c>
      <c r="F27" s="63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603</v>
      </c>
      <c r="E28" s="62" cm="1">
        <f t="array" ref="E28">30/(CharacterAtkTable[ChargeTime]*-0.15)</f>
        <v>-333.33333333333337</v>
      </c>
      <c r="F28" s="63">
        <v>0</v>
      </c>
    </row>
    <row r="29" spans="1:15">
      <c r="A29" s="9"/>
      <c r="B29" s="60" t="s">
        <v>360</v>
      </c>
      <c r="C29" s="9" t="s">
        <v>9</v>
      </c>
      <c r="D29" s="11" t="s">
        <v>604</v>
      </c>
      <c r="E29" s="62">
        <f>30/-0.08</f>
        <v>-375</v>
      </c>
      <c r="F29" s="63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3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3">
        <v>0</v>
      </c>
    </row>
    <row r="32" spans="1:15">
      <c r="A32" s="9"/>
      <c r="B32" s="51" t="s">
        <v>389</v>
      </c>
      <c r="C32" s="9" t="s">
        <v>9</v>
      </c>
      <c r="D32" t="s">
        <v>150</v>
      </c>
      <c r="E32" s="19">
        <f>30/1/2</f>
        <v>15</v>
      </c>
      <c r="F32" s="63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3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3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3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3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3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3">
        <v>0</v>
      </c>
    </row>
    <row r="39" spans="1:6">
      <c r="B39" s="9"/>
      <c r="C39" s="9"/>
      <c r="D39" s="9"/>
      <c r="E39" s="19"/>
      <c r="F39" s="63"/>
    </row>
    <row r="40" spans="1:6">
      <c r="B40" s="9"/>
      <c r="C40" s="9"/>
      <c r="D40" s="9"/>
      <c r="E40" s="19"/>
      <c r="F40" s="63"/>
    </row>
    <row r="41" spans="1:6">
      <c r="B41" s="9"/>
      <c r="C41" s="9"/>
      <c r="D41" s="9"/>
      <c r="E41" s="19"/>
      <c r="F41" s="63"/>
    </row>
    <row r="42" spans="1:6">
      <c r="B42" s="9"/>
      <c r="C42" s="9"/>
      <c r="D42" s="9"/>
      <c r="E42" s="19"/>
      <c r="F42" s="63"/>
    </row>
    <row r="44" spans="1:6">
      <c r="B44" s="2" t="s">
        <v>694</v>
      </c>
    </row>
    <row r="45" spans="1:6">
      <c r="B45" s="11" t="s">
        <v>704</v>
      </c>
      <c r="C45" s="11" t="s">
        <v>706</v>
      </c>
      <c r="D45" s="11" t="s">
        <v>707</v>
      </c>
      <c r="E45" s="11" t="s">
        <v>694</v>
      </c>
      <c r="F45" s="11" t="s">
        <v>621</v>
      </c>
    </row>
    <row r="46" spans="1:6">
      <c r="B46" s="9" t="s">
        <v>695</v>
      </c>
      <c r="C46" s="60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3">
        <v>0</v>
      </c>
    </row>
    <row r="47" spans="1:6">
      <c r="B47" s="9" t="s">
        <v>696</v>
      </c>
      <c r="C47" s="60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3">
        <v>2</v>
      </c>
    </row>
    <row r="48" spans="1:6">
      <c r="B48" s="9" t="s">
        <v>697</v>
      </c>
      <c r="C48" s="60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3">
        <v>3</v>
      </c>
    </row>
    <row r="49" spans="2:6">
      <c r="B49" t="s">
        <v>698</v>
      </c>
      <c r="C49" s="60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3">
        <v>0</v>
      </c>
    </row>
    <row r="50" spans="2:6">
      <c r="B50" t="s">
        <v>699</v>
      </c>
      <c r="C50" s="60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3">
        <v>0.75</v>
      </c>
    </row>
    <row r="51" spans="2:6">
      <c r="B51" t="s">
        <v>700</v>
      </c>
      <c r="C51" s="60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3">
        <v>0.1</v>
      </c>
    </row>
    <row r="52" spans="2:6">
      <c r="B52" t="s">
        <v>701</v>
      </c>
      <c r="C52" s="60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3">
        <v>0.5</v>
      </c>
    </row>
    <row r="53" spans="2:6">
      <c r="B53" t="s">
        <v>702</v>
      </c>
      <c r="C53" s="60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3">
        <v>0</v>
      </c>
    </row>
    <row r="54" spans="2:6">
      <c r="B54" t="s">
        <v>703</v>
      </c>
      <c r="C54" s="60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3">
        <v>0</v>
      </c>
    </row>
    <row r="55" spans="2:6">
      <c r="C55" s="60"/>
      <c r="D55" s="63"/>
      <c r="E55" s="63"/>
      <c r="F55" s="63"/>
    </row>
    <row r="56" spans="2:6">
      <c r="B56" s="2" t="s">
        <v>694</v>
      </c>
    </row>
    <row r="57" spans="2:6">
      <c r="B57" s="11" t="s">
        <v>721</v>
      </c>
      <c r="C57" t="s">
        <v>723</v>
      </c>
      <c r="D57" s="11" t="s">
        <v>724</v>
      </c>
      <c r="E57" s="11" t="s">
        <v>722</v>
      </c>
      <c r="F57" s="11" t="s">
        <v>621</v>
      </c>
    </row>
    <row r="58" spans="2:6">
      <c r="B58" s="16" t="s">
        <v>425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445</v>
      </c>
      <c r="E61" s="55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439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360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3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444</v>
      </c>
      <c r="G2" s="6" t="s">
        <v>206</v>
      </c>
      <c r="H2" s="33" t="s">
        <v>843</v>
      </c>
      <c r="I2" s="33" t="s">
        <v>845</v>
      </c>
      <c r="J2" s="33" t="s">
        <v>841</v>
      </c>
      <c r="K2" s="33" t="s">
        <v>404</v>
      </c>
      <c r="L2" s="37" t="s">
        <v>396</v>
      </c>
      <c r="M2" s="6" t="s">
        <v>15</v>
      </c>
      <c r="N2" s="7" t="s">
        <v>132</v>
      </c>
      <c r="O2" s="7" t="s">
        <v>137</v>
      </c>
      <c r="P2" s="38" t="s">
        <v>402</v>
      </c>
      <c r="Q2" s="28" t="s">
        <v>403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3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377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378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380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416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406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417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407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418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408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409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410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419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411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420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414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421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401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415</v>
      </c>
      <c r="U11">
        <v>1.4</v>
      </c>
      <c r="V11">
        <v>7</v>
      </c>
    </row>
    <row r="12" spans="2:22">
      <c r="B12" s="39">
        <v>551</v>
      </c>
      <c r="C12" s="40" t="s">
        <v>422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407</v>
      </c>
      <c r="U12" s="39">
        <v>1.6</v>
      </c>
      <c r="V12" s="39">
        <v>7</v>
      </c>
    </row>
    <row r="13" spans="2:22">
      <c r="B13">
        <v>552</v>
      </c>
      <c r="C13" s="13" t="s">
        <v>423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413</v>
      </c>
      <c r="U13">
        <v>1.4</v>
      </c>
      <c r="V13">
        <v>7</v>
      </c>
    </row>
    <row r="14" spans="2:22">
      <c r="B14">
        <v>553</v>
      </c>
      <c r="C14" s="14" t="s">
        <v>424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412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405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830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831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872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869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874</v>
      </c>
      <c r="V18" s="20"/>
    </row>
    <row r="19" spans="2:22" s="39" customFormat="1">
      <c r="B19" s="39">
        <v>1103</v>
      </c>
      <c r="C19" s="45" t="s">
        <v>870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875</v>
      </c>
      <c r="V19" s="20"/>
    </row>
    <row r="20" spans="2:22" s="39" customFormat="1">
      <c r="B20" s="39">
        <v>1003</v>
      </c>
      <c r="C20" s="40" t="s">
        <v>829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873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833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837</v>
      </c>
      <c r="D60">
        <v>2002</v>
      </c>
      <c r="E60" s="16" t="s">
        <v>840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838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839</v>
      </c>
      <c r="D62">
        <v>2002</v>
      </c>
      <c r="E62" s="16" t="s">
        <v>840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849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849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849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849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849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849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849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849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849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868</v>
      </c>
      <c r="D72">
        <v>3104</v>
      </c>
      <c r="E72" s="16" t="s">
        <v>840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868</v>
      </c>
      <c r="D73">
        <v>3114</v>
      </c>
      <c r="E73" s="16" t="s">
        <v>840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868</v>
      </c>
      <c r="D74">
        <v>3109</v>
      </c>
      <c r="E74" s="16" t="s">
        <v>840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868</v>
      </c>
      <c r="D75">
        <v>3101</v>
      </c>
      <c r="E75" s="16" t="s">
        <v>840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868</v>
      </c>
      <c r="D76">
        <v>3102</v>
      </c>
      <c r="E76" s="16" t="s">
        <v>840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868</v>
      </c>
      <c r="D77">
        <v>3108</v>
      </c>
      <c r="E77" s="16" t="s">
        <v>840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868</v>
      </c>
      <c r="D78">
        <v>3111</v>
      </c>
      <c r="E78" s="16" t="s">
        <v>840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868</v>
      </c>
      <c r="D79">
        <v>3116</v>
      </c>
      <c r="E79" s="16" t="s">
        <v>840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868</v>
      </c>
      <c r="D80">
        <v>3115</v>
      </c>
      <c r="E80" s="16" t="s">
        <v>840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868</v>
      </c>
      <c r="D81">
        <v>3106</v>
      </c>
      <c r="E81" s="16" t="s">
        <v>840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868</v>
      </c>
      <c r="D82">
        <v>3103</v>
      </c>
      <c r="E82" s="16" t="s">
        <v>840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868</v>
      </c>
      <c r="D83">
        <v>3105</v>
      </c>
      <c r="E83" s="16" t="s">
        <v>840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868</v>
      </c>
      <c r="D84">
        <v>3113</v>
      </c>
      <c r="E84" s="16" t="s">
        <v>840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868</v>
      </c>
      <c r="D85">
        <v>3112</v>
      </c>
      <c r="E85" s="16" t="s">
        <v>840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868</v>
      </c>
      <c r="D86">
        <v>3110</v>
      </c>
      <c r="E86" s="16" t="s">
        <v>840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868</v>
      </c>
      <c r="D87">
        <v>3107</v>
      </c>
      <c r="E87" s="16" t="s">
        <v>840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868</v>
      </c>
      <c r="D88">
        <v>3110</v>
      </c>
      <c r="E88" s="16" t="s">
        <v>840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868</v>
      </c>
      <c r="D89">
        <v>3101</v>
      </c>
      <c r="E89" s="16" t="s">
        <v>840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868</v>
      </c>
      <c r="D90">
        <v>3116</v>
      </c>
      <c r="E90" s="16" t="s">
        <v>840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868</v>
      </c>
      <c r="D91">
        <v>3105</v>
      </c>
      <c r="E91" s="16" t="s">
        <v>840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868</v>
      </c>
      <c r="D92">
        <v>3115</v>
      </c>
      <c r="E92" s="16" t="s">
        <v>840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868</v>
      </c>
      <c r="D93">
        <v>3111</v>
      </c>
      <c r="E93" s="16" t="s">
        <v>840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868</v>
      </c>
      <c r="D94">
        <v>3112</v>
      </c>
      <c r="E94" s="16" t="s">
        <v>840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868</v>
      </c>
      <c r="D95">
        <v>3108</v>
      </c>
      <c r="E95" s="16" t="s">
        <v>840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868</v>
      </c>
      <c r="D96">
        <v>3107</v>
      </c>
      <c r="E96" s="16" t="s">
        <v>840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868</v>
      </c>
      <c r="D97">
        <v>3102</v>
      </c>
      <c r="E97" s="16" t="s">
        <v>840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868</v>
      </c>
      <c r="D98">
        <v>3106</v>
      </c>
      <c r="E98" s="16" t="s">
        <v>840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868</v>
      </c>
      <c r="D99">
        <v>3114</v>
      </c>
      <c r="E99" s="16" t="s">
        <v>840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868</v>
      </c>
      <c r="D100">
        <v>3103</v>
      </c>
      <c r="E100" s="16" t="s">
        <v>840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868</v>
      </c>
      <c r="D101">
        <v>3113</v>
      </c>
      <c r="E101" s="16" t="s">
        <v>840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868</v>
      </c>
      <c r="D102">
        <v>3104</v>
      </c>
      <c r="E102" s="16" t="s">
        <v>840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868</v>
      </c>
      <c r="D103">
        <v>3109</v>
      </c>
      <c r="E103" s="16" t="s">
        <v>840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868</v>
      </c>
      <c r="D104">
        <v>3110</v>
      </c>
      <c r="E104" s="16" t="s">
        <v>840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868</v>
      </c>
      <c r="D105">
        <v>3116</v>
      </c>
      <c r="E105" s="16" t="s">
        <v>840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868</v>
      </c>
      <c r="D106">
        <v>3108</v>
      </c>
      <c r="E106" s="16" t="s">
        <v>840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868</v>
      </c>
      <c r="D107">
        <v>3115</v>
      </c>
      <c r="E107" s="16" t="s">
        <v>840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868</v>
      </c>
      <c r="D108">
        <v>3103</v>
      </c>
      <c r="E108" s="16" t="s">
        <v>840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868</v>
      </c>
      <c r="D109">
        <v>3102</v>
      </c>
      <c r="E109" s="16" t="s">
        <v>840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868</v>
      </c>
      <c r="D110">
        <v>3114</v>
      </c>
      <c r="E110" s="16" t="s">
        <v>840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868</v>
      </c>
      <c r="D111">
        <v>3113</v>
      </c>
      <c r="E111" s="16" t="s">
        <v>840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868</v>
      </c>
      <c r="D112">
        <v>3111</v>
      </c>
      <c r="E112" s="16" t="s">
        <v>840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868</v>
      </c>
      <c r="D113">
        <v>3107</v>
      </c>
      <c r="E113" s="16" t="s">
        <v>840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868</v>
      </c>
      <c r="D114">
        <v>3106</v>
      </c>
      <c r="E114" s="16" t="s">
        <v>840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868</v>
      </c>
      <c r="D115">
        <v>3104</v>
      </c>
      <c r="E115" s="16" t="s">
        <v>840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868</v>
      </c>
      <c r="D116">
        <v>3112</v>
      </c>
      <c r="E116" s="16" t="s">
        <v>840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868</v>
      </c>
      <c r="D117">
        <v>3101</v>
      </c>
      <c r="E117" s="16" t="s">
        <v>840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868</v>
      </c>
      <c r="D118">
        <v>3105</v>
      </c>
      <c r="E118" s="16" t="s">
        <v>840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868</v>
      </c>
      <c r="D119">
        <v>3109</v>
      </c>
      <c r="E119" s="16" t="s">
        <v>840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868</v>
      </c>
      <c r="D120">
        <v>3101</v>
      </c>
      <c r="E120" s="16" t="s">
        <v>840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868</v>
      </c>
      <c r="D121">
        <v>3110</v>
      </c>
      <c r="E121" s="16" t="s">
        <v>840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868</v>
      </c>
      <c r="D122">
        <v>3103</v>
      </c>
      <c r="E122" s="16" t="s">
        <v>840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868</v>
      </c>
      <c r="D123">
        <v>3116</v>
      </c>
      <c r="E123" s="16" t="s">
        <v>840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868</v>
      </c>
      <c r="D124">
        <v>3109</v>
      </c>
      <c r="E124" s="16" t="s">
        <v>840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868</v>
      </c>
      <c r="D125">
        <v>3107</v>
      </c>
      <c r="E125" s="16" t="s">
        <v>840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868</v>
      </c>
      <c r="D126">
        <v>3113</v>
      </c>
      <c r="E126" s="16" t="s">
        <v>840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868</v>
      </c>
      <c r="D127">
        <v>3106</v>
      </c>
      <c r="E127" s="16" t="s">
        <v>840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868</v>
      </c>
      <c r="D128">
        <v>3102</v>
      </c>
      <c r="E128" s="16" t="s">
        <v>840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868</v>
      </c>
      <c r="D129">
        <v>3111</v>
      </c>
      <c r="E129" s="16" t="s">
        <v>840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868</v>
      </c>
      <c r="D130">
        <v>3115</v>
      </c>
      <c r="E130" s="16" t="s">
        <v>840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868</v>
      </c>
      <c r="D131">
        <v>3112</v>
      </c>
      <c r="E131" s="16" t="s">
        <v>840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868</v>
      </c>
      <c r="D132">
        <v>3114</v>
      </c>
      <c r="E132" s="16" t="s">
        <v>840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868</v>
      </c>
      <c r="D133">
        <v>3105</v>
      </c>
      <c r="E133" s="16" t="s">
        <v>840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868</v>
      </c>
      <c r="D134">
        <v>3104</v>
      </c>
      <c r="E134" s="16" t="s">
        <v>840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868</v>
      </c>
      <c r="D135">
        <v>3108</v>
      </c>
      <c r="E135" s="16" t="s">
        <v>840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909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909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909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41"/>
  <sheetViews>
    <sheetView topLeftCell="A90" zoomScaleNormal="75" zoomScaleSheetLayoutView="100" workbookViewId="0">
      <selection activeCell="B99" sqref="B99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861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357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357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357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385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385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385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385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385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385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385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385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431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431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431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431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806</v>
      </c>
      <c r="C96" s="11" t="s">
        <v>933</v>
      </c>
      <c r="D96">
        <v>0</v>
      </c>
      <c r="E96">
        <v>206</v>
      </c>
      <c r="F96">
        <v>0</v>
      </c>
      <c r="G96">
        <v>16</v>
      </c>
      <c r="H96" s="11" t="s">
        <v>325</v>
      </c>
    </row>
    <row r="97" spans="2:8">
      <c r="B97">
        <v>806</v>
      </c>
      <c r="C97" s="11" t="s">
        <v>933</v>
      </c>
      <c r="D97">
        <v>15</v>
      </c>
      <c r="E97">
        <v>206</v>
      </c>
      <c r="F97">
        <v>0</v>
      </c>
      <c r="G97">
        <v>16</v>
      </c>
      <c r="H97" s="11" t="s">
        <v>325</v>
      </c>
    </row>
    <row r="98" spans="2:8">
      <c r="B98">
        <v>806</v>
      </c>
      <c r="C98" s="11" t="s">
        <v>933</v>
      </c>
      <c r="D98">
        <v>-15</v>
      </c>
      <c r="E98">
        <v>206</v>
      </c>
      <c r="F98">
        <v>0</v>
      </c>
      <c r="G98">
        <v>16</v>
      </c>
      <c r="H98" s="11" t="s">
        <v>325</v>
      </c>
    </row>
    <row r="99" spans="2:8">
      <c r="B99">
        <v>999</v>
      </c>
      <c r="C99" s="16" t="s">
        <v>266</v>
      </c>
      <c r="D99">
        <v>0</v>
      </c>
      <c r="E99">
        <v>999</v>
      </c>
      <c r="F99">
        <v>8</v>
      </c>
      <c r="G99">
        <v>15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45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90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135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180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225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270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v>1000</v>
      </c>
      <c r="C106" s="11" t="str">
        <f>_xlfn.CONCAT("8방향 발사",ShootTable[[#This Row],[Index]]-1000)</f>
        <v>8방향 발사0</v>
      </c>
      <c r="D106">
        <v>315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v>1000</v>
      </c>
      <c r="C107" s="11" t="str">
        <f>_xlfn.CONCAT("8방향 발사",ShootTable[[#This Row],[Index]]-1000)</f>
        <v>8방향 발사0</v>
      </c>
      <c r="D107">
        <v>360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ref="B108:B139" si="0">B100+1</f>
        <v>1001</v>
      </c>
      <c r="C108" s="11" t="str">
        <f>_xlfn.CONCAT("8방향 발사",ShootTable[[#This Row],[Index]]-1000)</f>
        <v>8방향 발사1</v>
      </c>
      <c r="D108">
        <f t="shared" ref="D108:D123" si="1">D100-25*0.7</f>
        <v>27.5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72.5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117.5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162.5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207.5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252.5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1001</v>
      </c>
      <c r="C114" s="11" t="str">
        <f>_xlfn.CONCAT("8방향 발사",ShootTable[[#This Row],[Index]]-1000)</f>
        <v>8방향 발사1</v>
      </c>
      <c r="D114">
        <f t="shared" si="1"/>
        <v>297.5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1001</v>
      </c>
      <c r="C115" s="11" t="str">
        <f>_xlfn.CONCAT("8방향 발사",ShootTable[[#This Row],[Index]]-1000)</f>
        <v>8방향 발사1</v>
      </c>
      <c r="D115">
        <f t="shared" si="1"/>
        <v>342.5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55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100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145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190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235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1002</v>
      </c>
      <c r="C122" s="11" t="str">
        <f>_xlfn.CONCAT("8방향 발사",ShootTable[[#This Row],[Index]]-1000)</f>
        <v>8방향 발사2</v>
      </c>
      <c r="D122">
        <f t="shared" si="1"/>
        <v>280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1002</v>
      </c>
      <c r="C123" s="11" t="str">
        <f>_xlfn.CONCAT("8방향 발사",ShootTable[[#This Row],[Index]]-1000)</f>
        <v>8방향 발사2</v>
      </c>
      <c r="D123">
        <f t="shared" si="1"/>
        <v>325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ref="D124:D139" si="2">D116-25*0.5</f>
        <v>-2.5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42.5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87.5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132.5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177.5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222.5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1003</v>
      </c>
      <c r="C130" s="11" t="str">
        <f>_xlfn.CONCAT("8방향 발사",ShootTable[[#This Row],[Index]]-1000)</f>
        <v>8방향 발사3</v>
      </c>
      <c r="D130">
        <f t="shared" si="2"/>
        <v>267.5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1003</v>
      </c>
      <c r="C131" s="11" t="str">
        <f>_xlfn.CONCAT("8방향 발사",ShootTable[[#This Row],[Index]]-1000)</f>
        <v>8방향 발사3</v>
      </c>
      <c r="D131">
        <f t="shared" si="2"/>
        <v>312.5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-15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30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75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120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165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210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0"/>
        <v>1004</v>
      </c>
      <c r="C138" s="11" t="str">
        <f>_xlfn.CONCAT("8방향 발사",ShootTable[[#This Row],[Index]]-1000)</f>
        <v>8방향 발사4</v>
      </c>
      <c r="D138">
        <f t="shared" si="2"/>
        <v>255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0"/>
        <v>1004</v>
      </c>
      <c r="C139" s="11" t="str">
        <f>_xlfn.CONCAT("8방향 발사",ShootTable[[#This Row],[Index]]-1000)</f>
        <v>8방향 발사4</v>
      </c>
      <c r="D139">
        <f t="shared" si="2"/>
        <v>300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ref="B140:B171" si="3">B132+1</f>
        <v>1005</v>
      </c>
      <c r="C140" s="11" t="str">
        <f>_xlfn.CONCAT("8방향 발사",ShootTable[[#This Row],[Index]]-1000)</f>
        <v>8방향 발사5</v>
      </c>
      <c r="D140">
        <f t="shared" ref="D140:D155" si="4">D132-25*0.3</f>
        <v>-22.5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22.5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67.5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112.5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157.5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202.5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1005</v>
      </c>
      <c r="C146" s="11" t="str">
        <f>_xlfn.CONCAT("8방향 발사",ShootTable[[#This Row],[Index]]-1000)</f>
        <v>8방향 발사5</v>
      </c>
      <c r="D146">
        <f t="shared" si="4"/>
        <v>247.5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1005</v>
      </c>
      <c r="C147" s="11" t="str">
        <f>_xlfn.CONCAT("8방향 발사",ShootTable[[#This Row],[Index]]-1000)</f>
        <v>8방향 발사5</v>
      </c>
      <c r="D147">
        <f t="shared" si="4"/>
        <v>292.5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-30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60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105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150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195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1006</v>
      </c>
      <c r="C154" s="11" t="str">
        <f>_xlfn.CONCAT("8방향 발사",ShootTable[[#This Row],[Index]]-1000)</f>
        <v>8방향 발사6</v>
      </c>
      <c r="D154">
        <f t="shared" si="4"/>
        <v>240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1006</v>
      </c>
      <c r="C155" s="11" t="str">
        <f>_xlfn.CONCAT("8방향 발사",ShootTable[[#This Row],[Index]]-1000)</f>
        <v>8방향 발사6</v>
      </c>
      <c r="D155">
        <f t="shared" si="4"/>
        <v>285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ref="D156:D187" si="5">D148-25*0.2</f>
        <v>-35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55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100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145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190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1007</v>
      </c>
      <c r="C162" s="11" t="str">
        <f>_xlfn.CONCAT("8방향 발사",ShootTable[[#This Row],[Index]]-1000)</f>
        <v>8방향 발사7</v>
      </c>
      <c r="D162">
        <f t="shared" si="5"/>
        <v>235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1007</v>
      </c>
      <c r="C163" s="11" t="str">
        <f>_xlfn.CONCAT("8방향 발사",ShootTable[[#This Row],[Index]]-1000)</f>
        <v>8방향 발사7</v>
      </c>
      <c r="D163">
        <f t="shared" si="5"/>
        <v>280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-40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50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95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140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185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3"/>
        <v>1008</v>
      </c>
      <c r="C170" s="11" t="str">
        <f>_xlfn.CONCAT("8방향 발사",ShootTable[[#This Row],[Index]]-1000)</f>
        <v>8방향 발사8</v>
      </c>
      <c r="D170">
        <f t="shared" si="5"/>
        <v>230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3"/>
        <v>1008</v>
      </c>
      <c r="C171" s="11" t="str">
        <f>_xlfn.CONCAT("8방향 발사",ShootTable[[#This Row],[Index]]-1000)</f>
        <v>8방향 발사8</v>
      </c>
      <c r="D171">
        <f t="shared" si="5"/>
        <v>275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ref="B172:B187" si="6">B164+1</f>
        <v>1009</v>
      </c>
      <c r="C172" s="11" t="str">
        <f>_xlfn.CONCAT("8방향 발사",ShootTable[[#This Row],[Index]]-1000)</f>
        <v>8방향 발사9</v>
      </c>
      <c r="D172">
        <f t="shared" si="5"/>
        <v>-45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45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90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135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180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1009</v>
      </c>
      <c r="C178" s="11" t="str">
        <f>_xlfn.CONCAT("8방향 발사",ShootTable[[#This Row],[Index]]-1000)</f>
        <v>8방향 발사9</v>
      </c>
      <c r="D178">
        <f t="shared" si="5"/>
        <v>225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1009</v>
      </c>
      <c r="C179" s="11" t="str">
        <f>_xlfn.CONCAT("8방향 발사",ShootTable[[#This Row],[Index]]-1000)</f>
        <v>8방향 발사9</v>
      </c>
      <c r="D179">
        <f t="shared" si="5"/>
        <v>270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-50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-5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40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85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130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175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f t="shared" si="6"/>
        <v>1010</v>
      </c>
      <c r="C186" s="11" t="str">
        <f>_xlfn.CONCAT("8방향 발사",ShootTable[[#This Row],[Index]]-1000)</f>
        <v>8방향 발사10</v>
      </c>
      <c r="D186">
        <f t="shared" si="5"/>
        <v>220</v>
      </c>
      <c r="E186">
        <v>401</v>
      </c>
      <c r="F186">
        <v>0</v>
      </c>
      <c r="G186">
        <v>6.5</v>
      </c>
      <c r="H186" s="11" t="s">
        <v>325</v>
      </c>
    </row>
    <row r="187" spans="2:8">
      <c r="B187">
        <f t="shared" si="6"/>
        <v>1010</v>
      </c>
      <c r="C187" s="11" t="str">
        <f>_xlfn.CONCAT("8방향 발사",ShootTable[[#This Row],[Index]]-1000)</f>
        <v>8방향 발사10</v>
      </c>
      <c r="D187">
        <f t="shared" si="5"/>
        <v>265</v>
      </c>
      <c r="E187">
        <v>401</v>
      </c>
      <c r="F187">
        <v>0</v>
      </c>
      <c r="G187">
        <v>6.5</v>
      </c>
      <c r="H187" s="11" t="s">
        <v>325</v>
      </c>
    </row>
    <row r="188" spans="2:8">
      <c r="B188">
        <v>2001</v>
      </c>
      <c r="C188" s="16" t="s">
        <v>833</v>
      </c>
      <c r="D188">
        <v>0</v>
      </c>
      <c r="E188">
        <v>2001</v>
      </c>
      <c r="F188">
        <v>1</v>
      </c>
      <c r="G188">
        <v>5</v>
      </c>
      <c r="H188" s="11" t="s">
        <v>325</v>
      </c>
    </row>
    <row r="189" spans="2:8">
      <c r="B189">
        <v>2002</v>
      </c>
      <c r="C189" s="16" t="s">
        <v>834</v>
      </c>
      <c r="D189">
        <v>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2002</v>
      </c>
      <c r="C190" s="16" t="s">
        <v>834</v>
      </c>
      <c r="D190">
        <v>0</v>
      </c>
      <c r="E190">
        <v>2001</v>
      </c>
      <c r="F190">
        <v>2</v>
      </c>
      <c r="G190">
        <v>7</v>
      </c>
      <c r="H190" s="11" t="s">
        <v>325</v>
      </c>
    </row>
    <row r="191" spans="2:8">
      <c r="B191">
        <v>2002</v>
      </c>
      <c r="C191" s="16" t="s">
        <v>834</v>
      </c>
      <c r="D191">
        <v>-25</v>
      </c>
      <c r="E191">
        <v>2001</v>
      </c>
      <c r="F191">
        <v>2</v>
      </c>
      <c r="G191">
        <v>7</v>
      </c>
      <c r="H191" s="11" t="s">
        <v>325</v>
      </c>
    </row>
    <row r="192" spans="2:8">
      <c r="B192">
        <v>2003</v>
      </c>
      <c r="C192" s="11" t="s">
        <v>850</v>
      </c>
      <c r="D192">
        <v>96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2003</v>
      </c>
      <c r="C193" s="11" t="s">
        <v>850</v>
      </c>
      <c r="D193">
        <v>213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2003</v>
      </c>
      <c r="C194" s="11" t="s">
        <v>850</v>
      </c>
      <c r="D194">
        <v>153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851</v>
      </c>
      <c r="D195">
        <v>264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2004</v>
      </c>
      <c r="C196" s="11" t="s">
        <v>851</v>
      </c>
      <c r="D196">
        <v>124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2004</v>
      </c>
      <c r="C197" s="11" t="s">
        <v>851</v>
      </c>
      <c r="D197">
        <v>188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852</v>
      </c>
      <c r="D198">
        <v>59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2005</v>
      </c>
      <c r="C199" s="11" t="s">
        <v>852</v>
      </c>
      <c r="D199">
        <v>30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2005</v>
      </c>
      <c r="C200" s="11" t="s">
        <v>852</v>
      </c>
      <c r="D200">
        <v>120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853</v>
      </c>
      <c r="D201">
        <v>90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2006</v>
      </c>
      <c r="C202" s="11" t="s">
        <v>853</v>
      </c>
      <c r="D202">
        <v>350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2006</v>
      </c>
      <c r="C203" s="11" t="s">
        <v>853</v>
      </c>
      <c r="D203">
        <v>72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854</v>
      </c>
      <c r="D204">
        <v>255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2007</v>
      </c>
      <c r="C205" s="11" t="s">
        <v>854</v>
      </c>
      <c r="D205">
        <v>25</v>
      </c>
      <c r="E205">
        <v>2001</v>
      </c>
      <c r="F205">
        <v>0</v>
      </c>
      <c r="G205">
        <v>5</v>
      </c>
      <c r="H205" s="11" t="s">
        <v>325</v>
      </c>
    </row>
    <row r="206" spans="2:8">
      <c r="B206">
        <v>2007</v>
      </c>
      <c r="C206" s="11" t="s">
        <v>854</v>
      </c>
      <c r="D206">
        <v>105</v>
      </c>
      <c r="E206">
        <v>2001</v>
      </c>
      <c r="F206">
        <v>0</v>
      </c>
      <c r="G206">
        <v>5</v>
      </c>
      <c r="H206" s="11" t="s">
        <v>325</v>
      </c>
    </row>
    <row r="207" spans="2:8">
      <c r="B207">
        <v>3001</v>
      </c>
      <c r="C207" s="11" t="s">
        <v>863</v>
      </c>
      <c r="D207">
        <v>-90</v>
      </c>
      <c r="E207">
        <v>3001</v>
      </c>
      <c r="F207">
        <v>1</v>
      </c>
      <c r="G207">
        <v>5.5</v>
      </c>
      <c r="H207" s="11" t="s">
        <v>866</v>
      </c>
    </row>
    <row r="208" spans="2:8">
      <c r="B208">
        <v>3002</v>
      </c>
      <c r="C208" s="11" t="s">
        <v>862</v>
      </c>
      <c r="D208">
        <v>-90</v>
      </c>
      <c r="E208">
        <v>3002</v>
      </c>
      <c r="F208">
        <v>1</v>
      </c>
      <c r="G208">
        <v>5</v>
      </c>
      <c r="H208" s="11" t="s">
        <v>866</v>
      </c>
    </row>
    <row r="209" spans="2:8">
      <c r="B209">
        <v>3101</v>
      </c>
      <c r="C209" s="11" t="s">
        <v>868</v>
      </c>
      <c r="D209">
        <v>185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3102</v>
      </c>
      <c r="C210" s="11" t="s">
        <v>868</v>
      </c>
      <c r="D210">
        <v>190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3103</v>
      </c>
      <c r="C211" s="11" t="s">
        <v>868</v>
      </c>
      <c r="D211">
        <v>195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3104</v>
      </c>
      <c r="C212" s="11" t="s">
        <v>868</v>
      </c>
      <c r="D212">
        <v>200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3105</v>
      </c>
      <c r="C213" s="11" t="s">
        <v>868</v>
      </c>
      <c r="D213">
        <v>205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3106</v>
      </c>
      <c r="C214" s="11" t="s">
        <v>868</v>
      </c>
      <c r="D214" s="11">
        <v>210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3107</v>
      </c>
      <c r="C215" s="11" t="s">
        <v>868</v>
      </c>
      <c r="D215">
        <v>215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3108</v>
      </c>
      <c r="C216" s="11" t="s">
        <v>868</v>
      </c>
      <c r="D216">
        <v>220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3109</v>
      </c>
      <c r="C217" s="11" t="s">
        <v>868</v>
      </c>
      <c r="D217">
        <v>-185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3110</v>
      </c>
      <c r="C218" s="11" t="s">
        <v>868</v>
      </c>
      <c r="D218">
        <v>-190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3111</v>
      </c>
      <c r="C219" s="11" t="s">
        <v>868</v>
      </c>
      <c r="D219">
        <v>-195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3112</v>
      </c>
      <c r="C220" s="11" t="s">
        <v>868</v>
      </c>
      <c r="D220">
        <v>-200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3113</v>
      </c>
      <c r="C221" s="11" t="s">
        <v>868</v>
      </c>
      <c r="D221">
        <v>-205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3114</v>
      </c>
      <c r="C222" s="11" t="s">
        <v>868</v>
      </c>
      <c r="D222" s="11">
        <v>-210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3115</v>
      </c>
      <c r="C223" s="11" t="s">
        <v>868</v>
      </c>
      <c r="D223">
        <v>-215</v>
      </c>
      <c r="E223">
        <v>3003</v>
      </c>
      <c r="F223">
        <v>0</v>
      </c>
      <c r="G223">
        <v>3</v>
      </c>
      <c r="H223" s="11" t="s">
        <v>325</v>
      </c>
    </row>
    <row r="224" spans="2:8">
      <c r="B224">
        <v>3116</v>
      </c>
      <c r="C224" s="11" t="s">
        <v>868</v>
      </c>
      <c r="D224">
        <v>-220</v>
      </c>
      <c r="E224">
        <v>3004</v>
      </c>
      <c r="F224">
        <v>0</v>
      </c>
      <c r="G224">
        <v>3.5</v>
      </c>
      <c r="H224" s="11" t="s">
        <v>325</v>
      </c>
    </row>
    <row r="225" spans="2:8">
      <c r="B225">
        <v>3201</v>
      </c>
      <c r="C225" s="11" t="s">
        <v>867</v>
      </c>
      <c r="D225">
        <v>22.5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867</v>
      </c>
      <c r="D226">
        <v>67.5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867</v>
      </c>
      <c r="D227">
        <v>112.5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867</v>
      </c>
      <c r="D228">
        <v>157.5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867</v>
      </c>
      <c r="D229">
        <v>202.5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867</v>
      </c>
      <c r="D230">
        <v>247.5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3201</v>
      </c>
      <c r="C231" s="11" t="s">
        <v>867</v>
      </c>
      <c r="D231">
        <v>292.5</v>
      </c>
      <c r="E231">
        <v>3003</v>
      </c>
      <c r="F231">
        <v>0</v>
      </c>
      <c r="G231">
        <v>6</v>
      </c>
      <c r="H231" s="11" t="s">
        <v>325</v>
      </c>
    </row>
    <row r="232" spans="2:8">
      <c r="B232">
        <v>3201</v>
      </c>
      <c r="C232" s="11" t="s">
        <v>867</v>
      </c>
      <c r="D232">
        <v>337.5</v>
      </c>
      <c r="E232">
        <v>3004</v>
      </c>
      <c r="F232">
        <v>0</v>
      </c>
      <c r="G232">
        <v>6</v>
      </c>
      <c r="H232" s="11" t="s">
        <v>325</v>
      </c>
    </row>
    <row r="233" spans="2:8">
      <c r="B233">
        <v>3202</v>
      </c>
      <c r="C233" s="11" t="s">
        <v>867</v>
      </c>
      <c r="D233">
        <v>45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867</v>
      </c>
      <c r="D234">
        <v>90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867</v>
      </c>
      <c r="D235">
        <v>135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867</v>
      </c>
      <c r="D236">
        <v>180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867</v>
      </c>
      <c r="D237">
        <v>225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867</v>
      </c>
      <c r="D238">
        <v>270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3202</v>
      </c>
      <c r="C239" s="11" t="s">
        <v>867</v>
      </c>
      <c r="D239">
        <v>315</v>
      </c>
      <c r="E239">
        <v>3003</v>
      </c>
      <c r="F239">
        <v>0</v>
      </c>
      <c r="G239">
        <v>7</v>
      </c>
      <c r="H239" s="11" t="s">
        <v>325</v>
      </c>
    </row>
    <row r="240" spans="2:8">
      <c r="B240">
        <v>3202</v>
      </c>
      <c r="C240" s="11" t="s">
        <v>867</v>
      </c>
      <c r="D240">
        <v>360</v>
      </c>
      <c r="E240">
        <v>3004</v>
      </c>
      <c r="F240">
        <v>0</v>
      </c>
      <c r="G240">
        <v>7</v>
      </c>
      <c r="H240" s="11" t="s">
        <v>325</v>
      </c>
    </row>
    <row r="241" spans="2:8">
      <c r="B241">
        <v>3301</v>
      </c>
      <c r="C241" s="16" t="s">
        <v>916</v>
      </c>
      <c r="D241">
        <v>0</v>
      </c>
      <c r="E241">
        <v>3004</v>
      </c>
      <c r="F241">
        <v>1</v>
      </c>
      <c r="G241">
        <v>6</v>
      </c>
      <c r="H241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358</v>
      </c>
      <c r="D4" t="b">
        <v>1</v>
      </c>
      <c r="E4">
        <v>0.8</v>
      </c>
      <c r="F4">
        <v>15</v>
      </c>
      <c r="G4" s="11" t="s">
        <v>387</v>
      </c>
    </row>
    <row r="5" spans="2:7">
      <c r="B5">
        <v>204</v>
      </c>
      <c r="C5" s="14" t="s">
        <v>386</v>
      </c>
      <c r="D5" t="b">
        <v>1</v>
      </c>
      <c r="E5">
        <v>1.5</v>
      </c>
      <c r="F5">
        <v>15</v>
      </c>
      <c r="G5" s="11" t="s">
        <v>811</v>
      </c>
    </row>
    <row r="6" spans="2:7">
      <c r="B6">
        <v>205</v>
      </c>
      <c r="C6" s="14" t="s">
        <v>432</v>
      </c>
      <c r="D6" t="b">
        <v>1</v>
      </c>
      <c r="E6">
        <v>1.2</v>
      </c>
      <c r="F6">
        <v>10</v>
      </c>
      <c r="G6" s="11" t="s">
        <v>398</v>
      </c>
    </row>
    <row r="7" spans="2:7">
      <c r="B7">
        <v>206</v>
      </c>
      <c r="C7" s="14" t="s">
        <v>933</v>
      </c>
      <c r="D7" t="b">
        <v>1</v>
      </c>
      <c r="E7">
        <v>2</v>
      </c>
      <c r="F7">
        <v>40</v>
      </c>
      <c r="G7" s="11" t="s">
        <v>811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836</v>
      </c>
      <c r="D16" t="b">
        <v>1</v>
      </c>
      <c r="E16">
        <v>2</v>
      </c>
      <c r="F16">
        <v>25</v>
      </c>
      <c r="G16" s="16" t="s">
        <v>832</v>
      </c>
    </row>
    <row r="17" spans="2:7">
      <c r="B17">
        <v>2001</v>
      </c>
      <c r="C17" s="18" t="s">
        <v>835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865</v>
      </c>
      <c r="D18" t="b">
        <v>1</v>
      </c>
      <c r="E18">
        <v>2</v>
      </c>
      <c r="F18">
        <v>25</v>
      </c>
      <c r="G18" s="16" t="s">
        <v>914</v>
      </c>
    </row>
    <row r="19" spans="2:7">
      <c r="B19">
        <v>3002</v>
      </c>
      <c r="C19" s="14" t="s">
        <v>864</v>
      </c>
      <c r="D19" t="b">
        <v>1</v>
      </c>
      <c r="E19">
        <v>2</v>
      </c>
      <c r="F19">
        <v>25</v>
      </c>
      <c r="G19" s="16" t="s">
        <v>915</v>
      </c>
    </row>
    <row r="20" spans="2:7">
      <c r="B20">
        <v>3003</v>
      </c>
      <c r="C20" s="14" t="s">
        <v>911</v>
      </c>
      <c r="D20" t="b">
        <v>1</v>
      </c>
      <c r="E20">
        <v>1</v>
      </c>
      <c r="F20">
        <v>25</v>
      </c>
      <c r="G20" s="16" t="s">
        <v>912</v>
      </c>
    </row>
    <row r="21" spans="2:7">
      <c r="B21">
        <v>3004</v>
      </c>
      <c r="C21" s="14" t="s">
        <v>910</v>
      </c>
      <c r="D21" t="b">
        <v>1</v>
      </c>
      <c r="E21">
        <v>1</v>
      </c>
      <c r="F21">
        <v>25</v>
      </c>
      <c r="G21" s="16" t="s">
        <v>913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topLeftCell="A15" zoomScaleNormal="100" zoomScaleSheetLayoutView="100" workbookViewId="0">
      <pane xSplit="3" topLeftCell="D1" activePane="topRight" state="frozen"/>
      <selection pane="topRight" activeCell="B30" sqref="B30"/>
    </sheetView>
  </sheetViews>
  <sheetFormatPr defaultColWidth="8.796875" defaultRowHeight="17.399999999999999"/>
  <cols>
    <col min="1" max="1" width="8.796875" style="75"/>
    <col min="2" max="2" width="11.5" style="42" customWidth="1"/>
    <col min="3" max="3" width="17.69921875" style="42" customWidth="1"/>
    <col min="4" max="4" width="30.296875" style="42" customWidth="1"/>
    <col min="5" max="5" width="21" style="42" customWidth="1"/>
    <col min="6" max="6" width="18.2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9843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5" t="s">
        <v>907</v>
      </c>
      <c r="C2" s="76" t="s">
        <v>817</v>
      </c>
      <c r="D2" s="76" t="s">
        <v>878</v>
      </c>
      <c r="E2" s="76" t="s">
        <v>879</v>
      </c>
      <c r="F2" s="76" t="s">
        <v>880</v>
      </c>
      <c r="G2" s="78" t="s">
        <v>908</v>
      </c>
      <c r="H2" s="56" t="s">
        <v>41</v>
      </c>
      <c r="I2" s="56" t="s">
        <v>100</v>
      </c>
      <c r="J2" s="56" t="s">
        <v>345</v>
      </c>
      <c r="K2" s="56" t="s">
        <v>346</v>
      </c>
      <c r="L2" s="56" t="s">
        <v>157</v>
      </c>
      <c r="M2" s="56" t="s">
        <v>818</v>
      </c>
      <c r="N2" s="56" t="s">
        <v>45</v>
      </c>
      <c r="O2" s="56" t="s">
        <v>48</v>
      </c>
      <c r="P2" s="56" t="s">
        <v>158</v>
      </c>
      <c r="Q2" s="56" t="s">
        <v>7</v>
      </c>
      <c r="R2" s="56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7" t="str">
        <f>INDEX(LocaleTable[LocaleKR],MATCH(ItemTable[[#This Row],[Name]],LocaleTable[StringKey],0))</f>
        <v>메탈유니콘 키링</v>
      </c>
      <c r="D3" s="77" t="str">
        <f>INDEX(LocaleTable[LocaleKR],MATCH(ItemTable[[#This Row],[Desc]],LocaleTable[StringKey],0))</f>
        <v>배트에 달아놓으면 휘두를 때\n짤랑짤랑 소리가 납니다.</v>
      </c>
      <c r="E3" s="77" t="str">
        <f>INDEX(LocaleTable[LocaleKR],MATCH(ItemTable[[#This Row],[PlusDesc]],LocaleTable[StringKey],0))</f>
        <v>플레이어의 공이\n적을 관통합니다.</v>
      </c>
      <c r="F3" s="55" t="str">
        <f>IFERROR(INDEX(LocaleTable[LocaleKR],MATCH(ItemTable[[#This Row],[MinusDesc]],LocaleTable[StringKey],0)),"-")</f>
        <v>-</v>
      </c>
      <c r="G3" s="55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544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7" t="str">
        <f>INDEX(LocaleTable[LocaleKR],MATCH(ItemTable[[#This Row],[Name]],LocaleTable[StringKey],0))</f>
        <v>천사의 열매</v>
      </c>
      <c r="D4" s="77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7" t="str">
        <f>INDEX(LocaleTable[LocaleKR],MATCH(ItemTable[[#This Row],[PlusDesc]],LocaleTable[StringKey],0))</f>
        <v>공격범위 +30%</v>
      </c>
      <c r="F4" s="55" t="str">
        <f>IFERROR(INDEX(LocaleTable[LocaleKR],MATCH(ItemTable[[#This Row],[MinusDesc]],LocaleTable[StringKey],0)),"-")</f>
        <v>-</v>
      </c>
      <c r="G4" s="55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881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7" t="str">
        <f>INDEX(LocaleTable[LocaleKR],MATCH(ItemTable[[#This Row],[Name]],LocaleTable[StringKey],0))</f>
        <v>쿨 - 도그</v>
      </c>
      <c r="D5" s="77" t="str">
        <f>INDEX(LocaleTable[LocaleKR],MATCH(ItemTable[[#This Row],[Desc]],LocaleTable[StringKey],0))</f>
        <v>얼.죽.아 클럽의 새로운 유행입니다.</v>
      </c>
      <c r="E5" s="77" t="str">
        <f>INDEX(LocaleTable[LocaleKR],MATCH(ItemTable[[#This Row],[PlusDesc]],LocaleTable[StringKey],0))</f>
        <v>차징속도 +15%</v>
      </c>
      <c r="F5" s="55" t="str">
        <f>IFERROR(INDEX(LocaleTable[LocaleKR],MATCH(ItemTable[[#This Row],[MinusDesc]],LocaleTable[StringKey],0)),"-")</f>
        <v>-</v>
      </c>
      <c r="G5" s="55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446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7" t="str">
        <f>INDEX(LocaleTable[LocaleKR],MATCH(ItemTable[[#This Row],[Name]],LocaleTable[StringKey],0))</f>
        <v>QT 파우더</v>
      </c>
      <c r="D6" s="77" t="str">
        <f>INDEX(LocaleTable[LocaleKR],MATCH(ItemTable[[#This Row],[Desc]],LocaleTable[StringKey],0))</f>
        <v>배트 이외의 물건에 사용하지 마시오\nQT추출물 0.0006% 함유\nQT향 0.1%함유</v>
      </c>
      <c r="E6" s="77" t="str">
        <f>INDEX(LocaleTable[LocaleKR],MATCH(ItemTable[[#This Row],[PlusDesc]],LocaleTable[StringKey],0))</f>
        <v>차징 타격 시 5초간\n공격력 +20%</v>
      </c>
      <c r="F6" s="55" t="str">
        <f>IFERROR(INDEX(LocaleTable[LocaleKR],MATCH(ItemTable[[#This Row],[MinusDesc]],LocaleTable[StringKey],0)),"-")</f>
        <v>-</v>
      </c>
      <c r="G6" s="55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447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7" t="str">
        <f>INDEX(LocaleTable[LocaleKR],MATCH(ItemTable[[#This Row],[Name]],LocaleTable[StringKey],0))</f>
        <v>적토목마</v>
      </c>
      <c r="D7" s="77" t="str">
        <f>INDEX(LocaleTable[LocaleKR],MATCH(ItemTable[[#This Row],[Desc]],LocaleTable[StringKey],0))</f>
        <v>시크한 표정을 믿고 산책에 나갔다가는\n마라톤을 하게 될 수 있습니다.</v>
      </c>
      <c r="E7" s="77" t="str">
        <f>INDEX(LocaleTable[LocaleKR],MATCH(ItemTable[[#This Row],[PlusDesc]],LocaleTable[StringKey],0))</f>
        <v>공격속도 +20%</v>
      </c>
      <c r="F7" s="55" t="str">
        <f>IFERROR(INDEX(LocaleTable[LocaleKR],MATCH(ItemTable[[#This Row],[MinusDesc]],LocaleTable[StringKey],0)),"-")</f>
        <v>-</v>
      </c>
      <c r="G7" s="55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448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7" t="str">
        <f>INDEX(LocaleTable[LocaleKR],MATCH(ItemTable[[#This Row],[Name]],LocaleTable[StringKey],0))</f>
        <v>삼각김곰</v>
      </c>
      <c r="D8" s="77" t="str">
        <f>INDEX(LocaleTable[LocaleKR],MATCH(ItemTable[[#This Row],[Desc]],LocaleTable[StringKey],0))</f>
        <v>대나무 향을 머금은 흰 밥이\n까만 김을 만나 완성된 환상적인 조합.</v>
      </c>
      <c r="E8" s="77" t="str">
        <f>INDEX(LocaleTable[LocaleKR],MATCH(ItemTable[[#This Row],[PlusDesc]],LocaleTable[StringKey],0))</f>
        <v>최대체력 + 1칸</v>
      </c>
      <c r="F8" s="55" t="str">
        <f>IFERROR(INDEX(LocaleTable[LocaleKR],MATCH(ItemTable[[#This Row],[MinusDesc]],LocaleTable[StringKey],0)),"-")</f>
        <v>-</v>
      </c>
      <c r="G8" s="55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449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7" t="str">
        <f>INDEX(LocaleTable[LocaleKR],MATCH(ItemTable[[#This Row],[Name]],LocaleTable[StringKey],0))</f>
        <v>데빌불</v>
      </c>
      <c r="D9" s="77" t="str">
        <f>INDEX(LocaleTable[LocaleKR],MATCH(ItemTable[[#This Row],[Desc]],LocaleTable[StringKey],0))</f>
        <v>데빌불, 숨겨진 악성을 펼쳐줘요.\n불티나게 팔리고 있는 음료입니다.</v>
      </c>
      <c r="E9" s="77" t="str">
        <f>INDEX(LocaleTable[LocaleKR],MATCH(ItemTable[[#This Row],[PlusDesc]],LocaleTable[StringKey],0))</f>
        <v>기절한 적을 공격할 때\n4초간 공격력 +30%</v>
      </c>
      <c r="F9" s="55" t="str">
        <f>IFERROR(INDEX(LocaleTable[LocaleKR],MATCH(ItemTable[[#This Row],[MinusDesc]],LocaleTable[StringKey],0)),"-")</f>
        <v>-</v>
      </c>
      <c r="G9" s="55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426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450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7" t="str">
        <f>INDEX(LocaleTable[LocaleKR],MATCH(ItemTable[[#This Row],[Name]],LocaleTable[StringKey],0))</f>
        <v>배트리트</v>
      </c>
      <c r="D10" s="77" t="str">
        <f>INDEX(LocaleTable[LocaleKR],MATCH(ItemTable[[#This Row],[Desc]],LocaleTable[StringKey],0))</f>
        <v>'너의 소중한 모든 것들을 바쳐라\n그러면 너의 소원이 이루어질테니'</v>
      </c>
      <c r="E10" s="77" t="str">
        <f>INDEX(LocaleTable[LocaleKR],MATCH(ItemTable[[#This Row],[PlusDesc]],LocaleTable[StringKey],0))</f>
        <v>잃은 체력 반칸당 공격력 +5%</v>
      </c>
      <c r="F10" s="55" t="str">
        <f>IFERROR(INDEX(LocaleTable[LocaleKR],MATCH(ItemTable[[#This Row],[MinusDesc]],LocaleTable[StringKey],0)),"-")</f>
        <v>-</v>
      </c>
      <c r="G10" s="55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885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7" t="str">
        <f>INDEX(LocaleTable[LocaleKR],MATCH(ItemTable[[#This Row],[Name]],LocaleTable[StringKey],0))</f>
        <v>돌가면</v>
      </c>
      <c r="D11" s="77" t="str">
        <f>INDEX(LocaleTable[LocaleKR],MATCH(ItemTable[[#This Row],[Desc]],LocaleTable[StringKey],0))</f>
        <v>꽤 무게가 나가는 돌가면.\n안쪽에 숨겨진 침들이 보이는데...\n위험하진 않겠죠?</v>
      </c>
      <c r="E11" s="77" t="str">
        <f>INDEX(LocaleTable[LocaleKR],MATCH(ItemTable[[#This Row],[PlusDesc]],LocaleTable[StringKey],0))</f>
        <v>기절한 적을 공격할 때\n10%확률로 반칸 회복</v>
      </c>
      <c r="F11" s="55" t="str">
        <f>IFERROR(INDEX(LocaleTable[LocaleKR],MATCH(ItemTable[[#This Row],[MinusDesc]],LocaleTable[StringKey],0)),"-")</f>
        <v>-</v>
      </c>
      <c r="G11" s="55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7" t="str">
        <f>INDEX(LocaleTable[LocaleKR],MATCH(ItemTable[[#This Row],[Name]],LocaleTable[StringKey],0))</f>
        <v>사나운 돼지저금통</v>
      </c>
      <c r="D12" s="7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7" t="str">
        <f>INDEX(LocaleTable[LocaleKR],MATCH(ItemTable[[#This Row],[PlusDesc]],LocaleTable[StringKey],0))</f>
        <v>방을 클리어할 때마다 골드 +10</v>
      </c>
      <c r="F12" s="55" t="str">
        <f>IFERROR(INDEX(LocaleTable[LocaleKR],MATCH(ItemTable[[#This Row],[MinusDesc]],LocaleTable[StringKey],0)),"-")</f>
        <v>-</v>
      </c>
      <c r="G12" s="55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7" t="str">
        <f>INDEX(LocaleTable[LocaleKR],MATCH(ItemTable[[#This Row],[Name]],LocaleTable[StringKey],0))</f>
        <v>성배 속 무언가</v>
      </c>
      <c r="D13" s="77" t="str">
        <f>INDEX(LocaleTable[LocaleKR],MATCH(ItemTable[[#This Row],[Desc]],LocaleTable[StringKey],0))</f>
        <v>종교적인 용도로 보이는 컵입니다.\n잠깐, 방금 조금 움직인 것 같은데요?</v>
      </c>
      <c r="E13" s="77" t="str">
        <f>INDEX(LocaleTable[LocaleKR],MATCH(ItemTable[[#This Row],[PlusDesc]],LocaleTable[StringKey],0))</f>
        <v>공 충돌횟수 +3</v>
      </c>
      <c r="F13" s="55" t="str">
        <f>IFERROR(INDEX(LocaleTable[LocaleKR],MATCH(ItemTable[[#This Row],[MinusDesc]],LocaleTable[StringKey],0)),"-")</f>
        <v>-</v>
      </c>
      <c r="G13" s="55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7" t="str">
        <f>INDEX(LocaleTable[LocaleKR],MATCH(ItemTable[[#This Row],[Name]],LocaleTable[StringKey],0))</f>
        <v>이상한 사탕</v>
      </c>
      <c r="D14" s="7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7" t="str">
        <f>INDEX(LocaleTable[LocaleKR],MATCH(ItemTable[[#This Row],[PlusDesc]],LocaleTable[StringKey],0))</f>
        <v>체력을 전부 회복합니다.\n최대체력 + 2칸</v>
      </c>
      <c r="F14" s="55" t="str">
        <f>IFERROR(INDEX(LocaleTable[LocaleKR],MATCH(ItemTable[[#This Row],[MinusDesc]],LocaleTable[StringKey],0)),"-")</f>
        <v>-</v>
      </c>
      <c r="G14" s="55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7" t="str">
        <f>INDEX(LocaleTable[LocaleKR],MATCH(ItemTable[[#This Row],[Name]],LocaleTable[StringKey],0))</f>
        <v>투수 케르베로스</v>
      </c>
      <c r="D15" s="77" t="str">
        <f>INDEX(LocaleTable[LocaleKR],MATCH(ItemTable[[#This Row],[Desc]],LocaleTable[StringKey],0))</f>
        <v>공을 좋아하는 개들입니다.\n자세히보니 한마리였네요…</v>
      </c>
      <c r="E15" s="77" t="str">
        <f>INDEX(LocaleTable[LocaleKR],MATCH(ItemTable[[#This Row],[PlusDesc]],LocaleTable[StringKey],0))</f>
        <v>공격 시 33%확률로 공 3개 발사</v>
      </c>
      <c r="F15" s="55" t="str">
        <f>IFERROR(INDEX(LocaleTable[LocaleKR],MATCH(ItemTable[[#This Row],[MinusDesc]],LocaleTable[StringKey],0)),"-")</f>
        <v>-</v>
      </c>
      <c r="G15" s="55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7" t="str">
        <f>INDEX(LocaleTable[LocaleKR],MATCH(ItemTable[[#This Row],[Name]],LocaleTable[StringKey],0))</f>
        <v>공을 마시는 배트</v>
      </c>
      <c r="D16" s="77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7" t="str">
        <f>INDEX(LocaleTable[LocaleKR],MATCH(ItemTable[[#This Row],[PlusDesc]],LocaleTable[StringKey],0))</f>
        <v>차징 타격 시 공격력 1%씩 증가\n(최대 50%/층마다 초기화됩니다.)</v>
      </c>
      <c r="F16" s="77" t="str">
        <f>IFERROR(INDEX(LocaleTable[LocaleKR],MATCH(ItemTable[[#This Row],[MinusDesc]],LocaleTable[StringKey],0)),"-")</f>
        <v>-</v>
      </c>
      <c r="G16" s="55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917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7" t="str">
        <f>INDEX(LocaleTable[LocaleKR],MATCH(ItemTable[[#This Row],[Name]],LocaleTable[StringKey],0))</f>
        <v>코코아 한통</v>
      </c>
      <c r="D17" s="77" t="str">
        <f>INDEX(LocaleTable[LocaleKR],MATCH(ItemTable[[#This Row],[Desc]],LocaleTable[StringKey],0))</f>
        <v>온 몸이 녹는 듯 한 강력한 단맛입니다.\n끈적해지지 않게 조심하세요!</v>
      </c>
      <c r="E17" s="77" t="str">
        <f>INDEX(LocaleTable[LocaleKR],MATCH(ItemTable[[#This Row],[PlusDesc]],LocaleTable[StringKey],0))</f>
        <v>일반 공격이\n차징 공격이 됩니다.</v>
      </c>
      <c r="F17" s="55" t="str">
        <f>IFERROR(INDEX(LocaleTable[LocaleKR],MATCH(ItemTable[[#This Row],[MinusDesc]],LocaleTable[StringKey],0)),"-")</f>
        <v>공격속도 -50%</v>
      </c>
      <c r="G17" s="55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456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7" t="str">
        <f>INDEX(LocaleTable[LocaleKR],MATCH(ItemTable[[#This Row],[Name]],LocaleTable[StringKey],0))</f>
        <v>슬픈 캔리오</v>
      </c>
      <c r="D18" s="77" t="str">
        <f>INDEX(LocaleTable[LocaleKR],MATCH(ItemTable[[#This Row],[Desc]],LocaleTable[StringKey],0))</f>
        <v>어째선지 계속해서 울고 있는 양초입니다.\n건드리고 싶지 않네요.</v>
      </c>
      <c r="E18" s="77" t="str">
        <f>INDEX(LocaleTable[LocaleKR],MATCH(ItemTable[[#This Row],[PlusDesc]],LocaleTable[StringKey],0))</f>
        <v>타격 시마다 4초간\n공격속도 +10%\n(효과는 중첩될 수 있습니다.)</v>
      </c>
      <c r="F18" s="55" t="str">
        <f>IFERROR(INDEX(LocaleTable[LocaleKR],MATCH(ItemTable[[#This Row],[MinusDesc]],LocaleTable[StringKey],0)),"-")</f>
        <v>공격속도 -30%</v>
      </c>
      <c r="G18" s="55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457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7" t="str">
        <f>INDEX(LocaleTable[LocaleKR],MATCH(ItemTable[[#This Row],[Name]],LocaleTable[StringKey],0))</f>
        <v>청개구리 총</v>
      </c>
      <c r="D19" s="7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7" t="str">
        <f>INDEX(LocaleTable[LocaleKR],MATCH(ItemTable[[#This Row],[PlusDesc]],LocaleTable[StringKey],0))</f>
        <v>공격력 +100%</v>
      </c>
      <c r="F19" s="55" t="str">
        <f>IFERROR(INDEX(LocaleTable[LocaleKR],MATCH(ItemTable[[#This Row],[MinusDesc]],LocaleTable[StringKey],0)),"-")</f>
        <v>공격 방향이 반대가 됩니다.</v>
      </c>
      <c r="G19" s="55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884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7" t="str">
        <f>INDEX(LocaleTable[LocaleKR],MATCH(ItemTable[[#This Row],[Name]],LocaleTable[StringKey],0))</f>
        <v>누군가의 일기장</v>
      </c>
      <c r="D20" s="77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7" t="str">
        <f>INDEX(LocaleTable[LocaleKR],MATCH(ItemTable[[#This Row],[PlusDesc]],LocaleTable[StringKey],0))</f>
        <v>공격력 +60%</v>
      </c>
      <c r="F20" s="55" t="str">
        <f>IFERROR(INDEX(LocaleTable[LocaleKR],MATCH(ItemTable[[#This Row],[MinusDesc]],LocaleTable[StringKey],0)),"-")</f>
        <v>최대체력 - 2칸</v>
      </c>
      <c r="G20" s="55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458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7" t="str">
        <f>INDEX(LocaleTable[LocaleKR],MATCH(ItemTable[[#This Row],[Name]],LocaleTable[StringKey],0))</f>
        <v>행성 만세</v>
      </c>
      <c r="D21" s="77" t="str">
        <f>INDEX(LocaleTable[LocaleKR],MATCH(ItemTable[[#This Row],[Desc]],LocaleTable[StringKey],0))</f>
        <v>1. 태양의 방향으로 기립.\n2. 팔을 벌려 Y자로 선다.\n3. 태양을 바라보며 외친다.</v>
      </c>
      <c r="E21" s="77" t="str">
        <f>INDEX(LocaleTable[LocaleKR],MATCH(ItemTable[[#This Row],[PlusDesc]],LocaleTable[StringKey],0))</f>
        <v>피격 시 공 8개 발사</v>
      </c>
      <c r="F21" s="55" t="str">
        <f>IFERROR(INDEX(LocaleTable[LocaleKR],MATCH(ItemTable[[#This Row],[MinusDesc]],LocaleTable[StringKey],0)),"-")</f>
        <v>이동속도 -20%</v>
      </c>
      <c r="G21" s="55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459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7" t="str">
        <f>INDEX(LocaleTable[LocaleKR],MATCH(ItemTable[[#This Row],[Name]],LocaleTable[StringKey],0))</f>
        <v>회피 캣</v>
      </c>
      <c r="D22" s="77" t="str">
        <f>INDEX(LocaleTable[LocaleKR],MATCH(ItemTable[[#This Row],[Desc]],LocaleTable[StringKey],0))</f>
        <v>하지만 이렇게 간단하게 회피했습니다.</v>
      </c>
      <c r="E22" s="77" t="str">
        <f>INDEX(LocaleTable[LocaleKR],MATCH(ItemTable[[#This Row],[PlusDesc]],LocaleTable[StringKey],0))</f>
        <v>회피 시 공 4개 발사</v>
      </c>
      <c r="F22" s="55" t="str">
        <f>IFERROR(INDEX(LocaleTable[LocaleKR],MATCH(ItemTable[[#This Row],[MinusDesc]],LocaleTable[StringKey],0)),"-")</f>
        <v>회피쿨타임 +100%</v>
      </c>
      <c r="G22" s="55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882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7" t="str">
        <f>INDEX(LocaleTable[LocaleKR],MATCH(ItemTable[[#This Row],[Name]],LocaleTable[StringKey],0))</f>
        <v>어른의 카드</v>
      </c>
      <c r="D23" s="77" t="str">
        <f>INDEX(LocaleTable[LocaleKR],MATCH(ItemTable[[#This Row],[Desc]],LocaleTable[StringKey],0))</f>
        <v>리스크는 이해하고 있습니다.\n사용할수록, 깎여나갑니다.\n당신의 삶과 시간이…</v>
      </c>
      <c r="E23" s="77" t="str">
        <f>INDEX(LocaleTable[LocaleKR],MATCH(ItemTable[[#This Row],[PlusDesc]],LocaleTable[StringKey],0))</f>
        <v>공격범위 +60%</v>
      </c>
      <c r="F23" s="55" t="str">
        <f>IFERROR(INDEX(LocaleTable[LocaleKR],MATCH(ItemTable[[#This Row],[MinusDesc]],LocaleTable[StringKey],0)),"-")</f>
        <v>공격속도 -20%,\n공격 시 골드 -1</v>
      </c>
      <c r="G23" s="55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883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7" t="str">
        <f>INDEX(LocaleTable[LocaleKR],MATCH(ItemTable[[#This Row],[Name]],LocaleTable[StringKey],0))</f>
        <v>악마의 적금통장</v>
      </c>
      <c r="D24" s="77" t="str">
        <f>INDEX(LocaleTable[LocaleKR],MATCH(ItemTable[[#This Row],[Desc]],LocaleTable[StringKey],0))</f>
        <v>'목돈이 생기면 고민도 행복해진다.'\n마계 국민 첫 재테크 적금으로 딱입니다.</v>
      </c>
      <c r="E24" s="77" t="str">
        <f>INDEX(LocaleTable[LocaleKR],MATCH(ItemTable[[#This Row],[PlusDesc]],LocaleTable[StringKey],0))</f>
        <v>골드획득량 +60%</v>
      </c>
      <c r="F24" s="55" t="str">
        <f>IFERROR(INDEX(LocaleTable[LocaleKR],MATCH(ItemTable[[#This Row],[MinusDesc]],LocaleTable[StringKey],0)),"-")</f>
        <v>골드를 전부 잃습니다.</v>
      </c>
      <c r="G24" s="55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932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7" t="str">
        <f>INDEX(LocaleTable[LocaleKR],MATCH(ItemTable[[#This Row],[Name]],LocaleTable[StringKey],0))</f>
        <v>인피니티 도넛</v>
      </c>
      <c r="D25" s="77" t="str">
        <f>INDEX(LocaleTable[LocaleKR],MATCH(ItemTable[[#This Row],[Desc]],LocaleTable[StringKey],0))</f>
        <v>도넛에 구멍은 몇 개일까요?\n이 도넛은 무한한 구멍을 가졌습니다.</v>
      </c>
      <c r="E25" s="77" t="str">
        <f>INDEX(LocaleTable[LocaleKR],MATCH(ItemTable[[#This Row],[PlusDesc]],LocaleTable[StringKey],0))</f>
        <v>기절한 적에게 순간이동하며 공격합니다.</v>
      </c>
      <c r="F25" s="55" t="str">
        <f>IFERROR(INDEX(LocaleTable[LocaleKR],MATCH(ItemTable[[#This Row],[MinusDesc]],LocaleTable[StringKey],0)),"-")</f>
        <v>-</v>
      </c>
      <c r="G25" s="55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460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7" t="str">
        <f>INDEX(LocaleTable[LocaleKR],MATCH(ItemTable[[#This Row],[Name]],LocaleTable[StringKey],0))</f>
        <v>초소형 블랙홀</v>
      </c>
      <c r="D26" s="77" t="str">
        <f>INDEX(LocaleTable[LocaleKR],MATCH(ItemTable[[#This Row],[Desc]],LocaleTable[StringKey],0))</f>
        <v>공공장소에서 사용으로 인한\n피해는 책임지지 않습니다.</v>
      </c>
      <c r="E26" s="77" t="str">
        <f>INDEX(LocaleTable[LocaleKR],MATCH(ItemTable[[#This Row],[PlusDesc]],LocaleTable[StringKey],0))</f>
        <v>주변 투사체를 흡수하여 발사합니다.\n(쿨타임 10초)</v>
      </c>
      <c r="F26" s="55" t="str">
        <f>IFERROR(INDEX(LocaleTable[LocaleKR],MATCH(ItemTable[[#This Row],[MinusDesc]],LocaleTable[StringKey],0)),"-")</f>
        <v>-</v>
      </c>
      <c r="G26" s="55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461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7" t="str">
        <f>INDEX(LocaleTable[LocaleKR],MATCH(ItemTable[[#This Row],[Name]],LocaleTable[StringKey],0))</f>
        <v>사이버웨어</v>
      </c>
      <c r="D27" s="77" t="str">
        <f>INDEX(LocaleTable[LocaleKR],MATCH(ItemTable[[#This Row],[Desc]],LocaleTable[StringKey],0))</f>
        <v>기초적인 임플란트입니다.\n마구 사용하다간 무언가 고장날 수 있습니다.</v>
      </c>
      <c r="E27" s="77" t="str">
        <f>INDEX(LocaleTable[LocaleKR],MATCH(ItemTable[[#This Row],[PlusDesc]],LocaleTable[StringKey],0))</f>
        <v>6초간 주변 시간이 느려집니다.\n(쿨타임 12초)</v>
      </c>
      <c r="F27" s="55" t="str">
        <f>IFERROR(INDEX(LocaleTable[LocaleKR],MATCH(ItemTable[[#This Row],[MinusDesc]],LocaleTable[StringKey],0)),"-")</f>
        <v>-</v>
      </c>
      <c r="G27" s="55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7" t="str">
        <f>INDEX(LocaleTable[LocaleKR],MATCH(ItemTable[[#This Row],[Name]],LocaleTable[StringKey],0))</f>
        <v>미사일 백팩</v>
      </c>
      <c r="D28" s="77" t="str">
        <f>INDEX(LocaleTable[LocaleKR],MATCH(ItemTable[[#This Row],[Desc]],LocaleTable[StringKey],0))</f>
        <v>앞만 보고 살아가는 당신에게 추천합니다.\n데일리룩으로 안성맞춤.</v>
      </c>
      <c r="E28" s="77" t="str">
        <f>INDEX(LocaleTable[LocaleKR],MATCH(ItemTable[[#This Row],[PlusDesc]],LocaleTable[StringKey],0))</f>
        <v>커서 방향으로 돌진합니다.\n(쿨타임 8초)</v>
      </c>
      <c r="F28" s="55" t="str">
        <f>IFERROR(INDEX(LocaleTable[LocaleKR],MATCH(ItemTable[[#This Row],[MinusDesc]],LocaleTable[StringKey],0)),"-")</f>
        <v>-</v>
      </c>
      <c r="G28" s="55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463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7" t="str">
        <f>INDEX(LocaleTable[LocaleKR],MATCH(ItemTable[[#This Row],[Name]],LocaleTable[StringKey],0))</f>
        <v>엑스칼리배트</v>
      </c>
      <c r="D29" s="77" t="str">
        <f>INDEX(LocaleTable[LocaleKR],MATCH(ItemTable[[#This Row],[Desc]],LocaleTable[StringKey],0))</f>
        <v>약속된 홈런의 배트!</v>
      </c>
      <c r="E29" s="77" t="str">
        <f>INDEX(LocaleTable[LocaleKR],MATCH(ItemTable[[#This Row],[PlusDesc]],LocaleTable[StringKey],0))</f>
        <v>조준 방향으로 강력한 공을 3개 발사합니다.</v>
      </c>
      <c r="F29" s="55" t="str">
        <f>IFERROR(INDEX(LocaleTable[LocaleKR],MATCH(ItemTable[[#This Row],[MinusDesc]],LocaleTable[StringKey],0)),"-")</f>
        <v>-</v>
      </c>
      <c r="G29" s="55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463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7" t="str">
        <f>INDEX(LocaleTable[LocaleKR],MATCH(ItemTable[[#This Row],[Name]],LocaleTable[StringKey],0))</f>
        <v>여의배트</v>
      </c>
      <c r="D30" s="77" t="str">
        <f>INDEX(LocaleTable[LocaleKR],MATCH(ItemTable[[#This Row],[Desc]],LocaleTable[StringKey],0))</f>
        <v>배트를 마음대로 늘릴 수 있습니다!</v>
      </c>
      <c r="E30" s="77" t="str">
        <f>INDEX(LocaleTable[LocaleKR],MATCH(ItemTable[[#This Row],[PlusDesc]],LocaleTable[StringKey],0))</f>
        <v>10초간 공격범위 +100%\n(쿨타임 18초)</v>
      </c>
      <c r="F30" s="55" t="str">
        <f>IFERROR(INDEX(LocaleTable[LocaleKR],MATCH(ItemTable[[#This Row],[MinusDesc]],LocaleTable[StringKey],0)),"-")</f>
        <v>-</v>
      </c>
      <c r="G30" s="55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464</v>
      </c>
    </row>
  </sheetData>
  <phoneticPr fontId="6" type="noConversion"/>
  <conditionalFormatting sqref="B1:R1 B31:R1048576 B2:G30">
    <cfRule type="expression" dxfId="82" priority="5">
      <formula>$L1="Active"</formula>
    </cfRule>
    <cfRule type="expression" dxfId="81" priority="6">
      <formula>$L1="Cursed"</formula>
    </cfRule>
    <cfRule type="expression" dxfId="80" priority="7">
      <formula>$L1="Rare"</formula>
    </cfRule>
    <cfRule type="expression" dxfId="79" priority="8">
      <formula>$L1="Normal"</formula>
    </cfRule>
  </conditionalFormatting>
  <conditionalFormatting sqref="A1:XFD1048576">
    <cfRule type="expression" dxfId="78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77" priority="4">
      <formula>LEFT(B$2,1)="#"</formula>
    </cfRule>
  </conditionalFormatting>
  <conditionalFormatting sqref="H2:R30">
    <cfRule type="expression" dxfId="76" priority="13">
      <formula>$L2="Active"</formula>
    </cfRule>
    <cfRule type="expression" dxfId="75" priority="14">
      <formula>$L2="Cursed"</formula>
    </cfRule>
    <cfRule type="expression" dxfId="74" priority="15">
      <formula>$L2="Rare"</formula>
    </cfRule>
    <cfRule type="expression" dxfId="73" priority="16">
      <formula>$L2="Normal"</formula>
    </cfRule>
  </conditionalFormatting>
  <conditionalFormatting sqref="B31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opLeftCell="A13" zoomScale="85" zoomScaleNormal="85" zoomScaleSheetLayoutView="100" workbookViewId="0">
      <selection activeCell="G36" sqref="G36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8" t="s">
        <v>817</v>
      </c>
      <c r="C2" s="68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7" t="s">
        <v>636</v>
      </c>
      <c r="M2" s="67" t="s">
        <v>638</v>
      </c>
      <c r="N2" s="67" t="s">
        <v>637</v>
      </c>
      <c r="O2" s="67" t="s">
        <v>708</v>
      </c>
      <c r="P2" s="67" t="s">
        <v>709</v>
      </c>
      <c r="Q2" s="67" t="s">
        <v>710</v>
      </c>
      <c r="R2" s="67" t="s">
        <v>711</v>
      </c>
      <c r="S2" s="67" t="s">
        <v>712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921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353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427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353</v>
      </c>
      <c r="J11" s="16" t="s">
        <v>428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857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19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J15" s="16" t="s">
        <v>428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공을 마시는 배트</v>
      </c>
      <c r="C16" s="19" t="str">
        <f>INDEX(ItemTable[GradeType],MATCH(ItemEffectTable[[#This Row],[Index]],ItemTable[ItemEffectDataId],0))</f>
        <v>Rare</v>
      </c>
      <c r="D16" s="16">
        <v>8007</v>
      </c>
      <c r="E16" s="16">
        <v>8007</v>
      </c>
      <c r="F16" s="16"/>
      <c r="G16">
        <v>0</v>
      </c>
      <c r="H16" s="16" t="s">
        <v>921</v>
      </c>
      <c r="I16" s="11" t="s">
        <v>856</v>
      </c>
      <c r="J16" s="11" t="s">
        <v>903</v>
      </c>
      <c r="K16">
        <v>1</v>
      </c>
      <c r="L16" s="18" t="str">
        <f>IFERROR(LEFT(ItemEffectTable[[#This Row],[TriggerType]],FIND(",",ItemEffectTable[[#This Row],[TriggerType]],1)-1),ItemEffectTable[[#This Row],[TriggerType]])</f>
        <v>OnChargedSwingHit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/>
      <c r="F17" s="16">
        <v>8007</v>
      </c>
      <c r="G17">
        <v>0</v>
      </c>
      <c r="H17" s="16" t="s">
        <v>921</v>
      </c>
      <c r="J17" s="16" t="s">
        <v>325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코코아 한통</v>
      </c>
      <c r="C18" s="19" t="str">
        <f>INDEX(ItemTable[GradeType],MATCH(ItemEffectTable[[#This Row],[Index]],ItemTable[ItemEffectDataId],0))</f>
        <v>Cursed</v>
      </c>
      <c r="D18" s="16">
        <v>9000</v>
      </c>
      <c r="E18" s="16">
        <v>9000</v>
      </c>
      <c r="F18" s="16"/>
      <c r="G18">
        <v>0</v>
      </c>
      <c r="H18" s="16" t="s">
        <v>326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슬픈 캔리오</v>
      </c>
      <c r="C19" s="19" t="str">
        <f>INDEX(ItemTable[GradeType],MATCH(ItemEffectTable[[#This Row],[Index]],ItemTable[ItemEffectDataId],0))</f>
        <v>Cursed</v>
      </c>
      <c r="D19" s="16">
        <v>9001</v>
      </c>
      <c r="E19" s="16">
        <v>9001</v>
      </c>
      <c r="F19" s="16"/>
      <c r="G19">
        <v>0</v>
      </c>
      <c r="H19" s="16" t="s">
        <v>372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0.875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9101</v>
      </c>
      <c r="F20" s="16"/>
      <c r="G20">
        <v>0</v>
      </c>
      <c r="H20" s="16" t="s">
        <v>326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청개구리 총</v>
      </c>
      <c r="C21" s="19" t="str">
        <f>INDEX(ItemTable[GradeType],MATCH(ItemEffectTable[[#This Row],[Index]],ItemTable[ItemEffectDataId],0))</f>
        <v>Cursed</v>
      </c>
      <c r="D21" s="16">
        <v>9002</v>
      </c>
      <c r="E21" s="16">
        <v>9002</v>
      </c>
      <c r="F21" s="16">
        <v>9002</v>
      </c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누군가의 일기장</v>
      </c>
      <c r="C22" s="19" t="str">
        <f>INDEX(ItemTable[GradeType],MATCH(ItemEffectTable[[#This Row],[Index]],ItemTable[ItemEffectDataId],0))</f>
        <v>Cursed</v>
      </c>
      <c r="D22" s="16">
        <v>9003</v>
      </c>
      <c r="E22" s="16">
        <v>9003</v>
      </c>
      <c r="F22" s="16">
        <v>9003</v>
      </c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행성 만세</v>
      </c>
      <c r="C23" s="19" t="str">
        <f>INDEX(ItemTable[GradeType],MATCH(ItemEffectTable[[#This Row],[Index]],ItemTable[ItemEffectDataId],0))</f>
        <v>Cursed</v>
      </c>
      <c r="D23" s="16">
        <v>9004</v>
      </c>
      <c r="E23" s="16"/>
      <c r="F23" s="16">
        <v>9004</v>
      </c>
      <c r="G23">
        <v>0</v>
      </c>
      <c r="H23" s="16" t="s">
        <v>440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OnDamage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8.25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>
        <v>9104</v>
      </c>
      <c r="F24" s="16"/>
      <c r="G24">
        <v>0</v>
      </c>
      <c r="H24" s="16" t="s">
        <v>326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회피 캣</v>
      </c>
      <c r="C25" s="19" t="str">
        <f>INDEX(ItemTable[GradeType],MATCH(ItemEffectTable[[#This Row],[Index]],ItemTable[ItemEffectDataId],0))</f>
        <v>Cursed</v>
      </c>
      <c r="D25" s="16">
        <v>9005</v>
      </c>
      <c r="E25" s="16"/>
      <c r="F25" s="16">
        <v>9005</v>
      </c>
      <c r="G25">
        <v>0</v>
      </c>
      <c r="H25" s="16" t="s">
        <v>392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OnDodge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2.5499999999999998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>
        <v>9105</v>
      </c>
      <c r="F26" s="16"/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어른의 카드</v>
      </c>
      <c r="C27" s="19" t="str">
        <f>INDEX(ItemTable[GradeType],MATCH(ItemEffectTable[[#This Row],[Index]],ItemTable[ItemEffectDataId],0))</f>
        <v>Cursed</v>
      </c>
      <c r="D27" s="39">
        <v>9006</v>
      </c>
      <c r="E27" s="39">
        <v>9106</v>
      </c>
      <c r="F27" s="16"/>
      <c r="G27">
        <v>0</v>
      </c>
      <c r="H27" s="39" t="s">
        <v>326</v>
      </c>
      <c r="I27" s="39"/>
      <c r="J27" s="16" t="s">
        <v>325</v>
      </c>
      <c r="K27" s="39"/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45" t="str">
        <f>INDEX(ItemTable['#이름],MATCH(ItemEffectTable[[#This Row],[Index]],ItemTable[ItemEffectDataId],0))</f>
        <v>어른의 카드</v>
      </c>
      <c r="C28" s="45" t="str">
        <f>INDEX(ItemTable[GradeType],MATCH(ItemEffectTable[[#This Row],[Index]],ItemTable[ItemEffectDataId],0))</f>
        <v>Cursed</v>
      </c>
      <c r="D28" s="39">
        <v>9006</v>
      </c>
      <c r="E28" s="39"/>
      <c r="F28" s="39">
        <v>9006</v>
      </c>
      <c r="G28" s="39">
        <v>0</v>
      </c>
      <c r="H28" s="39" t="s">
        <v>342</v>
      </c>
      <c r="I28" s="39"/>
      <c r="J28" s="16" t="s">
        <v>325</v>
      </c>
      <c r="K28" s="39"/>
      <c r="L28" s="18" t="str">
        <f>IFERROR(LEFT(ItemEffectTable[[#This Row],[TriggerType]],FIND(",",ItemEffectTable[[#This Row],[TriggerType]],1)-1),ItemEffectTable[[#This Row],[TriggerType]])</f>
        <v>OnSwing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0.5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악마의 적금통장</v>
      </c>
      <c r="C29" s="19" t="str">
        <f>INDEX(ItemTable[GradeType],MATCH(ItemEffectTable[[#This Row],[Index]],ItemTable[ItemEffectDataId],0))</f>
        <v>Cursed</v>
      </c>
      <c r="D29" s="16">
        <v>9007</v>
      </c>
      <c r="E29" s="16"/>
      <c r="F29" s="16">
        <v>9007</v>
      </c>
      <c r="G29">
        <v>0</v>
      </c>
      <c r="H29" s="16" t="s">
        <v>326</v>
      </c>
      <c r="J29" s="11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16">
        <v>9007</v>
      </c>
      <c r="E30" s="16">
        <v>9007</v>
      </c>
      <c r="F30" s="16"/>
      <c r="G30">
        <v>0</v>
      </c>
      <c r="H30" s="16" t="s">
        <v>326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Equip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7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10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19" zoomScaleNormal="100" zoomScaleSheetLayoutView="100" workbookViewId="0">
      <selection activeCell="H34" sqref="H34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626</v>
      </c>
      <c r="E1" s="16" t="s">
        <v>627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5" t="s">
        <v>718</v>
      </c>
      <c r="C2" s="65" t="s">
        <v>605</v>
      </c>
      <c r="D2" s="56" t="s">
        <v>38</v>
      </c>
      <c r="E2" s="56" t="s">
        <v>310</v>
      </c>
      <c r="F2" s="56" t="s">
        <v>320</v>
      </c>
      <c r="G2" s="57" t="s">
        <v>4</v>
      </c>
      <c r="H2" s="57" t="s">
        <v>322</v>
      </c>
      <c r="I2" s="65" t="s">
        <v>607</v>
      </c>
      <c r="J2" s="65" t="s">
        <v>606</v>
      </c>
      <c r="K2" s="66" t="s">
        <v>628</v>
      </c>
      <c r="L2" s="65" t="s">
        <v>625</v>
      </c>
      <c r="M2" s="65" t="s">
        <v>635</v>
      </c>
      <c r="N2" s="65" t="s">
        <v>713</v>
      </c>
      <c r="O2" s="65" t="s">
        <v>714</v>
      </c>
      <c r="P2" s="65" t="s">
        <v>608</v>
      </c>
      <c r="Q2" s="65" t="s">
        <v>717</v>
      </c>
      <c r="R2" s="65" t="s">
        <v>720</v>
      </c>
      <c r="S2" s="71" t="s">
        <v>725</v>
      </c>
      <c r="T2" s="65" t="s">
        <v>716</v>
      </c>
      <c r="U2" s="65" t="s">
        <v>715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842</v>
      </c>
      <c r="F3" s="16">
        <v>1</v>
      </c>
      <c r="G3" s="11" t="s">
        <v>394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9">
        <f>ItemEffectTable23[[#This Row],['#종합 효력]]/ItemEffectTable23[[#This Row],['#기준 효력]]</f>
        <v>1</v>
      </c>
    </row>
    <row r="4" spans="2:21">
      <c r="B4" s="55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9">
        <f>ItemEffectTable23[[#This Row],['#종합 효력]]/ItemEffectTable23[[#This Row],['#기준 효력]]</f>
        <v>0.99999999999999944</v>
      </c>
    </row>
    <row r="5" spans="2:21">
      <c r="B5" s="55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9">
        <f>ItemEffectTable23[[#This Row],['#종합 효력]]/ItemEffectTable23[[#This Row],['#기준 효력]]</f>
        <v>0.99999999999999978</v>
      </c>
    </row>
    <row r="6" spans="2:21">
      <c r="B6" s="55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370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9">
        <f>ItemEffectTable23[[#This Row],['#종합 효력]]/ItemEffectTable23[[#This Row],['#기준 효력]]</f>
        <v>1.6666666666666663</v>
      </c>
    </row>
    <row r="7" spans="2:21">
      <c r="B7" s="55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9">
        <f>ItemEffectTable23[[#This Row],['#종합 효력]]/ItemEffectTable23[[#This Row],['#기준 효력]]</f>
        <v>0.99999999999999956</v>
      </c>
    </row>
    <row r="8" spans="2:21">
      <c r="B8" s="55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399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9">
        <f>ItemEffectTable23[[#This Row],['#종합 효력]]/ItemEffectTable23[[#This Row],['#기준 효력]]</f>
        <v>2</v>
      </c>
    </row>
    <row r="9" spans="2:21">
      <c r="B9" s="55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9">
        <f>ItemEffectTable23[[#This Row],['#종합 효력]]/ItemEffectTable23[[#This Row],['#기준 효력]]</f>
        <v>1.0000000000000002</v>
      </c>
    </row>
    <row r="10" spans="2:21">
      <c r="B10" s="55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629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9">
        <f>ItemEffectTable23[[#This Row],['#종합 효력]]/ItemEffectTable23[[#This Row],['#기준 효력]]</f>
        <v>0.99999999999999967</v>
      </c>
    </row>
    <row r="11" spans="2:21">
      <c r="B11" s="55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389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9">
        <f>ItemEffectTable23[[#This Row],['#종합 효력]]/ItemEffectTable23[[#This Row],['#기준 효력]]</f>
        <v>0.9</v>
      </c>
    </row>
    <row r="12" spans="2:21">
      <c r="B12" s="55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399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9">
        <f>ItemEffectTable23[[#This Row],['#종합 효력]]/ItemEffectTable23[[#This Row],['#기준 효력]]</f>
        <v>24</v>
      </c>
    </row>
    <row r="13" spans="2:21">
      <c r="B13" s="72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920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9" t="e">
        <f>ItemEffectTable23[[#This Row],['#종합 효력]]/ItemEffectTable23[[#This Row],['#기준 효력]]</f>
        <v>#DIV/0!</v>
      </c>
    </row>
    <row r="14" spans="2:21">
      <c r="B14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9">
        <f>ItemEffectTable23[[#This Row],['#종합 효력]]/ItemEffectTable23[[#This Row],['#기준 효력]]</f>
        <v>0.25000000000000056</v>
      </c>
    </row>
    <row r="15" spans="2:21">
      <c r="B15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9">
        <f>ItemEffectTable23[[#This Row],['#종합 효력]]/ItemEffectTable23[[#This Row],['#기준 효력]]</f>
        <v>0.25000000000000056</v>
      </c>
    </row>
    <row r="16" spans="2:21">
      <c r="B16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373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9">
        <f>ItemEffectTable23[[#This Row],['#종합 효력]]/ItemEffectTable23[[#This Row],['#기준 효력]]</f>
        <v>1.1785714285714275</v>
      </c>
    </row>
    <row r="17" spans="2:21">
      <c r="B17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373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9">
        <f>ItemEffectTable23[[#This Row],['#종합 효력]]/ItemEffectTable23[[#This Row],['#기준 효력]]</f>
        <v>1.1785714285714275</v>
      </c>
    </row>
    <row r="18" spans="2:21">
      <c r="B18" s="55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9">
        <f>ItemEffectTable23[[#This Row],['#종합 효력]]/ItemEffectTable23[[#This Row],['#기준 효력]]</f>
        <v>1</v>
      </c>
    </row>
    <row r="19" spans="2:21">
      <c r="B19" s="72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399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9">
        <f>ItemEffectTable23[[#This Row],['#종합 효력]]/ItemEffectTable23[[#This Row],['#기준 효력]]</f>
        <v>1.6499999999999997</v>
      </c>
    </row>
    <row r="20" spans="2:21">
      <c r="B20" s="5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370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9">
        <f>ItemEffectTable23[[#This Row],['#종합 효력]]/ItemEffectTable23[[#This Row],['#기준 효력]]</f>
        <v>1.6499999999999997</v>
      </c>
    </row>
    <row r="21" spans="2:21">
      <c r="B21" s="72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+0.6</v>
      </c>
      <c r="D21" s="42">
        <v>9007</v>
      </c>
      <c r="E21" s="42" t="s">
        <v>156</v>
      </c>
      <c r="F21" s="42">
        <v>0.6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60.000000000000007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60.000000000000007</v>
      </c>
      <c r="Q21" s="19">
        <f>SUMIF(ItemEffectTable23['#아이템 명칭],ItemEffectTable23[[#This Row],['#아이템 명칭]],ItemEffectTable23['#총 가치판단])</f>
        <v>60.000000000000007</v>
      </c>
      <c r="R21" s="19">
        <f>IFERROR(INDEX(ItemEffectTable2324['#가치판단],MATCH(ItemEffectTable23[[#This Row],['#아이템 명칭]],ItemEffectTable2324['#명칭],0)),0)</f>
        <v>-19998</v>
      </c>
      <c r="S21" s="19">
        <f>ItemEffectTable23[[#This Row],['#아이템 효력 합산]]+ItemEffectTable23[[#This Row],['#특수 효력]]/COUNTIF(ItemEffectTable23['#특수 효력],ItemEffectTable23[[#This Row],['#특수 효력]])</f>
        <v>-19938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9">
        <f>ItemEffectTable23[[#This Row],['#종합 효력]]/ItemEffectTable23[[#This Row],['#기준 효력]]</f>
        <v>-398.76</v>
      </c>
    </row>
    <row r="22" spans="2:21">
      <c r="B22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2" s="16">
        <v>9104</v>
      </c>
      <c r="E22" s="11" t="s">
        <v>434</v>
      </c>
      <c r="F22">
        <v>0.8</v>
      </c>
      <c r="G22" s="11" t="s">
        <v>388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-64.999999999999986</v>
      </c>
      <c r="Q22" s="19">
        <f>SUMIF(ItemEffectTable23['#아이템 명칭],ItemEffectTable23[[#This Row],['#아이템 명칭]],ItemEffectTable23['#총 가치판단])</f>
        <v>-64.999999999999986</v>
      </c>
      <c r="R22" s="19">
        <f>IFERROR(INDEX(ItemEffectTable2324['#가치판단],MATCH(ItemEffectTable23[[#This Row],['#아이템 명칭]],ItemEffectTable2324['#명칭],0)),0)</f>
        <v>70</v>
      </c>
      <c r="S22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9">
        <f>ItemEffectTable23[[#This Row],['#종합 효력]]/ItemEffectTable23[[#This Row],['#기준 효력]]</f>
        <v>0.10000000000000028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3" s="16">
        <v>9105</v>
      </c>
      <c r="E23" s="11" t="s">
        <v>397</v>
      </c>
      <c r="F23">
        <v>2</v>
      </c>
      <c r="G23" s="11" t="s">
        <v>388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106.25</v>
      </c>
      <c r="Q23" s="19">
        <f>SUMIF(ItemEffectTable23['#아이템 명칭],ItemEffectTable23[[#This Row],['#아이템 명칭]],ItemEffectTable23['#총 가치판단])</f>
        <v>106.25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106.25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9">
        <f>ItemEffectTable23[[#This Row],['#종합 효력]]/ItemEffectTable23[[#This Row],['#기준 효력]]</f>
        <v>2.125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4" s="16">
        <v>9106</v>
      </c>
      <c r="E24" s="9" t="s">
        <v>188</v>
      </c>
      <c r="F24">
        <v>1.6</v>
      </c>
      <c r="G24" s="11" t="s">
        <v>465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159.99999999999997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9">
        <f>ItemEffectTable23[[#This Row],['#종합 효력]]/ItemEffectTable23[[#This Row],['#기준 효력]]</f>
        <v>1.0899999999999996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5" s="16">
        <v>9106</v>
      </c>
      <c r="E25" s="9" t="s">
        <v>129</v>
      </c>
      <c r="F25">
        <v>1.2</v>
      </c>
      <c r="G25" t="s">
        <v>213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-74.999999999999986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9">
        <f>ItemEffectTable23[[#This Row],['#종합 효력]]/ItemEffectTable23[[#This Row],['#기준 효력]]</f>
        <v>1.0899999999999996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6">
        <v>10002</v>
      </c>
      <c r="E26" t="s">
        <v>0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65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9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7">
        <v>10002</v>
      </c>
      <c r="E27" s="11" t="s">
        <v>599</v>
      </c>
      <c r="F27">
        <v>0.8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-1.2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9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8">
        <v>10002</v>
      </c>
      <c r="E28" t="s">
        <v>135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240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9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9">
        <v>10002</v>
      </c>
      <c r="E29" t="s">
        <v>129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37.5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9">
        <f>ItemEffectTable23[[#This Row],['#종합 효력]]/ItemEffectTable23[[#This Row],['#기준 효력]]</f>
        <v>1.2260000000000002</v>
      </c>
    </row>
    <row r="30" spans="2:21">
      <c r="B30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0">
        <v>10002</v>
      </c>
      <c r="E30" t="s">
        <v>14</v>
      </c>
      <c r="F30">
        <v>2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-300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9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1">
        <v>10002</v>
      </c>
      <c r="E31" s="11" t="s">
        <v>334</v>
      </c>
      <c r="F31">
        <v>0.5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20.000000000000004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9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2">
        <v>10004</v>
      </c>
      <c r="E32" t="s">
        <v>0</v>
      </c>
      <c r="F32">
        <v>0.5</v>
      </c>
      <c r="G32" t="s">
        <v>213</v>
      </c>
      <c r="H32">
        <v>0.5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10</v>
      </c>
      <c r="O32" s="19">
        <f>IF(ItemEffectTable23[[#This Row],['#발동율]]=-1,-1,(ItemEffectTable23[[#This Row],['#발동율]]+ItemEffectTable23[[#This Row],['#쿨타임]])/ItemEffectTable23[[#This Row],[Duration]])</f>
        <v>20</v>
      </c>
      <c r="P32" s="19">
        <f>ItemEffectTable23[[#This Row],['#효력 가치 판단]]/IF(ItemEffectTable23[[#This Row],['#발동량]]=-1,1,ItemEffectTable23[[#This Row],['#발동량]])</f>
        <v>-8.125</v>
      </c>
      <c r="Q32" s="19">
        <f>SUMIF(ItemEffectTable23['#아이템 명칭],ItemEffectTable23[[#This Row],['#아이템 명칭]],ItemEffectTable23['#총 가치판단])</f>
        <v>-4.5250000000000004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9">
        <f>ItemEffectTable23[[#This Row],['#종합 효력]]/ItemEffectTable23[[#This Row],['#기준 효력]]</f>
        <v>-9.0500000000000011E-2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3">
        <v>10004</v>
      </c>
      <c r="E33" s="16" t="s">
        <v>842</v>
      </c>
      <c r="F33" s="16">
        <v>1</v>
      </c>
      <c r="G33" s="11" t="s">
        <v>394</v>
      </c>
      <c r="H33">
        <v>1.2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8.3333333333333339</v>
      </c>
      <c r="P33" s="19">
        <f>ItemEffectTable23[[#This Row],['#효력 가치 판단]]/IF(ItemEffectTable23[[#This Row],['#발동량]]=-1,1,ItemEffectTable23[[#This Row],['#발동량]])</f>
        <v>3.5999999999999996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9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443</v>
      </c>
      <c r="F34">
        <v>2.5</v>
      </c>
      <c r="G34" s="11" t="s">
        <v>465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9">
        <f>ItemEffectTable23[[#This Row],['#종합 효력]]/ItemEffectTable23[[#This Row],['#기준 효력]]</f>
        <v>2.7777777777777777</v>
      </c>
    </row>
    <row r="36" spans="2:21">
      <c r="F36" s="11"/>
      <c r="G36" s="11"/>
      <c r="H36" s="64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G20" sqref="G20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356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362</v>
      </c>
      <c r="L2" s="34" t="s">
        <v>361</v>
      </c>
      <c r="M2" s="65" t="s">
        <v>719</v>
      </c>
      <c r="N2" s="70" t="s">
        <v>726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425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425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445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425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343</v>
      </c>
      <c r="E7">
        <v>800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8" spans="1:14">
      <c r="B8" s="16">
        <v>8007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8" s="16" t="s">
        <v>819</v>
      </c>
      <c r="E8">
        <v>1</v>
      </c>
      <c r="F8" s="14" t="s">
        <v>906</v>
      </c>
      <c r="H8" s="19"/>
      <c r="J8" s="19"/>
      <c r="L8" s="19"/>
      <c r="M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9" spans="1:14">
      <c r="B9" s="16">
        <v>9004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9" s="16" t="s">
        <v>343</v>
      </c>
      <c r="E9">
        <v>804</v>
      </c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0" s="16" t="s">
        <v>343</v>
      </c>
      <c r="E10">
        <v>805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1" s="16" t="s">
        <v>330</v>
      </c>
      <c r="E11" s="9"/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누군가의 일기장</v>
      </c>
      <c r="D12" s="16" t="s">
        <v>425</v>
      </c>
      <c r="E12" s="9">
        <v>-50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>
      <c r="B13" s="47">
        <v>9006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3" s="47" t="s">
        <v>445</v>
      </c>
      <c r="E13" s="49">
        <v>-1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3" s="47"/>
      <c r="H13" s="50"/>
      <c r="I13" s="47"/>
      <c r="J13" s="48"/>
      <c r="K13" s="47"/>
      <c r="L13" s="48"/>
      <c r="M13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7">
        <v>-60</v>
      </c>
    </row>
    <row r="14" spans="1:14" s="47" customFormat="1">
      <c r="A14" s="46"/>
      <c r="B14" s="16">
        <v>9007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4" s="47" t="s">
        <v>445</v>
      </c>
      <c r="E14">
        <v>-9999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4"/>
      <c r="H14" s="19"/>
      <c r="I14"/>
      <c r="J14" s="19"/>
      <c r="K14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-19998</v>
      </c>
      <c r="N14">
        <f>INDEX(표29[1당 가치],MATCH(ItemEffectTable2324[[#This Row],[EffectType]],표29[특수 이펙트 명칭],0))*IF(ISBLANK(ItemEffectTable2324[[#This Row],[Param1]]),1,ItemEffectTable2324[[#This Row],[Param1]])</f>
        <v>-9999</v>
      </c>
    </row>
    <row r="15" spans="1:14">
      <c r="B15" s="16">
        <v>10000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5" s="16" t="s">
        <v>315</v>
      </c>
      <c r="E15" s="9">
        <v>8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5" s="35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10001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6" s="16" t="s">
        <v>336</v>
      </c>
      <c r="E16">
        <v>6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6">
        <v>30</v>
      </c>
      <c r="H16" s="19"/>
      <c r="I16">
        <v>3</v>
      </c>
      <c r="J16" s="19"/>
      <c r="K16">
        <v>4</v>
      </c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3">
      <c r="B17">
        <v>10002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7" s="16" t="s">
        <v>331</v>
      </c>
      <c r="E17">
        <v>0.5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7">
        <v>3</v>
      </c>
      <c r="H17" s="14" t="s">
        <v>436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3">
      <c r="B18">
        <v>10003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18" s="16" t="s">
        <v>341</v>
      </c>
      <c r="E18">
        <v>10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8">
        <v>90</v>
      </c>
      <c r="H18" s="19"/>
      <c r="I18">
        <v>1.2</v>
      </c>
      <c r="J18" s="19"/>
      <c r="L18" s="19"/>
      <c r="M1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9" spans="1:13" s="42" customFormat="1">
      <c r="A19" s="79"/>
      <c r="B19" s="42">
        <v>10004</v>
      </c>
      <c r="C19" s="55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19" s="16" t="s">
        <v>343</v>
      </c>
      <c r="E19" s="42">
        <v>806</v>
      </c>
      <c r="F19" s="14" t="str" cm="1">
        <f t="array" ref="F1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9" s="42">
        <v>1</v>
      </c>
      <c r="H19" s="55"/>
      <c r="J19" s="55"/>
      <c r="L19" s="55"/>
      <c r="M19" s="55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169"/>
  <sheetViews>
    <sheetView tabSelected="1" topLeftCell="A147" zoomScaleNormal="100" zoomScaleSheetLayoutView="100" workbookViewId="0">
      <selection activeCell="D163" sqref="D163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customWidth="1"/>
    <col min="6" max="6" width="12.296875" bestFit="1" customWidth="1"/>
    <col min="7" max="7" width="16.69921875" customWidth="1"/>
    <col min="8" max="8" width="12.296875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t="s">
        <v>231</v>
      </c>
      <c r="F1" t="s">
        <v>231</v>
      </c>
      <c r="G1" t="s">
        <v>231</v>
      </c>
      <c r="H1" t="s">
        <v>231</v>
      </c>
      <c r="I1" t="s">
        <v>231</v>
      </c>
      <c r="J1" s="11"/>
    </row>
    <row r="2" spans="2:10">
      <c r="B2" s="11" t="s">
        <v>539</v>
      </c>
      <c r="C2" s="9" t="s">
        <v>160</v>
      </c>
      <c r="D2" t="s">
        <v>159</v>
      </c>
      <c r="E2" s="36" t="s">
        <v>480</v>
      </c>
      <c r="F2" s="36" t="s">
        <v>481</v>
      </c>
      <c r="G2" s="36" t="s">
        <v>482</v>
      </c>
      <c r="H2" s="36" t="s">
        <v>483</v>
      </c>
      <c r="I2" s="36" t="s">
        <v>521</v>
      </c>
    </row>
    <row r="3" spans="2:10">
      <c r="B3" t="str">
        <f>LocaleTable[[#This Row],['#인덱스제너레이터]]</f>
        <v>UI_Title_Button_Start</v>
      </c>
      <c r="C3" s="51" t="s">
        <v>514</v>
      </c>
      <c r="D3" s="51" t="s">
        <v>507</v>
      </c>
      <c r="E3" s="14" t="s">
        <v>485</v>
      </c>
      <c r="F3" s="14" t="s">
        <v>519</v>
      </c>
      <c r="G3" s="14" t="s">
        <v>511</v>
      </c>
      <c r="H3" s="14" t="s">
        <v>508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515</v>
      </c>
      <c r="D4" s="51" t="s">
        <v>509</v>
      </c>
      <c r="E4" s="14" t="s">
        <v>485</v>
      </c>
      <c r="F4" s="14" t="s">
        <v>519</v>
      </c>
      <c r="G4" s="14" t="s">
        <v>511</v>
      </c>
      <c r="H4" s="14" t="s">
        <v>510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516</v>
      </c>
      <c r="D5" s="51" t="s">
        <v>512</v>
      </c>
      <c r="E5" s="14" t="s">
        <v>485</v>
      </c>
      <c r="F5" s="14" t="s">
        <v>519</v>
      </c>
      <c r="G5" s="54" t="s">
        <v>511</v>
      </c>
      <c r="H5" s="14" t="s">
        <v>513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575</v>
      </c>
      <c r="D6" s="51" t="s">
        <v>570</v>
      </c>
      <c r="E6" s="14" t="s">
        <v>485</v>
      </c>
      <c r="F6" s="14" t="s">
        <v>519</v>
      </c>
      <c r="G6" s="54" t="s">
        <v>511</v>
      </c>
      <c r="H6" s="14" t="s">
        <v>570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666</v>
      </c>
      <c r="D7" s="51" t="s">
        <v>512</v>
      </c>
      <c r="E7" s="14" t="s">
        <v>485</v>
      </c>
      <c r="F7" s="54" t="s">
        <v>510</v>
      </c>
      <c r="G7" s="54" t="s">
        <v>519</v>
      </c>
      <c r="H7" s="14" t="s">
        <v>513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746</v>
      </c>
      <c r="D8" s="51" t="s">
        <v>745</v>
      </c>
      <c r="E8" s="14" t="s">
        <v>485</v>
      </c>
      <c r="F8" s="54" t="s">
        <v>510</v>
      </c>
      <c r="G8" s="54" t="s">
        <v>519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649</v>
      </c>
      <c r="D9" s="51" t="s">
        <v>667</v>
      </c>
      <c r="E9" s="14" t="s">
        <v>485</v>
      </c>
      <c r="F9" s="54" t="s">
        <v>510</v>
      </c>
      <c r="G9" s="54" t="s">
        <v>519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650</v>
      </c>
      <c r="D10" s="51" t="s">
        <v>742</v>
      </c>
      <c r="E10" s="14" t="s">
        <v>485</v>
      </c>
      <c r="F10" s="54" t="s">
        <v>510</v>
      </c>
      <c r="G10" s="54" t="s">
        <v>519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651</v>
      </c>
      <c r="D11" s="51" t="s">
        <v>668</v>
      </c>
      <c r="E11" s="14" t="s">
        <v>485</v>
      </c>
      <c r="F11" s="54" t="s">
        <v>510</v>
      </c>
      <c r="G11" s="54" t="s">
        <v>519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652</v>
      </c>
      <c r="D12" s="51" t="s">
        <v>669</v>
      </c>
      <c r="E12" s="14" t="s">
        <v>485</v>
      </c>
      <c r="F12" s="54" t="s">
        <v>510</v>
      </c>
      <c r="G12" s="54" t="s">
        <v>519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653</v>
      </c>
      <c r="D13" s="51" t="s">
        <v>670</v>
      </c>
      <c r="E13" s="14" t="s">
        <v>485</v>
      </c>
      <c r="F13" s="54" t="s">
        <v>510</v>
      </c>
      <c r="G13" s="54" t="s">
        <v>519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654</v>
      </c>
      <c r="D14" s="51" t="s">
        <v>743</v>
      </c>
      <c r="E14" s="14" t="s">
        <v>485</v>
      </c>
      <c r="F14" s="54" t="s">
        <v>510</v>
      </c>
      <c r="G14" s="54" t="s">
        <v>519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520</v>
      </c>
      <c r="D15" s="51" t="s">
        <v>479</v>
      </c>
      <c r="E15" s="14" t="s">
        <v>485</v>
      </c>
      <c r="F15" s="54" t="s">
        <v>510</v>
      </c>
      <c r="G15" s="54" t="s">
        <v>519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774</v>
      </c>
      <c r="D16" s="51" t="s">
        <v>780</v>
      </c>
      <c r="E16" s="14" t="s">
        <v>787</v>
      </c>
      <c r="F16" s="54" t="s">
        <v>510</v>
      </c>
      <c r="G16" s="54" t="s">
        <v>744</v>
      </c>
      <c r="H16" s="14" t="s">
        <v>780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775</v>
      </c>
      <c r="D17" s="51" t="s">
        <v>781</v>
      </c>
      <c r="E17" s="14" t="s">
        <v>787</v>
      </c>
      <c r="F17" s="54" t="s">
        <v>510</v>
      </c>
      <c r="G17" s="54" t="s">
        <v>744</v>
      </c>
      <c r="H17" s="14" t="s">
        <v>781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776</v>
      </c>
      <c r="D18" s="51" t="s">
        <v>782</v>
      </c>
      <c r="E18" s="14" t="s">
        <v>787</v>
      </c>
      <c r="F18" s="54" t="s">
        <v>510</v>
      </c>
      <c r="G18" s="54" t="s">
        <v>744</v>
      </c>
      <c r="H18" s="14" t="s">
        <v>782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777</v>
      </c>
      <c r="D19" s="51" t="s">
        <v>670</v>
      </c>
      <c r="E19" s="14" t="s">
        <v>787</v>
      </c>
      <c r="F19" s="54" t="s">
        <v>510</v>
      </c>
      <c r="G19" s="54" t="s">
        <v>744</v>
      </c>
      <c r="H19" s="14" t="s">
        <v>788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575</v>
      </c>
      <c r="D20" s="51" t="s">
        <v>570</v>
      </c>
      <c r="E20" s="14" t="s">
        <v>787</v>
      </c>
      <c r="F20" s="54" t="s">
        <v>510</v>
      </c>
      <c r="G20" s="54" t="s">
        <v>744</v>
      </c>
      <c r="H20" s="14" t="s">
        <v>570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778</v>
      </c>
      <c r="D21" s="51" t="s">
        <v>783</v>
      </c>
      <c r="E21" s="14" t="s">
        <v>787</v>
      </c>
      <c r="F21" s="54" t="s">
        <v>510</v>
      </c>
      <c r="G21" s="54" t="s">
        <v>744</v>
      </c>
      <c r="H21" s="14" t="s">
        <v>789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779</v>
      </c>
      <c r="D22" s="51" t="s">
        <v>784</v>
      </c>
      <c r="E22" s="14" t="s">
        <v>787</v>
      </c>
      <c r="F22" s="54" t="s">
        <v>510</v>
      </c>
      <c r="G22" s="54" t="s">
        <v>744</v>
      </c>
      <c r="H22" s="14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14" t="s">
        <v>485</v>
      </c>
      <c r="F23" s="54" t="s">
        <v>510</v>
      </c>
      <c r="G23" s="54" t="s">
        <v>655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656</v>
      </c>
      <c r="D24" s="51" t="s">
        <v>740</v>
      </c>
      <c r="E24" s="14" t="s">
        <v>485</v>
      </c>
      <c r="F24" s="54" t="s">
        <v>510</v>
      </c>
      <c r="G24" s="54" t="s">
        <v>655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657</v>
      </c>
      <c r="D25" s="51" t="s">
        <v>741</v>
      </c>
      <c r="E25" s="14" t="s">
        <v>485</v>
      </c>
      <c r="F25" s="54" t="s">
        <v>510</v>
      </c>
      <c r="G25" s="54" t="s">
        <v>655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785</v>
      </c>
      <c r="D26" s="51" t="s">
        <v>786</v>
      </c>
      <c r="E26" s="14" t="s">
        <v>485</v>
      </c>
      <c r="F26" s="54" t="s">
        <v>510</v>
      </c>
      <c r="G26" s="54" t="s">
        <v>655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658</v>
      </c>
      <c r="D27" s="51" t="s">
        <v>671</v>
      </c>
      <c r="E27" s="14" t="s">
        <v>485</v>
      </c>
      <c r="F27" s="54" t="s">
        <v>510</v>
      </c>
      <c r="G27" s="54" t="s">
        <v>655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659</v>
      </c>
      <c r="D28" s="51" t="s">
        <v>672</v>
      </c>
      <c r="E28" s="14" t="s">
        <v>485</v>
      </c>
      <c r="F28" s="54" t="s">
        <v>510</v>
      </c>
      <c r="G28" s="54" t="s">
        <v>655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660</v>
      </c>
      <c r="D29" s="51" t="s">
        <v>673</v>
      </c>
      <c r="E29" s="14" t="s">
        <v>485</v>
      </c>
      <c r="F29" s="54" t="s">
        <v>510</v>
      </c>
      <c r="G29" s="54" t="s">
        <v>655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661</v>
      </c>
      <c r="D30" s="51" t="s">
        <v>674</v>
      </c>
      <c r="E30" s="14" t="s">
        <v>485</v>
      </c>
      <c r="F30" s="54" t="s">
        <v>510</v>
      </c>
      <c r="G30" s="54" t="s">
        <v>655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14" t="s">
        <v>485</v>
      </c>
      <c r="F31" s="54" t="s">
        <v>510</v>
      </c>
      <c r="G31" s="54" t="s">
        <v>662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680</v>
      </c>
      <c r="D32" s="51" t="s">
        <v>681</v>
      </c>
      <c r="E32" s="14" t="s">
        <v>485</v>
      </c>
      <c r="F32" s="54" t="s">
        <v>510</v>
      </c>
      <c r="G32" s="54" t="s">
        <v>662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663</v>
      </c>
      <c r="D33" s="51" t="s">
        <v>675</v>
      </c>
      <c r="E33" s="14" t="s">
        <v>485</v>
      </c>
      <c r="F33" s="54" t="s">
        <v>510</v>
      </c>
      <c r="G33" s="54" t="s">
        <v>662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684</v>
      </c>
      <c r="D34" s="51" t="s">
        <v>683</v>
      </c>
      <c r="E34" s="14" t="s">
        <v>485</v>
      </c>
      <c r="F34" s="54" t="s">
        <v>510</v>
      </c>
      <c r="G34" s="54" t="s">
        <v>662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685</v>
      </c>
      <c r="D35" s="51" t="s">
        <v>682</v>
      </c>
      <c r="E35" s="14" t="s">
        <v>485</v>
      </c>
      <c r="F35" s="54" t="s">
        <v>510</v>
      </c>
      <c r="G35" s="54" t="s">
        <v>662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664</v>
      </c>
      <c r="D36" s="51" t="s">
        <v>676</v>
      </c>
      <c r="E36" s="14" t="s">
        <v>485</v>
      </c>
      <c r="F36" s="54" t="s">
        <v>510</v>
      </c>
      <c r="G36" s="54" t="s">
        <v>662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678</v>
      </c>
      <c r="D37" s="51" t="s">
        <v>679</v>
      </c>
      <c r="E37" s="14" t="s">
        <v>485</v>
      </c>
      <c r="F37" s="54" t="s">
        <v>510</v>
      </c>
      <c r="G37" s="54" t="s">
        <v>662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665</v>
      </c>
      <c r="D38" s="51" t="s">
        <v>677</v>
      </c>
      <c r="E38" s="14" t="s">
        <v>485</v>
      </c>
      <c r="F38" s="54" t="s">
        <v>510</v>
      </c>
      <c r="G38" s="54" t="s">
        <v>662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575</v>
      </c>
      <c r="D39" s="51" t="s">
        <v>570</v>
      </c>
      <c r="E39" s="14" t="s">
        <v>485</v>
      </c>
      <c r="F39" s="14" t="s">
        <v>570</v>
      </c>
      <c r="G39" s="54" t="s">
        <v>519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577</v>
      </c>
      <c r="D40" s="51" t="s">
        <v>576</v>
      </c>
      <c r="E40" s="14" t="s">
        <v>485</v>
      </c>
      <c r="F40" s="14" t="s">
        <v>570</v>
      </c>
      <c r="G40" s="54" t="s">
        <v>571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578</v>
      </c>
      <c r="D41" s="51" t="s">
        <v>581</v>
      </c>
      <c r="E41" s="14" t="s">
        <v>485</v>
      </c>
      <c r="F41" s="14" t="s">
        <v>570</v>
      </c>
      <c r="G41" s="54" t="s">
        <v>572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579</v>
      </c>
      <c r="D42" s="51" t="s">
        <v>580</v>
      </c>
      <c r="E42" s="14" t="s">
        <v>485</v>
      </c>
      <c r="F42" s="14" t="s">
        <v>570</v>
      </c>
      <c r="G42" s="54" t="s">
        <v>573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582</v>
      </c>
      <c r="D43" s="51" t="s">
        <v>574</v>
      </c>
      <c r="E43" s="14" t="s">
        <v>485</v>
      </c>
      <c r="F43" s="14" t="s">
        <v>570</v>
      </c>
      <c r="G43" s="54" t="s">
        <v>574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584</v>
      </c>
      <c r="D44" s="51" t="s">
        <v>585</v>
      </c>
      <c r="E44" s="14" t="s">
        <v>485</v>
      </c>
      <c r="F44" s="14" t="s">
        <v>570</v>
      </c>
      <c r="G44" s="54" t="s">
        <v>583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586</v>
      </c>
      <c r="D45" s="51" t="s">
        <v>510</v>
      </c>
      <c r="E45" s="14" t="s">
        <v>485</v>
      </c>
      <c r="F45" s="14" t="s">
        <v>570</v>
      </c>
      <c r="G45" s="54" t="s">
        <v>510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520</v>
      </c>
      <c r="D46" s="51" t="s">
        <v>597</v>
      </c>
      <c r="E46" s="14" t="s">
        <v>485</v>
      </c>
      <c r="F46" s="14" t="s">
        <v>517</v>
      </c>
      <c r="G46" s="14" t="s">
        <v>518</v>
      </c>
      <c r="H46" s="14" t="s">
        <v>597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500</v>
      </c>
      <c r="D47" s="51" t="s">
        <v>486</v>
      </c>
      <c r="E47" s="14" t="s">
        <v>485</v>
      </c>
      <c r="F47" s="14" t="s">
        <v>517</v>
      </c>
      <c r="G47" s="14" t="s">
        <v>518</v>
      </c>
      <c r="H47" s="14" t="s">
        <v>487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792</v>
      </c>
      <c r="D48" s="51" t="s">
        <v>804</v>
      </c>
      <c r="E48" s="14" t="s">
        <v>485</v>
      </c>
      <c r="F48" s="14" t="s">
        <v>517</v>
      </c>
      <c r="G48" s="14" t="s">
        <v>793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797</v>
      </c>
      <c r="D49" s="51" t="s">
        <v>803</v>
      </c>
      <c r="E49" s="14" t="s">
        <v>485</v>
      </c>
      <c r="F49" s="14" t="s">
        <v>517</v>
      </c>
      <c r="G49" s="14" t="s">
        <v>793</v>
      </c>
      <c r="H49" s="14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798</v>
      </c>
      <c r="D50" s="51" t="s">
        <v>794</v>
      </c>
      <c r="E50" s="14" t="s">
        <v>485</v>
      </c>
      <c r="F50" s="14" t="s">
        <v>517</v>
      </c>
      <c r="G50" s="14" t="s">
        <v>793</v>
      </c>
      <c r="H50" s="14" t="s">
        <v>794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799</v>
      </c>
      <c r="D51" s="51" t="s">
        <v>795</v>
      </c>
      <c r="E51" s="14" t="s">
        <v>485</v>
      </c>
      <c r="F51" s="14" t="s">
        <v>517</v>
      </c>
      <c r="G51" s="14" t="s">
        <v>793</v>
      </c>
      <c r="H51" s="14" t="s">
        <v>795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800</v>
      </c>
      <c r="D52" s="51" t="s">
        <v>802</v>
      </c>
      <c r="E52" s="14" t="s">
        <v>485</v>
      </c>
      <c r="F52" s="14" t="s">
        <v>517</v>
      </c>
      <c r="G52" s="14" t="s">
        <v>793</v>
      </c>
      <c r="H52" s="14" t="s">
        <v>796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801</v>
      </c>
      <c r="D53" s="51" t="s">
        <v>587</v>
      </c>
      <c r="E53" s="14" t="s">
        <v>485</v>
      </c>
      <c r="F53" s="14" t="s">
        <v>517</v>
      </c>
      <c r="G53" s="14" t="s">
        <v>793</v>
      </c>
      <c r="H53" s="14" t="s">
        <v>587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501</v>
      </c>
      <c r="D54" s="51" t="s">
        <v>489</v>
      </c>
      <c r="E54" s="19" t="s">
        <v>485</v>
      </c>
      <c r="F54" s="14" t="s">
        <v>517</v>
      </c>
      <c r="G54" s="19" t="s">
        <v>488</v>
      </c>
      <c r="H54" s="14" t="s">
        <v>490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502</v>
      </c>
      <c r="D55" s="51" t="s">
        <v>496</v>
      </c>
      <c r="E55" s="19" t="s">
        <v>485</v>
      </c>
      <c r="F55" s="14" t="s">
        <v>517</v>
      </c>
      <c r="G55" s="19" t="s">
        <v>488</v>
      </c>
      <c r="H55" s="14" t="s">
        <v>497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503</v>
      </c>
      <c r="D56" s="51" t="s">
        <v>493</v>
      </c>
      <c r="E56" s="14" t="s">
        <v>485</v>
      </c>
      <c r="F56" s="14" t="s">
        <v>517</v>
      </c>
      <c r="G56" s="14" t="s">
        <v>488</v>
      </c>
      <c r="H56" s="14" t="s">
        <v>494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505</v>
      </c>
      <c r="D57" s="51" t="s">
        <v>491</v>
      </c>
      <c r="E57" s="14" t="s">
        <v>485</v>
      </c>
      <c r="F57" s="14" t="s">
        <v>517</v>
      </c>
      <c r="G57" s="14" t="s">
        <v>488</v>
      </c>
      <c r="H57" s="14" t="s">
        <v>492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504</v>
      </c>
      <c r="D58" s="51" t="s">
        <v>498</v>
      </c>
      <c r="E58" s="14" t="s">
        <v>485</v>
      </c>
      <c r="F58" s="14" t="s">
        <v>517</v>
      </c>
      <c r="G58" s="14" t="s">
        <v>488</v>
      </c>
      <c r="H58" s="14" t="s">
        <v>499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506</v>
      </c>
      <c r="D59" s="51" t="s">
        <v>156</v>
      </c>
      <c r="E59" s="14" t="s">
        <v>485</v>
      </c>
      <c r="F59" s="14" t="s">
        <v>517</v>
      </c>
      <c r="G59" s="14" t="s">
        <v>488</v>
      </c>
      <c r="H59" s="14" t="s">
        <v>495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596</v>
      </c>
      <c r="D60" s="51" t="s">
        <v>519</v>
      </c>
      <c r="E60" s="14" t="s">
        <v>485</v>
      </c>
      <c r="F60" s="14" t="s">
        <v>593</v>
      </c>
      <c r="G60" s="14" t="s">
        <v>519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595</v>
      </c>
      <c r="D61" s="51" t="s">
        <v>594</v>
      </c>
      <c r="E61" s="14" t="s">
        <v>485</v>
      </c>
      <c r="F61" s="14" t="s">
        <v>593</v>
      </c>
      <c r="G61" s="14" t="s">
        <v>594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816</v>
      </c>
      <c r="D62" s="51" t="s">
        <v>814</v>
      </c>
      <c r="E62" s="14" t="s">
        <v>485</v>
      </c>
      <c r="F62" s="14" t="s">
        <v>812</v>
      </c>
      <c r="G62" s="14" t="s">
        <v>814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815</v>
      </c>
      <c r="D63" s="51" t="s">
        <v>813</v>
      </c>
      <c r="E63" s="14" t="s">
        <v>485</v>
      </c>
      <c r="F63" s="14" t="s">
        <v>812</v>
      </c>
      <c r="G63" s="14" t="s">
        <v>813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805</v>
      </c>
      <c r="D64" s="51" t="s">
        <v>806</v>
      </c>
      <c r="E64" s="14" t="s">
        <v>485</v>
      </c>
      <c r="F64" s="14" t="s">
        <v>639</v>
      </c>
      <c r="G64" s="14" t="s">
        <v>640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641</v>
      </c>
      <c r="D65" s="51" t="s">
        <v>767</v>
      </c>
      <c r="E65" s="14" t="s">
        <v>485</v>
      </c>
      <c r="F65" s="14" t="s">
        <v>639</v>
      </c>
      <c r="G65" s="14" t="s">
        <v>640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642</v>
      </c>
      <c r="D66" s="51" t="s">
        <v>766</v>
      </c>
      <c r="E66" s="14" t="s">
        <v>485</v>
      </c>
      <c r="F66" s="14" t="s">
        <v>639</v>
      </c>
      <c r="G66" s="14" t="s">
        <v>640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643</v>
      </c>
      <c r="D67" s="51" t="s">
        <v>768</v>
      </c>
      <c r="E67" s="14" t="s">
        <v>485</v>
      </c>
      <c r="F67" s="14" t="s">
        <v>639</v>
      </c>
      <c r="G67" s="14" t="s">
        <v>640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769</v>
      </c>
      <c r="D68" s="51" t="s">
        <v>770</v>
      </c>
      <c r="E68" s="14" t="s">
        <v>485</v>
      </c>
      <c r="F68" s="14" t="s">
        <v>639</v>
      </c>
      <c r="G68" s="14" t="s">
        <v>640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644</v>
      </c>
      <c r="D69" s="51" t="s">
        <v>647</v>
      </c>
      <c r="E69" s="14" t="s">
        <v>485</v>
      </c>
      <c r="F69" s="14" t="s">
        <v>639</v>
      </c>
      <c r="G69" s="14" t="s">
        <v>640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645</v>
      </c>
      <c r="D70" s="51" t="s">
        <v>771</v>
      </c>
      <c r="E70" s="14" t="s">
        <v>485</v>
      </c>
      <c r="F70" s="14" t="s">
        <v>639</v>
      </c>
      <c r="G70" s="14" t="s">
        <v>640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646</v>
      </c>
      <c r="D71" s="51" t="s">
        <v>648</v>
      </c>
      <c r="E71" s="14" t="s">
        <v>485</v>
      </c>
      <c r="F71" s="14" t="s">
        <v>639</v>
      </c>
      <c r="G71" s="14" t="s">
        <v>640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773</v>
      </c>
      <c r="D72" s="51" t="s">
        <v>772</v>
      </c>
      <c r="E72" s="14" t="s">
        <v>485</v>
      </c>
      <c r="F72" s="14" t="s">
        <v>639</v>
      </c>
      <c r="G72" s="14" t="s">
        <v>640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809</v>
      </c>
      <c r="D73" s="51" t="s">
        <v>810</v>
      </c>
      <c r="E73" s="14" t="s">
        <v>485</v>
      </c>
      <c r="F73" s="14" t="s">
        <v>639</v>
      </c>
      <c r="G73" s="14" t="s">
        <v>640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807</v>
      </c>
      <c r="D74" s="51" t="s">
        <v>808</v>
      </c>
      <c r="E74" s="14" t="s">
        <v>485</v>
      </c>
      <c r="F74" s="14" t="s">
        <v>639</v>
      </c>
      <c r="G74" s="14" t="s">
        <v>640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790</v>
      </c>
      <c r="D75" s="51" t="s">
        <v>791</v>
      </c>
      <c r="E75" s="14" t="s">
        <v>485</v>
      </c>
      <c r="F75" s="14" t="s">
        <v>639</v>
      </c>
      <c r="G75" s="14" t="s">
        <v>640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589</v>
      </c>
      <c r="D76" s="51" t="s">
        <v>592</v>
      </c>
      <c r="E76" s="14" t="s">
        <v>485</v>
      </c>
      <c r="F76" s="14" t="s">
        <v>587</v>
      </c>
      <c r="G76" s="14" t="s">
        <v>588</v>
      </c>
      <c r="H76" s="14" t="s">
        <v>519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590</v>
      </c>
      <c r="D77" s="51" t="s">
        <v>591</v>
      </c>
      <c r="E77" s="14" t="s">
        <v>485</v>
      </c>
      <c r="F77" s="14" t="s">
        <v>587</v>
      </c>
      <c r="G77" s="14" t="s">
        <v>588</v>
      </c>
      <c r="H77" s="14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1" t="s">
        <v>207</v>
      </c>
      <c r="D78" s="51" t="s">
        <v>471</v>
      </c>
      <c r="E78" s="14" t="s">
        <v>479</v>
      </c>
      <c r="F78" s="14" t="s">
        <v>318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1" t="s">
        <v>876</v>
      </c>
      <c r="D79" s="51" t="s">
        <v>877</v>
      </c>
      <c r="E79" s="14" t="s">
        <v>479</v>
      </c>
      <c r="F79" s="14" t="s">
        <v>318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1" t="s">
        <v>98</v>
      </c>
      <c r="D80" s="51" t="s">
        <v>472</v>
      </c>
      <c r="E80" s="14" t="s">
        <v>479</v>
      </c>
      <c r="F80" s="14" t="s">
        <v>318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1" t="s">
        <v>97</v>
      </c>
      <c r="D81" s="51" t="s">
        <v>522</v>
      </c>
      <c r="E81" s="14" t="s">
        <v>479</v>
      </c>
      <c r="F81" s="14" t="s">
        <v>318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1" t="s">
        <v>94</v>
      </c>
      <c r="D82" s="51" t="s">
        <v>477</v>
      </c>
      <c r="E82" s="14" t="s">
        <v>479</v>
      </c>
      <c r="F82" s="14" t="s">
        <v>318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1" t="s">
        <v>99</v>
      </c>
      <c r="D83" s="51" t="s">
        <v>533</v>
      </c>
      <c r="E83" s="14" t="s">
        <v>479</v>
      </c>
      <c r="F83" s="14" t="s">
        <v>318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1" t="s">
        <v>33</v>
      </c>
      <c r="D84" s="51" t="s">
        <v>473</v>
      </c>
      <c r="E84" s="14" t="s">
        <v>479</v>
      </c>
      <c r="F84" s="14" t="s">
        <v>318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1" t="s">
        <v>886</v>
      </c>
      <c r="D85" s="51" t="s">
        <v>887</v>
      </c>
      <c r="E85" s="14" t="s">
        <v>479</v>
      </c>
      <c r="F85" s="14" t="s">
        <v>318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1" t="s">
        <v>35</v>
      </c>
      <c r="D86" s="51" t="s">
        <v>478</v>
      </c>
      <c r="E86" s="14" t="s">
        <v>479</v>
      </c>
      <c r="F86" s="14" t="s">
        <v>318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1" t="s">
        <v>204</v>
      </c>
      <c r="D87" s="51" t="s">
        <v>523</v>
      </c>
      <c r="E87" s="14" t="s">
        <v>479</v>
      </c>
      <c r="F87" s="14" t="s">
        <v>318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1" t="s">
        <v>214</v>
      </c>
      <c r="D88" s="51" t="s">
        <v>524</v>
      </c>
      <c r="E88" s="14" t="s">
        <v>479</v>
      </c>
      <c r="F88" s="14" t="s">
        <v>318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1" t="s">
        <v>101</v>
      </c>
      <c r="D89" s="51" t="s">
        <v>525</v>
      </c>
      <c r="E89" s="14" t="s">
        <v>479</v>
      </c>
      <c r="F89" s="14" t="s">
        <v>318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2" t="s">
        <v>354</v>
      </c>
      <c r="D90" s="51" t="s">
        <v>526</v>
      </c>
      <c r="E90" s="14" t="s">
        <v>479</v>
      </c>
      <c r="F90" s="14" t="s">
        <v>318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Item_Name_3007</v>
      </c>
      <c r="C91" s="52" t="s">
        <v>904</v>
      </c>
      <c r="D91" s="51" t="s">
        <v>905</v>
      </c>
      <c r="E91" s="14" t="s">
        <v>479</v>
      </c>
      <c r="F91" s="14" t="s">
        <v>318</v>
      </c>
      <c r="G91" s="19">
        <v>3007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92" spans="2:9">
      <c r="B92" t="str">
        <f>LocaleTable[[#This Row],['#인덱스제너레이터]]</f>
        <v>Item_Name_4000</v>
      </c>
      <c r="C92" s="51" t="s">
        <v>96</v>
      </c>
      <c r="D92" s="51" t="s">
        <v>527</v>
      </c>
      <c r="E92" s="14" t="s">
        <v>479</v>
      </c>
      <c r="F92" s="14" t="s">
        <v>318</v>
      </c>
      <c r="G92" s="19">
        <v>4000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3" spans="2:9">
      <c r="B93" t="str">
        <f>LocaleTable[[#This Row],['#인덱스제너레이터]]</f>
        <v>Item_Name_4001</v>
      </c>
      <c r="C93" s="51" t="s">
        <v>93</v>
      </c>
      <c r="D93" s="51" t="s">
        <v>474</v>
      </c>
      <c r="E93" s="14" t="s">
        <v>479</v>
      </c>
      <c r="F93" s="14" t="s">
        <v>318</v>
      </c>
      <c r="G93" s="19">
        <v>4001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4" spans="2:9">
      <c r="B94" t="str">
        <f>LocaleTable[[#This Row],['#인덱스제너레이터]]</f>
        <v>Item_Name_4002</v>
      </c>
      <c r="C94" s="51" t="s">
        <v>891</v>
      </c>
      <c r="D94" s="51" t="s">
        <v>888</v>
      </c>
      <c r="E94" s="14" t="s">
        <v>479</v>
      </c>
      <c r="F94" s="14" t="s">
        <v>318</v>
      </c>
      <c r="G94" s="19">
        <v>4002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5" spans="2:9">
      <c r="B95" t="str">
        <f>LocaleTable[[#This Row],['#인덱스제너레이터]]</f>
        <v>Item_Name_4003</v>
      </c>
      <c r="C95" s="51" t="s">
        <v>205</v>
      </c>
      <c r="D95" s="51" t="s">
        <v>892</v>
      </c>
      <c r="E95" s="14" t="s">
        <v>479</v>
      </c>
      <c r="F95" s="14" t="s">
        <v>318</v>
      </c>
      <c r="G95" s="19">
        <v>4003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6" spans="2:9">
      <c r="B96" t="str">
        <f>LocaleTable[[#This Row],['#인덱스제너레이터]]</f>
        <v>Item_Name_4004</v>
      </c>
      <c r="C96" s="51" t="s">
        <v>359</v>
      </c>
      <c r="D96" s="51" t="s">
        <v>528</v>
      </c>
      <c r="E96" s="14" t="s">
        <v>479</v>
      </c>
      <c r="F96" s="14" t="s">
        <v>318</v>
      </c>
      <c r="G96" s="19">
        <v>4004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7" spans="2:9">
      <c r="B97" t="str">
        <f>LocaleTable[[#This Row],['#인덱스제너레이터]]</f>
        <v>Item_Name_4005</v>
      </c>
      <c r="C97" s="51" t="s">
        <v>432</v>
      </c>
      <c r="D97" s="51" t="s">
        <v>529</v>
      </c>
      <c r="E97" s="14" t="s">
        <v>479</v>
      </c>
      <c r="F97" s="14" t="s">
        <v>318</v>
      </c>
      <c r="G97" s="19">
        <v>4005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8" spans="2:9">
      <c r="B98" t="str">
        <f>LocaleTable[[#This Row],['#인덱스제너레이터]]</f>
        <v>Item_Name_4006</v>
      </c>
      <c r="C98" s="51" t="s">
        <v>435</v>
      </c>
      <c r="D98" s="51" t="s">
        <v>747</v>
      </c>
      <c r="E98" s="14" t="s">
        <v>479</v>
      </c>
      <c r="F98" s="14" t="s">
        <v>318</v>
      </c>
      <c r="G98" s="19">
        <v>4006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9" spans="2:9">
      <c r="B99" t="str">
        <f>LocaleTable[[#This Row],['#인덱스제너레이터]]</f>
        <v>Item_Name_4007</v>
      </c>
      <c r="C99" s="52" t="s">
        <v>898</v>
      </c>
      <c r="D99" s="52" t="s">
        <v>897</v>
      </c>
      <c r="E99" s="14" t="s">
        <v>479</v>
      </c>
      <c r="F99" s="14" t="s">
        <v>318</v>
      </c>
      <c r="G99" s="19">
        <v>4007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00" spans="2:9">
      <c r="B100" t="str">
        <f>LocaleTable[[#This Row],['#인덱스제너레이터]]</f>
        <v>Item_Name_10000</v>
      </c>
      <c r="C100" s="51" t="s">
        <v>350</v>
      </c>
      <c r="D100" s="51" t="s">
        <v>530</v>
      </c>
      <c r="E100" s="14" t="s">
        <v>479</v>
      </c>
      <c r="F100" s="14" t="s">
        <v>318</v>
      </c>
      <c r="G100" s="19">
        <v>10000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01" spans="2:9">
      <c r="B101" t="str">
        <f>LocaleTable[[#This Row],['#인덱스제너레이터]]</f>
        <v>Item_Name_10001</v>
      </c>
      <c r="C101" s="52" t="s">
        <v>363</v>
      </c>
      <c r="D101" s="51" t="s">
        <v>531</v>
      </c>
      <c r="E101" s="14" t="s">
        <v>479</v>
      </c>
      <c r="F101" s="14" t="s">
        <v>318</v>
      </c>
      <c r="G101" s="19">
        <v>10001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2" spans="2:9">
      <c r="B102" t="str">
        <f>LocaleTable[[#This Row],['#인덱스제너레이터]]</f>
        <v>Item_Name_10002</v>
      </c>
      <c r="C102" s="52" t="s">
        <v>469</v>
      </c>
      <c r="D102" s="51" t="s">
        <v>475</v>
      </c>
      <c r="E102" s="14" t="s">
        <v>479</v>
      </c>
      <c r="F102" s="14" t="s">
        <v>318</v>
      </c>
      <c r="G102" s="19">
        <v>10002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3" spans="2:9">
      <c r="B103" t="str">
        <f>LocaleTable[[#This Row],['#인덱스제너레이터]]</f>
        <v>Item_Name_10003</v>
      </c>
      <c r="C103" s="52" t="s">
        <v>352</v>
      </c>
      <c r="D103" s="51" t="s">
        <v>532</v>
      </c>
      <c r="E103" s="14" t="s">
        <v>479</v>
      </c>
      <c r="F103" s="14" t="s">
        <v>318</v>
      </c>
      <c r="G103" s="19">
        <v>10003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4" spans="2:9">
      <c r="B104" t="str">
        <f>LocaleTable[[#This Row],['#인덱스제너레이터]]</f>
        <v>Item_Name_10004</v>
      </c>
      <c r="C104" s="51" t="s">
        <v>437</v>
      </c>
      <c r="D104" s="51" t="s">
        <v>476</v>
      </c>
      <c r="E104" s="14" t="s">
        <v>479</v>
      </c>
      <c r="F104" s="14" t="s">
        <v>318</v>
      </c>
      <c r="G104" s="19">
        <v>10004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5" spans="2:9">
      <c r="B105" t="str">
        <f>LocaleTable[[#This Row],['#인덱스제너레이터]]</f>
        <v>Item_Name_10005</v>
      </c>
      <c r="C105" s="51" t="s">
        <v>441</v>
      </c>
      <c r="D105" s="51" t="s">
        <v>748</v>
      </c>
      <c r="E105" s="14" t="s">
        <v>479</v>
      </c>
      <c r="F105" s="14" t="s">
        <v>318</v>
      </c>
      <c r="G105" s="19">
        <v>10005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6" spans="2:9">
      <c r="B106" t="str">
        <f>LocaleTable[[#This Row],['#인덱스제너레이터]]</f>
        <v>Item_Desc_2000</v>
      </c>
      <c r="C106" s="51" t="s">
        <v>390</v>
      </c>
      <c r="D106" s="51" t="s">
        <v>535</v>
      </c>
      <c r="E106" s="14" t="s">
        <v>479</v>
      </c>
      <c r="F106" s="14" t="s">
        <v>484</v>
      </c>
      <c r="G106" s="19">
        <v>2000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7" spans="2:9" ht="34.799999999999997">
      <c r="B107" t="str">
        <f>LocaleTable[[#This Row],['#인덱스제너레이터]]</f>
        <v>Item_Desc_2001</v>
      </c>
      <c r="C107" s="52" t="s">
        <v>893</v>
      </c>
      <c r="D107" s="51" t="s">
        <v>894</v>
      </c>
      <c r="E107" s="14" t="s">
        <v>479</v>
      </c>
      <c r="F107" s="14" t="s">
        <v>484</v>
      </c>
      <c r="G107" s="19">
        <v>2001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8" spans="2:9">
      <c r="B108" t="str">
        <f>LocaleTable[[#This Row],['#인덱스제너레이터]]</f>
        <v>Item_Desc_2002</v>
      </c>
      <c r="C108" s="52" t="s">
        <v>224</v>
      </c>
      <c r="D108" s="51" t="s">
        <v>536</v>
      </c>
      <c r="E108" s="14" t="s">
        <v>479</v>
      </c>
      <c r="F108" s="14" t="s">
        <v>484</v>
      </c>
      <c r="G108" s="19">
        <v>2002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9" spans="2:9" ht="34.799999999999997">
      <c r="B109" t="str">
        <f>LocaleTable[[#This Row],['#인덱스제너레이터]]</f>
        <v>Item_Desc_2003</v>
      </c>
      <c r="C109" s="51" t="s">
        <v>225</v>
      </c>
      <c r="D109" s="51" t="s">
        <v>686</v>
      </c>
      <c r="E109" s="14" t="s">
        <v>479</v>
      </c>
      <c r="F109" s="14" t="s">
        <v>484</v>
      </c>
      <c r="G109" s="19">
        <v>2003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10" spans="2:9" ht="34.799999999999997">
      <c r="B110" t="str">
        <f>LocaleTable[[#This Row],['#인덱스제너레이터]]</f>
        <v>Item_Desc_2004</v>
      </c>
      <c r="C110" s="53" t="s">
        <v>365</v>
      </c>
      <c r="D110" s="51" t="s">
        <v>537</v>
      </c>
      <c r="E110" s="14" t="s">
        <v>479</v>
      </c>
      <c r="F110" s="14" t="s">
        <v>484</v>
      </c>
      <c r="G110" s="19">
        <v>2004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11" spans="2:9">
      <c r="B111" t="str">
        <f>LocaleTable[[#This Row],['#인덱스제너레이터]]</f>
        <v>Item_Desc_2005</v>
      </c>
      <c r="C111" s="51" t="s">
        <v>229</v>
      </c>
      <c r="D111" s="51" t="s">
        <v>687</v>
      </c>
      <c r="E111" s="14" t="s">
        <v>479</v>
      </c>
      <c r="F111" s="14" t="s">
        <v>484</v>
      </c>
      <c r="G111" s="19">
        <v>2005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2" spans="2:9">
      <c r="B112" t="str">
        <f>LocaleTable[[#This Row],['#인덱스제너레이터]]</f>
        <v>Item_Desc_3000</v>
      </c>
      <c r="C112" s="53" t="s">
        <v>538</v>
      </c>
      <c r="D112" s="51" t="s">
        <v>688</v>
      </c>
      <c r="E112" s="14" t="s">
        <v>479</v>
      </c>
      <c r="F112" s="14" t="s">
        <v>484</v>
      </c>
      <c r="G112" s="19">
        <v>3000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3" spans="2:9">
      <c r="B113" t="str">
        <f>LocaleTable[[#This Row],['#인덱스제너레이터]]</f>
        <v>Item_Desc_3001</v>
      </c>
      <c r="C113" s="74" t="s">
        <v>895</v>
      </c>
      <c r="D113" s="53" t="s">
        <v>896</v>
      </c>
      <c r="E113" s="14" t="s">
        <v>479</v>
      </c>
      <c r="F113" s="14" t="s">
        <v>484</v>
      </c>
      <c r="G113" s="19">
        <v>3001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4" spans="2:9">
      <c r="B114" t="str">
        <f>LocaleTable[[#This Row],['#인덱스제너레이터]]</f>
        <v>Item_Desc_3002</v>
      </c>
      <c r="C114" s="52" t="s">
        <v>366</v>
      </c>
      <c r="D114" s="51" t="s">
        <v>820</v>
      </c>
      <c r="E114" s="14" t="s">
        <v>479</v>
      </c>
      <c r="F114" s="14" t="s">
        <v>484</v>
      </c>
      <c r="G114" s="19">
        <v>3002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5" spans="2:9" ht="34.799999999999997">
      <c r="B115" t="str">
        <f>LocaleTable[[#This Row],['#인덱스제너레이터]]</f>
        <v>Item_Desc_3003</v>
      </c>
      <c r="C115" s="52" t="s">
        <v>821</v>
      </c>
      <c r="D115" s="51" t="s">
        <v>689</v>
      </c>
      <c r="E115" s="14" t="s">
        <v>479</v>
      </c>
      <c r="F115" s="14" t="s">
        <v>484</v>
      </c>
      <c r="G115" s="19">
        <v>3003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6" spans="2:9">
      <c r="B116" t="str">
        <f>LocaleTable[[#This Row],['#인덱스제너레이터]]</f>
        <v>Item_Desc_3004</v>
      </c>
      <c r="C116" s="52" t="s">
        <v>227</v>
      </c>
      <c r="D116" s="51" t="s">
        <v>693</v>
      </c>
      <c r="E116" s="14" t="s">
        <v>479</v>
      </c>
      <c r="F116" s="14" t="s">
        <v>484</v>
      </c>
      <c r="G116" s="19">
        <v>3004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7" spans="2:9">
      <c r="B117" t="str">
        <f>LocaleTable[[#This Row],['#인덱스제너레이터]]</f>
        <v>Item_Desc_3005</v>
      </c>
      <c r="C117" s="52" t="s">
        <v>534</v>
      </c>
      <c r="D117" s="51" t="s">
        <v>822</v>
      </c>
      <c r="E117" s="14" t="s">
        <v>479</v>
      </c>
      <c r="F117" s="14" t="s">
        <v>484</v>
      </c>
      <c r="G117" s="19">
        <v>3005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8" spans="2:9">
      <c r="B118" t="str">
        <f>LocaleTable[[#This Row],['#인덱스제너레이터]]</f>
        <v>Item_Desc_3006</v>
      </c>
      <c r="C118" s="52" t="s">
        <v>355</v>
      </c>
      <c r="D118" s="51" t="s">
        <v>823</v>
      </c>
      <c r="E118" s="14" t="s">
        <v>479</v>
      </c>
      <c r="F118" s="14" t="s">
        <v>484</v>
      </c>
      <c r="G118" s="19">
        <v>3006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9" spans="2:9" ht="34.799999999999997">
      <c r="B119" t="str">
        <f>LocaleTable[[#This Row],['#인덱스제너레이터]]</f>
        <v>Item_Desc_3007</v>
      </c>
      <c r="C119" s="52" t="s">
        <v>918</v>
      </c>
      <c r="D119" s="51" t="s">
        <v>919</v>
      </c>
      <c r="E119" s="14" t="s">
        <v>479</v>
      </c>
      <c r="F119" s="14" t="s">
        <v>484</v>
      </c>
      <c r="G119" s="19">
        <v>3007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20" spans="2:9" ht="34.799999999999997">
      <c r="B120" t="str">
        <f>LocaleTable[[#This Row],['#인덱스제너레이터]]</f>
        <v>Item_Desc_4000</v>
      </c>
      <c r="C120" s="51" t="s">
        <v>228</v>
      </c>
      <c r="D120" s="51" t="s">
        <v>824</v>
      </c>
      <c r="E120" s="14" t="s">
        <v>479</v>
      </c>
      <c r="F120" s="14" t="s">
        <v>484</v>
      </c>
      <c r="G120" s="19">
        <v>4000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21" spans="2:9">
      <c r="B121" t="str">
        <f>LocaleTable[[#This Row],['#인덱스제너레이터]]</f>
        <v>Item_Desc_4001</v>
      </c>
      <c r="C121" s="51" t="s">
        <v>369</v>
      </c>
      <c r="D121" s="51" t="s">
        <v>825</v>
      </c>
      <c r="E121" s="14" t="s">
        <v>479</v>
      </c>
      <c r="F121" s="14" t="s">
        <v>484</v>
      </c>
      <c r="G121" s="19">
        <v>4001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22" spans="2:9" ht="34.799999999999997">
      <c r="B122" t="str">
        <f>LocaleTable[[#This Row],['#인덱스제너레이터]]</f>
        <v>Item_Desc_4002</v>
      </c>
      <c r="C122" s="52" t="s">
        <v>889</v>
      </c>
      <c r="D122" s="51" t="s">
        <v>890</v>
      </c>
      <c r="E122" s="14" t="s">
        <v>479</v>
      </c>
      <c r="F122" s="14" t="s">
        <v>484</v>
      </c>
      <c r="G122" s="19">
        <v>4002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3" spans="2:9" ht="34.799999999999997">
      <c r="B123" t="str">
        <f>LocaleTable[[#This Row],['#인덱스제너레이터]]</f>
        <v>Item_Desc_4003</v>
      </c>
      <c r="C123" s="51" t="s">
        <v>226</v>
      </c>
      <c r="D123" s="51" t="s">
        <v>541</v>
      </c>
      <c r="E123" s="14" t="s">
        <v>479</v>
      </c>
      <c r="F123" s="14" t="s">
        <v>484</v>
      </c>
      <c r="G123" s="19">
        <v>4003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4" spans="2:9" ht="34.799999999999997">
      <c r="B124" t="str">
        <f>LocaleTable[[#This Row],['#인덱스제너레이터]]</f>
        <v>Item_Desc_4004</v>
      </c>
      <c r="C124" s="51" t="s">
        <v>230</v>
      </c>
      <c r="D124" s="51" t="s">
        <v>540</v>
      </c>
      <c r="E124" s="14" t="s">
        <v>479</v>
      </c>
      <c r="F124" s="14" t="s">
        <v>484</v>
      </c>
      <c r="G124" s="19">
        <v>4004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5" spans="2:9">
      <c r="B125" t="str">
        <f>LocaleTable[[#This Row],['#인덱스제너레이터]]</f>
        <v>Item_Desc_4005</v>
      </c>
      <c r="C125" s="51" t="s">
        <v>762</v>
      </c>
      <c r="D125" s="51" t="s">
        <v>690</v>
      </c>
      <c r="E125" s="14" t="s">
        <v>479</v>
      </c>
      <c r="F125" s="14" t="s">
        <v>484</v>
      </c>
      <c r="G125" s="19">
        <v>4005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6" spans="2:9">
      <c r="B126" t="str">
        <f>LocaleTable[[#This Row],['#인덱스제너레이터]]</f>
        <v>Item_Desc_4006</v>
      </c>
      <c r="C126" s="51" t="s">
        <v>826</v>
      </c>
      <c r="D126" s="51" t="s">
        <v>542</v>
      </c>
      <c r="E126" s="14" t="s">
        <v>479</v>
      </c>
      <c r="F126" s="14" t="s">
        <v>484</v>
      </c>
      <c r="G126" s="19">
        <v>4006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7" spans="2:9" ht="34.799999999999997">
      <c r="B127" t="str">
        <f>LocaleTable[[#This Row],['#인덱스제너레이터]]</f>
        <v>Item_Desc_4007</v>
      </c>
      <c r="C127" s="74" t="s">
        <v>924</v>
      </c>
      <c r="D127" s="53" t="s">
        <v>925</v>
      </c>
      <c r="E127" s="14" t="s">
        <v>479</v>
      </c>
      <c r="F127" s="14" t="s">
        <v>484</v>
      </c>
      <c r="G127" s="19">
        <v>4007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28" spans="2:9" ht="34.799999999999997">
      <c r="B128" t="str">
        <f>LocaleTable[[#This Row],['#인덱스제너레이터]]</f>
        <v>Item_Desc_10000</v>
      </c>
      <c r="C128" s="51" t="s">
        <v>828</v>
      </c>
      <c r="D128" s="51" t="s">
        <v>691</v>
      </c>
      <c r="E128" s="14" t="s">
        <v>479</v>
      </c>
      <c r="F128" s="14" t="s">
        <v>484</v>
      </c>
      <c r="G128" s="19">
        <v>10000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9" spans="2:9">
      <c r="B129" t="str">
        <f>LocaleTable[[#This Row],['#인덱스제너레이터]]</f>
        <v>Item_Desc_10001</v>
      </c>
      <c r="C129" s="52" t="s">
        <v>367</v>
      </c>
      <c r="D129" s="51" t="s">
        <v>543</v>
      </c>
      <c r="E129" s="14" t="s">
        <v>479</v>
      </c>
      <c r="F129" s="14" t="s">
        <v>484</v>
      </c>
      <c r="G129" s="19">
        <v>10001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30" spans="2:9" ht="34.799999999999997">
      <c r="B130" t="str">
        <f>LocaleTable[[#This Row],['#인덱스제너레이터]]</f>
        <v>Item_Desc_10002</v>
      </c>
      <c r="C130" s="52" t="s">
        <v>827</v>
      </c>
      <c r="D130" s="53" t="s">
        <v>692</v>
      </c>
      <c r="E130" s="14" t="s">
        <v>479</v>
      </c>
      <c r="F130" s="14" t="s">
        <v>484</v>
      </c>
      <c r="G130" s="19">
        <v>10002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31" spans="2:9">
      <c r="B131" t="str">
        <f>LocaleTable[[#This Row],['#인덱스제너레이터]]</f>
        <v>Item_Desc_10003</v>
      </c>
      <c r="C131" s="52" t="s">
        <v>364</v>
      </c>
      <c r="D131" s="51" t="s">
        <v>755</v>
      </c>
      <c r="E131" s="14" t="s">
        <v>479</v>
      </c>
      <c r="F131" s="14" t="s">
        <v>484</v>
      </c>
      <c r="G131" s="19">
        <v>10003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32" spans="2:9">
      <c r="B132" t="str">
        <f>LocaleTable[[#This Row],['#인덱스제너레이터]]</f>
        <v>Item_Desc_10004</v>
      </c>
      <c r="C132" s="51" t="s">
        <v>438</v>
      </c>
      <c r="D132" s="51" t="s">
        <v>549</v>
      </c>
      <c r="E132" s="14" t="s">
        <v>479</v>
      </c>
      <c r="F132" s="14" t="s">
        <v>484</v>
      </c>
      <c r="G132" s="19">
        <v>10004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33" spans="2:9">
      <c r="B133" t="str">
        <f>LocaleTable[[#This Row],['#인덱스제너레이터]]</f>
        <v>Item_Desc_10005</v>
      </c>
      <c r="C133" s="51" t="s">
        <v>442</v>
      </c>
      <c r="D133" s="51" t="s">
        <v>550</v>
      </c>
      <c r="E133" s="14" t="s">
        <v>479</v>
      </c>
      <c r="F133" s="14" t="s">
        <v>484</v>
      </c>
      <c r="G133" s="19">
        <v>10005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4" spans="2:9">
      <c r="B134" t="str">
        <f>LocaleTable[[#This Row],['#인덱스제너레이터]]</f>
        <v>Item_PlusDesc_2000</v>
      </c>
      <c r="C134" s="52" t="s">
        <v>395</v>
      </c>
      <c r="D134" s="51" t="s">
        <v>551</v>
      </c>
      <c r="E134" s="14" t="s">
        <v>479</v>
      </c>
      <c r="F134" s="14" t="s">
        <v>345</v>
      </c>
      <c r="G134" s="19">
        <v>2000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5" spans="2:9">
      <c r="B135" t="str">
        <f>LocaleTable[[#This Row],['#인덱스제너레이터]]</f>
        <v>Item_PlusDesc_2001</v>
      </c>
      <c r="C135" s="51" t="s">
        <v>727</v>
      </c>
      <c r="D135" s="51" t="s">
        <v>737</v>
      </c>
      <c r="E135" s="14" t="s">
        <v>479</v>
      </c>
      <c r="F135" s="14" t="s">
        <v>345</v>
      </c>
      <c r="G135" s="19">
        <v>2001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6" spans="2:9">
      <c r="B136" t="str">
        <f>LocaleTable[[#This Row],['#인덱스제너레이터]]</f>
        <v>Item_PlusDesc_2002</v>
      </c>
      <c r="C136" s="51" t="s">
        <v>728</v>
      </c>
      <c r="D136" s="51" t="s">
        <v>736</v>
      </c>
      <c r="E136" s="14" t="s">
        <v>479</v>
      </c>
      <c r="F136" s="14" t="s">
        <v>345</v>
      </c>
      <c r="G136" s="19">
        <v>2002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7" spans="2:9">
      <c r="B137" t="str">
        <f>LocaleTable[[#This Row],['#인덱스제너레이터]]</f>
        <v>Item_PlusDesc_2003</v>
      </c>
      <c r="C137" s="51" t="s">
        <v>391</v>
      </c>
      <c r="D137" s="51" t="s">
        <v>754</v>
      </c>
      <c r="E137" s="14" t="s">
        <v>479</v>
      </c>
      <c r="F137" s="14" t="s">
        <v>345</v>
      </c>
      <c r="G137" s="19">
        <v>2003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8" spans="2:9">
      <c r="B138" t="str">
        <f>LocaleTable[[#This Row],['#인덱스제너레이터]]</f>
        <v>Item_PlusDesc_2004</v>
      </c>
      <c r="C138" s="51" t="s">
        <v>729</v>
      </c>
      <c r="D138" s="51" t="s">
        <v>735</v>
      </c>
      <c r="E138" s="14" t="s">
        <v>479</v>
      </c>
      <c r="F138" s="14" t="s">
        <v>345</v>
      </c>
      <c r="G138" s="19">
        <v>2004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9" spans="2:9">
      <c r="B139" t="str">
        <f>LocaleTable[[#This Row],['#인덱스제너레이터]]</f>
        <v>Item_PlusDesc_2005</v>
      </c>
      <c r="C139" s="16" t="s">
        <v>749</v>
      </c>
      <c r="D139" s="51" t="s">
        <v>899</v>
      </c>
      <c r="E139" s="14" t="s">
        <v>479</v>
      </c>
      <c r="F139" s="14" t="s">
        <v>345</v>
      </c>
      <c r="G139" s="19">
        <v>2005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40" spans="2:9" ht="34.799999999999997">
      <c r="B140" t="str">
        <f>LocaleTable[[#This Row],['#인덱스제너레이터]]</f>
        <v>Item_PlusDesc_3000</v>
      </c>
      <c r="C140" s="53" t="s">
        <v>429</v>
      </c>
      <c r="D140" s="51" t="s">
        <v>753</v>
      </c>
      <c r="E140" s="14" t="s">
        <v>479</v>
      </c>
      <c r="F140" s="14" t="s">
        <v>345</v>
      </c>
      <c r="G140" s="19">
        <v>3000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41" spans="2:9">
      <c r="B141" t="str">
        <f>LocaleTable[[#This Row],['#인덱스제너레이터]]</f>
        <v>Item_PlusDesc_3001</v>
      </c>
      <c r="C141" s="51" t="s">
        <v>630</v>
      </c>
      <c r="D141" s="51" t="s">
        <v>631</v>
      </c>
      <c r="E141" s="14" t="s">
        <v>479</v>
      </c>
      <c r="F141" s="14" t="s">
        <v>345</v>
      </c>
      <c r="G141" s="19">
        <v>3001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42" spans="2:9" ht="34.799999999999997">
      <c r="B142" t="str">
        <f>LocaleTable[[#This Row],['#인덱스제너레이터]]</f>
        <v>Item_PlusDesc_3002</v>
      </c>
      <c r="C142" s="51" t="s">
        <v>731</v>
      </c>
      <c r="D142" s="51" t="s">
        <v>752</v>
      </c>
      <c r="E142" s="14" t="s">
        <v>479</v>
      </c>
      <c r="F142" s="14" t="s">
        <v>345</v>
      </c>
      <c r="G142" s="19">
        <v>3002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43" spans="2:9">
      <c r="B143" t="str">
        <f>LocaleTable[[#This Row],['#인덱스제너레이터]]</f>
        <v>Item_PlusDesc_3003</v>
      </c>
      <c r="C143" s="51" t="s">
        <v>928</v>
      </c>
      <c r="D143" s="51" t="s">
        <v>929</v>
      </c>
      <c r="E143" s="14" t="s">
        <v>479</v>
      </c>
      <c r="F143" s="14" t="s">
        <v>345</v>
      </c>
      <c r="G143" s="19">
        <v>3003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4" spans="2:9">
      <c r="B144" t="str">
        <f>LocaleTable[[#This Row],['#인덱스제너레이터]]</f>
        <v>Item_PlusDesc_3004</v>
      </c>
      <c r="C144" s="51" t="s">
        <v>371</v>
      </c>
      <c r="D144" s="51" t="s">
        <v>751</v>
      </c>
      <c r="E144" s="14" t="s">
        <v>479</v>
      </c>
      <c r="F144" s="14" t="s">
        <v>345</v>
      </c>
      <c r="G144" s="19">
        <v>3004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5" spans="2:9">
      <c r="B145" t="str">
        <f>LocaleTable[[#This Row],['#인덱스제너레이터]]</f>
        <v>Item_PlusDesc_3005</v>
      </c>
      <c r="C145" s="11" t="s">
        <v>901</v>
      </c>
      <c r="D145" s="51" t="s">
        <v>900</v>
      </c>
      <c r="E145" s="14" t="s">
        <v>479</v>
      </c>
      <c r="F145" s="14" t="s">
        <v>345</v>
      </c>
      <c r="G145" s="19">
        <v>3005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6" spans="2:9">
      <c r="B146" t="str">
        <f>LocaleTable[[#This Row],['#인덱스제너레이터]]</f>
        <v>Item_PlusDesc_3006</v>
      </c>
      <c r="C146" s="52" t="s">
        <v>430</v>
      </c>
      <c r="D146" s="51" t="s">
        <v>552</v>
      </c>
      <c r="E146" s="14" t="s">
        <v>479</v>
      </c>
      <c r="F146" s="14" t="s">
        <v>345</v>
      </c>
      <c r="G146" s="19">
        <v>3006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7" spans="2:9" ht="34.799999999999997">
      <c r="B147" t="str">
        <f>LocaleTable[[#This Row],['#인덱스제너레이터]]</f>
        <v>Item_PlusDesc_3007</v>
      </c>
      <c r="C147" s="52" t="s">
        <v>922</v>
      </c>
      <c r="D147" s="51" t="s">
        <v>923</v>
      </c>
      <c r="E147" s="14" t="s">
        <v>479</v>
      </c>
      <c r="F147" s="14" t="s">
        <v>345</v>
      </c>
      <c r="G147" s="19">
        <v>3007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48" spans="2:9">
      <c r="B148" t="str">
        <f>LocaleTable[[#This Row],['#인덱스제너레이터]]</f>
        <v>Item_PlusDesc_4000</v>
      </c>
      <c r="C148" s="51" t="s">
        <v>400</v>
      </c>
      <c r="D148" s="51" t="s">
        <v>553</v>
      </c>
      <c r="E148" s="14" t="s">
        <v>479</v>
      </c>
      <c r="F148" s="14" t="s">
        <v>345</v>
      </c>
      <c r="G148" s="19">
        <v>4000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9" spans="2:9" ht="34.799999999999997">
      <c r="B149" t="str">
        <f>LocaleTable[[#This Row],['#인덱스제너레이터]]</f>
        <v>Item_PlusDesc_4001</v>
      </c>
      <c r="C149" s="51" t="s">
        <v>732</v>
      </c>
      <c r="D149" s="51" t="s">
        <v>760</v>
      </c>
      <c r="E149" s="14" t="s">
        <v>479</v>
      </c>
      <c r="F149" s="14" t="s">
        <v>345</v>
      </c>
      <c r="G149" s="19">
        <v>4001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50" spans="2:9">
      <c r="B150" t="str">
        <f>LocaleTable[[#This Row],['#인덱스제너레이터]]</f>
        <v>Item_PlusDesc_4002</v>
      </c>
      <c r="C150" s="51" t="s">
        <v>292</v>
      </c>
      <c r="D150" s="51" t="s">
        <v>554</v>
      </c>
      <c r="E150" s="14" t="s">
        <v>479</v>
      </c>
      <c r="F150" s="14" t="s">
        <v>345</v>
      </c>
      <c r="G150" s="19">
        <v>4002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51" spans="2:9">
      <c r="B151" t="str">
        <f>LocaleTable[[#This Row],['#인덱스제너레이터]]</f>
        <v>Item_PlusDesc_4003</v>
      </c>
      <c r="C151" s="51" t="s">
        <v>374</v>
      </c>
      <c r="D151" s="51" t="s">
        <v>555</v>
      </c>
      <c r="E151" s="14" t="s">
        <v>479</v>
      </c>
      <c r="F151" s="14" t="s">
        <v>345</v>
      </c>
      <c r="G151" s="19">
        <v>4003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52" spans="2:9">
      <c r="B152" t="str">
        <f>LocaleTable[[#This Row],['#인덱스제너레이터]]</f>
        <v>Item_PlusDesc_4004</v>
      </c>
      <c r="C152" s="51" t="s">
        <v>433</v>
      </c>
      <c r="D152" s="51" t="s">
        <v>764</v>
      </c>
      <c r="E152" s="14" t="s">
        <v>479</v>
      </c>
      <c r="F152" s="14" t="s">
        <v>345</v>
      </c>
      <c r="G152" s="19">
        <v>4004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53" spans="2:9">
      <c r="B153" t="str">
        <f>LocaleTable[[#This Row],['#인덱스제너레이터]]</f>
        <v>Item_PlusDesc_4005</v>
      </c>
      <c r="C153" s="51" t="s">
        <v>393</v>
      </c>
      <c r="D153" s="51" t="s">
        <v>763</v>
      </c>
      <c r="E153" s="14" t="s">
        <v>479</v>
      </c>
      <c r="F153" s="14" t="s">
        <v>345</v>
      </c>
      <c r="G153" s="19">
        <v>4005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54" spans="2:9">
      <c r="B154" t="str">
        <f>LocaleTable[[#This Row],['#인덱스제너레이터]]</f>
        <v>Item_PlusDesc_4006</v>
      </c>
      <c r="C154" s="51" t="s">
        <v>730</v>
      </c>
      <c r="D154" s="51" t="s">
        <v>738</v>
      </c>
      <c r="E154" s="14" t="s">
        <v>479</v>
      </c>
      <c r="F154" s="14" t="s">
        <v>345</v>
      </c>
      <c r="G154" s="19">
        <v>4006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5" spans="2:9">
      <c r="B155" t="str">
        <f>LocaleTable[[#This Row],['#인덱스제너레이터]]</f>
        <v>Item_PlusDesc_4007</v>
      </c>
      <c r="C155" s="51" t="s">
        <v>931</v>
      </c>
      <c r="D155" s="51" t="s">
        <v>930</v>
      </c>
      <c r="E155" s="14" t="s">
        <v>479</v>
      </c>
      <c r="F155" s="14" t="s">
        <v>345</v>
      </c>
      <c r="G155" s="19">
        <v>4007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56" spans="2:9">
      <c r="B156" t="str">
        <f>LocaleTable[[#This Row],['#인덱스제너레이터]]</f>
        <v>Item_PlusDesc_10000</v>
      </c>
      <c r="C156" s="52" t="s">
        <v>351</v>
      </c>
      <c r="D156" s="51" t="s">
        <v>556</v>
      </c>
      <c r="E156" s="14" t="s">
        <v>479</v>
      </c>
      <c r="F156" s="14" t="s">
        <v>345</v>
      </c>
      <c r="G156" s="19">
        <v>10000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7" spans="2:9">
      <c r="B157" t="str">
        <f>LocaleTable[[#This Row],['#인덱스제너레이터]]</f>
        <v>Item_PlusDesc_10001</v>
      </c>
      <c r="C157" s="52" t="s">
        <v>468</v>
      </c>
      <c r="D157" s="51" t="s">
        <v>759</v>
      </c>
      <c r="E157" s="14" t="s">
        <v>479</v>
      </c>
      <c r="F157" s="14" t="s">
        <v>345</v>
      </c>
      <c r="G157" s="19">
        <v>10001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8" spans="2:9">
      <c r="B158" t="str">
        <f>LocaleTable[[#This Row],['#인덱스제너레이터]]</f>
        <v>Item_PlusDesc_10002</v>
      </c>
      <c r="C158" s="52" t="s">
        <v>470</v>
      </c>
      <c r="D158" s="51" t="s">
        <v>758</v>
      </c>
      <c r="E158" s="14" t="s">
        <v>479</v>
      </c>
      <c r="F158" s="14" t="s">
        <v>345</v>
      </c>
      <c r="G158" s="19">
        <v>10002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9" spans="2:9">
      <c r="B159" t="str">
        <f>LocaleTable[[#This Row],['#인덱스제너레이터]]</f>
        <v>Item_PlusDesc_10003</v>
      </c>
      <c r="C159" s="52" t="s">
        <v>466</v>
      </c>
      <c r="D159" s="51" t="s">
        <v>757</v>
      </c>
      <c r="E159" s="14" t="s">
        <v>479</v>
      </c>
      <c r="F159" s="14" t="s">
        <v>345</v>
      </c>
      <c r="G159" s="19">
        <v>10003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60" spans="2:9">
      <c r="B160" t="str">
        <f>LocaleTable[[#This Row],['#인덱스제너레이터]]</f>
        <v>Item_PlusDesc_10004</v>
      </c>
      <c r="C160" s="51" t="s">
        <v>934</v>
      </c>
      <c r="D160" s="51" t="s">
        <v>935</v>
      </c>
      <c r="E160" s="14" t="s">
        <v>479</v>
      </c>
      <c r="F160" s="14" t="s">
        <v>345</v>
      </c>
      <c r="G160" s="19">
        <v>10004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61" spans="2:9">
      <c r="B161" t="str">
        <f>LocaleTable[[#This Row],['#인덱스제너레이터]]</f>
        <v>Item_PlusDesc_10005</v>
      </c>
      <c r="C161" s="51" t="s">
        <v>467</v>
      </c>
      <c r="D161" s="51" t="s">
        <v>756</v>
      </c>
      <c r="E161" s="14" t="s">
        <v>479</v>
      </c>
      <c r="F161" s="14" t="s">
        <v>345</v>
      </c>
      <c r="G161" s="19">
        <v>10005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62" spans="2:9">
      <c r="B162" t="str">
        <f>LocaleTable[[#This Row],['#인덱스제너레이터]]</f>
        <v>Item_MinusDesc_4000</v>
      </c>
      <c r="C162" s="51" t="s">
        <v>733</v>
      </c>
      <c r="D162" s="60" t="s">
        <v>734</v>
      </c>
      <c r="E162" s="14" t="s">
        <v>479</v>
      </c>
      <c r="F162" s="14" t="s">
        <v>346</v>
      </c>
      <c r="G162" s="19">
        <v>4000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63" spans="2:9">
      <c r="B163" t="str">
        <f>LocaleTable[[#This Row],['#인덱스제너레이터]]</f>
        <v>Item_MinusDesc_4001</v>
      </c>
      <c r="C163" s="51" t="s">
        <v>368</v>
      </c>
      <c r="D163" s="60" t="s">
        <v>557</v>
      </c>
      <c r="E163" s="14" t="s">
        <v>479</v>
      </c>
      <c r="F163" s="14" t="s">
        <v>346</v>
      </c>
      <c r="G163" s="19">
        <v>4001</v>
      </c>
      <c r="H163" s="19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64" spans="2:9">
      <c r="B164" t="str">
        <f>LocaleTable[[#This Row],['#인덱스제너레이터]]</f>
        <v>Item_MinusDesc_4002</v>
      </c>
      <c r="C164" s="51" t="s">
        <v>146</v>
      </c>
      <c r="D164" s="51" t="s">
        <v>558</v>
      </c>
      <c r="E164" s="14" t="s">
        <v>479</v>
      </c>
      <c r="F164" s="14" t="s">
        <v>346</v>
      </c>
      <c r="G164" s="19">
        <v>4002</v>
      </c>
      <c r="H164" s="19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65" spans="2:9">
      <c r="B165" t="str">
        <f>LocaleTable[[#This Row],['#인덱스제너레이터]]</f>
        <v>Item_MinusDesc_4003</v>
      </c>
      <c r="C165" s="51" t="s">
        <v>750</v>
      </c>
      <c r="D165" s="51" t="s">
        <v>902</v>
      </c>
      <c r="E165" s="14" t="s">
        <v>479</v>
      </c>
      <c r="F165" s="14" t="s">
        <v>346</v>
      </c>
      <c r="G165" s="19">
        <v>4003</v>
      </c>
      <c r="H165" s="19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6" spans="2:9">
      <c r="B166" t="str">
        <f>LocaleTable[[#This Row],['#인덱스제너레이터]]</f>
        <v>Item_MinusDesc_4004</v>
      </c>
      <c r="C166" s="51" t="s">
        <v>858</v>
      </c>
      <c r="D166" s="51" t="s">
        <v>859</v>
      </c>
      <c r="E166" s="14" t="s">
        <v>479</v>
      </c>
      <c r="F166" s="14" t="s">
        <v>346</v>
      </c>
      <c r="G166" s="19">
        <v>4004</v>
      </c>
      <c r="H166" s="19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7" spans="2:9">
      <c r="B167" t="str">
        <f>LocaleTable[[#This Row],['#인덱스제너레이터]]</f>
        <v>Item_MinusDesc_4005</v>
      </c>
      <c r="C167" s="51" t="s">
        <v>855</v>
      </c>
      <c r="D167" s="51" t="s">
        <v>860</v>
      </c>
      <c r="E167" s="14" t="s">
        <v>479</v>
      </c>
      <c r="F167" s="14" t="s">
        <v>346</v>
      </c>
      <c r="G167" s="19">
        <v>4005</v>
      </c>
      <c r="H167" s="19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8" spans="2:9">
      <c r="B168" t="str">
        <f>LocaleTable[[#This Row],['#인덱스제너레이터]]</f>
        <v>Item_MinusDesc_4006</v>
      </c>
      <c r="C168" s="51" t="s">
        <v>761</v>
      </c>
      <c r="D168" s="51" t="s">
        <v>765</v>
      </c>
      <c r="E168" s="14" t="s">
        <v>479</v>
      </c>
      <c r="F168" s="14" t="s">
        <v>346</v>
      </c>
      <c r="G168" s="19">
        <v>4006</v>
      </c>
      <c r="H168" s="19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169" spans="2:9">
      <c r="B169" t="str">
        <f>LocaleTable[[#This Row],['#인덱스제너레이터]]</f>
        <v>Item_MinusDesc_4007</v>
      </c>
      <c r="C169" s="51" t="s">
        <v>926</v>
      </c>
      <c r="D169" s="51" t="s">
        <v>927</v>
      </c>
      <c r="E169" s="14" t="s">
        <v>479</v>
      </c>
      <c r="F169" s="14" t="s">
        <v>346</v>
      </c>
      <c r="G169" s="19">
        <v>4007</v>
      </c>
      <c r="H169" s="19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2023-11-13T12:43:13Z</dcterms:modified>
  <cp:version>1200.0100.01</cp:version>
</cp:coreProperties>
</file>