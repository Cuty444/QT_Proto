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C4D00EC6-C740-594D-A5A6-F03DB901ADB3}" xr6:coauthVersionLast="47" xr6:coauthVersionMax="47" xr10:uidLastSave="{00000000-0000-0000-0000-000000000000}"/>
  <bookViews>
    <workbookView xWindow="0" yWindow="760" windowWidth="30240" windowHeight="18880" firstSheet="2" activeTab="5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8" l="1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32" i="13"/>
  <c r="S32" i="13" s="1"/>
  <c r="Q31" i="13"/>
  <c r="S31" i="13" s="1"/>
  <c r="Q30" i="13"/>
  <c r="S30" i="13" s="1"/>
  <c r="S27" i="13"/>
  <c r="S29" i="13"/>
  <c r="S28" i="13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B21" i="13" a="1"/>
  <c r="B21" i="13" s="1"/>
  <c r="B22" i="13" s="1" a="1"/>
  <c r="B22" i="13" s="1"/>
  <c r="K22" i="13" s="1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K21" i="13" l="1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F12" i="2"/>
  <c r="F21" i="2"/>
  <c r="F20" i="2"/>
  <c r="F19" i="2"/>
  <c r="F18" i="2"/>
  <c r="F17" i="2"/>
  <c r="F16" i="2"/>
  <c r="F15" i="2"/>
  <c r="F14" i="2"/>
  <c r="F13" i="2"/>
  <c r="B23" i="13" a="1"/>
  <c r="B23" i="13" s="1"/>
  <c r="K23" i="13" s="1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F22" i="2" l="1"/>
  <c r="S7" i="3" s="1"/>
  <c r="A6" i="16"/>
  <c r="B7" i="13" a="1"/>
  <c r="B7" i="13" s="1"/>
  <c r="K6" i="13" a="1"/>
  <c r="K6" i="13" s="1"/>
  <c r="B17" i="13" a="1"/>
  <c r="B17" i="13" s="1"/>
  <c r="K17" i="13" s="1" a="1"/>
  <c r="K17" i="13" s="1"/>
  <c r="B24" i="13" a="1"/>
  <c r="B24" i="13" s="1"/>
  <c r="K24" i="13" s="1" a="1"/>
  <c r="K24" i="13" s="1"/>
  <c r="A4" i="16"/>
  <c r="K4" i="13" a="1"/>
  <c r="K4" i="13" s="1"/>
  <c r="B11" i="13" a="1"/>
  <c r="B11" i="13" s="1"/>
  <c r="K11" i="13" s="1" a="1"/>
  <c r="K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B25" i="13" a="1"/>
  <c r="B25" i="13" s="1"/>
  <c r="K25" i="13" s="1" a="1"/>
  <c r="K25" i="13" s="1"/>
  <c r="D5" i="16" a="1"/>
  <c r="D5" i="16" s="1"/>
  <c r="D3" i="16" a="1"/>
  <c r="D3" i="16" s="1"/>
  <c r="B5" i="14" l="1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5" i="14" s="1"/>
  <c r="B20" i="13" a="1"/>
  <c r="B20" i="13" s="1"/>
  <c r="K20" i="13" s="1" a="1"/>
  <c r="K20" i="13" s="1"/>
  <c r="B22" i="14" s="1"/>
  <c r="B10" i="14"/>
  <c r="C11" i="14"/>
  <c r="C13" i="14"/>
  <c r="C8" i="14"/>
  <c r="B12" i="14"/>
  <c r="C10" i="14"/>
  <c r="C14" i="14"/>
  <c r="B15" i="14"/>
  <c r="B13" i="14"/>
  <c r="B14" i="14"/>
  <c r="B11" i="14"/>
  <c r="C12" i="14"/>
  <c r="B8" i="14"/>
  <c r="C16" i="14" l="1"/>
  <c r="B16" i="14"/>
  <c r="C24" i="14"/>
  <c r="B18" i="14"/>
  <c r="B20" i="14"/>
  <c r="C21" i="14"/>
  <c r="C25" i="14"/>
  <c r="B24" i="14"/>
  <c r="B19" i="14"/>
  <c r="B25" i="14"/>
  <c r="C20" i="14"/>
  <c r="C26" i="14"/>
  <c r="C22" i="14"/>
  <c r="B21" i="14"/>
  <c r="C18" i="14"/>
  <c r="B27" i="14"/>
  <c r="C19" i="14"/>
  <c r="C27" i="14"/>
  <c r="B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<sst xmlns="http://schemas.openxmlformats.org/spreadsheetml/2006/main" count="1142" uniqueCount="575">
  <si>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</si>
  <si>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</si>
  <si>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</si>
  <si>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</si>
  <si>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</si>
  <si>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</si>
  <si>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</si>
  <si>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</si>
  <si>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</si>
  <si>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</si>
  <si>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</si>
  <si>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</si>
  <si>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</si>
  <si>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</si>
  <si>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</si>
  <si>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</si>
  <si>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</si>
  <si>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</si>
  <si>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</si>
  <si>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</si>
  <si>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</si>
  <si>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</si>
  <si>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</si>
  <si>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</si>
  <si>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</si>
  <si>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</si>
  <si>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</si>
  <si>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</si>
  <si>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</si>
  <si>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</si>
  <si>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</si>
  <si>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</si>
  <si>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</si>
  <si>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</si>
  <si>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</si>
  <si>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</si>
  <si>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</si>
  <si>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</si>
  <si>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</si>
  <si>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</si>
  <si>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</si>
  <si>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</si>
  <si>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</si>
  <si>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</si>
  <si>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</si>
  <si>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</si>
  <si>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</si>
  <si>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</si>
  <si>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</si>
  <si>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</si>
  <si>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</si>
  <si>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</si>
  <si>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</si>
  <si>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</si>
  <si>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</si>
  <si>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</si>
  <si>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</si>
  <si>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</si>
  <si>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</si>
  <si>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</si>
  <si>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</si>
  <si>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</si>
  <si>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</si>
  <si>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</si>
  <si>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</si>
  <si>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</si>
  <si>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</si>
  <si>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</si>
  <si>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</si>
  <si>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</si>
  <si>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</si>
  <si>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</si>
  <si>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</si>
  <si>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</si>
  <si>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</si>
  <si>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</si>
  <si>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</si>
  <si>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</si>
  <si>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</si>
  <si>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</si>
  <si>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</si>
  <si>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</si>
  <si>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</si>
  <si>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</si>
  <si>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</si>
  <si>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</si>
  <si>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</si>
  <si>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</si>
  <si>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</si>
  <si>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</si>
  <si>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</si>
  <si>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</si>
  <si>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</si>
  <si>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</si>
  <si>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</si>
  <si>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</si>
  <si>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</si>
  <si>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</si>
  <si>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</si>
  <si>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</si>
  <si>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</si>
  <si>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</si>
  <si>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</si>
  <si>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</si>
  <si>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</si>
  <si>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</si>
  <si>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</si>
  <si>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</si>
  <si>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</si>
  <si>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</si>
  <si>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</si>
  <si>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</si>
  <si>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</si>
  <si>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</si>
  <si>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</si>
  <si>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</si>
  <si>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</si>
  <si>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</si>
  <si>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</si>
  <si>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</si>
  <si>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</si>
  <si>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</si>
  <si>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</si>
  <si>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</si>
  <si>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</si>
  <si>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</si>
  <si>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</si>
  <si>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</si>
  <si>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</si>
  <si>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</si>
  <si>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</si>
  <si>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</si>
  <si>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</si>
  <si>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</si>
  <si>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</si>
  <si>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</si>
  <si>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</si>
  <si>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</si>
  <si>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</si>
  <si>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</si>
  <si>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</si>
  <si>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</si>
  <si>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</si>
  <si>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</si>
  <si>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</si>
  <si>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</si>
  <si>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</si>
  <si>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</si>
  <si>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</si>
  <si>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</si>
  <si>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</si>
  <si>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</si>
  <si>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</si>
  <si>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</si>
  <si>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</si>
  <si>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</si>
  <si>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</si>
  <si>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</si>
  <si>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</si>
  <si>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</si>
  <si>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</si>
  <si>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</si>
  <si>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</si>
  <si>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</si>
  <si>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</si>
  <si>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</si>
  <si>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</si>
  <si>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</si>
  <si>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</si>
  <si>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</si>
  <si>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</si>
  <si>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</si>
  <si>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</si>
  <si>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</si>
  <si>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</si>
  <si>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</si>
  <si>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</si>
  <si>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</si>
  <si>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</si>
  <si>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</si>
  <si>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</si>
  <si>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</si>
  <si>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</si>
  <si>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</si>
  <si>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</si>
  <si>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</si>
  <si>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</si>
  <si>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</si>
  <si>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</si>
  <si>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</si>
  <si>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</si>
  <si>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</si>
  <si>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</si>
  <si>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</si>
  <si>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</si>
  <si>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</si>
  <si>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</si>
  <si>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</si>
  <si>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</si>
  <si>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</si>
  <si>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</si>
  <si>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</si>
  <si>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</si>
  <si>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</si>
  <si>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</si>
  <si>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</si>
  <si>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</si>
  <si>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</si>
  <si>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</si>
  <si>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</si>
  <si>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</si>
  <si>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</si>
  <si>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</si>
  <si>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</si>
  <si>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</si>
  <si>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</si>
  <si>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</si>
  <si>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</si>
  <si>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</si>
  <si>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</si>
  <si>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</si>
  <si>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</si>
  <si>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</si>
  <si>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</si>
  <si>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</si>
  <si>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</si>
  <si>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</si>
  <si>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</si>
  <si>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</si>
  <si>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</si>
  <si>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</si>
  <si>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</si>
  <si>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</si>
  <si>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</si>
  <si>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</si>
  <si>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</si>
  <si>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</si>
  <si>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</si>
  <si>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</si>
  <si>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</si>
  <si>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</si>
  <si>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</si>
  <si>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</si>
  <si>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</si>
  <si>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</si>
  <si>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</si>
  <si>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</si>
  <si>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</si>
  <si>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</si>
  <si>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</si>
  <si>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</si>
  <si>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</si>
  <si>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</si>
  <si>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</si>
  <si>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</si>
  <si>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</si>
  <si>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</si>
  <si>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</si>
  <si>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</si>
  <si>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</si>
  <si>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</si>
  <si>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</si>
  <si>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</si>
  <si>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</si>
  <si>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</si>
  <si>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</si>
  <si>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</si>
  <si>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</si>
  <si>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</si>
  <si>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</si>
  <si>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</si>
  <si>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</si>
  <si>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</si>
  <si>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</si>
  <si>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</si>
  <si>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</si>
  <si>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</si>
  <si>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</si>
  <si>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</si>
  <si>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</si>
  <si>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</si>
  <si>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</si>
  <si>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</si>
  <si>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</si>
  <si>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</si>
  <si>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</si>
  <si>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</si>
  <si>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</si>
  <si>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</si>
  <si>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</si>
  <si>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</si>
  <si>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</si>
  <si>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</si>
  <si>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</si>
  <si>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</si>
  <si>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</si>
  <si>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</si>
  <si>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</si>
  <si>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</si>
  <si>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</si>
  <si>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</si>
  <si>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</si>
  <si>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</si>
  <si>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</si>
  <si>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</si>
  <si>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</si>
  <si>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</si>
  <si>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</si>
  <si>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</si>
  <si>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</si>
  <si>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</si>
  <si>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</si>
  <si>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</si>
  <si>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</si>
  <si>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</si>
  <si>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</si>
  <si>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</si>
  <si>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</si>
  <si>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</si>
  <si>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</si>
  <si>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</si>
  <si>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</si>
  <si>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</si>
  <si>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</si>
  <si>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</si>
  <si>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</si>
  <si>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</si>
  <si>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</si>
  <si>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</si>
  <si>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</si>
  <si>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</si>
  <si>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</si>
  <si>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</si>
  <si>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</si>
  <si>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</si>
  <si>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</si>
  <si>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</si>
  <si>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</si>
  <si>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</si>
  <si>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</si>
  <si>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</si>
  <si>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</si>
  <si>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</si>
  <si>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</si>
  <si>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</si>
  <si>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</si>
  <si>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</si>
  <si>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</si>
  <si>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</si>
  <si>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</si>
  <si>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</si>
  <si>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</si>
  <si>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</si>
  <si>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</si>
  <si>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</si>
  <si>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</si>
  <si>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</si>
  <si>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</si>
  <si>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</si>
  <si>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</si>
  <si>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</si>
  <si>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</si>
  <si>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</si>
  <si>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</si>
  <si>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</si>
  <si>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</si>
  <si>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</si>
  <si>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</si>
  <si>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</si>
  <si>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</si>
  <si>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</si>
  <si>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</si>
  <si>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</si>
  <si>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</si>
  <si>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</si>
  <si>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</si>
  <si>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</si>
  <si>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</si>
  <si>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</si>
  <si>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</si>
  <si>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</si>
  <si>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</si>
  <si>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</si>
  <si>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</si>
  <si>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</si>
  <si>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</si>
  <si>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</si>
  <si>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</si>
  <si>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</si>
  <si>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</si>
  <si>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</si>
  <si>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</si>
  <si>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</si>
  <si>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</si>
  <si>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</si>
  <si>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</si>
  <si>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</si>
  <si>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</si>
  <si>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</si>
  <si>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</si>
  <si>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</si>
  <si>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</si>
  <si>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</si>
  <si>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</si>
  <si>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</si>
  <si>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</si>
  <si>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</si>
  <si>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</si>
  <si>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</si>
  <si>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</si>
  <si>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</si>
  <si>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</si>
  <si>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</si>
  <si>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</si>
  <si>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</si>
  <si>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</si>
  <si>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</si>
  <si>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</si>
  <si>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</si>
  <si>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</si>
  <si>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</si>
  <si>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</si>
  <si>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</si>
  <si>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</si>
  <si>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</si>
  <si>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</si>
  <si>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</si>
  <si>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</si>
  <si>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</si>
  <si>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</si>
  <si>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</si>
  <si>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</si>
  <si>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</si>
  <si>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</si>
  <si>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</si>
  <si>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</si>
  <si>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</si>
  <si>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</si>
  <si>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</si>
  <si>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</si>
  <si>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</si>
  <si>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</si>
  <si>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</si>
  <si>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</si>
  <si>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</si>
  <si>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</si>
  <si>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</si>
  <si>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</si>
  <si>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</si>
  <si>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</si>
  <si>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</si>
  <si>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</si>
  <si>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</si>
  <si>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</si>
  <si>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</si>
  <si>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</si>
  <si>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</si>
  <si>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</si>
  <si>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</si>
  <si>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</si>
  <si>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</si>
  <si>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</si>
  <si>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</si>
  <si>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</si>
  <si>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</si>
  <si>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</si>
  <si>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</si>
  <si>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</si>
  <si>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</si>
  <si>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</si>
  <si>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</si>
  <si>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</si>
  <si>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</si>
  <si>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</si>
  <si>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</si>
  <si>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</si>
  <si>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</si>
  <si>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</si>
  <si>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</si>
  <si>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</si>
  <si>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</si>
  <si>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</si>
  <si>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</si>
  <si>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</si>
  <si>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</si>
  <si>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</si>
  <si>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</si>
  <si>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</si>
  <si>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</si>
  <si>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</si>
  <si>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</si>
  <si>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</si>
  <si>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</si>
  <si>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</si>
  <si>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</si>
  <si>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</si>
  <si>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</si>
  <si>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</si>
  <si>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</si>
  <si>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</si>
  <si>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</si>
  <si>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</si>
  <si>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</si>
  <si>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</si>
  <si>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</si>
  <si>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</si>
  <si>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</si>
  <si>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</si>
  <si>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</si>
  <si>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</si>
  <si>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</si>
  <si>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</si>
  <si>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</si>
  <si>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</si>
  <si>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</si>
  <si>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</si>
  <si>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</si>
  <si>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</si>
  <si>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</si>
  <si>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</si>
  <si>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</si>
  <si>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</si>
  <si>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</si>
  <si>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(MovementSpd - 6)*0.3</t>
    <phoneticPr fontId="8" type="noConversion"/>
  </si>
  <si>
    <t>(HP_Base - HP)*0.004</t>
    <phoneticPr fontId="8" type="noConversion"/>
  </si>
  <si>
    <t>ChargeBounceCount1 * 0.2</t>
  </si>
  <si>
    <t>Hard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</si>
  <si>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</si>
  <si>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</si>
  <si>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</si>
  <si>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</si>
  <si>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</si>
  <si>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OnChargeBounceCountChanged</t>
    <phoneticPr fontId="8" type="noConversion"/>
  </si>
  <si>
    <t>Equip, OnHpChanged</t>
    <phoneticPr fontId="8" type="noConversion"/>
  </si>
  <si>
    <t>Equip, OnMovementSpdChanged</t>
    <phoneticPr fontId="8" type="noConversion"/>
  </si>
  <si>
    <t>텔레포트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</si>
  <si>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</si>
  <si>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</si>
  <si>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</si>
  <si>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</si>
  <si>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</si>
  <si>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</si>
  <si>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소닉 더 배트매스터</t>
    <phoneticPr fontId="8" type="noConversion"/>
  </si>
  <si>
    <t>원기옥</t>
    <phoneticPr fontId="8" type="noConversion"/>
  </si>
  <si>
    <t>DodgeCooldown</t>
    <phoneticPr fontId="8" type="noConversion"/>
  </si>
  <si>
    <t>SwingCooldown</t>
    <phoneticPr fontId="8" type="noConversion"/>
  </si>
  <si>
    <t>돌진!!</t>
    <phoneticPr fontId="8" type="noConversion"/>
  </si>
  <si>
    <t>Charge</t>
    <phoneticPr fontId="19" type="noConversion"/>
  </si>
  <si>
    <t>부산물</t>
    <phoneticPr fontId="8" type="noConversion"/>
  </si>
  <si>
    <t>배트를 휘두를 때 마다 파편이 튑니다.</t>
    <phoneticPr fontId="8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</si>
  <si>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</si>
  <si>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</si>
  <si>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</si>
  <si>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</si>
  <si>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</si>
  <si>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</si>
  <si>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공 충돌횟수 +1</t>
    <phoneticPr fontId="8" type="noConversion"/>
  </si>
  <si>
    <t>이동속도 +12</t>
  </si>
  <si>
    <t>변화된 이동속도 1당 공격력 +3%</t>
  </si>
  <si>
    <t>공격력 +10%\n이동속도 +5\n공격속도 +0.1초</t>
  </si>
  <si>
    <r>
      <t>이벤트성으로 100만봉지\n중 한 개만 들어간 ■</t>
    </r>
    <r>
      <rPr>
        <sz val="11"/>
        <color rgb="FF000000"/>
        <rFont val="Malgun Gothic"/>
        <family val="2"/>
        <charset val="129"/>
      </rPr>
      <t>̛̲͙̩͎͖̲̐̐̂͐ͅ■͓̟̦̹͚̇̓́͛͠ͅ맛 사탕입니다.</t>
    </r>
    <phoneticPr fontId="8" type="noConversion"/>
  </si>
  <si>
    <t>공 충돌횟수당 공격력 +20%</t>
  </si>
  <si>
    <t>차징속도 +45%</t>
    <phoneticPr fontId="8" type="noConversion"/>
  </si>
  <si>
    <t>최대체력 +3하트</t>
  </si>
  <si>
    <t>이동속도 -30%</t>
  </si>
  <si>
    <t>공격력 +100%</t>
  </si>
  <si>
    <t>바싹 구워도 여전히 미끌거립니다. 시각적 거부감을 이겨내고 한입 베어물면 무엇이든 반대로 하고 싶어집니다.</t>
    <phoneticPr fontId="8" type="noConversion"/>
  </si>
  <si>
    <t>차징샷이 적을 관통합니다.</t>
  </si>
  <si>
    <t>액티브 버튼을 누르면 벽에 부딪힐 때 까지 마우스 커서 방향으로 돌진합니다</t>
  </si>
  <si>
    <t>앞만 보고 살아가는 당신에게…\n뒤도 돌아보지 말고 돌진하자!</t>
    <phoneticPr fontId="8" type="noConversion"/>
  </si>
  <si>
    <t>여러분의 소중한 시간\n폭력으로 채워볼까요?</t>
    <phoneticPr fontId="8" type="noConversion"/>
  </si>
  <si>
    <t>액티브 버튼을 누르면 시간이 느려지고 이동속도와 대쉬 속도가 증가하며,\n공격 쿨타임이 감소합니다.</t>
  </si>
  <si>
    <t>아주 조금씩… 아니 모든 원기를 나에게 나눠 줘!!</t>
    <phoneticPr fontId="8" type="noConversion"/>
  </si>
  <si>
    <t>액티브 버튼을 누르면 주변 투사체를 가져와 발사합니다</t>
    <phoneticPr fontId="8" type="noConversion"/>
  </si>
  <si>
    <t>기절한 적이 있을 때 액티브 버튼을 눌러 적을 날릴 수 있습니다.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</si>
</sst>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3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11"/>
      <color rgb="FF000000"/>
      <name val="맑은 고딕"/>
      <family val="2"/>
      <charset val="129"/>
    </font>
    <font>
      <b/>
      <sz val="11"/>
      <color rgb="FFFF0000"/>
      <name val="맑은 고딕"/>
      <family val="2"/>
      <charset val="129"/>
    </font>
    <font>
      <sz val="11"/>
      <color rgb="FF000000"/>
      <name val="Malgun Gothic"/>
      <family val="2"/>
      <charset val="129"/>
    </font>
  </fonts>
  <fills count="1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rgb="FFFFE699"/>
        <bgColor indexed="64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>
      <alignment vertical="center"/>
    </xf>
    <xf numFmtId="0" fontId="20" fillId="12" borderId="2" applyNumberFormat="0" applyFont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0" fillId="8" borderId="0" xfId="0" applyFill="1">
      <alignment vertical="center"/>
    </xf>
    <xf numFmtId="0" fontId="1" fillId="8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9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0" fillId="9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9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10" borderId="0" xfId="0" applyFill="1">
      <alignment vertical="center"/>
    </xf>
    <xf numFmtId="0" fontId="14" fillId="0" borderId="0" xfId="0" applyFont="1" applyAlignment="1">
      <alignment vertical="center" wrapText="1"/>
    </xf>
    <xf numFmtId="0" fontId="0" fillId="11" borderId="0" xfId="0" applyFill="1">
      <alignment vertical="center"/>
    </xf>
    <xf numFmtId="0" fontId="14" fillId="10" borderId="0" xfId="0" applyFont="1" applyFill="1">
      <alignment vertical="center"/>
    </xf>
    <xf numFmtId="0" fontId="0" fillId="12" borderId="2" xfId="1" applyNumberFormat="1" applyFont="1">
      <alignment vertical="center"/>
    </xf>
    <xf numFmtId="0" fontId="0" fillId="12" borderId="2" xfId="1" applyFont="1">
      <alignment vertical="center"/>
    </xf>
    <xf numFmtId="0" fontId="14" fillId="12" borderId="2" xfId="1" applyFont="1">
      <alignment vertical="center"/>
    </xf>
    <xf numFmtId="0" fontId="21" fillId="12" borderId="2" xfId="1" applyNumberFormat="1" applyFont="1">
      <alignment vertical="center"/>
    </xf>
    <xf numFmtId="0" fontId="14" fillId="6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2">
    <cellStyle name="메모" xfId="1" builtinId="10"/>
    <cellStyle name="표준" xfId="0" builtinId="0"/>
  </cellStyles>
  <dxfs count="103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2"/>
      <tableStyleElement type="headerRow" dxfId="101"/>
      <tableStyleElement type="totalRow" dxfId="100"/>
      <tableStyleElement type="firstColumn" dxfId="99"/>
      <tableStyleElement type="lastColumn" dxfId="98"/>
      <tableStyleElement type="firstRowStripe" dxfId="97"/>
      <tableStyleElement type="firstColumnStripe" dxfId="96"/>
    </tableStyle>
    <tableStyle name="Light Style 1 - Accent 1" table="0" count="7" xr9:uid="{00000000-0011-0000-FFFF-FFFF01000000}">
      <tableStyleElement type="wholeTable" dxfId="95"/>
      <tableStyleElement type="headerRow" dxfId="94"/>
      <tableStyleElement type="totalRow" dxfId="93"/>
      <tableStyleElement type="firstColumn" dxfId="92"/>
      <tableStyleElement type="lastColumn" dxfId="91"/>
      <tableStyleElement type="firstRowStripe" dxfId="90"/>
      <tableStyleElement type="firstColumnStripe" dxfId="89"/>
    </tableStyle>
    <tableStyle name="표 스타일 1" pivot="0" count="4" xr9:uid="{00000000-0011-0000-FFFF-FFFF02000000}">
      <tableStyleElement type="wholeTable" dxfId="88"/>
      <tableStyleElement type="headerRow" dxfId="87"/>
      <tableStyleElement type="firstRowStripe" dxfId="86"/>
      <tableStyleElement type="secondRowStripe" dxfId="8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4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3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2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1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0" dataDxfId="79">
  <autoFilter ref="B6:E32" xr:uid="{00000000-0009-0000-0100-000008000000}"/>
  <tableColumns count="4">
    <tableColumn id="1" xr3:uid="{00000000-0010-0000-0100-000001000000}" name="스텟" dataDxfId="78"/>
    <tableColumn id="2" xr3:uid="{00000000-0010-0000-0100-000002000000}" name="참조 테이블" dataDxfId="77"/>
    <tableColumn id="3" xr3:uid="{00000000-0010-0000-0100-000003000000}" name="설명" dataDxfId="76"/>
    <tableColumn id="4" xr3:uid="{00000000-0010-0000-0100-000004000000}" name="Value 1당 가치" dataDxfId="75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4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3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2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1"/>
    <tableColumn id="4" xr3:uid="{00000000-0010-0000-0400-000004000000}" name="획득 무기"/>
    <tableColumn id="5" xr3:uid="{00000000-0010-0000-0400-000005000000}" name="획득 골드" dataDxfId="70">
      <calculatedColumnFormula array="1">밸런스시트[[#This Row],[방 개수]]*표10[방 평균 골드]</calculatedColumnFormula>
    </tableColumn>
    <tableColumn id="6" xr3:uid="{00000000-0010-0000-0400-000006000000}" name="적 체력" dataDxfId="69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8">
      <calculatedColumnFormula array="1">CharacterAtkTable['#던진공 차징1 튕겨내기 DPS]</calculatedColumnFormula>
    </tableColumn>
    <tableColumn id="10" xr3:uid="{00000000-0010-0000-0400-00000A000000}" name="예상 전투 시간" dataDxfId="67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6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5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4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3"/>
    <tableColumn id="3" xr3:uid="{00000000-0010-0000-0600-000003000000}" name="value"/>
    <tableColumn id="4" xr3:uid="{00000000-0010-0000-0600-000004000000}" name="#설명" dataDxfId="62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1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0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59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58"/>
    <tableColumn id="3" xr3:uid="{00000000-0010-0000-0800-000003000000}" name="ThrowCooldown" dataDxfId="57"/>
    <tableColumn id="4" xr3:uid="{00000000-0010-0000-0800-000004000000}" name="ThrowAfterDelay" dataDxfId="56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5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4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3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2"/>
    <tableColumn id="14" xr3:uid="{00000000-0010-0000-0900-00000E000000}" name="#드랍테이블2" dataDxfId="51"/>
    <tableColumn id="15" xr3:uid="{00000000-0010-0000-0900-00000F000000}" name="#드랍테이블3" dataDxfId="50"/>
    <tableColumn id="16" xr3:uid="{00000000-0010-0000-0900-000010000000}" name="#드랍테이블4" dataDxfId="49"/>
    <tableColumn id="17" xr3:uid="{00000000-0010-0000-0900-000011000000}" name="#드랍테이블5" dataDxfId="48"/>
    <tableColumn id="18" xr3:uid="{00000000-0010-0000-0900-000012000000}" name="#드랍테이블6" dataDxfId="47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6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5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44"/>
    <tableColumn id="19" xr3:uid="{BFCBC32D-7E44-4D9E-BE44-E28E6C46489C}" name="#" dataDxfId="43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42"/>
    <tableColumn id="17" xr3:uid="{00000000-0010-0000-0B00-000011000000}" name="#기준 적 체력 비율"/>
    <tableColumn id="18" xr3:uid="{00000000-0010-0000-0B00-000012000000}" name="#평균 드랍 골드" dataDxfId="41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0"/>
    <tableColumn id="3" xr3:uid="{00000000-0010-0000-0C00-000003000000}" name="ShootDataId" dataDxfId="39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38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7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6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5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4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32" totalsRowShown="0" headerRowDxfId="33">
  <autoFilter ref="B2:S32" xr:uid="{00000000-0009-0000-0100-000004000000}"/>
  <tableColumns count="18">
    <tableColumn id="1" xr3:uid="{00000000-0010-0000-0F00-000001000000}" name="Index" dataDxfId="32"/>
    <tableColumn id="2" xr3:uid="{00000000-0010-0000-0F00-000002000000}" name="Name" dataDxfId="31"/>
    <tableColumn id="3" xr3:uid="{00000000-0010-0000-0F00-000003000000}" name="Desc" dataDxfId="30"/>
    <tableColumn id="18" xr3:uid="{41D082BD-5DEE-994C-91CD-A250C270CBBB}" name="PlusDesc" dataDxfId="29"/>
    <tableColumn id="19" xr3:uid="{C2F394C8-4A93-ED44-B037-BCC13A5A77D1}" name="MinusDesc" dataDxfId="28"/>
    <tableColumn id="4" xr3:uid="{00000000-0010-0000-0F00-000004000000}" name="GradeType" dataDxfId="27"/>
    <tableColumn id="5" xr3:uid="{00000000-0010-0000-0F00-000005000000}" name="Value" dataDxfId="26"/>
    <tableColumn id="6" xr3:uid="{00000000-0010-0000-0F00-000006000000}" name="CostHp" dataDxfId="25"/>
    <tableColumn id="7" xr3:uid="{00000000-0010-0000-0F00-000007000000}" name="CostGold" dataDxfId="24"/>
    <tableColumn id="8" xr3:uid="{00000000-0010-0000-0F00-000008000000}" name="ItemEffectDataId" dataDxfId="23"/>
    <tableColumn id="9" xr3:uid="{00000000-0010-0000-0F00-000009000000}" name="ItemIconPath" dataDxfId="22"/>
    <tableColumn id="10" xr3:uid="{00000000-0010-0000-0F00-00000A000000}" name="#자료 위치 변환기" dataDxfId="21"/>
    <tableColumn id="11" xr3:uid="{E752B4AA-7181-4F60-B4A0-8DA8B2E2F337}" name="#" dataDxfId="20"/>
    <tableColumn id="12" xr3:uid="{F85A3E97-232B-4E3A-9F01-EF79D25FA9F9}" name="#2" dataDxfId="19"/>
    <tableColumn id="13" xr3:uid="{550D2A60-9FBB-40C8-A6C2-243D9848C602}" name="#3" dataDxfId="18"/>
    <tableColumn id="14" xr3:uid="{50807AE5-46D5-4351-8885-769C1629BA6A}" name="#4" dataDxfId="17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16"/>
    <tableColumn id="15" xr3:uid="{859A69BA-D558-47CD-B372-AF915766B5DE}" name="#체크" dataDxfId="15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7" totalsRowShown="0" headerRowDxfId="14">
  <autoFilter ref="B2:K27" xr:uid="{00000000-0009-0000-0100-000001000000}"/>
  <tableColumns count="10">
    <tableColumn id="2" xr3:uid="{00000000-0010-0000-1000-000002000000}" name="#이름값" dataDxfId="13">
      <calculatedColumnFormula>INDEX(ItemTable[Name],MATCH(ItemEffectTable[[#This Row],[Index]],ItemTable[ItemEffectDataId],0))</calculatedColumnFormula>
    </tableColumn>
    <tableColumn id="3" xr3:uid="{00000000-0010-0000-1000-000003000000}" name="#Grade" dataDxfId="12">
      <calculatedColumnFormula>INDEX(ItemTable[GradeType],MATCH(ItemEffectTable[[#This Row],[Index]],ItemTable[ItemEffectDataId],0))</calculatedColumnFormula>
    </tableColumn>
    <tableColumn id="4" xr3:uid="{00000000-0010-0000-1000-000004000000}" name="Index" dataDxfId="11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0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F36" totalsRowShown="0" headerRowDxfId="9">
  <autoFilter ref="B2:F36" xr:uid="{00000000-0009-0000-0100-000001000000}"/>
  <tableColumns count="5">
    <tableColumn id="4" xr3:uid="{DE2DDF71-E208-9D48-B1BD-ADAF1A04A4E7}" name="Index" dataDxfId="8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F10" totalsRowShown="0" headerRowDxfId="7">
  <autoFilter ref="B2:F10" xr:uid="{00000000-0009-0000-0100-000001000000}"/>
  <tableColumns count="5">
    <tableColumn id="4" xr3:uid="{9F0C2145-5739-D948-B51C-59C2F70F8333}" name="Index" dataDxfId="6"/>
    <tableColumn id="5" xr3:uid="{68F4A981-62AA-3A4B-BE01-0227C535B866}" name="EffectType"/>
    <tableColumn id="6" xr3:uid="{8433B35F-F362-6144-AD53-9BADC63C6E39}" name="Param1"/>
    <tableColumn id="13" xr3:uid="{87231311-C662-DB49-A399-712B241C3925}" name="Param2"/>
    <tableColumn id="14" xr3:uid="{B4B3DBDF-BBC3-1F44-B6CB-63F8C93FD4DC}" name="Param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50" t="s">
        <v>314</v>
      </c>
      <c r="C1" s="51"/>
      <c r="D1" s="51"/>
      <c r="E1" s="51"/>
    </row>
    <row r="2" spans="2:5" s="1" customFormat="1">
      <c r="B2" s="51"/>
      <c r="C2" s="51"/>
      <c r="D2" s="51"/>
      <c r="E2" s="51"/>
    </row>
    <row r="3" spans="2:5" s="1" customFormat="1">
      <c r="B3" s="51"/>
      <c r="C3" s="51"/>
      <c r="D3" s="51"/>
      <c r="E3" s="51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50" t="s">
        <v>202</v>
      </c>
      <c r="C1" s="51"/>
      <c r="D1" s="51"/>
      <c r="E1" s="51"/>
    </row>
    <row r="2" spans="2:12" s="1" customFormat="1">
      <c r="B2" s="51"/>
      <c r="C2" s="51"/>
      <c r="D2" s="51"/>
      <c r="E2" s="51"/>
    </row>
    <row r="3" spans="2:12" s="1" customFormat="1">
      <c r="B3" s="51"/>
      <c r="C3" s="51"/>
      <c r="D3" s="51"/>
      <c r="E3" s="51"/>
    </row>
    <row r="5" spans="2:12">
      <c r="B5" s="2" t="s">
        <v>90</v>
      </c>
    </row>
    <row r="6" spans="2:12">
      <c r="B6" t="s">
        <v>45</v>
      </c>
      <c r="C6" t="s">
        <v>48</v>
      </c>
      <c r="D6" t="s">
        <v>94</v>
      </c>
      <c r="E6" t="s">
        <v>81</v>
      </c>
      <c r="F6" t="s">
        <v>82</v>
      </c>
      <c r="G6" t="s">
        <v>91</v>
      </c>
      <c r="H6" t="s">
        <v>84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464</v>
      </c>
      <c r="C10" s="2"/>
      <c r="D10" s="2"/>
      <c r="I10" s="2" t="s">
        <v>465</v>
      </c>
      <c r="J10" s="2"/>
      <c r="K10" s="2"/>
    </row>
    <row r="11" spans="2:12">
      <c r="B11" s="14" t="s">
        <v>462</v>
      </c>
      <c r="C11" s="14" t="s">
        <v>463</v>
      </c>
      <c r="D11" s="14" t="s">
        <v>460</v>
      </c>
      <c r="E11" s="14" t="s">
        <v>461</v>
      </c>
      <c r="F11" s="14" t="s">
        <v>466</v>
      </c>
      <c r="I11" s="14" t="s">
        <v>467</v>
      </c>
      <c r="J11" s="14" t="s">
        <v>463</v>
      </c>
      <c r="K11" s="14" t="s">
        <v>460</v>
      </c>
      <c r="L11" s="14" t="s">
        <v>461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468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469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470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470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50" t="s">
        <v>292</v>
      </c>
      <c r="C1" s="51"/>
      <c r="D1" s="51"/>
      <c r="E1" s="51"/>
      <c r="F1" s="51"/>
    </row>
    <row r="2" spans="1:21" s="1" customFormat="1">
      <c r="B2" s="51"/>
      <c r="C2" s="51"/>
      <c r="D2" s="51"/>
      <c r="E2" s="51"/>
      <c r="F2" s="51"/>
    </row>
    <row r="3" spans="1:21" s="1" customFormat="1">
      <c r="B3" s="51"/>
      <c r="C3" s="51"/>
      <c r="D3" s="51"/>
      <c r="E3" s="51"/>
      <c r="F3" s="51"/>
    </row>
    <row r="5" spans="1:21">
      <c r="B5" s="2" t="s">
        <v>106</v>
      </c>
      <c r="G5" s="2" t="s">
        <v>216</v>
      </c>
      <c r="H5" s="2"/>
      <c r="R5" s="2" t="s">
        <v>113</v>
      </c>
    </row>
    <row r="6" spans="1:21">
      <c r="B6" t="s">
        <v>52</v>
      </c>
      <c r="C6" t="s">
        <v>144</v>
      </c>
      <c r="D6" t="s">
        <v>59</v>
      </c>
      <c r="E6" t="s">
        <v>333</v>
      </c>
      <c r="G6" t="s">
        <v>42</v>
      </c>
      <c r="H6" t="s">
        <v>81</v>
      </c>
      <c r="I6" t="s">
        <v>82</v>
      </c>
      <c r="J6" t="s">
        <v>115</v>
      </c>
      <c r="K6" t="s">
        <v>114</v>
      </c>
      <c r="L6" t="s">
        <v>110</v>
      </c>
      <c r="M6" t="s">
        <v>112</v>
      </c>
      <c r="N6" t="s">
        <v>296</v>
      </c>
      <c r="O6" t="s">
        <v>331</v>
      </c>
      <c r="P6" t="s">
        <v>294</v>
      </c>
      <c r="R6" t="s">
        <v>105</v>
      </c>
      <c r="S6" s="14" t="s">
        <v>471</v>
      </c>
    </row>
    <row r="7" spans="1:21" ht="18">
      <c r="A7" s="13"/>
      <c r="B7" s="11" t="s">
        <v>185</v>
      </c>
      <c r="C7" s="13" t="s">
        <v>33</v>
      </c>
      <c r="D7" t="s">
        <v>137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57.291666666666671</v>
      </c>
      <c r="P7">
        <f>(밸런스시트[[#This Row],[레벨당 평균 적]]*밸런스시트[[#This Row],[방 개수]]*밸런스시트[[#This Row],[적 체력]])/밸런스시트[[#This Row],[PC 최대 DPS]]</f>
        <v>87.272727272727266</v>
      </c>
      <c r="R7">
        <f>1/15</f>
        <v>6.6666666666666666E-2</v>
      </c>
      <c r="S7">
        <f>표11[[#Totals],[평균 골드]]</f>
        <v>9.15</v>
      </c>
    </row>
    <row r="8" spans="1:21" ht="18">
      <c r="A8" s="11"/>
      <c r="B8" s="11" t="s">
        <v>2</v>
      </c>
      <c r="C8" s="11" t="s">
        <v>238</v>
      </c>
      <c r="D8" t="s">
        <v>146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57.291666666666671</v>
      </c>
      <c r="P8">
        <f>(밸런스시트[[#This Row],[레벨당 평균 적]]*밸런스시트[[#This Row],[방 개수]]*밸런스시트[[#This Row],[적 체력]])/밸런스시트[[#This Row],[PC 최대 DPS]]</f>
        <v>125.67272727272726</v>
      </c>
    </row>
    <row r="9" spans="1:21" ht="18">
      <c r="A9" s="11"/>
      <c r="B9" s="11" t="s">
        <v>56</v>
      </c>
      <c r="C9" s="11" t="s">
        <v>238</v>
      </c>
      <c r="D9" t="s">
        <v>148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57.291666666666671</v>
      </c>
      <c r="P9">
        <f>(밸런스시트[[#This Row],[레벨당 평균 적]]*밸런스시트[[#This Row],[방 개수]]*밸런스시트[[#This Row],[적 체력]])/밸런스시트[[#This Row],[PC 최대 DPS]]</f>
        <v>171.05454545454543</v>
      </c>
      <c r="R9" s="2" t="s">
        <v>268</v>
      </c>
      <c r="S9" s="2"/>
      <c r="T9" s="2"/>
    </row>
    <row r="10" spans="1:21" ht="18">
      <c r="A10" s="11"/>
      <c r="B10" s="11" t="s">
        <v>195</v>
      </c>
      <c r="C10" s="11" t="s">
        <v>238</v>
      </c>
      <c r="D10" t="s">
        <v>328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57.291666666666671</v>
      </c>
      <c r="P10">
        <f>(밸런스시트[[#This Row],[레벨당 평균 적]]*밸런스시트[[#This Row],[방 개수]]*밸런스시트[[#This Row],[적 체력]])/밸런스시트[[#This Row],[PC 최대 DPS]]</f>
        <v>223.41818181818181</v>
      </c>
      <c r="R10" t="s">
        <v>81</v>
      </c>
      <c r="S10" t="s">
        <v>82</v>
      </c>
      <c r="T10" t="s">
        <v>91</v>
      </c>
      <c r="U10" t="s">
        <v>84</v>
      </c>
    </row>
    <row r="11" spans="1:21" ht="18">
      <c r="A11" s="11"/>
      <c r="B11" s="11" t="s">
        <v>280</v>
      </c>
      <c r="C11" s="11" t="s">
        <v>238</v>
      </c>
      <c r="D11" t="s">
        <v>143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57.291666666666671</v>
      </c>
      <c r="P11">
        <f>(밸런스시트[[#This Row],[레벨당 평균 적]]*밸런스시트[[#This Row],[방 개수]]*밸런스시트[[#This Row],[적 체력]])/밸런스시트[[#This Row],[PC 최대 DPS]]</f>
        <v>282.76363636363635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169</v>
      </c>
      <c r="C12" s="11" t="s">
        <v>224</v>
      </c>
      <c r="D12" t="s">
        <v>147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57.291666666666671</v>
      </c>
      <c r="P12">
        <f>(밸런스시트[[#This Row],[레벨당 평균 적]]*밸런스시트[[#This Row],[방 개수]]*밸런스시트[[#This Row],[적 체력]])/밸런스시트[[#This Row],[PC 최대 DPS]]</f>
        <v>349.09090909090907</v>
      </c>
    </row>
    <row r="13" spans="1:21" ht="18">
      <c r="A13" s="11"/>
      <c r="B13" s="11" t="s">
        <v>318</v>
      </c>
      <c r="C13" s="11" t="s">
        <v>22</v>
      </c>
      <c r="D13" t="s">
        <v>32</v>
      </c>
      <c r="E13">
        <f>30/0.46</f>
        <v>65.217391304347828</v>
      </c>
      <c r="R13" s="2" t="s">
        <v>109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111</v>
      </c>
      <c r="S14" t="s">
        <v>290</v>
      </c>
    </row>
    <row r="15" spans="1:21" ht="18">
      <c r="A15" s="11"/>
      <c r="B15" s="11" t="s">
        <v>219</v>
      </c>
      <c r="C15" s="11" t="s">
        <v>22</v>
      </c>
      <c r="D15" t="s">
        <v>232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187</v>
      </c>
      <c r="C16" s="11" t="s">
        <v>22</v>
      </c>
      <c r="D16" t="s">
        <v>243</v>
      </c>
      <c r="E16" s="10">
        <v>40</v>
      </c>
    </row>
    <row r="17" spans="1:5" ht="18">
      <c r="A17" s="11"/>
      <c r="B17" s="11" t="s">
        <v>319</v>
      </c>
      <c r="C17" s="11" t="s">
        <v>22</v>
      </c>
      <c r="D17" t="s">
        <v>138</v>
      </c>
      <c r="E17">
        <f>50/0.3</f>
        <v>166.66666666666669</v>
      </c>
    </row>
    <row r="18" spans="1:5" ht="18">
      <c r="A18" s="11"/>
      <c r="B18" s="11" t="s">
        <v>340</v>
      </c>
      <c r="C18" s="11" t="s">
        <v>22</v>
      </c>
      <c r="D18" t="s">
        <v>330</v>
      </c>
      <c r="E18" s="12">
        <f>30/-0.2</f>
        <v>-150</v>
      </c>
    </row>
    <row r="19" spans="1:5" ht="18">
      <c r="A19" s="11"/>
      <c r="B19" s="11" t="s">
        <v>209</v>
      </c>
      <c r="C19" s="11" t="s">
        <v>22</v>
      </c>
      <c r="D19" t="s">
        <v>231</v>
      </c>
      <c r="E19">
        <f>50/100</f>
        <v>0.5</v>
      </c>
    </row>
    <row r="20" spans="1:5" ht="18">
      <c r="A20" s="11"/>
      <c r="B20" s="11" t="s">
        <v>240</v>
      </c>
      <c r="C20" s="11" t="s">
        <v>22</v>
      </c>
      <c r="D20" t="s">
        <v>234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258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250</v>
      </c>
      <c r="E22">
        <f>30/1/2</f>
        <v>15</v>
      </c>
    </row>
    <row r="23" spans="1:5" ht="18">
      <c r="A23" s="11"/>
      <c r="B23" s="11" t="s">
        <v>222</v>
      </c>
      <c r="C23" s="11" t="s">
        <v>22</v>
      </c>
      <c r="D23" t="s">
        <v>326</v>
      </c>
      <c r="E23">
        <f>50/25</f>
        <v>2</v>
      </c>
    </row>
    <row r="24" spans="1:5" ht="18">
      <c r="A24" s="11"/>
      <c r="B24" s="11" t="s">
        <v>230</v>
      </c>
      <c r="C24" s="11" t="s">
        <v>22</v>
      </c>
      <c r="D24" t="s">
        <v>327</v>
      </c>
      <c r="E24">
        <f>50/25</f>
        <v>2</v>
      </c>
    </row>
    <row r="25" spans="1:5" ht="18">
      <c r="A25" s="11"/>
      <c r="B25" s="11" t="s">
        <v>249</v>
      </c>
      <c r="C25" s="11" t="s">
        <v>22</v>
      </c>
      <c r="D25" t="s">
        <v>345</v>
      </c>
      <c r="E25">
        <v>2</v>
      </c>
    </row>
    <row r="26" spans="1:5" ht="18">
      <c r="A26" s="11"/>
      <c r="B26" s="11" t="s">
        <v>271</v>
      </c>
      <c r="C26" s="11" t="s">
        <v>22</v>
      </c>
      <c r="D26" t="s">
        <v>346</v>
      </c>
      <c r="E26">
        <v>2</v>
      </c>
    </row>
    <row r="27" spans="1:5" ht="18">
      <c r="A27" s="11"/>
      <c r="B27" s="11" t="s">
        <v>193</v>
      </c>
      <c r="C27" s="11" t="s">
        <v>58</v>
      </c>
      <c r="D27" s="11" t="s">
        <v>25</v>
      </c>
      <c r="E27">
        <v>-50</v>
      </c>
    </row>
    <row r="28" spans="1:5" ht="18">
      <c r="A28" s="11"/>
      <c r="B28" s="11" t="s">
        <v>145</v>
      </c>
      <c r="C28" s="11" t="s">
        <v>58</v>
      </c>
      <c r="D28" s="11" t="s">
        <v>23</v>
      </c>
      <c r="E28">
        <v>-30</v>
      </c>
    </row>
    <row r="29" spans="1:5" ht="18">
      <c r="A29" s="11"/>
      <c r="B29" s="11" t="s">
        <v>281</v>
      </c>
      <c r="C29" s="11" t="s">
        <v>58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58</v>
      </c>
      <c r="D30" s="11" t="s">
        <v>372</v>
      </c>
      <c r="E30">
        <v>50</v>
      </c>
    </row>
    <row r="31" spans="1:5" ht="18">
      <c r="A31" s="11"/>
      <c r="B31" s="11" t="s">
        <v>279</v>
      </c>
      <c r="C31" s="11" t="s">
        <v>58</v>
      </c>
      <c r="D31" s="11" t="s">
        <v>180</v>
      </c>
      <c r="E31">
        <v>50</v>
      </c>
    </row>
    <row r="32" spans="1:5" ht="18">
      <c r="A32" s="11"/>
      <c r="B32" s="11" t="s">
        <v>192</v>
      </c>
      <c r="C32" s="11" t="s">
        <v>58</v>
      </c>
      <c r="D32" s="11" t="s">
        <v>225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100</v>
      </c>
      <c r="B1" t="s">
        <v>49</v>
      </c>
      <c r="C1" t="s">
        <v>101</v>
      </c>
      <c r="D1" t="s">
        <v>49</v>
      </c>
    </row>
    <row r="2" spans="1:4">
      <c r="A2" t="s">
        <v>76</v>
      </c>
      <c r="B2" s="5" t="s">
        <v>116</v>
      </c>
      <c r="C2" t="s">
        <v>72</v>
      </c>
      <c r="D2" s="5" t="s">
        <v>43</v>
      </c>
    </row>
    <row r="3" spans="1:4">
      <c r="A3">
        <v>1</v>
      </c>
      <c r="B3" s="4" t="s">
        <v>182</v>
      </c>
      <c r="C3">
        <v>5</v>
      </c>
      <c r="D3" s="4" t="s">
        <v>206</v>
      </c>
    </row>
    <row r="4" spans="1:4">
      <c r="A4">
        <v>2</v>
      </c>
      <c r="B4" s="4" t="s">
        <v>247</v>
      </c>
      <c r="C4">
        <v>5</v>
      </c>
      <c r="D4" s="4" t="s">
        <v>181</v>
      </c>
    </row>
    <row r="5" spans="1:4">
      <c r="A5">
        <v>3</v>
      </c>
      <c r="B5" s="4" t="s">
        <v>272</v>
      </c>
      <c r="C5">
        <v>20</v>
      </c>
      <c r="D5" s="4" t="s">
        <v>8</v>
      </c>
    </row>
    <row r="6" spans="1:4">
      <c r="A6">
        <v>4</v>
      </c>
      <c r="B6" s="4" t="s">
        <v>274</v>
      </c>
      <c r="C6">
        <v>0.5</v>
      </c>
      <c r="D6" s="4" t="s">
        <v>197</v>
      </c>
    </row>
    <row r="7" spans="1:4">
      <c r="A7">
        <v>5</v>
      </c>
      <c r="B7" s="4" t="s">
        <v>322</v>
      </c>
      <c r="C7">
        <v>50</v>
      </c>
      <c r="D7" s="4" t="s">
        <v>371</v>
      </c>
    </row>
    <row r="8" spans="1:4">
      <c r="A8">
        <v>6</v>
      </c>
      <c r="B8" s="4" t="s">
        <v>325</v>
      </c>
      <c r="C8">
        <v>1</v>
      </c>
      <c r="D8" s="4" t="s">
        <v>170</v>
      </c>
    </row>
    <row r="9" spans="1:4">
      <c r="A9">
        <v>7</v>
      </c>
      <c r="B9" s="4" t="s">
        <v>370</v>
      </c>
      <c r="C9">
        <v>10</v>
      </c>
      <c r="D9" s="4" t="s">
        <v>368</v>
      </c>
    </row>
    <row r="10" spans="1:4">
      <c r="A10">
        <v>8</v>
      </c>
      <c r="B10" s="4" t="s">
        <v>27</v>
      </c>
      <c r="C10">
        <v>5</v>
      </c>
      <c r="D10" s="4" t="s">
        <v>166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P1" sqref="P1:P1048576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154</v>
      </c>
      <c r="L1" t="s">
        <v>154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76</v>
      </c>
      <c r="C2" s="5" t="s">
        <v>43</v>
      </c>
      <c r="D2" t="s">
        <v>151</v>
      </c>
      <c r="E2" t="s">
        <v>288</v>
      </c>
      <c r="F2" t="s">
        <v>2</v>
      </c>
      <c r="G2" t="s">
        <v>29</v>
      </c>
      <c r="H2" t="s">
        <v>14</v>
      </c>
      <c r="I2" s="21" t="s">
        <v>544</v>
      </c>
      <c r="J2" t="s">
        <v>12</v>
      </c>
      <c r="K2" t="s">
        <v>28</v>
      </c>
      <c r="L2" t="s">
        <v>228</v>
      </c>
      <c r="M2" t="s">
        <v>284</v>
      </c>
      <c r="N2" t="s">
        <v>195</v>
      </c>
      <c r="O2" t="s">
        <v>280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3"/>
  <sheetViews>
    <sheetView tabSelected="1" topLeftCell="O1" zoomScaleNormal="75" zoomScaleSheetLayoutView="100" workbookViewId="0">
      <selection activeCell="O7" sqref="O7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2.33203125" bestFit="1" customWidth="1"/>
    <col min="10" max="10" width="21.33203125" bestFit="1" customWidth="1"/>
    <col min="11" max="11" width="16.83203125" bestFit="1" customWidth="1"/>
    <col min="12" max="12" width="19" bestFit="1" customWidth="1"/>
    <col min="13" max="14" width="20.1640625" bestFit="1" customWidth="1"/>
    <col min="15" max="16" width="25.1640625" bestFit="1" customWidth="1"/>
    <col min="17" max="17" width="25.1640625" customWidth="1"/>
    <col min="18" max="19" width="20.6640625" bestFit="1" customWidth="1"/>
    <col min="20" max="21" width="24.6640625" bestFit="1" customWidth="1"/>
    <col min="22" max="23" width="24.6640625" customWidth="1"/>
    <col min="24" max="24" width="14.1640625" bestFit="1" customWidth="1"/>
    <col min="25" max="25" width="17" customWidth="1"/>
    <col min="26" max="26" width="26.6640625" bestFit="1" customWidth="1"/>
    <col min="27" max="27" width="25" bestFit="1" customWidth="1"/>
    <col min="28" max="29" width="26.1640625" bestFit="1" customWidth="1"/>
    <col min="30" max="30" width="26" bestFit="1" customWidth="1"/>
    <col min="31" max="31" width="27.1640625" bestFit="1" customWidth="1"/>
  </cols>
  <sheetData>
    <row r="1" spans="2:3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46</v>
      </c>
      <c r="K1" t="s">
        <v>101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AD1" s="10" t="s">
        <v>167</v>
      </c>
    </row>
    <row r="2" spans="2:31">
      <c r="B2" t="s">
        <v>76</v>
      </c>
      <c r="C2" s="5" t="s">
        <v>43</v>
      </c>
      <c r="D2" s="7" t="s">
        <v>203</v>
      </c>
      <c r="E2" s="6" t="s">
        <v>210</v>
      </c>
      <c r="F2" s="6" t="s">
        <v>321</v>
      </c>
      <c r="G2" s="7" t="s">
        <v>20</v>
      </c>
      <c r="H2" s="49" t="s">
        <v>545</v>
      </c>
      <c r="I2" s="8" t="s">
        <v>318</v>
      </c>
      <c r="J2" s="8" t="s">
        <v>17</v>
      </c>
      <c r="K2" s="8" t="s">
        <v>340</v>
      </c>
      <c r="L2" s="8" t="s">
        <v>187</v>
      </c>
      <c r="M2" s="8" t="s">
        <v>209</v>
      </c>
      <c r="N2" s="8" t="s">
        <v>240</v>
      </c>
      <c r="O2" s="8" t="s">
        <v>24</v>
      </c>
      <c r="P2" s="8" t="s">
        <v>30</v>
      </c>
      <c r="Q2" s="8" t="s">
        <v>31</v>
      </c>
      <c r="R2" s="9" t="s">
        <v>222</v>
      </c>
      <c r="S2" s="9" t="s">
        <v>230</v>
      </c>
      <c r="T2" s="9" t="s">
        <v>249</v>
      </c>
      <c r="U2" s="9" t="s">
        <v>271</v>
      </c>
      <c r="V2" s="9" t="s">
        <v>492</v>
      </c>
      <c r="W2" s="35" t="s">
        <v>493</v>
      </c>
      <c r="X2" s="1" t="s">
        <v>319</v>
      </c>
      <c r="Y2" s="5" t="s">
        <v>334</v>
      </c>
      <c r="Z2" s="5" t="s">
        <v>223</v>
      </c>
      <c r="AA2" s="5" t="s">
        <v>246</v>
      </c>
      <c r="AB2" s="5" t="s">
        <v>226</v>
      </c>
      <c r="AC2" s="5" t="s">
        <v>245</v>
      </c>
      <c r="AD2" s="5" t="s">
        <v>237</v>
      </c>
      <c r="AE2" s="5" t="s">
        <v>26</v>
      </c>
    </row>
    <row r="3" spans="2:31">
      <c r="B3">
        <v>200</v>
      </c>
      <c r="C3" s="4" t="s">
        <v>295</v>
      </c>
      <c r="D3">
        <v>1</v>
      </c>
      <c r="E3">
        <v>1.2</v>
      </c>
      <c r="F3">
        <v>3</v>
      </c>
      <c r="G3">
        <v>2</v>
      </c>
      <c r="H3">
        <v>0.7</v>
      </c>
      <c r="I3">
        <v>2.5</v>
      </c>
      <c r="J3">
        <v>120</v>
      </c>
      <c r="K3">
        <v>0.5</v>
      </c>
      <c r="L3">
        <v>0</v>
      </c>
      <c r="M3">
        <v>5</v>
      </c>
      <c r="N3">
        <v>15</v>
      </c>
      <c r="O3">
        <v>1</v>
      </c>
      <c r="P3">
        <v>3</v>
      </c>
      <c r="Q3">
        <v>0</v>
      </c>
      <c r="R3">
        <v>20</v>
      </c>
      <c r="S3">
        <v>40</v>
      </c>
      <c r="T3">
        <v>25</v>
      </c>
      <c r="U3">
        <v>30</v>
      </c>
      <c r="V3">
        <v>25</v>
      </c>
      <c r="W3">
        <v>30</v>
      </c>
      <c r="X3">
        <v>1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28.571428571428573</v>
      </c>
      <c r="AA3">
        <f>CharacterAtkTable[[#This Row],[ChargeRigidDmg2]]/(CharacterAtkTable[[#This Row],[SwingCooldown]]+CharacterAtkTable[[#This Row],[ChargeTime]])</f>
        <v>33.333333333333336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73.228571428571428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57.291666666666671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76</v>
      </c>
      <c r="C2" s="5" t="s">
        <v>61</v>
      </c>
      <c r="D2" t="s">
        <v>215</v>
      </c>
      <c r="E2" s="29" t="s">
        <v>205</v>
      </c>
      <c r="F2" s="29" t="s">
        <v>289</v>
      </c>
      <c r="G2" t="s">
        <v>15</v>
      </c>
      <c r="H2" t="s">
        <v>307</v>
      </c>
      <c r="I2" t="s">
        <v>213</v>
      </c>
      <c r="J2" t="s">
        <v>211</v>
      </c>
      <c r="K2" t="s">
        <v>293</v>
      </c>
      <c r="L2" t="s">
        <v>207</v>
      </c>
      <c r="M2" t="s">
        <v>214</v>
      </c>
      <c r="N2" s="5" t="s">
        <v>131</v>
      </c>
      <c r="O2" s="5" t="s">
        <v>139</v>
      </c>
      <c r="P2" s="5" t="s">
        <v>140</v>
      </c>
      <c r="Q2" s="5" t="s">
        <v>141</v>
      </c>
      <c r="R2" s="5" t="s">
        <v>142</v>
      </c>
      <c r="S2" s="5" t="s">
        <v>134</v>
      </c>
    </row>
    <row r="3" spans="2:19">
      <c r="B3">
        <v>800</v>
      </c>
      <c r="C3" s="18" t="s">
        <v>474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8" t="s">
        <v>475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8" t="s">
        <v>476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G34" sqref="G34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</row>
    <row r="2" spans="1:11">
      <c r="B2" t="s">
        <v>76</v>
      </c>
      <c r="C2" s="5" t="s">
        <v>41</v>
      </c>
      <c r="D2" t="s">
        <v>81</v>
      </c>
      <c r="E2" t="s">
        <v>82</v>
      </c>
      <c r="F2" t="s">
        <v>91</v>
      </c>
      <c r="G2" s="21" t="s">
        <v>552</v>
      </c>
      <c r="H2" t="s">
        <v>48</v>
      </c>
      <c r="I2" t="s">
        <v>94</v>
      </c>
    </row>
    <row r="3" spans="1:11">
      <c r="B3" s="29">
        <v>9001</v>
      </c>
      <c r="C3" s="32" t="s">
        <v>491</v>
      </c>
      <c r="D3" s="29">
        <v>0</v>
      </c>
      <c r="E3" s="29">
        <v>0</v>
      </c>
      <c r="F3" s="29">
        <v>0</v>
      </c>
      <c r="G3" s="29">
        <v>10000</v>
      </c>
      <c r="H3" s="29">
        <v>0</v>
      </c>
      <c r="I3" s="29">
        <v>0</v>
      </c>
      <c r="K3">
        <f>SUM(DropTable[[#This Row],[Normal]:[Active]])</f>
        <v>10000</v>
      </c>
    </row>
    <row r="4" spans="1:11">
      <c r="B4">
        <v>9002</v>
      </c>
      <c r="C4" s="31" t="s">
        <v>490</v>
      </c>
      <c r="D4">
        <v>7500</v>
      </c>
      <c r="E4">
        <v>1000</v>
      </c>
      <c r="F4">
        <v>1000</v>
      </c>
      <c r="G4">
        <v>500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31" t="s">
        <v>487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21" t="s">
        <v>400</v>
      </c>
      <c r="B6">
        <v>9100</v>
      </c>
      <c r="C6" s="18" t="s">
        <v>488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3">
        <v>9101</v>
      </c>
      <c r="C7" s="34" t="s">
        <v>489</v>
      </c>
      <c r="D7" s="33">
        <v>4000</v>
      </c>
      <c r="E7" s="33">
        <v>2000</v>
      </c>
      <c r="F7" s="33">
        <v>2000</v>
      </c>
      <c r="G7" s="33">
        <v>0</v>
      </c>
      <c r="H7" s="33">
        <v>2000</v>
      </c>
      <c r="I7" s="33">
        <v>0</v>
      </c>
      <c r="K7">
        <f>SUM(DropTable[[#This Row],[Normal]:[Active]])</f>
        <v>8000</v>
      </c>
    </row>
    <row r="8" spans="1:11">
      <c r="A8" t="s">
        <v>49</v>
      </c>
      <c r="B8" s="33">
        <v>9102</v>
      </c>
      <c r="C8" s="34" t="s">
        <v>299</v>
      </c>
      <c r="D8" s="33">
        <v>4000</v>
      </c>
      <c r="E8" s="33">
        <v>2000</v>
      </c>
      <c r="F8" s="33">
        <v>2000</v>
      </c>
      <c r="G8" s="33">
        <v>0</v>
      </c>
      <c r="H8" s="33">
        <v>0</v>
      </c>
      <c r="I8" s="33">
        <v>2000</v>
      </c>
      <c r="K8">
        <f>SUM(DropTable[[#This Row],[Normal]:[Active]])</f>
        <v>8000</v>
      </c>
    </row>
    <row r="9" spans="1:11">
      <c r="A9" t="s">
        <v>49</v>
      </c>
      <c r="B9" s="33">
        <v>9103</v>
      </c>
      <c r="C9" s="34" t="s">
        <v>122</v>
      </c>
      <c r="D9" s="33">
        <v>4000</v>
      </c>
      <c r="E9" s="33">
        <v>2000</v>
      </c>
      <c r="F9" s="33">
        <v>2000</v>
      </c>
      <c r="G9" s="33">
        <v>0</v>
      </c>
      <c r="H9" s="33">
        <v>2000</v>
      </c>
      <c r="I9" s="33">
        <v>0</v>
      </c>
      <c r="K9">
        <f>SUM(DropTable[[#This Row],[Normal]:[Active]])</f>
        <v>8000</v>
      </c>
    </row>
    <row r="10" spans="1:11">
      <c r="A10" t="s">
        <v>49</v>
      </c>
      <c r="B10" s="33">
        <v>9104</v>
      </c>
      <c r="C10" s="34" t="s">
        <v>121</v>
      </c>
      <c r="D10" s="33">
        <v>0</v>
      </c>
      <c r="E10" s="33">
        <v>7000</v>
      </c>
      <c r="F10" s="33">
        <v>3000</v>
      </c>
      <c r="G10" s="33">
        <v>0</v>
      </c>
      <c r="H10" s="33">
        <v>0</v>
      </c>
      <c r="I10" s="33">
        <v>0</v>
      </c>
      <c r="K10">
        <f>SUM(DropTable[[#This Row],[Normal]:[Active]])</f>
        <v>10000</v>
      </c>
    </row>
    <row r="11" spans="1:11">
      <c r="A11" t="s">
        <v>49</v>
      </c>
      <c r="B11" s="33">
        <v>9105</v>
      </c>
      <c r="C11" s="34" t="s">
        <v>308</v>
      </c>
      <c r="D11" s="33">
        <v>0</v>
      </c>
      <c r="E11" s="33">
        <v>0</v>
      </c>
      <c r="F11" s="33">
        <v>0</v>
      </c>
      <c r="G11" s="33">
        <v>10000</v>
      </c>
      <c r="H11" s="33">
        <v>0</v>
      </c>
      <c r="I11" s="33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E5" sqref="E5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4.5" customWidth="1"/>
    <col min="7" max="7" width="12.83203125" bestFit="1" customWidth="1"/>
    <col min="8" max="8" width="14" bestFit="1" customWidth="1"/>
    <col min="9" max="9" width="27.83203125" bestFit="1" customWidth="1"/>
    <col min="10" max="10" width="17" bestFit="1" customWidth="1"/>
    <col min="11" max="11" width="19.33203125" customWidth="1"/>
    <col min="12" max="12" width="17.5" bestFit="1" customWidth="1"/>
    <col min="13" max="13" width="15.6640625" bestFit="1" customWidth="1"/>
    <col min="14" max="14" width="17.1640625" bestFit="1" customWidth="1"/>
    <col min="15" max="15" width="12.6640625" bestFit="1" customWidth="1"/>
    <col min="16" max="16" width="17.6640625" bestFit="1" customWidth="1"/>
    <col min="17" max="17" width="16" bestFit="1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21" t="s">
        <v>512</v>
      </c>
      <c r="D1" s="14" t="s">
        <v>400</v>
      </c>
      <c r="E1" t="s">
        <v>46</v>
      </c>
      <c r="F1" t="s">
        <v>101</v>
      </c>
      <c r="G1" t="s">
        <v>125</v>
      </c>
      <c r="H1" t="s">
        <v>46</v>
      </c>
      <c r="I1" t="s">
        <v>101</v>
      </c>
      <c r="J1" t="s">
        <v>101</v>
      </c>
      <c r="K1" s="21" t="s">
        <v>496</v>
      </c>
      <c r="L1" t="s">
        <v>101</v>
      </c>
      <c r="M1" t="s">
        <v>125</v>
      </c>
      <c r="N1" t="s">
        <v>101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100</v>
      </c>
      <c r="U1" t="s">
        <v>49</v>
      </c>
      <c r="V1" t="s">
        <v>49</v>
      </c>
    </row>
    <row r="2" spans="2:22">
      <c r="B2" t="s">
        <v>76</v>
      </c>
      <c r="C2" s="40" t="s">
        <v>511</v>
      </c>
      <c r="D2" s="17" t="s">
        <v>400</v>
      </c>
      <c r="E2" t="s">
        <v>129</v>
      </c>
      <c r="F2" s="21" t="s">
        <v>486</v>
      </c>
      <c r="G2" t="s">
        <v>301</v>
      </c>
      <c r="H2" t="s">
        <v>303</v>
      </c>
      <c r="I2" s="21" t="s">
        <v>516</v>
      </c>
      <c r="J2" t="s">
        <v>2</v>
      </c>
      <c r="K2" s="21" t="s">
        <v>497</v>
      </c>
      <c r="L2" t="s">
        <v>201</v>
      </c>
      <c r="M2" t="s">
        <v>196</v>
      </c>
      <c r="N2" t="s">
        <v>199</v>
      </c>
      <c r="O2" t="s">
        <v>300</v>
      </c>
      <c r="P2" t="s">
        <v>208</v>
      </c>
      <c r="Q2" t="s">
        <v>306</v>
      </c>
      <c r="R2" t="s">
        <v>304</v>
      </c>
      <c r="S2" t="s">
        <v>11</v>
      </c>
      <c r="T2" t="s">
        <v>309</v>
      </c>
      <c r="U2" s="5" t="s">
        <v>311</v>
      </c>
      <c r="V2" s="5" t="s">
        <v>329</v>
      </c>
    </row>
    <row r="3" spans="2:22">
      <c r="B3">
        <v>500</v>
      </c>
      <c r="C3" s="4" t="s">
        <v>40</v>
      </c>
      <c r="D3" s="18" t="s">
        <v>401</v>
      </c>
      <c r="E3">
        <f>표14[적 기준 체력]*EnemyGameData[[#This Row],['#기준 적 체력 비율]]</f>
        <v>20</v>
      </c>
      <c r="F3">
        <v>10</v>
      </c>
      <c r="G3" t="s">
        <v>123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74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21" t="s">
        <v>509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8" t="s">
        <v>435</v>
      </c>
      <c r="D4" s="18" t="s">
        <v>403</v>
      </c>
      <c r="E4">
        <f>표14[적 기준 체력]*EnemyGameData[[#This Row],['#기준 적 체력 비율]]</f>
        <v>80</v>
      </c>
      <c r="F4">
        <v>10</v>
      </c>
      <c r="G4" t="s">
        <v>310</v>
      </c>
      <c r="H4">
        <v>6</v>
      </c>
      <c r="I4">
        <v>2</v>
      </c>
      <c r="J4">
        <v>2</v>
      </c>
      <c r="K4">
        <v>25</v>
      </c>
      <c r="L4">
        <v>1.8</v>
      </c>
      <c r="M4" s="21" t="s">
        <v>536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21" t="s">
        <v>510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337</v>
      </c>
      <c r="D5" s="18" t="s">
        <v>406</v>
      </c>
      <c r="E5">
        <f>표14[적 기준 체력]*EnemyGameData[[#This Row],['#기준 적 체력 비율]]</f>
        <v>100</v>
      </c>
      <c r="F5">
        <v>10</v>
      </c>
      <c r="G5" t="s">
        <v>123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124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21" t="s">
        <v>510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244</v>
      </c>
      <c r="D6" s="18" t="s">
        <v>425</v>
      </c>
      <c r="E6">
        <f>표14[적 기준 체력]*EnemyGameData[[#This Row],['#기준 적 체력 비율]]</f>
        <v>80</v>
      </c>
      <c r="F6">
        <v>10</v>
      </c>
      <c r="G6" t="s">
        <v>310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124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21" t="s">
        <v>510</v>
      </c>
      <c r="U6">
        <v>0.8</v>
      </c>
      <c r="V6">
        <f>AVERAGE(EnemyGameData[[#This Row],[GoldDropMin]],EnemyGameData[[#This Row],[GoldDropMax]])</f>
        <v>2</v>
      </c>
    </row>
    <row r="7" spans="2:22" s="25" customFormat="1">
      <c r="B7" s="25">
        <v>504</v>
      </c>
      <c r="C7" s="26" t="s">
        <v>235</v>
      </c>
      <c r="D7" s="26" t="s">
        <v>433</v>
      </c>
      <c r="E7" s="25">
        <f>표14[적 기준 체력]*EnemyGameData[[#This Row],['#기준 적 체력 비율]]</f>
        <v>80</v>
      </c>
      <c r="F7">
        <v>10</v>
      </c>
      <c r="G7" s="25" t="s">
        <v>310</v>
      </c>
      <c r="H7" s="25">
        <v>4</v>
      </c>
      <c r="I7" s="25">
        <v>1.5</v>
      </c>
      <c r="J7" s="25">
        <v>2</v>
      </c>
      <c r="K7">
        <v>25</v>
      </c>
      <c r="L7" s="25">
        <v>3</v>
      </c>
      <c r="M7" s="25" t="s">
        <v>124</v>
      </c>
      <c r="N7" s="25">
        <v>4</v>
      </c>
      <c r="O7" s="25">
        <v>603</v>
      </c>
      <c r="P7" s="25">
        <v>0</v>
      </c>
      <c r="Q7" s="25">
        <v>0</v>
      </c>
      <c r="R7" s="25">
        <v>0</v>
      </c>
      <c r="S7" s="25">
        <v>501</v>
      </c>
      <c r="T7" s="25" t="s">
        <v>510</v>
      </c>
      <c r="U7" s="25">
        <v>0.8</v>
      </c>
      <c r="V7" s="25">
        <f>AVERAGE(EnemyGameData[[#This Row],[GoldDropMin]],EnemyGameData[[#This Row],[GoldDropMax]])</f>
        <v>0</v>
      </c>
    </row>
    <row r="8" spans="2:22" s="25" customFormat="1">
      <c r="B8" s="25">
        <v>505</v>
      </c>
      <c r="C8" s="26" t="s">
        <v>236</v>
      </c>
      <c r="D8" s="26" t="s">
        <v>433</v>
      </c>
      <c r="E8" s="25">
        <f>표14[적 기준 체력]*EnemyGameData[[#This Row],['#기준 적 체력 비율]]</f>
        <v>100</v>
      </c>
      <c r="F8">
        <v>10</v>
      </c>
      <c r="G8" s="25" t="s">
        <v>310</v>
      </c>
      <c r="H8" s="25">
        <v>4</v>
      </c>
      <c r="I8" s="25">
        <v>1.8</v>
      </c>
      <c r="J8" s="25">
        <v>2</v>
      </c>
      <c r="K8">
        <v>25</v>
      </c>
      <c r="L8" s="25">
        <v>3</v>
      </c>
      <c r="M8" s="25" t="s">
        <v>124</v>
      </c>
      <c r="N8" s="25">
        <v>4</v>
      </c>
      <c r="O8" s="25">
        <v>604</v>
      </c>
      <c r="P8" s="25">
        <v>0</v>
      </c>
      <c r="Q8" s="25">
        <v>0</v>
      </c>
      <c r="R8" s="25">
        <v>0</v>
      </c>
      <c r="S8" s="25">
        <v>501</v>
      </c>
      <c r="T8" s="25" t="s">
        <v>510</v>
      </c>
      <c r="U8" s="25">
        <v>1</v>
      </c>
      <c r="V8" s="25">
        <f>AVERAGE(EnemyGameData[[#This Row],[GoldDropMin]],EnemyGameData[[#This Row],[GoldDropMax]])</f>
        <v>0</v>
      </c>
    </row>
    <row r="9" spans="2:22">
      <c r="B9">
        <v>506</v>
      </c>
      <c r="C9" s="4" t="s">
        <v>239</v>
      </c>
      <c r="D9" s="18" t="s">
        <v>431</v>
      </c>
      <c r="E9">
        <f>표14[적 기준 체력]*EnemyGameData[[#This Row],['#기준 적 체력 비율]]</f>
        <v>100</v>
      </c>
      <c r="F9">
        <v>10</v>
      </c>
      <c r="G9" t="s">
        <v>310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124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21" t="s">
        <v>510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361</v>
      </c>
      <c r="D10" s="4"/>
      <c r="E10">
        <v>2000</v>
      </c>
      <c r="F10">
        <v>10</v>
      </c>
      <c r="G10" t="s">
        <v>123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124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9" t="s">
        <v>437</v>
      </c>
      <c r="D11" s="18" t="s">
        <v>436</v>
      </c>
      <c r="E11">
        <f>표14[적 기준 체력]*EnemyGameData[[#This Row],['#기준 적 체력 비율]]</f>
        <v>80</v>
      </c>
      <c r="F11">
        <v>10</v>
      </c>
      <c r="G11" t="s">
        <v>310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217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21" t="s">
        <v>510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8" t="s">
        <v>429</v>
      </c>
      <c r="D12" s="18" t="s">
        <v>402</v>
      </c>
      <c r="E12">
        <f>표14[적 기준 체력]*EnemyGameData[[#This Row],['#기준 적 체력 비율]]</f>
        <v>140</v>
      </c>
      <c r="F12">
        <v>10</v>
      </c>
      <c r="G12" t="s">
        <v>310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217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21" t="s">
        <v>510</v>
      </c>
      <c r="U12">
        <v>1.4</v>
      </c>
      <c r="V12">
        <v>7</v>
      </c>
    </row>
    <row r="13" spans="2:22">
      <c r="B13" s="37">
        <v>551</v>
      </c>
      <c r="C13" s="38" t="s">
        <v>427</v>
      </c>
      <c r="D13" s="38" t="s">
        <v>407</v>
      </c>
      <c r="E13" s="37">
        <f>표14[적 기준 체력]*EnemyGameData[[#This Row],['#기준 적 체력 비율]]</f>
        <v>160</v>
      </c>
      <c r="F13" s="37">
        <v>10</v>
      </c>
      <c r="G13" s="37" t="s">
        <v>123</v>
      </c>
      <c r="H13" s="37">
        <v>0.1</v>
      </c>
      <c r="I13" s="37">
        <v>1.2</v>
      </c>
      <c r="J13" s="37">
        <v>3</v>
      </c>
      <c r="K13">
        <v>25</v>
      </c>
      <c r="L13" s="37">
        <v>1.5</v>
      </c>
      <c r="M13" s="37" t="s">
        <v>124</v>
      </c>
      <c r="N13" s="37">
        <v>3.5</v>
      </c>
      <c r="O13" s="37">
        <v>651</v>
      </c>
      <c r="P13" s="37">
        <v>0</v>
      </c>
      <c r="Q13" s="37">
        <v>3</v>
      </c>
      <c r="R13" s="37">
        <v>5</v>
      </c>
      <c r="S13" s="37">
        <v>501</v>
      </c>
      <c r="T13" s="37" t="s">
        <v>510</v>
      </c>
      <c r="U13" s="37">
        <v>1.6</v>
      </c>
      <c r="V13" s="37">
        <v>7</v>
      </c>
    </row>
    <row r="14" spans="2:22">
      <c r="B14">
        <v>552</v>
      </c>
      <c r="C14" s="18" t="s">
        <v>428</v>
      </c>
      <c r="D14" s="18" t="s">
        <v>426</v>
      </c>
      <c r="E14">
        <f>표14[적 기준 체력]*EnemyGameData[[#This Row],['#기준 적 체력 비율]]</f>
        <v>140</v>
      </c>
      <c r="F14">
        <v>10</v>
      </c>
      <c r="G14" t="s">
        <v>310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124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21" t="s">
        <v>510</v>
      </c>
      <c r="U14">
        <v>1.4</v>
      </c>
      <c r="V14">
        <v>7</v>
      </c>
    </row>
    <row r="15" spans="2:22">
      <c r="B15">
        <v>553</v>
      </c>
      <c r="C15" s="19" t="s">
        <v>432</v>
      </c>
      <c r="D15" s="18" t="s">
        <v>430</v>
      </c>
      <c r="E15">
        <f>표14[적 기준 체력]*EnemyGameData[[#This Row],['#기준 적 체력 비율]]</f>
        <v>160</v>
      </c>
      <c r="F15">
        <v>10</v>
      </c>
      <c r="G15" t="s">
        <v>310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124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21" t="s">
        <v>510</v>
      </c>
      <c r="U15">
        <v>1.6</v>
      </c>
      <c r="V15">
        <f>AVERAGE(EnemyGameData[[#This Row],[GoldDropMin]],EnemyGameData[[#This Row],[GoldDropMax]])</f>
        <v>5</v>
      </c>
    </row>
    <row r="16" spans="2:22" s="25" customFormat="1">
      <c r="B16" s="25">
        <v>554</v>
      </c>
      <c r="C16" s="27" t="s">
        <v>434</v>
      </c>
      <c r="D16" s="26" t="s">
        <v>433</v>
      </c>
      <c r="E16" s="25">
        <f>표14[적 기준 체력]*EnemyGameData[[#This Row],['#기준 적 체력 비율]]</f>
        <v>20</v>
      </c>
      <c r="F16">
        <v>10</v>
      </c>
      <c r="G16" s="25" t="s">
        <v>123</v>
      </c>
      <c r="H16" s="25">
        <v>1</v>
      </c>
      <c r="I16" s="25">
        <v>0.3</v>
      </c>
      <c r="J16" s="25">
        <v>1.8</v>
      </c>
      <c r="K16">
        <v>25</v>
      </c>
      <c r="L16" s="25">
        <v>0</v>
      </c>
      <c r="M16" s="25" t="s">
        <v>74</v>
      </c>
      <c r="N16" s="25">
        <v>1</v>
      </c>
      <c r="O16" s="25">
        <v>0</v>
      </c>
      <c r="P16" s="25">
        <v>0</v>
      </c>
      <c r="Q16" s="25">
        <v>0</v>
      </c>
      <c r="R16" s="25">
        <v>0</v>
      </c>
      <c r="S16" s="25">
        <v>501</v>
      </c>
      <c r="T16" s="25" t="s">
        <v>509</v>
      </c>
      <c r="U16" s="25">
        <v>0.2</v>
      </c>
      <c r="V16" s="25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4" zoomScaleNormal="75" zoomScaleSheetLayoutView="100" workbookViewId="0">
      <selection activeCell="E25" sqref="E25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125</v>
      </c>
      <c r="F1" t="s">
        <v>101</v>
      </c>
      <c r="G1" t="s">
        <v>101</v>
      </c>
      <c r="H1" s="14" t="s">
        <v>400</v>
      </c>
      <c r="I1" s="14" t="s">
        <v>400</v>
      </c>
    </row>
    <row r="2" spans="2:9">
      <c r="B2" t="s">
        <v>76</v>
      </c>
      <c r="C2" s="5" t="s">
        <v>43</v>
      </c>
      <c r="D2" t="s">
        <v>316</v>
      </c>
      <c r="E2" t="s">
        <v>127</v>
      </c>
      <c r="F2" t="s">
        <v>315</v>
      </c>
      <c r="G2" t="s">
        <v>312</v>
      </c>
      <c r="H2" s="14" t="s">
        <v>400</v>
      </c>
      <c r="I2" s="14" t="s">
        <v>459</v>
      </c>
    </row>
    <row r="3" spans="2:9">
      <c r="B3">
        <v>600</v>
      </c>
      <c r="C3" s="20" t="s">
        <v>451</v>
      </c>
      <c r="D3">
        <v>700</v>
      </c>
      <c r="E3" t="s">
        <v>153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8" t="s">
        <v>408</v>
      </c>
      <c r="D4">
        <v>702</v>
      </c>
      <c r="E4" t="s">
        <v>149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8" t="s">
        <v>408</v>
      </c>
      <c r="D5">
        <v>706</v>
      </c>
      <c r="E5" t="s">
        <v>149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8" t="s">
        <v>408</v>
      </c>
      <c r="D6">
        <v>712</v>
      </c>
      <c r="E6" t="s">
        <v>149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8" t="s">
        <v>408</v>
      </c>
      <c r="D7">
        <v>709</v>
      </c>
      <c r="E7" t="s">
        <v>149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8" t="s">
        <v>408</v>
      </c>
      <c r="D8">
        <v>711</v>
      </c>
      <c r="E8" t="s">
        <v>149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8" t="s">
        <v>408</v>
      </c>
      <c r="D9">
        <v>708</v>
      </c>
      <c r="E9" t="s">
        <v>149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8" t="s">
        <v>408</v>
      </c>
      <c r="D10">
        <v>718</v>
      </c>
      <c r="E10" t="s">
        <v>149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8" t="s">
        <v>408</v>
      </c>
      <c r="D11">
        <v>710</v>
      </c>
      <c r="E11" t="s">
        <v>149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8" t="s">
        <v>408</v>
      </c>
      <c r="D12">
        <v>703</v>
      </c>
      <c r="E12" t="s">
        <v>149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0" t="s">
        <v>447</v>
      </c>
      <c r="D13">
        <v>719</v>
      </c>
      <c r="E13" t="s">
        <v>149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155</v>
      </c>
      <c r="D14">
        <v>720</v>
      </c>
      <c r="E14" t="s">
        <v>149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0" t="s">
        <v>455</v>
      </c>
      <c r="D15">
        <v>721</v>
      </c>
      <c r="E15" t="s">
        <v>149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0" t="s">
        <v>455</v>
      </c>
      <c r="D16">
        <v>722</v>
      </c>
      <c r="E16" t="s">
        <v>149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0" t="s">
        <v>455</v>
      </c>
      <c r="D17">
        <v>723</v>
      </c>
      <c r="E17" t="s">
        <v>149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0" t="s">
        <v>446</v>
      </c>
      <c r="D18">
        <v>724</v>
      </c>
      <c r="E18" t="s">
        <v>149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342</v>
      </c>
      <c r="D19">
        <v>724</v>
      </c>
      <c r="E19" t="s">
        <v>149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342</v>
      </c>
      <c r="D20">
        <v>724</v>
      </c>
      <c r="E20" t="s">
        <v>149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342</v>
      </c>
      <c r="D21">
        <v>724</v>
      </c>
      <c r="E21" t="s">
        <v>149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2" t="s">
        <v>445</v>
      </c>
      <c r="D22">
        <v>701</v>
      </c>
      <c r="E22" t="s">
        <v>153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20" t="s">
        <v>452</v>
      </c>
      <c r="D23">
        <v>725</v>
      </c>
      <c r="E23" t="s">
        <v>153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20" t="s">
        <v>453</v>
      </c>
      <c r="D24">
        <v>725</v>
      </c>
      <c r="E24" t="s">
        <v>153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20" t="s">
        <v>454</v>
      </c>
      <c r="D25">
        <v>725</v>
      </c>
      <c r="E25" t="s">
        <v>153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2" t="s">
        <v>480</v>
      </c>
      <c r="D26">
        <v>716</v>
      </c>
      <c r="E26" t="s">
        <v>149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2" t="s">
        <v>480</v>
      </c>
      <c r="D27">
        <v>718</v>
      </c>
      <c r="E27" t="s">
        <v>149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2" t="s">
        <v>480</v>
      </c>
      <c r="D28">
        <v>708</v>
      </c>
      <c r="E28" t="s">
        <v>149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2" t="s">
        <v>480</v>
      </c>
      <c r="D29">
        <v>712</v>
      </c>
      <c r="E29" t="s">
        <v>149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2" t="s">
        <v>480</v>
      </c>
      <c r="D30">
        <v>708</v>
      </c>
      <c r="E30" t="s">
        <v>149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2" t="s">
        <v>480</v>
      </c>
      <c r="D31">
        <v>711</v>
      </c>
      <c r="E31" t="s">
        <v>149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2" t="s">
        <v>480</v>
      </c>
      <c r="D32">
        <v>713</v>
      </c>
      <c r="E32" t="s">
        <v>149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2" t="s">
        <v>480</v>
      </c>
      <c r="D33">
        <v>713</v>
      </c>
      <c r="E33" t="s">
        <v>149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2" t="s">
        <v>480</v>
      </c>
      <c r="D34">
        <v>705</v>
      </c>
      <c r="E34" t="s">
        <v>149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2" t="s">
        <v>480</v>
      </c>
      <c r="D35">
        <v>706</v>
      </c>
      <c r="E35" t="s">
        <v>149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2" t="s">
        <v>480</v>
      </c>
      <c r="D36">
        <v>711</v>
      </c>
      <c r="E36" t="s">
        <v>149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2" t="s">
        <v>480</v>
      </c>
      <c r="D37">
        <v>712</v>
      </c>
      <c r="E37" t="s">
        <v>149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2" t="s">
        <v>480</v>
      </c>
      <c r="D38">
        <v>708</v>
      </c>
      <c r="E38" t="s">
        <v>149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2" t="s">
        <v>480</v>
      </c>
      <c r="D39">
        <v>702</v>
      </c>
      <c r="E39" t="s">
        <v>149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2" t="s">
        <v>480</v>
      </c>
      <c r="D40">
        <v>708</v>
      </c>
      <c r="E40" t="s">
        <v>149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2" t="s">
        <v>480</v>
      </c>
      <c r="D41">
        <v>717</v>
      </c>
      <c r="E41" t="s">
        <v>149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2" t="s">
        <v>456</v>
      </c>
      <c r="D42">
        <v>726</v>
      </c>
      <c r="E42" t="s">
        <v>149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2" t="s">
        <v>457</v>
      </c>
      <c r="D43">
        <v>726</v>
      </c>
      <c r="E43" t="s">
        <v>149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2" t="s">
        <v>458</v>
      </c>
      <c r="D44">
        <v>726</v>
      </c>
      <c r="E44" t="s">
        <v>149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6" t="s">
        <v>440</v>
      </c>
      <c r="D45">
        <v>700</v>
      </c>
      <c r="E45" t="s">
        <v>149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2" t="s">
        <v>440</v>
      </c>
      <c r="D46">
        <v>701</v>
      </c>
      <c r="E46" t="s">
        <v>149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2" t="s">
        <v>440</v>
      </c>
      <c r="D47">
        <v>700</v>
      </c>
      <c r="E47" t="s">
        <v>149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2" t="s">
        <v>440</v>
      </c>
      <c r="D48">
        <v>701</v>
      </c>
      <c r="E48" t="s">
        <v>149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2" t="s">
        <v>440</v>
      </c>
      <c r="D49">
        <v>700</v>
      </c>
      <c r="E49" t="s">
        <v>149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2" t="s">
        <v>440</v>
      </c>
      <c r="D50">
        <v>701</v>
      </c>
      <c r="E50" t="s">
        <v>149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2" t="s">
        <v>440</v>
      </c>
      <c r="D51">
        <v>700</v>
      </c>
      <c r="E51" t="s">
        <v>149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2" t="s">
        <v>440</v>
      </c>
      <c r="D52">
        <v>701</v>
      </c>
      <c r="E52" t="s">
        <v>149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2" t="s">
        <v>440</v>
      </c>
      <c r="D53">
        <v>700</v>
      </c>
      <c r="E53" t="s">
        <v>149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2" t="s">
        <v>440</v>
      </c>
      <c r="D54">
        <v>701</v>
      </c>
      <c r="E54" t="s">
        <v>149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2" t="s">
        <v>440</v>
      </c>
      <c r="D55">
        <v>700</v>
      </c>
      <c r="E55" t="s">
        <v>149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21">
        <v>9991</v>
      </c>
      <c r="C56" s="22" t="s">
        <v>440</v>
      </c>
      <c r="D56">
        <v>727</v>
      </c>
      <c r="E56" t="s">
        <v>149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2" t="s">
        <v>441</v>
      </c>
      <c r="D57">
        <v>725</v>
      </c>
      <c r="E57" s="21" t="s">
        <v>438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2" t="s">
        <v>441</v>
      </c>
      <c r="D58">
        <v>725</v>
      </c>
      <c r="E58" s="21" t="s">
        <v>438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2" t="s">
        <v>442</v>
      </c>
      <c r="D59">
        <v>999</v>
      </c>
      <c r="E59" s="21" t="s">
        <v>439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44" zoomScaleNormal="75" zoomScaleSheetLayoutView="100" workbookViewId="0">
      <selection activeCell="D72" sqref="D72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125</v>
      </c>
      <c r="E1" t="s">
        <v>46</v>
      </c>
      <c r="F1" t="s">
        <v>46</v>
      </c>
      <c r="G1" t="s">
        <v>46</v>
      </c>
    </row>
    <row r="2" spans="2:7">
      <c r="B2" t="s">
        <v>76</v>
      </c>
      <c r="C2" s="5" t="s">
        <v>43</v>
      </c>
      <c r="D2" t="s">
        <v>317</v>
      </c>
      <c r="E2" t="s">
        <v>11</v>
      </c>
      <c r="F2" t="s">
        <v>218</v>
      </c>
      <c r="G2" t="s">
        <v>320</v>
      </c>
    </row>
    <row r="3" spans="2:7">
      <c r="B3">
        <v>700</v>
      </c>
      <c r="C3" s="4" t="s">
        <v>335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335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335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335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227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227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227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227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8" t="s">
        <v>411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8" t="s">
        <v>412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8" t="s">
        <v>413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8" t="s">
        <v>414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8" t="s">
        <v>415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8" t="s">
        <v>416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8" t="s">
        <v>417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8" t="s">
        <v>418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8" t="s">
        <v>419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8" t="s">
        <v>420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8" t="s">
        <v>421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8" t="s">
        <v>409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8" t="s">
        <v>422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8" t="s">
        <v>410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8" t="s">
        <v>423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8" t="s">
        <v>424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8" t="s">
        <v>448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343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343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343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343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343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343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343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343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229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229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229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229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229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229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229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229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241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241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241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241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241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241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241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241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233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233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233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233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233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233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233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233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8" t="s">
        <v>405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8" t="s">
        <v>405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8" t="s">
        <v>404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8" t="s">
        <v>404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8" t="s">
        <v>404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8" t="s">
        <v>404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8" t="s">
        <v>404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8" t="s">
        <v>404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4" t="s">
        <v>336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9" t="s">
        <v>495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9" t="s">
        <v>495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9" t="s">
        <v>494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9" t="s">
        <v>494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9" t="s">
        <v>494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9" t="s">
        <v>494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9" t="s">
        <v>494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9" t="s">
        <v>494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9" t="s">
        <v>495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9" t="s">
        <v>495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9" t="s">
        <v>494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9" t="s">
        <v>494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9" t="s">
        <v>494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9" t="s">
        <v>494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9" t="s">
        <v>494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9" t="s">
        <v>494</v>
      </c>
      <c r="D88">
        <v>-112.5</v>
      </c>
      <c r="E88">
        <v>401</v>
      </c>
      <c r="F88">
        <v>0</v>
      </c>
      <c r="G88">
        <v>6.5</v>
      </c>
    </row>
    <row r="89" spans="2:7">
      <c r="B89">
        <v>999</v>
      </c>
      <c r="C89" s="23" t="s">
        <v>443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132</v>
      </c>
      <c r="E1" t="s">
        <v>101</v>
      </c>
      <c r="F1" t="s">
        <v>46</v>
      </c>
      <c r="G1" t="s">
        <v>100</v>
      </c>
    </row>
    <row r="2" spans="2:7">
      <c r="B2" t="s">
        <v>76</v>
      </c>
      <c r="C2" s="5" t="s">
        <v>43</v>
      </c>
      <c r="D2" t="s">
        <v>332</v>
      </c>
      <c r="E2" t="s">
        <v>169</v>
      </c>
      <c r="F2" t="s">
        <v>302</v>
      </c>
      <c r="G2" t="s">
        <v>309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367</v>
      </c>
    </row>
    <row r="4" spans="2:7">
      <c r="B4">
        <v>500</v>
      </c>
      <c r="C4" s="4" t="s">
        <v>40</v>
      </c>
      <c r="D4" s="3" t="b">
        <v>0</v>
      </c>
      <c r="E4">
        <v>1</v>
      </c>
      <c r="F4">
        <v>60</v>
      </c>
      <c r="G4" t="s">
        <v>366</v>
      </c>
    </row>
    <row r="5" spans="2:7">
      <c r="B5">
        <v>501</v>
      </c>
      <c r="C5" s="4" t="s">
        <v>152</v>
      </c>
      <c r="D5" s="3" t="b">
        <v>0</v>
      </c>
      <c r="E5">
        <v>1</v>
      </c>
      <c r="F5">
        <v>60</v>
      </c>
      <c r="G5" t="s">
        <v>366</v>
      </c>
    </row>
    <row r="6" spans="2:7">
      <c r="B6">
        <v>400</v>
      </c>
      <c r="C6" s="4" t="s">
        <v>133</v>
      </c>
      <c r="D6" s="3" t="b">
        <v>0</v>
      </c>
      <c r="E6">
        <v>0.25</v>
      </c>
      <c r="F6">
        <v>25</v>
      </c>
      <c r="G6" t="s">
        <v>366</v>
      </c>
    </row>
    <row r="7" spans="2:7">
      <c r="B7">
        <v>401</v>
      </c>
      <c r="C7" s="4" t="s">
        <v>344</v>
      </c>
      <c r="D7" s="3" t="b">
        <v>1</v>
      </c>
      <c r="E7">
        <v>0.25</v>
      </c>
      <c r="F7">
        <v>25</v>
      </c>
      <c r="G7" t="s">
        <v>366</v>
      </c>
    </row>
    <row r="8" spans="2:7">
      <c r="B8">
        <v>402</v>
      </c>
      <c r="C8" s="4" t="s">
        <v>130</v>
      </c>
      <c r="D8" s="3" t="b">
        <v>0</v>
      </c>
      <c r="E8">
        <v>0.4</v>
      </c>
      <c r="F8">
        <v>25</v>
      </c>
      <c r="G8" t="s">
        <v>366</v>
      </c>
    </row>
    <row r="9" spans="2:7">
      <c r="B9">
        <v>403</v>
      </c>
      <c r="C9" s="18" t="s">
        <v>449</v>
      </c>
      <c r="D9" s="3" t="b">
        <v>0</v>
      </c>
      <c r="E9">
        <v>0.8</v>
      </c>
      <c r="F9">
        <v>25</v>
      </c>
      <c r="G9" t="s">
        <v>366</v>
      </c>
    </row>
    <row r="10" spans="2:7">
      <c r="B10">
        <v>404</v>
      </c>
      <c r="C10" s="18" t="s">
        <v>450</v>
      </c>
      <c r="D10" s="3" t="b">
        <v>1</v>
      </c>
      <c r="E10">
        <v>0.8</v>
      </c>
      <c r="F10">
        <v>25</v>
      </c>
      <c r="G10" t="s">
        <v>366</v>
      </c>
    </row>
    <row r="11" spans="2:7">
      <c r="B11">
        <v>999</v>
      </c>
      <c r="C11" s="23" t="s">
        <v>444</v>
      </c>
      <c r="D11" t="b">
        <v>1</v>
      </c>
      <c r="E11">
        <v>1</v>
      </c>
      <c r="F11">
        <v>25</v>
      </c>
      <c r="G11" s="21" t="s">
        <v>485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32"/>
  <sheetViews>
    <sheetView zoomScaleNormal="75" zoomScaleSheetLayoutView="100" workbookViewId="0">
      <selection activeCell="E13" sqref="E13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94.6640625" customWidth="1"/>
    <col min="5" max="6" width="74.1640625" customWidth="1"/>
    <col min="7" max="7" width="13.33203125" bestFit="1" customWidth="1"/>
    <col min="8" max="8" width="18.5" bestFit="1" customWidth="1"/>
    <col min="9" max="11" width="18.5" customWidth="1"/>
    <col min="12" max="12" width="35.6640625" bestFit="1" customWidth="1"/>
    <col min="13" max="13" width="17.83203125" bestFit="1" customWidth="1"/>
    <col min="14" max="14" width="97" customWidth="1"/>
    <col min="15" max="15" width="44.6640625" customWidth="1"/>
    <col min="16" max="16" width="24.33203125" customWidth="1"/>
    <col min="17" max="18" width="64.5" customWidth="1"/>
  </cols>
  <sheetData>
    <row r="1" spans="2:19">
      <c r="B1" t="s">
        <v>51</v>
      </c>
      <c r="C1" t="s">
        <v>77</v>
      </c>
      <c r="D1" t="s">
        <v>77</v>
      </c>
      <c r="G1" t="s">
        <v>77</v>
      </c>
      <c r="H1" t="s">
        <v>46</v>
      </c>
      <c r="I1" t="s">
        <v>46</v>
      </c>
      <c r="J1" t="s">
        <v>46</v>
      </c>
      <c r="K1" t="s">
        <v>46</v>
      </c>
      <c r="L1" t="s">
        <v>100</v>
      </c>
      <c r="M1" t="s">
        <v>49</v>
      </c>
    </row>
    <row r="2" spans="2:19">
      <c r="B2" t="s">
        <v>76</v>
      </c>
      <c r="C2" t="s">
        <v>80</v>
      </c>
      <c r="D2" t="s">
        <v>164</v>
      </c>
      <c r="E2" s="21" t="s">
        <v>553</v>
      </c>
      <c r="F2" s="21" t="s">
        <v>554</v>
      </c>
      <c r="G2" t="s">
        <v>282</v>
      </c>
      <c r="H2" t="s">
        <v>89</v>
      </c>
      <c r="I2" t="s">
        <v>93</v>
      </c>
      <c r="J2" t="s">
        <v>283</v>
      </c>
      <c r="K2" t="s">
        <v>16</v>
      </c>
      <c r="L2" t="s">
        <v>194</v>
      </c>
      <c r="M2" s="5" t="s">
        <v>356</v>
      </c>
      <c r="N2" s="1" t="s">
        <v>49</v>
      </c>
      <c r="O2" s="1" t="s">
        <v>393</v>
      </c>
      <c r="P2" s="1" t="s">
        <v>394</v>
      </c>
      <c r="Q2" s="1" t="s">
        <v>395</v>
      </c>
      <c r="R2" s="28" t="s">
        <v>481</v>
      </c>
      <c r="S2" s="28" t="s">
        <v>473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4" t="e">
        <f>MID(ItemTable[[#This Row],[ItemIconPath]],FIND("icon",ItemTable[[#This Row],[ItemIconPath]]),999)</f>
        <v>#VALUE!</v>
      </c>
      <c r="N3" s="15"/>
      <c r="O3" s="15"/>
      <c r="P3" s="15"/>
      <c r="Q3" s="15"/>
      <c r="R3" s="15"/>
      <c r="S3" s="15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4" t="e">
        <f>MID(ItemTable[[#This Row],[ItemIconPath]],FIND("icon",ItemTable[[#This Row],[ItemIconPath]]),999)</f>
        <v>#VALUE!</v>
      </c>
      <c r="N4" s="15"/>
      <c r="O4" s="15"/>
      <c r="P4" s="15"/>
      <c r="Q4" s="15"/>
      <c r="R4" s="15"/>
      <c r="S4" s="15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94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4" t="str">
        <f>MID(ItemTable[[#This Row],[ItemIconPath]],FIND("icon",ItemTable[[#This Row],[ItemIconPath]]),999)</f>
        <v>icon/item/coin.png</v>
      </c>
      <c r="N5" s="15"/>
      <c r="O5" s="15"/>
      <c r="P5" s="15"/>
      <c r="Q5" s="15"/>
      <c r="R5" s="15"/>
      <c r="S5" s="15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94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4" t="str">
        <f>MID(ItemTable[[#This Row],[ItemIconPath]],FIND("icon",ItemTable[[#This Row],[ItemIconPath]]),999)</f>
        <v>icon/item/coin.png</v>
      </c>
      <c r="N6" s="15"/>
      <c r="O6" s="15"/>
      <c r="P6" s="15"/>
      <c r="Q6" s="15"/>
      <c r="R6" s="15"/>
      <c r="S6" s="15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94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4" t="str">
        <f>MID(ItemTable[[#This Row],[ItemIconPath]],FIND("icon",ItemTable[[#This Row],[ItemIconPath]]),999)</f>
        <v>icon/item/coin.png</v>
      </c>
      <c r="N7" s="15"/>
      <c r="O7" s="15"/>
      <c r="P7" s="15"/>
      <c r="Q7" s="15"/>
      <c r="R7" s="15"/>
      <c r="S7" s="15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341</v>
      </c>
      <c r="D8" s="14" t="s">
        <v>380</v>
      </c>
      <c r="E8" s="14" t="s">
        <v>555</v>
      </c>
      <c r="F8" s="14"/>
      <c r="G8" t="s">
        <v>81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256</v>
      </c>
      <c r="M8" s="4" t="str">
        <f>MID(ItemTable[[#This Row],[ItemIconPath]],FIND("icon",ItemTable[[#This Row],[ItemIconPath]]),999)</f>
        <v>icon/item/item_02.png</v>
      </c>
      <c r="N8" s="16" t="s">
        <v>380</v>
      </c>
      <c r="O8" s="15" t="s">
        <v>357</v>
      </c>
      <c r="P8" s="15"/>
      <c r="Q8" s="15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15"/>
      <c r="S8" s="15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159</v>
      </c>
      <c r="D9" s="21" t="s">
        <v>396</v>
      </c>
      <c r="E9" t="s">
        <v>364</v>
      </c>
      <c r="G9" t="s">
        <v>81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259</v>
      </c>
      <c r="M9" s="4" t="str">
        <f>MID(ItemTable[[#This Row],[ItemIconPath]],FIND("icon",ItemTable[[#This Row],[ItemIconPath]]),999)</f>
        <v>icon/item/item_04.png</v>
      </c>
      <c r="N9" s="16" t="s">
        <v>396</v>
      </c>
      <c r="O9" s="15" t="s">
        <v>364</v>
      </c>
      <c r="P9" s="15"/>
      <c r="Q9" s="15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15"/>
      <c r="S9" s="15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162</v>
      </c>
      <c r="D10" s="21" t="s">
        <v>378</v>
      </c>
      <c r="E10" t="s">
        <v>353</v>
      </c>
      <c r="G10" t="s">
        <v>81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253</v>
      </c>
      <c r="M10" s="4" t="str">
        <f>MID(ItemTable[[#This Row],[ItemIconPath]],FIND("icon",ItemTable[[#This Row],[ItemIconPath]]),999)</f>
        <v>icon/item/item_05.png</v>
      </c>
      <c r="N10" s="16" t="s">
        <v>378</v>
      </c>
      <c r="O10" s="15" t="s">
        <v>353</v>
      </c>
      <c r="P10" s="15"/>
      <c r="Q10" s="15" t="str">
        <f t="shared" si="0"/>
        <v>얼.죽.아 클럽의 새로운 유행입니다.\n\n&lt;size=20&gt;&lt;color=#97C456&gt;차징속도 +20%&lt;/color&gt;&lt;/size&gt;</v>
      </c>
      <c r="R10" s="15"/>
      <c r="S10" s="15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t="s">
        <v>161</v>
      </c>
      <c r="D11" s="21" t="s">
        <v>379</v>
      </c>
      <c r="E11" s="21" t="s">
        <v>556</v>
      </c>
      <c r="G11" t="s">
        <v>81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251</v>
      </c>
      <c r="M11" s="4" t="str">
        <f>MID(ItemTable[[#This Row],[ItemIconPath]],FIND("icon",ItemTable[[#This Row],[ItemIconPath]]),999)</f>
        <v>icon/item/item_07.png</v>
      </c>
      <c r="N11" s="16" t="s">
        <v>379</v>
      </c>
      <c r="O11" s="15" t="s">
        <v>352</v>
      </c>
      <c r="P11" s="15"/>
      <c r="Q11" s="15" t="str">
        <f t="shared" si="0"/>
        <v>배트 이외의 물건에 사용하지 마시오\nQT추출물 0.0006% 함유\nQT향 0.1%함유\n\n&lt;size=20&gt;&lt;color=#97C456&gt;공 충돌횟수 +1&lt;/color&gt;&lt;/size&gt;</v>
      </c>
      <c r="R11" s="15"/>
      <c r="S11" s="15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157</v>
      </c>
      <c r="D12" s="30" t="s">
        <v>483</v>
      </c>
      <c r="E12" s="30" t="s">
        <v>557</v>
      </c>
      <c r="F12" s="30"/>
      <c r="G12" t="s">
        <v>81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254</v>
      </c>
      <c r="M12" s="4" t="str">
        <f>MID(ItemTable[[#This Row],[ItemIconPath]],FIND("icon",ItemTable[[#This Row],[ItemIconPath]]),999)</f>
        <v>icon/item/item_11.png</v>
      </c>
      <c r="N12" s="16" t="s">
        <v>483</v>
      </c>
      <c r="O12" s="16" t="s">
        <v>477</v>
      </c>
      <c r="P12" s="15"/>
      <c r="Q12" s="15" t="str">
        <f t="shared" si="0"/>
        <v>시크한 표정이 매력적입니다.\n세 나라 이야기의 붉은 목마 입니다.\n\n&lt;size=20&gt;&lt;color=#97C456&gt;이동속도 +6&lt;/color&gt;&lt;/size&gt;</v>
      </c>
      <c r="R12" s="15"/>
      <c r="S12" s="15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163</v>
      </c>
      <c r="D13" s="21" t="s">
        <v>392</v>
      </c>
      <c r="E13" t="s">
        <v>350</v>
      </c>
      <c r="G13" t="s">
        <v>81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255</v>
      </c>
      <c r="M13" s="4" t="str">
        <f>MID(ItemTable[[#This Row],[ItemIconPath]],FIND("icon",ItemTable[[#This Row],[ItemIconPath]]),999)</f>
        <v>icon/item/item_15.png</v>
      </c>
      <c r="N13" s="16" t="s">
        <v>392</v>
      </c>
      <c r="O13" s="15" t="s">
        <v>350</v>
      </c>
      <c r="P13" s="15"/>
      <c r="Q13" s="15" t="str">
        <f t="shared" si="0"/>
        <v>대나무 향을 머금은 흰 밥이\n까만 김을 만나 완성된 환상적인 조합.\n\n&lt;size=20&gt;&lt;color=#97C456&gt;최대 체력 +1하트&lt;/color&gt;&lt;/size&gt;</v>
      </c>
      <c r="R13" s="15"/>
      <c r="S13" s="15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t="s">
        <v>60</v>
      </c>
      <c r="D14" s="30" t="s">
        <v>399</v>
      </c>
      <c r="E14" s="30" t="s">
        <v>558</v>
      </c>
      <c r="F14" s="30"/>
      <c r="G14" t="s">
        <v>82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257</v>
      </c>
      <c r="M14" s="4" t="str">
        <f>MID(ItemTable[[#This Row],[ItemIconPath]],FIND("icon",ItemTable[[#This Row],[ItemIconPath]]),999)</f>
        <v>icon/item/item_17.png</v>
      </c>
      <c r="N14" s="16" t="s">
        <v>399</v>
      </c>
      <c r="O14" s="16" t="s">
        <v>478</v>
      </c>
      <c r="P14" s="15"/>
      <c r="Q14" s="15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16" t="s">
        <v>484</v>
      </c>
      <c r="S14" s="15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381</v>
      </c>
      <c r="D15" s="21" t="s">
        <v>398</v>
      </c>
      <c r="E15" t="s">
        <v>36</v>
      </c>
      <c r="G15" t="s">
        <v>82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260</v>
      </c>
      <c r="M15" s="4" t="str">
        <f>MID(ItemTable[[#This Row],[ItemIconPath]],FIND("icon",ItemTable[[#This Row],[ItemIconPath]]),999)</f>
        <v>icon/item/item_12.png</v>
      </c>
      <c r="N15" s="16" t="s">
        <v>398</v>
      </c>
      <c r="O15" s="15" t="s">
        <v>36</v>
      </c>
      <c r="P15" s="15"/>
      <c r="Q15" s="15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15"/>
      <c r="S15" s="15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62</v>
      </c>
      <c r="D16" s="21" t="s">
        <v>391</v>
      </c>
      <c r="E16" t="s">
        <v>559</v>
      </c>
      <c r="G16" t="s">
        <v>82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262</v>
      </c>
      <c r="M16" s="4" t="str">
        <f>MID(ItemTable[[#This Row],[ItemIconPath]],FIND("icon",ItemTable[[#This Row],[ItemIconPath]]),999)</f>
        <v>icon/item/item_09.png</v>
      </c>
      <c r="N16" s="16" t="s">
        <v>391</v>
      </c>
      <c r="O16" s="16" t="s">
        <v>479</v>
      </c>
      <c r="P16" s="15"/>
      <c r="Q16" s="15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15"/>
      <c r="S16" s="15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338</v>
      </c>
      <c r="D17" s="21" t="s">
        <v>382</v>
      </c>
      <c r="E17" t="s">
        <v>349</v>
      </c>
      <c r="G17" t="s">
        <v>82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263</v>
      </c>
      <c r="M17" s="4" t="str">
        <f>MID(ItemTable[[#This Row],[ItemIconPath]],FIND("icon",ItemTable[[#This Row],[ItemIconPath]]),999)</f>
        <v>icon/item/item_10.png</v>
      </c>
      <c r="N17" s="16" t="s">
        <v>382</v>
      </c>
      <c r="O17" s="15" t="s">
        <v>349</v>
      </c>
      <c r="P17" s="15"/>
      <c r="Q17" s="15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15"/>
      <c r="S17" s="15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355</v>
      </c>
      <c r="D18" s="21" t="s">
        <v>386</v>
      </c>
      <c r="E18" t="s">
        <v>351</v>
      </c>
      <c r="G18" t="s">
        <v>82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264</v>
      </c>
      <c r="M18" s="4" t="str">
        <f>MID(ItemTable[[#This Row],[ItemIconPath]],FIND("icon",ItemTable[[#This Row],[ItemIconPath]]),999)</f>
        <v>icon/item/item_16.png</v>
      </c>
      <c r="N18" s="16" t="s">
        <v>386</v>
      </c>
      <c r="O18" s="15" t="s">
        <v>351</v>
      </c>
      <c r="P18" s="15"/>
      <c r="Q18" s="15" t="str">
        <f t="shared" si="0"/>
        <v>종교적인 용도로 보이는 컵입니다.\n잠깐, 방금 조금 움직인 것 같은데요?\n\n&lt;size=20&gt;&lt;color=#97C456&gt;공 충돌횟수 +2&lt;/color&gt;&lt;/size&gt;</v>
      </c>
      <c r="R18" s="15"/>
      <c r="S18" s="15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t="s">
        <v>165</v>
      </c>
      <c r="D19" s="21" t="s">
        <v>560</v>
      </c>
      <c r="E19" t="s">
        <v>561</v>
      </c>
      <c r="G19" t="s">
        <v>82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266</v>
      </c>
      <c r="M19" s="4" t="str">
        <f>MID(ItemTable[[#This Row],[ItemIconPath]],FIND("icon",ItemTable[[#This Row],[ItemIconPath]]),999)</f>
        <v>icon/item/item_03.png</v>
      </c>
      <c r="N19" s="16" t="s">
        <v>383</v>
      </c>
      <c r="O19" s="16" t="s">
        <v>387</v>
      </c>
      <c r="P19" s="15"/>
      <c r="Q19" s="15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15"/>
      <c r="S19" s="15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21" t="s">
        <v>548</v>
      </c>
      <c r="D20" s="21" t="s">
        <v>549</v>
      </c>
      <c r="E20" s="21"/>
      <c r="F20" s="21"/>
      <c r="G20" t="s">
        <v>82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t="s">
        <v>266</v>
      </c>
      <c r="M20" s="4" t="str">
        <f>MID(ItemTable[[#This Row],[ItemIconPath]],FIND("icon",ItemTable[[#This Row],[ItemIconPath]]),999)</f>
        <v>icon/item/item_03.png</v>
      </c>
      <c r="N20" s="16" t="s">
        <v>383</v>
      </c>
      <c r="O20" s="16" t="s">
        <v>387</v>
      </c>
      <c r="P20" s="15"/>
      <c r="Q20" s="15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15"/>
      <c r="S20" s="15" t="str">
        <f>IF(ItemTable[[#This Row],['#4]]=ItemTable[[#This Row],[Desc]],"T","F")</f>
        <v>F</v>
      </c>
    </row>
    <row r="21" spans="2:19">
      <c r="B21">
        <f t="array" ref="B21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4000</v>
      </c>
      <c r="C21" t="s">
        <v>160</v>
      </c>
      <c r="D21" s="21" t="s">
        <v>390</v>
      </c>
      <c r="E21" s="21" t="s">
        <v>562</v>
      </c>
      <c r="F21" t="s">
        <v>359</v>
      </c>
      <c r="G21" t="s">
        <v>91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275</v>
      </c>
      <c r="M21" s="4" t="str">
        <f>MID(ItemTable[[#This Row],[ItemIconPath]],FIND("icon",ItemTable[[#This Row],[ItemIconPath]]),999)</f>
        <v>icon/item/item_06.png</v>
      </c>
      <c r="N21" s="16" t="s">
        <v>390</v>
      </c>
      <c r="O21" s="15" t="s">
        <v>363</v>
      </c>
      <c r="P21" s="15" t="s">
        <v>359</v>
      </c>
      <c r="Q21" s="15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15"/>
      <c r="S21" s="15" t="str">
        <f>IF(ItemTable[[#This Row],['#4]]=ItemTable[[#This Row],[Desc]],"T","F")</f>
        <v>F</v>
      </c>
    </row>
    <row r="22" spans="2:19">
      <c r="B2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t="s">
        <v>156</v>
      </c>
      <c r="D22" s="14" t="s">
        <v>384</v>
      </c>
      <c r="E22" s="14" t="s">
        <v>563</v>
      </c>
      <c r="F22" s="14" t="s">
        <v>564</v>
      </c>
      <c r="G22" t="s">
        <v>91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278</v>
      </c>
      <c r="M22" s="4" t="str">
        <f>MID(ItemTable[[#This Row],[ItemIconPath]],FIND("icon",ItemTable[[#This Row],[ItemIconPath]]),999)</f>
        <v>icon/item/item_08.png</v>
      </c>
      <c r="N22" s="16" t="s">
        <v>384</v>
      </c>
      <c r="O22" s="15" t="s">
        <v>358</v>
      </c>
      <c r="P22" s="15" t="s">
        <v>360</v>
      </c>
      <c r="Q22" s="15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15"/>
      <c r="S22" s="15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347</v>
      </c>
      <c r="D23" s="21" t="s">
        <v>566</v>
      </c>
      <c r="E23" t="s">
        <v>565</v>
      </c>
      <c r="F23" t="s">
        <v>242</v>
      </c>
      <c r="G23" t="s">
        <v>91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276</v>
      </c>
      <c r="M23" s="4" t="str">
        <f>MID(ItemTable[[#This Row],[ItemIconPath]],FIND("icon",ItemTable[[#This Row],[ItemIconPath]]),999)</f>
        <v>icon/item/item_14.png</v>
      </c>
      <c r="N23" s="16" t="s">
        <v>389</v>
      </c>
      <c r="O23" s="16" t="s">
        <v>472</v>
      </c>
      <c r="P23" s="15" t="s">
        <v>242</v>
      </c>
      <c r="Q23" s="15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16" t="s">
        <v>482</v>
      </c>
      <c r="S23" s="15" t="str">
        <f>IF(ItemTable[[#This Row],['#4]]=ItemTable[[#This Row],[Desc]],"T","F")</f>
        <v>F</v>
      </c>
    </row>
    <row r="24" spans="2:19">
      <c r="B24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t="s">
        <v>339</v>
      </c>
      <c r="D24" s="21" t="s">
        <v>385</v>
      </c>
      <c r="E24" t="s">
        <v>354</v>
      </c>
      <c r="F24" t="s">
        <v>362</v>
      </c>
      <c r="G24" t="s">
        <v>91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277</v>
      </c>
      <c r="M24" s="4" t="str">
        <f>MID(ItemTable[[#This Row],[ItemIconPath]],FIND("icon",ItemTable[[#This Row],[ItemIconPath]]),999)</f>
        <v>icon/item/item_01.png</v>
      </c>
      <c r="N24" s="16" t="s">
        <v>385</v>
      </c>
      <c r="O24" s="15" t="s">
        <v>354</v>
      </c>
      <c r="P24" s="15" t="s">
        <v>362</v>
      </c>
      <c r="Q24" s="15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15"/>
      <c r="S24" s="15" t="str">
        <f>IF(ItemTable[[#This Row],['#4]]=ItemTable[[#This Row],[Desc]],"T","F")</f>
        <v>F</v>
      </c>
    </row>
    <row r="25" spans="2:19">
      <c r="B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t="s">
        <v>55</v>
      </c>
      <c r="D25" s="14" t="s">
        <v>397</v>
      </c>
      <c r="E25" s="14" t="s">
        <v>567</v>
      </c>
      <c r="F25" s="14" t="s">
        <v>365</v>
      </c>
      <c r="G25" t="s">
        <v>91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261</v>
      </c>
      <c r="M25" s="4" t="str">
        <f>MID(ItemTable[[#This Row],[ItemIconPath]],FIND("icon",ItemTable[[#This Row],[ItemIconPath]]),999)</f>
        <v>icon/item/item_13.png</v>
      </c>
      <c r="N25" s="16" t="s">
        <v>397</v>
      </c>
      <c r="O25" s="16" t="s">
        <v>388</v>
      </c>
      <c r="P25" s="15" t="s">
        <v>365</v>
      </c>
      <c r="Q25" s="15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15"/>
      <c r="S25" s="15" t="str">
        <f>IF(ItemTable[[#This Row],['#4]]=ItemTable[[#This Row],[Desc]],"T","F")</f>
        <v>F</v>
      </c>
    </row>
    <row r="26" spans="2:19" s="46" customFormat="1">
      <c r="S26" s="46" t="str">
        <f>IF(ItemTable[[#This Row],['#4]]=ItemTable[[#This Row],[Desc]],"T","F")</f>
        <v>T</v>
      </c>
    </row>
    <row r="27" spans="2:19" s="46" customFormat="1">
      <c r="C27" s="45"/>
      <c r="D27" s="45"/>
      <c r="E27" s="45"/>
      <c r="F27" s="45"/>
      <c r="G27" s="45"/>
      <c r="H27" s="45"/>
      <c r="I27" s="45"/>
      <c r="J27" s="45"/>
      <c r="K27" s="45"/>
      <c r="L27" s="48"/>
      <c r="M27" s="45"/>
      <c r="N27" s="45"/>
      <c r="O27" s="45"/>
      <c r="P27" s="45"/>
      <c r="Q27" s="45"/>
      <c r="S27" s="45" t="str">
        <f>IF(ItemTable[[#This Row],['#4]]=ItemTable[[#This Row],[Desc]],"T","F")</f>
        <v>T</v>
      </c>
    </row>
    <row r="28" spans="2:19" s="46" customFormat="1">
      <c r="S28" s="46" t="str">
        <f>IF(ItemTable[[#This Row],['#4]]=ItemTable[[#This Row],[Desc]],"T","F")</f>
        <v>T</v>
      </c>
    </row>
    <row r="29" spans="2:19">
      <c r="B29">
        <v>10000</v>
      </c>
      <c r="C29" t="s">
        <v>535</v>
      </c>
      <c r="D29" s="41"/>
      <c r="E29" s="21" t="s">
        <v>574</v>
      </c>
      <c r="F29" s="21"/>
      <c r="G29" s="21" t="s">
        <v>552</v>
      </c>
      <c r="H29">
        <v>1</v>
      </c>
      <c r="I29">
        <v>50</v>
      </c>
      <c r="J29">
        <v>100</v>
      </c>
      <c r="K29">
        <v>10000</v>
      </c>
      <c r="L29" t="s">
        <v>261</v>
      </c>
      <c r="S29" t="str">
        <f>IF(ItemTable[[#This Row],['#4]]=ItemTable[[#This Row],[Desc]],"T","F")</f>
        <v>T</v>
      </c>
    </row>
    <row r="30" spans="2:19">
      <c r="B30" s="41">
        <v>10001</v>
      </c>
      <c r="C30" s="44" t="s">
        <v>543</v>
      </c>
      <c r="D30" s="44" t="s">
        <v>572</v>
      </c>
      <c r="E30" s="44" t="s">
        <v>573</v>
      </c>
      <c r="F30" s="44"/>
      <c r="G30" s="21" t="s">
        <v>552</v>
      </c>
      <c r="H30">
        <v>1</v>
      </c>
      <c r="I30">
        <v>50</v>
      </c>
      <c r="J30">
        <v>100</v>
      </c>
      <c r="K30">
        <v>10001</v>
      </c>
      <c r="L30" t="s">
        <v>276</v>
      </c>
      <c r="M30" s="15"/>
      <c r="N30" s="15"/>
      <c r="O30" s="15"/>
      <c r="P30" s="15"/>
      <c r="Q30" s="15" t="str">
        <f>_xlfn.CONCAT(
_xlfn.CONCAT("&lt;size=16&gt;",N30,"&lt;/size&gt;\n\n",
"&lt;size=20&gt;&lt;color=#97C456&gt;",O30,"&lt;/color&gt;&lt;/size&gt;"),
IF(ISBLANK(P30),"",_xlfn.CONCAT("\n","&lt;size=24&gt;&lt;color=#FF6A6A&gt;",P30,"&lt;/color&gt;&lt;/size&gt;"))
)</f>
        <v>&lt;size=16&gt;&lt;/size&gt;\n\n&lt;size=20&gt;&lt;color=#97C456&gt;&lt;/color&gt;&lt;/size&gt;</v>
      </c>
      <c r="R30" s="43"/>
      <c r="S30" s="15" t="str">
        <f>IF(ItemTable[[#This Row],['#4]]=ItemTable[[#This Row],[Desc]],"T","F")</f>
        <v>F</v>
      </c>
    </row>
    <row r="31" spans="2:19">
      <c r="B31" s="41">
        <v>10002</v>
      </c>
      <c r="C31" s="44" t="s">
        <v>542</v>
      </c>
      <c r="D31" s="44" t="s">
        <v>570</v>
      </c>
      <c r="E31" s="44" t="s">
        <v>571</v>
      </c>
      <c r="F31" s="44"/>
      <c r="G31" s="21" t="s">
        <v>552</v>
      </c>
      <c r="H31">
        <v>1</v>
      </c>
      <c r="I31">
        <v>50</v>
      </c>
      <c r="J31">
        <v>100</v>
      </c>
      <c r="K31">
        <v>10002</v>
      </c>
      <c r="L31" t="s">
        <v>276</v>
      </c>
      <c r="M31" s="15"/>
      <c r="N31" s="15"/>
      <c r="O31" s="15"/>
      <c r="P31" s="15"/>
      <c r="Q31" s="15" t="str">
        <f>_xlfn.CONCAT(
_xlfn.CONCAT("&lt;size=16&gt;",N31,"&lt;/size&gt;\n\n",
"&lt;size=20&gt;&lt;color=#97C456&gt;",O31,"&lt;/color&gt;&lt;/size&gt;"),
IF(ISBLANK(P31),"",_xlfn.CONCAT("\n","&lt;size=24&gt;&lt;color=#FF6A6A&gt;",P31,"&lt;/color&gt;&lt;/size&gt;"))
)</f>
        <v>&lt;size=16&gt;&lt;/size&gt;\n\n&lt;size=20&gt;&lt;color=#97C456&gt;&lt;/color&gt;&lt;/size&gt;</v>
      </c>
      <c r="R31" s="43"/>
      <c r="S31" s="15" t="str">
        <f>IF(ItemTable[[#This Row],['#4]]=ItemTable[[#This Row],[Desc]],"T","F")</f>
        <v>F</v>
      </c>
    </row>
    <row r="32" spans="2:19">
      <c r="B32" s="41">
        <v>10003</v>
      </c>
      <c r="C32" s="44" t="s">
        <v>546</v>
      </c>
      <c r="D32" s="44" t="s">
        <v>569</v>
      </c>
      <c r="E32" s="44" t="s">
        <v>568</v>
      </c>
      <c r="F32" s="44"/>
      <c r="G32" s="21" t="s">
        <v>552</v>
      </c>
      <c r="H32">
        <v>1</v>
      </c>
      <c r="I32">
        <v>50</v>
      </c>
      <c r="J32">
        <v>100</v>
      </c>
      <c r="K32">
        <v>10003</v>
      </c>
      <c r="L32" t="s">
        <v>255</v>
      </c>
      <c r="M32" s="15"/>
      <c r="N32" s="15"/>
      <c r="O32" s="15"/>
      <c r="P32" s="15"/>
      <c r="Q32" s="15" t="str">
        <f>_xlfn.CONCAT(
_xlfn.CONCAT("&lt;size=16&gt;",N32,"&lt;/size&gt;\n\n",
"&lt;size=20&gt;&lt;color=#97C456&gt;",O32,"&lt;/color&gt;&lt;/size&gt;"),
IF(ISBLANK(P32),"",_xlfn.CONCAT("\n","&lt;size=24&gt;&lt;color=#FF6A6A&gt;",P32,"&lt;/color&gt;&lt;/size&gt;"))
)</f>
        <v>&lt;size=16&gt;&lt;/size&gt;\n\n&lt;size=20&gt;&lt;color=#97C456&gt;&lt;/color&gt;&lt;/size&gt;</v>
      </c>
      <c r="R32" s="43"/>
      <c r="S32" s="15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7"/>
  <sheetViews>
    <sheetView zoomScale="129" zoomScaleNormal="129" zoomScaleSheetLayoutView="100" workbookViewId="0">
      <selection activeCell="D16" sqref="D16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46</v>
      </c>
      <c r="E1" s="21" t="s">
        <v>496</v>
      </c>
      <c r="F1" s="21" t="s">
        <v>496</v>
      </c>
      <c r="G1" s="21" t="s">
        <v>498</v>
      </c>
      <c r="H1" t="s">
        <v>125</v>
      </c>
      <c r="I1" s="21" t="s">
        <v>512</v>
      </c>
      <c r="J1" t="s">
        <v>125</v>
      </c>
      <c r="K1" s="21" t="s">
        <v>498</v>
      </c>
    </row>
    <row r="2" spans="2:11">
      <c r="B2" s="5" t="s">
        <v>126</v>
      </c>
      <c r="C2" s="5" t="s">
        <v>128</v>
      </c>
      <c r="D2" t="s">
        <v>76</v>
      </c>
      <c r="E2" s="21" t="s">
        <v>527</v>
      </c>
      <c r="F2" s="21" t="s">
        <v>528</v>
      </c>
      <c r="G2" s="21" t="s">
        <v>499</v>
      </c>
      <c r="H2" s="21" t="s">
        <v>500</v>
      </c>
      <c r="I2" s="39" t="s">
        <v>502</v>
      </c>
      <c r="J2" s="21" t="s">
        <v>501</v>
      </c>
      <c r="K2" s="39" t="s">
        <v>517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21">
        <v>7000</v>
      </c>
      <c r="E3" s="21">
        <v>7000</v>
      </c>
      <c r="F3" s="21"/>
      <c r="G3">
        <v>0</v>
      </c>
      <c r="H3" s="21" t="s">
        <v>519</v>
      </c>
      <c r="I3" s="21"/>
      <c r="J3" s="21" t="s">
        <v>518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21">
        <v>7001</v>
      </c>
      <c r="E4" s="21">
        <v>7001</v>
      </c>
      <c r="F4" s="21"/>
      <c r="G4">
        <v>0</v>
      </c>
      <c r="H4" s="21" t="s">
        <v>519</v>
      </c>
      <c r="J4" s="21" t="s">
        <v>518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21">
        <v>7002</v>
      </c>
      <c r="E5" s="21">
        <v>7002</v>
      </c>
      <c r="F5" s="21"/>
      <c r="G5">
        <v>0</v>
      </c>
      <c r="H5" s="21" t="s">
        <v>519</v>
      </c>
      <c r="I5" s="21"/>
      <c r="J5" s="21" t="s">
        <v>518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21">
        <v>7003</v>
      </c>
      <c r="E6" s="21">
        <v>7003</v>
      </c>
      <c r="F6" s="21"/>
      <c r="G6">
        <v>0</v>
      </c>
      <c r="H6" s="21" t="s">
        <v>519</v>
      </c>
      <c r="J6" s="21" t="s">
        <v>518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21">
        <v>7004</v>
      </c>
      <c r="E7" s="21">
        <v>7004</v>
      </c>
      <c r="F7" s="21"/>
      <c r="G7">
        <v>0</v>
      </c>
      <c r="H7" s="21" t="s">
        <v>519</v>
      </c>
      <c r="J7" s="21" t="s">
        <v>518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21">
        <v>7005</v>
      </c>
      <c r="E8" s="21">
        <v>7005</v>
      </c>
      <c r="F8" s="21"/>
      <c r="G8">
        <v>0</v>
      </c>
      <c r="H8" s="21" t="s">
        <v>519</v>
      </c>
      <c r="J8" s="21" t="s">
        <v>518</v>
      </c>
    </row>
    <row r="9" spans="2:11" s="46" customFormat="1">
      <c r="D9" s="47"/>
      <c r="J9" s="47"/>
    </row>
    <row r="10" spans="2:11">
      <c r="B10" s="4" t="str">
        <f>INDEX(ItemTable[Name],MATCH(ItemEffectTable[[#This Row],[Index]],ItemTable[ItemEffectDataId],0))</f>
        <v>데빌불</v>
      </c>
      <c r="C10" s="4" t="str">
        <f>INDEX(ItemTable[GradeType],MATCH(ItemEffectTable[[#This Row],[Index]],ItemTable[ItemEffectDataId],0))</f>
        <v>Rare</v>
      </c>
      <c r="D10" s="21">
        <v>8000</v>
      </c>
      <c r="E10" s="21">
        <v>8000</v>
      </c>
      <c r="F10" s="21"/>
      <c r="G10">
        <v>0</v>
      </c>
      <c r="H10" s="21" t="s">
        <v>534</v>
      </c>
      <c r="J10" s="21" t="s">
        <v>518</v>
      </c>
    </row>
    <row r="11" spans="2:11">
      <c r="B11" s="4" t="str">
        <f>INDEX(ItemTable[Name],MATCH(ItemEffectTable[[#This Row],[Index]],ItemTable[ItemEffectDataId],0))</f>
        <v>대인 지뢰</v>
      </c>
      <c r="C11" s="4" t="str">
        <f>INDEX(ItemTable[GradeType],MATCH(ItemEffectTable[[#This Row],[Index]],ItemTable[ItemEffectDataId],0))</f>
        <v>Rare</v>
      </c>
      <c r="D11" s="21">
        <v>8001</v>
      </c>
      <c r="E11" s="21">
        <v>8001</v>
      </c>
      <c r="F11" s="21"/>
      <c r="G11">
        <v>0</v>
      </c>
      <c r="H11" s="21" t="s">
        <v>533</v>
      </c>
      <c r="J11" s="21" t="s">
        <v>518</v>
      </c>
    </row>
    <row r="12" spans="2:11">
      <c r="B12" s="4" t="str">
        <f>INDEX(ItemTable[Name],MATCH(ItemEffectTable[[#This Row],[Index]],ItemTable[ItemEffectDataId],0))</f>
        <v>돌가면</v>
      </c>
      <c r="C12" s="4" t="str">
        <f>INDEX(ItemTable[GradeType],MATCH(ItemEffectTable[[#This Row],[Index]],ItemTable[ItemEffectDataId],0))</f>
        <v>Rare</v>
      </c>
      <c r="D12" s="21">
        <v>8002</v>
      </c>
      <c r="E12" s="21">
        <v>8002</v>
      </c>
      <c r="F12" s="21"/>
      <c r="G12">
        <v>0</v>
      </c>
      <c r="H12" s="21" t="s">
        <v>519</v>
      </c>
      <c r="J12" s="21" t="s">
        <v>518</v>
      </c>
    </row>
    <row r="13" spans="2:11">
      <c r="B13" s="4" t="str">
        <f>INDEX(ItemTable[Name],MATCH(ItemEffectTable[[#This Row],[Index]],ItemTable[ItemEffectDataId],0))</f>
        <v>사나운 돼지저금통</v>
      </c>
      <c r="C13" s="4" t="str">
        <f>INDEX(ItemTable[GradeType],MATCH(ItemEffectTable[[#This Row],[Index]],ItemTable[ItemEffectDataId],0))</f>
        <v>Rare</v>
      </c>
      <c r="D13" s="21">
        <v>8003</v>
      </c>
      <c r="E13" s="21">
        <v>8003</v>
      </c>
      <c r="F13" s="21"/>
      <c r="G13">
        <v>0</v>
      </c>
      <c r="H13" s="21" t="s">
        <v>519</v>
      </c>
      <c r="J13" s="21" t="s">
        <v>518</v>
      </c>
    </row>
    <row r="14" spans="2:11">
      <c r="B14" s="4" t="str">
        <f>INDEX(ItemTable[Name],MATCH(ItemEffectTable[[#This Row],[Index]],ItemTable[ItemEffectDataId],0))</f>
        <v>성배 속 무언가</v>
      </c>
      <c r="C14" s="4" t="str">
        <f>INDEX(ItemTable[GradeType],MATCH(ItemEffectTable[[#This Row],[Index]],ItemTable[ItemEffectDataId],0))</f>
        <v>Rare</v>
      </c>
      <c r="D14" s="21">
        <v>8004</v>
      </c>
      <c r="E14" s="21">
        <v>8004</v>
      </c>
      <c r="F14" s="21"/>
      <c r="G14">
        <v>0</v>
      </c>
      <c r="H14" s="21" t="s">
        <v>519</v>
      </c>
      <c r="J14" s="21" t="s">
        <v>518</v>
      </c>
    </row>
    <row r="15" spans="2:11">
      <c r="B15" s="4" t="str">
        <f>INDEX(ItemTable[Name],MATCH(ItemEffectTable[[#This Row],[Index]],ItemTable[ItemEffectDataId],0))</f>
        <v>이상한 사탕</v>
      </c>
      <c r="C15" s="4" t="str">
        <f>INDEX(ItemTable[GradeType],MATCH(ItemEffectTable[[#This Row],[Index]],ItemTable[ItemEffectDataId],0))</f>
        <v>Rare</v>
      </c>
      <c r="D15" s="21">
        <v>8005</v>
      </c>
      <c r="E15" s="21">
        <v>8005</v>
      </c>
      <c r="F15" s="21"/>
      <c r="G15">
        <v>0</v>
      </c>
      <c r="H15" s="21" t="s">
        <v>532</v>
      </c>
      <c r="J15" s="21" t="s">
        <v>518</v>
      </c>
    </row>
    <row r="16" spans="2:11">
      <c r="B16" s="4" t="str">
        <f>INDEX(ItemTable[Name],MATCH(ItemEffectTable[[#This Row],[Index]],ItemTable[ItemEffectDataId],0))</f>
        <v>부산물</v>
      </c>
      <c r="C16" s="4" t="str">
        <f>INDEX(ItemTable[GradeType],MATCH(ItemEffectTable[[#This Row],[Index]],ItemTable[ItemEffectDataId],0))</f>
        <v>Rare</v>
      </c>
      <c r="D16" s="21">
        <v>8006</v>
      </c>
      <c r="E16" s="21"/>
      <c r="F16" s="21">
        <v>8006</v>
      </c>
      <c r="G16">
        <v>0</v>
      </c>
      <c r="H16" s="21" t="s">
        <v>550</v>
      </c>
      <c r="J16" s="21" t="s">
        <v>518</v>
      </c>
    </row>
    <row r="17" spans="2:11" s="46" customFormat="1">
      <c r="D17" s="47"/>
      <c r="J17" s="47"/>
    </row>
    <row r="18" spans="2:11">
      <c r="B18" s="4" t="str">
        <f>INDEX(ItemTable[Name],MATCH(ItemEffectTable[[#This Row],[Index]],ItemTable[ItemEffectDataId],0))</f>
        <v>코코아 한통</v>
      </c>
      <c r="C18" s="4" t="str">
        <f>INDEX(ItemTable[GradeType],MATCH(ItemEffectTable[[#This Row],[Index]],ItemTable[ItemEffectDataId],0))</f>
        <v>Cursed</v>
      </c>
      <c r="D18" s="21">
        <v>9000</v>
      </c>
      <c r="E18" s="21">
        <v>9000</v>
      </c>
      <c r="F18" s="21"/>
      <c r="G18">
        <v>0</v>
      </c>
      <c r="H18" s="21" t="s">
        <v>519</v>
      </c>
      <c r="J18" s="21" t="s">
        <v>518</v>
      </c>
    </row>
    <row r="19" spans="2:11">
      <c r="B19" s="4" t="str">
        <f>INDEX(ItemTable[Name],MATCH(ItemEffectTable[[#This Row],[Index]],ItemTable[ItemEffectDataId],0))</f>
        <v>슬픈 캔리오</v>
      </c>
      <c r="C19" s="4" t="str">
        <f>INDEX(ItemTable[GradeType],MATCH(ItemEffectTable[[#This Row],[Index]],ItemTable[ItemEffectDataId],0))</f>
        <v>Cursed</v>
      </c>
      <c r="D19" s="21">
        <v>9001</v>
      </c>
      <c r="E19" s="21">
        <v>9001</v>
      </c>
      <c r="F19" s="21"/>
      <c r="G19">
        <v>0</v>
      </c>
      <c r="H19" s="21" t="s">
        <v>519</v>
      </c>
      <c r="J19" s="21" t="s">
        <v>518</v>
      </c>
    </row>
    <row r="20" spans="2:11">
      <c r="B20" s="4" t="str">
        <f>INDEX(ItemTable[Name],MATCH(ItemEffectTable[[#This Row],[Index]],ItemTable[ItemEffectDataId],0))</f>
        <v>청개굴 버섯구이</v>
      </c>
      <c r="C20" s="4" t="str">
        <f>INDEX(ItemTable[GradeType],MATCH(ItemEffectTable[[#This Row],[Index]],ItemTable[ItemEffectDataId],0))</f>
        <v>Cursed</v>
      </c>
      <c r="D20" s="21">
        <v>9002</v>
      </c>
      <c r="E20" s="21">
        <v>9002</v>
      </c>
      <c r="F20" s="21">
        <v>9002</v>
      </c>
      <c r="G20">
        <v>0</v>
      </c>
      <c r="H20" s="21" t="s">
        <v>519</v>
      </c>
      <c r="J20" s="21" t="s">
        <v>518</v>
      </c>
    </row>
    <row r="21" spans="2:11">
      <c r="B21" s="4" t="str">
        <f>INDEX(ItemTable[Name],MATCH(ItemEffectTable[[#This Row],[Index]],ItemTable[ItemEffectDataId],0))</f>
        <v>누군가의 일기장</v>
      </c>
      <c r="C21" s="4" t="str">
        <f>INDEX(ItemTable[GradeType],MATCH(ItemEffectTable[[#This Row],[Index]],ItemTable[ItemEffectDataId],0))</f>
        <v>Cursed</v>
      </c>
      <c r="D21" s="21">
        <v>9003</v>
      </c>
      <c r="E21" s="21">
        <v>9003</v>
      </c>
      <c r="F21" s="21"/>
      <c r="G21">
        <v>0</v>
      </c>
      <c r="H21" s="21" t="s">
        <v>519</v>
      </c>
      <c r="J21" s="21" t="s">
        <v>518</v>
      </c>
    </row>
    <row r="22" spans="2:11">
      <c r="B22" s="4" t="str">
        <f>INDEX(ItemTable[Name],MATCH(ItemEffectTable[[#This Row],[Index]],ItemTable[ItemEffectDataId],0))</f>
        <v>태양</v>
      </c>
      <c r="C22" s="4" t="str">
        <f>INDEX(ItemTable[GradeType],MATCH(ItemEffectTable[[#This Row],[Index]],ItemTable[ItemEffectDataId],0))</f>
        <v>Cursed</v>
      </c>
      <c r="D22" s="21">
        <v>9004</v>
      </c>
      <c r="E22" s="21">
        <v>9004</v>
      </c>
      <c r="F22" s="21"/>
      <c r="G22">
        <v>0</v>
      </c>
      <c r="H22" s="21" t="s">
        <v>519</v>
      </c>
      <c r="J22" s="21" t="s">
        <v>518</v>
      </c>
    </row>
    <row r="23" spans="2:11" s="46" customFormat="1">
      <c r="J23" s="47"/>
    </row>
    <row r="24" spans="2:11">
      <c r="B24" s="4" t="str">
        <f>INDEX(ItemTable[Name],MATCH(ItemEffectTable[[#This Row],[Index]],ItemTable[ItemEffectDataId],0))</f>
        <v>텔레포트</v>
      </c>
      <c r="C24" s="41" t="str">
        <f>INDEX(ItemTable[GradeType],MATCH(ItemEffectTable[[#This Row],[Index]],ItemTable[ItemEffectDataId],0))</f>
        <v>Active</v>
      </c>
      <c r="D24" s="41">
        <v>10000</v>
      </c>
      <c r="F24">
        <v>10000</v>
      </c>
      <c r="G24">
        <v>0.1</v>
      </c>
      <c r="H24" s="21" t="s">
        <v>531</v>
      </c>
      <c r="J24" s="21" t="s">
        <v>518</v>
      </c>
    </row>
    <row r="25" spans="2:11">
      <c r="B25" s="4" t="str">
        <f>INDEX(ItemTable[Name],MATCH(ItemEffectTable[[#This Row],[Index]],ItemTable[ItemEffectDataId],0))</f>
        <v>원기옥</v>
      </c>
      <c r="C25" s="41" t="str">
        <f>INDEX(ItemTable[GradeType],MATCH(ItemEffectTable[[#This Row],[Index]],ItemTable[ItemEffectDataId],0))</f>
        <v>Active</v>
      </c>
      <c r="D25" s="41">
        <v>10001</v>
      </c>
      <c r="F25">
        <v>10001</v>
      </c>
      <c r="G25">
        <v>3.5</v>
      </c>
      <c r="H25" s="21" t="s">
        <v>531</v>
      </c>
      <c r="I25" s="21" t="s">
        <v>541</v>
      </c>
      <c r="J25" s="21" t="s">
        <v>540</v>
      </c>
      <c r="K25">
        <v>3</v>
      </c>
    </row>
    <row r="26" spans="2:11">
      <c r="B26" s="4" t="str">
        <f>INDEX(ItemTable[Name],MATCH(ItemEffectTable[[#This Row],[Index]],ItemTable[ItemEffectDataId],0))</f>
        <v>소닉 더 배트매스터</v>
      </c>
      <c r="C26" s="41" t="str">
        <f>INDEX(ItemTable[GradeType],MATCH(ItemEffectTable[[#This Row],[Index]],ItemTable[ItemEffectDataId],0))</f>
        <v>Active</v>
      </c>
      <c r="D26" s="41">
        <v>10002</v>
      </c>
      <c r="E26">
        <v>10002</v>
      </c>
      <c r="F26">
        <v>10002</v>
      </c>
      <c r="G26">
        <v>8</v>
      </c>
      <c r="H26" s="21" t="s">
        <v>531</v>
      </c>
      <c r="J26" s="21" t="s">
        <v>518</v>
      </c>
    </row>
    <row r="27" spans="2:11">
      <c r="B27" s="4" t="str">
        <f>INDEX(ItemTable[Name],MATCH(ItemEffectTable[[#This Row],[Index]],ItemTable[ItemEffectDataId],0))</f>
        <v>돌진!!</v>
      </c>
      <c r="C27" s="41" t="str">
        <f>INDEX(ItemTable[GradeType],MATCH(ItemEffectTable[[#This Row],[Index]],ItemTable[ItemEffectDataId],0))</f>
        <v>Active</v>
      </c>
      <c r="D27" s="41">
        <v>10003</v>
      </c>
      <c r="F27">
        <v>10003</v>
      </c>
      <c r="G27">
        <v>1</v>
      </c>
      <c r="H27" s="21" t="s">
        <v>531</v>
      </c>
      <c r="J27" s="21" t="s">
        <v>518</v>
      </c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F36"/>
  <sheetViews>
    <sheetView topLeftCell="A11" zoomScale="129" zoomScaleNormal="129" zoomScaleSheetLayoutView="100" workbookViewId="0">
      <selection activeCell="C30" sqref="C30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</cols>
  <sheetData>
    <row r="1" spans="2:6">
      <c r="B1" t="s">
        <v>46</v>
      </c>
      <c r="C1" t="s">
        <v>125</v>
      </c>
      <c r="D1" s="21" t="s">
        <v>512</v>
      </c>
      <c r="E1" s="21" t="s">
        <v>514</v>
      </c>
      <c r="F1" s="21" t="s">
        <v>507</v>
      </c>
    </row>
    <row r="2" spans="2:6">
      <c r="B2" t="s">
        <v>76</v>
      </c>
      <c r="C2" s="21" t="s">
        <v>503</v>
      </c>
      <c r="D2" s="21" t="s">
        <v>513</v>
      </c>
      <c r="E2" s="1" t="s">
        <v>13</v>
      </c>
      <c r="F2" s="39" t="s">
        <v>515</v>
      </c>
    </row>
    <row r="3" spans="2:6" ht="18">
      <c r="B3" s="21">
        <v>7000</v>
      </c>
      <c r="C3" s="11" t="s">
        <v>219</v>
      </c>
      <c r="D3">
        <v>0.7</v>
      </c>
      <c r="E3" t="s">
        <v>348</v>
      </c>
      <c r="F3">
        <v>-1</v>
      </c>
    </row>
    <row r="4" spans="2:6" ht="18">
      <c r="B4" s="21">
        <v>7001</v>
      </c>
      <c r="C4" s="11" t="s">
        <v>318</v>
      </c>
      <c r="D4" s="11">
        <v>1.2</v>
      </c>
      <c r="E4" t="s">
        <v>348</v>
      </c>
      <c r="F4">
        <v>-1</v>
      </c>
    </row>
    <row r="5" spans="2:6">
      <c r="B5" s="21">
        <v>7002</v>
      </c>
      <c r="C5" s="21" t="s">
        <v>537</v>
      </c>
      <c r="D5" s="11">
        <v>0.8</v>
      </c>
      <c r="E5" t="s">
        <v>348</v>
      </c>
      <c r="F5">
        <v>-1</v>
      </c>
    </row>
    <row r="6" spans="2:6" ht="18">
      <c r="B6" s="21">
        <v>7003</v>
      </c>
      <c r="C6" s="42" t="s">
        <v>520</v>
      </c>
      <c r="D6">
        <v>1</v>
      </c>
      <c r="E6" t="s">
        <v>522</v>
      </c>
      <c r="F6">
        <v>-1</v>
      </c>
    </row>
    <row r="7" spans="2:6" ht="18">
      <c r="B7" s="21">
        <v>7003</v>
      </c>
      <c r="C7" s="42" t="s">
        <v>521</v>
      </c>
      <c r="D7">
        <v>1</v>
      </c>
      <c r="E7" t="s">
        <v>522</v>
      </c>
      <c r="F7">
        <v>-1</v>
      </c>
    </row>
    <row r="8" spans="2:6" ht="18">
      <c r="B8" s="21">
        <v>7004</v>
      </c>
      <c r="C8" s="11" t="s">
        <v>2</v>
      </c>
      <c r="D8">
        <v>1.2</v>
      </c>
      <c r="E8" t="s">
        <v>522</v>
      </c>
      <c r="F8">
        <v>-1</v>
      </c>
    </row>
    <row r="9" spans="2:6" ht="18">
      <c r="B9" s="21">
        <v>7005</v>
      </c>
      <c r="C9" s="11" t="s">
        <v>56</v>
      </c>
      <c r="D9">
        <v>25</v>
      </c>
      <c r="E9" t="s">
        <v>522</v>
      </c>
      <c r="F9">
        <v>-1</v>
      </c>
    </row>
    <row r="10" spans="2:6" s="46" customFormat="1"/>
    <row r="11" spans="2:6" ht="18">
      <c r="B11" s="21">
        <v>8000</v>
      </c>
      <c r="C11" s="11" t="s">
        <v>319</v>
      </c>
      <c r="D11" s="14" t="s">
        <v>523</v>
      </c>
      <c r="E11" t="s">
        <v>522</v>
      </c>
      <c r="F11">
        <v>-1</v>
      </c>
    </row>
    <row r="12" spans="2:6" ht="18">
      <c r="B12" s="21">
        <v>8001</v>
      </c>
      <c r="C12" s="11" t="s">
        <v>319</v>
      </c>
      <c r="D12" s="14" t="s">
        <v>524</v>
      </c>
      <c r="E12" t="s">
        <v>522</v>
      </c>
      <c r="F12">
        <v>-1</v>
      </c>
    </row>
    <row r="13" spans="2:6">
      <c r="B13" s="21">
        <v>8002</v>
      </c>
      <c r="C13" t="s">
        <v>319</v>
      </c>
      <c r="D13">
        <v>0.1</v>
      </c>
      <c r="E13" t="s">
        <v>522</v>
      </c>
      <c r="F13">
        <v>-1</v>
      </c>
    </row>
    <row r="14" spans="2:6">
      <c r="B14" s="21">
        <v>8002</v>
      </c>
      <c r="C14" t="s">
        <v>2</v>
      </c>
      <c r="D14">
        <v>0.5</v>
      </c>
      <c r="E14" t="s">
        <v>522</v>
      </c>
      <c r="F14">
        <v>-1</v>
      </c>
    </row>
    <row r="15" spans="2:6">
      <c r="B15" s="21">
        <v>8002</v>
      </c>
      <c r="C15" t="s">
        <v>219</v>
      </c>
      <c r="D15">
        <v>-0.1</v>
      </c>
      <c r="E15" t="s">
        <v>522</v>
      </c>
      <c r="F15">
        <v>-1</v>
      </c>
    </row>
    <row r="16" spans="2:6">
      <c r="B16" s="21">
        <v>8003</v>
      </c>
      <c r="C16" t="s">
        <v>280</v>
      </c>
      <c r="D16">
        <v>0.5</v>
      </c>
      <c r="E16" t="s">
        <v>522</v>
      </c>
      <c r="F16">
        <v>-1</v>
      </c>
    </row>
    <row r="17" spans="2:6" ht="18">
      <c r="B17" s="21">
        <v>8004</v>
      </c>
      <c r="C17" s="11" t="s">
        <v>24</v>
      </c>
      <c r="D17">
        <v>2</v>
      </c>
      <c r="E17" t="s">
        <v>522</v>
      </c>
      <c r="F17">
        <v>-1</v>
      </c>
    </row>
    <row r="18" spans="2:6" ht="18">
      <c r="B18" s="21">
        <v>8004</v>
      </c>
      <c r="C18" s="11" t="s">
        <v>30</v>
      </c>
      <c r="D18">
        <v>2</v>
      </c>
      <c r="E18" t="s">
        <v>522</v>
      </c>
      <c r="F18">
        <v>-1</v>
      </c>
    </row>
    <row r="19" spans="2:6" ht="18">
      <c r="B19" s="21">
        <v>8005</v>
      </c>
      <c r="C19" s="11" t="s">
        <v>319</v>
      </c>
      <c r="D19" t="s">
        <v>525</v>
      </c>
      <c r="E19" t="s">
        <v>522</v>
      </c>
      <c r="F19">
        <v>-1</v>
      </c>
    </row>
    <row r="20" spans="2:6" s="46" customFormat="1"/>
    <row r="21" spans="2:6" ht="18">
      <c r="B21" s="21">
        <v>9000</v>
      </c>
      <c r="C21" s="11" t="s">
        <v>219</v>
      </c>
      <c r="D21">
        <v>1.2</v>
      </c>
      <c r="E21" t="s">
        <v>348</v>
      </c>
      <c r="F21">
        <v>-1</v>
      </c>
    </row>
    <row r="22" spans="2:6" ht="18">
      <c r="B22" s="21">
        <v>9000</v>
      </c>
      <c r="C22" s="11" t="s">
        <v>340</v>
      </c>
      <c r="D22">
        <v>0.55000000000000004</v>
      </c>
      <c r="E22" t="s">
        <v>348</v>
      </c>
      <c r="F22">
        <v>-1</v>
      </c>
    </row>
    <row r="23" spans="2:6">
      <c r="B23" s="21">
        <v>9001</v>
      </c>
      <c r="C23" t="s">
        <v>2</v>
      </c>
      <c r="D23">
        <v>0.7</v>
      </c>
      <c r="E23" t="s">
        <v>348</v>
      </c>
      <c r="F23">
        <v>-1</v>
      </c>
    </row>
    <row r="24" spans="2:6" ht="18">
      <c r="B24" s="21">
        <v>9001</v>
      </c>
      <c r="C24" s="11" t="s">
        <v>56</v>
      </c>
      <c r="D24">
        <v>75</v>
      </c>
      <c r="E24" t="s">
        <v>522</v>
      </c>
      <c r="F24">
        <v>-1</v>
      </c>
    </row>
    <row r="25" spans="2:6">
      <c r="B25" s="21">
        <v>9002</v>
      </c>
      <c r="C25" t="s">
        <v>319</v>
      </c>
      <c r="D25">
        <v>1</v>
      </c>
      <c r="E25" t="s">
        <v>522</v>
      </c>
      <c r="F25">
        <v>-1</v>
      </c>
    </row>
    <row r="26" spans="2:6" ht="18">
      <c r="B26" s="21">
        <v>9003</v>
      </c>
      <c r="C26" s="11" t="s">
        <v>56</v>
      </c>
      <c r="D26">
        <v>-50</v>
      </c>
      <c r="E26" t="s">
        <v>522</v>
      </c>
      <c r="F26">
        <v>-1</v>
      </c>
    </row>
    <row r="27" spans="2:6">
      <c r="B27" s="21">
        <v>9003</v>
      </c>
      <c r="C27" t="s">
        <v>319</v>
      </c>
      <c r="D27">
        <v>0.6</v>
      </c>
      <c r="E27" t="s">
        <v>522</v>
      </c>
      <c r="F27">
        <v>-1</v>
      </c>
    </row>
    <row r="28" spans="2:6" ht="18">
      <c r="B28" s="21">
        <v>9004</v>
      </c>
      <c r="C28" s="11" t="s">
        <v>24</v>
      </c>
      <c r="D28">
        <v>-1</v>
      </c>
      <c r="E28" t="s">
        <v>522</v>
      </c>
      <c r="F28">
        <v>-1</v>
      </c>
    </row>
    <row r="29" spans="2:6" ht="18">
      <c r="B29" s="21">
        <v>9004</v>
      </c>
      <c r="C29" s="11" t="s">
        <v>30</v>
      </c>
      <c r="D29">
        <v>-1</v>
      </c>
      <c r="E29" t="s">
        <v>522</v>
      </c>
      <c r="F29">
        <v>-1</v>
      </c>
    </row>
    <row r="30" spans="2:6">
      <c r="B30" s="21">
        <v>9004</v>
      </c>
      <c r="C30" t="s">
        <v>187</v>
      </c>
      <c r="D30">
        <v>1</v>
      </c>
      <c r="E30" t="s">
        <v>526</v>
      </c>
      <c r="F30">
        <v>-1</v>
      </c>
    </row>
    <row r="31" spans="2:6">
      <c r="B31" s="21">
        <v>9005</v>
      </c>
      <c r="C31" t="s">
        <v>2</v>
      </c>
      <c r="D31">
        <v>1.2</v>
      </c>
      <c r="E31" t="s">
        <v>348</v>
      </c>
      <c r="F31">
        <v>2</v>
      </c>
    </row>
    <row r="32" spans="2:6">
      <c r="B32" s="41">
        <v>10002</v>
      </c>
      <c r="C32" t="s">
        <v>2</v>
      </c>
      <c r="D32">
        <v>1.2</v>
      </c>
      <c r="E32" t="s">
        <v>348</v>
      </c>
      <c r="F32">
        <v>5</v>
      </c>
    </row>
    <row r="33" spans="2:6">
      <c r="B33" s="41">
        <v>10002</v>
      </c>
      <c r="C33" t="s">
        <v>28</v>
      </c>
      <c r="D33">
        <v>0.4</v>
      </c>
      <c r="E33" t="s">
        <v>348</v>
      </c>
      <c r="F33">
        <v>5</v>
      </c>
    </row>
    <row r="34" spans="2:6">
      <c r="B34" s="41">
        <v>10002</v>
      </c>
      <c r="C34" t="s">
        <v>228</v>
      </c>
      <c r="D34">
        <v>3</v>
      </c>
      <c r="E34" t="s">
        <v>348</v>
      </c>
      <c r="F34">
        <v>5</v>
      </c>
    </row>
    <row r="35" spans="2:6">
      <c r="B35" s="41">
        <v>10002</v>
      </c>
      <c r="C35" t="s">
        <v>198</v>
      </c>
      <c r="D35">
        <v>0.5</v>
      </c>
      <c r="E35" t="s">
        <v>348</v>
      </c>
      <c r="F35">
        <v>5</v>
      </c>
    </row>
    <row r="36" spans="2:6">
      <c r="B36" s="41">
        <v>10002</v>
      </c>
      <c r="C36" t="s">
        <v>219</v>
      </c>
      <c r="D36">
        <v>0.5</v>
      </c>
      <c r="E36" t="s">
        <v>348</v>
      </c>
      <c r="F36">
        <v>5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F10"/>
  <sheetViews>
    <sheetView zoomScale="129" zoomScaleNormal="129" zoomScaleSheetLayoutView="100" workbookViewId="0">
      <selection activeCell="J14" sqref="J14"/>
    </sheetView>
  </sheetViews>
  <sheetFormatPr baseColWidth="10" defaultColWidth="8.83203125" defaultRowHeight="17"/>
  <cols>
    <col min="2" max="2" width="8.6640625" bestFit="1" customWidth="1"/>
    <col min="3" max="3" width="14.5" customWidth="1"/>
    <col min="4" max="4" width="11.1640625" customWidth="1"/>
    <col min="5" max="5" width="10.6640625" customWidth="1"/>
    <col min="6" max="6" width="11.6640625" customWidth="1"/>
  </cols>
  <sheetData>
    <row r="1" spans="2:6">
      <c r="B1" t="s">
        <v>46</v>
      </c>
      <c r="C1" t="s">
        <v>125</v>
      </c>
      <c r="D1" s="21" t="s">
        <v>498</v>
      </c>
      <c r="E1" s="21" t="s">
        <v>507</v>
      </c>
      <c r="F1" s="21" t="s">
        <v>507</v>
      </c>
    </row>
    <row r="2" spans="2:6">
      <c r="B2" t="s">
        <v>76</v>
      </c>
      <c r="C2" s="21" t="s">
        <v>538</v>
      </c>
      <c r="D2" s="21" t="s">
        <v>504</v>
      </c>
      <c r="E2" s="39" t="s">
        <v>505</v>
      </c>
      <c r="F2" s="39" t="s">
        <v>506</v>
      </c>
    </row>
    <row r="3" spans="2:6">
      <c r="B3" s="21">
        <v>8006</v>
      </c>
      <c r="C3" s="21" t="s">
        <v>551</v>
      </c>
      <c r="D3">
        <v>726</v>
      </c>
      <c r="E3">
        <v>1</v>
      </c>
    </row>
    <row r="4" spans="2:6">
      <c r="B4" s="21">
        <v>9002</v>
      </c>
      <c r="C4" s="21" t="s">
        <v>529</v>
      </c>
      <c r="D4" s="11"/>
    </row>
    <row r="5" spans="2:6">
      <c r="B5" s="21"/>
      <c r="C5" s="21"/>
      <c r="D5" s="11"/>
    </row>
    <row r="6" spans="2:6" s="46" customFormat="1">
      <c r="B6" s="47"/>
      <c r="C6" s="47"/>
    </row>
    <row r="7" spans="2:6">
      <c r="B7" s="21">
        <v>10000</v>
      </c>
      <c r="C7" s="21" t="s">
        <v>508</v>
      </c>
      <c r="D7" s="11">
        <v>8</v>
      </c>
    </row>
    <row r="8" spans="2:6">
      <c r="B8">
        <v>10001</v>
      </c>
      <c r="C8" s="21" t="s">
        <v>539</v>
      </c>
      <c r="D8">
        <v>3</v>
      </c>
      <c r="E8">
        <v>23</v>
      </c>
      <c r="F8">
        <v>3</v>
      </c>
    </row>
    <row r="9" spans="2:6">
      <c r="B9">
        <v>10002</v>
      </c>
      <c r="C9" s="21" t="s">
        <v>530</v>
      </c>
      <c r="D9">
        <v>0.5</v>
      </c>
      <c r="E9">
        <v>5</v>
      </c>
    </row>
    <row r="10" spans="2:6">
      <c r="B10">
        <v>10003</v>
      </c>
      <c r="C10" s="21" t="s">
        <v>547</v>
      </c>
      <c r="D10">
        <v>10</v>
      </c>
      <c r="E10">
        <v>90</v>
      </c>
      <c r="F10">
        <v>1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78</v>
      </c>
      <c r="F1" t="s">
        <v>77</v>
      </c>
    </row>
    <row r="2" spans="2:6">
      <c r="B2" t="s">
        <v>76</v>
      </c>
      <c r="C2" s="5" t="s">
        <v>118</v>
      </c>
      <c r="D2" s="5" t="s">
        <v>119</v>
      </c>
      <c r="E2" t="s">
        <v>220</v>
      </c>
      <c r="F2" t="s">
        <v>221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323</v>
      </c>
      <c r="E3" t="s">
        <v>57</v>
      </c>
      <c r="F3" t="s">
        <v>248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120</v>
      </c>
      <c r="E4" t="s">
        <v>298</v>
      </c>
      <c r="F4" t="s">
        <v>374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323</v>
      </c>
      <c r="E5" t="s">
        <v>57</v>
      </c>
      <c r="F5" t="s">
        <v>373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297</v>
      </c>
      <c r="E6" t="s">
        <v>200</v>
      </c>
      <c r="F6" t="s">
        <v>183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324</v>
      </c>
      <c r="E7" t="s">
        <v>305</v>
      </c>
      <c r="F7" t="s">
        <v>376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323</v>
      </c>
      <c r="E8" t="s">
        <v>57</v>
      </c>
      <c r="F8" t="s">
        <v>375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324</v>
      </c>
      <c r="E9" t="s">
        <v>305</v>
      </c>
      <c r="F9" t="s">
        <v>270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77</v>
      </c>
      <c r="C1" t="s">
        <v>77</v>
      </c>
      <c r="D1" t="s">
        <v>49</v>
      </c>
    </row>
    <row r="2" spans="1:4">
      <c r="A2" t="s">
        <v>76</v>
      </c>
      <c r="B2" t="s">
        <v>287</v>
      </c>
      <c r="C2" t="s">
        <v>285</v>
      </c>
      <c r="D2" s="5" t="s">
        <v>117</v>
      </c>
    </row>
    <row r="3" spans="1:4">
      <c r="A3">
        <f>ItemTable[[#This Row],[Index]]+10000</f>
        <v>10010</v>
      </c>
      <c r="B3" t="s">
        <v>95</v>
      </c>
      <c r="C3" t="s">
        <v>102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96</v>
      </c>
      <c r="C4" t="s">
        <v>103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92</v>
      </c>
      <c r="C5" t="s">
        <v>104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97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98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99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135</v>
      </c>
      <c r="C9" t="s">
        <v>136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313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64</v>
      </c>
      <c r="C12" t="s">
        <v>286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85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291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88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66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191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63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107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65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67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86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83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75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68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108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69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70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71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87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79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73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172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252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369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190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377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189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186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184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204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267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188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265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174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177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273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269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212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175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179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178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168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173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171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176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2023-08-20T04:49:34Z</dcterms:modified>
  <cp:version>1200.0100.01</cp:version>
</cp:coreProperties>
</file>