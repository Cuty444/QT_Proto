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8AA1BB49-86F0-416D-AF84-0D1E6E4528D9}" xr6:coauthVersionLast="47" xr6:coauthVersionMax="47" xr10:uidLastSave="{00000000-0000-0000-0000-000000000000}"/>
  <bookViews>
    <workbookView xWindow="-120" yWindow="-120" windowWidth="29040" windowHeight="15840" firstSheet="10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" i="14" l="1"/>
  <c r="K3" i="8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O11" i="14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P11" i="3" s="1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Q13" i="14" a="1"/>
  <c r="Q13" i="14" s="1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21" i="13" a="1"/>
  <c r="I21" i="13" s="1"/>
  <c r="B22" i="13" a="1"/>
  <c r="B22" i="13" s="1"/>
  <c r="I15" i="13" a="1"/>
  <c r="I15" i="13" s="1"/>
  <c r="B16" i="13" a="1"/>
  <c r="B16" i="13" s="1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R24" i="14" l="1" a="1"/>
  <c r="R24" i="14" s="1"/>
  <c r="F22" i="2"/>
  <c r="S7" i="3" s="1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I11" i="3" l="1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<sst xmlns="http://schemas.openxmlformats.org/spreadsheetml/2006/main" count="1103" uniqueCount="555">
  <si>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</si>
  <si>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</si>
  <si>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</si>
  <si>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</si>
  <si>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</si>
  <si>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</si>
  <si>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</si>
  <si>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</si>
  <si>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</si>
  <si>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</si>
  <si>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</si>
  <si>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</si>
  <si>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</si>
  <si>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</si>
  <si>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</si>
  <si>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</si>
  <si>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</si>
  <si>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</si>
  <si>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</si>
  <si>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</si>
  <si>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</si>
  <si>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</si>
  <si>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</si>
  <si>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</si>
  <si>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</si>
  <si>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</si>
  <si>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</si>
  <si>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</si>
  <si>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</si>
  <si>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</si>
  <si>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</si>
  <si>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</si>
  <si>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</si>
  <si>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</si>
  <si>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</si>
  <si>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</si>
  <si>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</si>
  <si>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</si>
  <si>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</si>
  <si>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</si>
  <si>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</si>
  <si>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</si>
  <si>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</si>
  <si>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</si>
  <si>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</si>
  <si>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</si>
  <si>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</si>
  <si>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</si>
  <si>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</si>
  <si>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</si>
  <si>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</si>
  <si>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</si>
  <si>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</si>
  <si>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</si>
  <si>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</si>
  <si>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</si>
  <si>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</si>
  <si>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</si>
  <si>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</si>
  <si>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</si>
  <si>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</si>
  <si>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</si>
  <si>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</si>
  <si>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</si>
  <si>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</si>
  <si>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</si>
  <si>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</si>
  <si>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</si>
  <si>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</si>
  <si>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</si>
  <si>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</si>
  <si>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</si>
  <si>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</si>
  <si>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</si>
  <si>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</si>
  <si>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</si>
  <si>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</si>
  <si>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</si>
  <si>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</si>
  <si>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</si>
  <si>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</si>
  <si>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</si>
  <si>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</si>
  <si>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</si>
  <si>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</si>
  <si>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</si>
  <si>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</si>
  <si>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</si>
  <si>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</si>
  <si>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</si>
  <si>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</si>
  <si>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</si>
  <si>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</si>
  <si>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</si>
  <si>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</si>
  <si>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</si>
  <si>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</si>
  <si>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</si>
  <si>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</si>
  <si>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</si>
  <si>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</si>
  <si>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</si>
  <si>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</si>
  <si>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</si>
  <si>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</si>
  <si>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</si>
  <si>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</si>
  <si>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</si>
  <si>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</si>
  <si>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</si>
  <si>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</si>
  <si>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</si>
  <si>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</si>
  <si>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</si>
  <si>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</si>
  <si>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</si>
  <si>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</si>
  <si>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</si>
  <si>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</si>
  <si>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</si>
  <si>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</si>
  <si>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</si>
  <si>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</si>
  <si>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</si>
  <si>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</si>
  <si>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</si>
  <si>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</si>
  <si>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</si>
  <si>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</si>
  <si>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</si>
  <si>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</si>
  <si>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</si>
  <si>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</si>
  <si>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</si>
  <si>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</si>
  <si>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</si>
  <si>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</si>
  <si>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</si>
  <si>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</si>
  <si>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</si>
  <si>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</si>
  <si>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</si>
  <si>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</si>
  <si>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</si>
  <si>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</si>
  <si>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</si>
  <si>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</si>
  <si>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</si>
  <si>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</si>
  <si>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</si>
  <si>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</si>
  <si>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</si>
  <si>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</si>
  <si>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</si>
  <si>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</si>
  <si>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</si>
  <si>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</si>
  <si>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</si>
  <si>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</si>
  <si>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</si>
  <si>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</si>
  <si>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</si>
  <si>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</si>
  <si>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</si>
  <si>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</si>
  <si>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</si>
  <si>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</si>
  <si>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</si>
  <si>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</si>
  <si>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</si>
  <si>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</si>
  <si>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</si>
  <si>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</si>
  <si>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</si>
  <si>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</si>
  <si>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</si>
  <si>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</si>
  <si>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</si>
  <si>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</si>
  <si>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</si>
  <si>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</si>
  <si>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</si>
  <si>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</si>
  <si>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</si>
  <si>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</si>
  <si>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</si>
  <si>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</si>
  <si>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</si>
  <si>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</si>
  <si>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</si>
  <si>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</si>
  <si>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</si>
  <si>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</si>
  <si>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</si>
  <si>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</si>
  <si>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</si>
  <si>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</si>
  <si>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</si>
  <si>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</si>
  <si>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</si>
  <si>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</si>
  <si>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</si>
  <si>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</si>
  <si>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</si>
  <si>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</si>
  <si>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</si>
  <si>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</si>
  <si>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</si>
  <si>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</si>
  <si>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</si>
  <si>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</si>
  <si>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</si>
  <si>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</si>
  <si>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</si>
  <si>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</si>
  <si>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</si>
  <si>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</si>
  <si>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</si>
  <si>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</si>
  <si>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</si>
  <si>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</si>
  <si>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</si>
  <si>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</si>
  <si>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</si>
  <si>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</si>
  <si>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</si>
  <si>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</si>
  <si>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</si>
  <si>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</si>
  <si>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</si>
  <si>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</si>
  <si>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</si>
  <si>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</si>
  <si>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</si>
  <si>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</si>
  <si>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</si>
  <si>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</si>
  <si>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</si>
  <si>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</si>
  <si>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</si>
  <si>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</si>
  <si>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</si>
  <si>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</si>
  <si>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</si>
  <si>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</si>
  <si>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</si>
  <si>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</si>
  <si>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</si>
  <si>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</si>
  <si>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</si>
  <si>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</si>
  <si>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</si>
  <si>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</si>
  <si>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</si>
  <si>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</si>
  <si>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</si>
  <si>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</si>
  <si>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</si>
  <si>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</si>
  <si>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</si>
  <si>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</si>
  <si>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</si>
  <si>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</si>
  <si>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</si>
  <si>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</si>
  <si>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</si>
  <si>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</si>
  <si>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</si>
  <si>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</si>
  <si>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</si>
  <si>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</si>
  <si>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</si>
  <si>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</si>
  <si>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</si>
  <si>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</si>
  <si>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</si>
  <si>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</si>
  <si>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</si>
  <si>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</si>
  <si>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</si>
  <si>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</si>
  <si>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</si>
  <si>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</si>
  <si>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</si>
  <si>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</si>
  <si>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</si>
  <si>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</si>
  <si>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</si>
  <si>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</si>
  <si>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</si>
  <si>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</si>
  <si>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</si>
  <si>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</si>
  <si>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</si>
  <si>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</si>
  <si>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</si>
  <si>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</si>
  <si>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</si>
  <si>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</si>
  <si>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</si>
  <si>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</si>
  <si>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</si>
  <si>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</si>
  <si>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</si>
  <si>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</si>
  <si>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</si>
  <si>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</si>
  <si>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</si>
  <si>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</si>
  <si>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</si>
  <si>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</si>
  <si>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</si>
  <si>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</si>
  <si>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</si>
  <si>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</si>
  <si>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</si>
  <si>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</si>
  <si>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</si>
  <si>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</si>
  <si>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</si>
  <si>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</si>
  <si>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</si>
  <si>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</si>
  <si>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</si>
  <si>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</si>
  <si>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</si>
  <si>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</si>
  <si>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</si>
  <si>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</si>
  <si>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</si>
  <si>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</si>
  <si>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</si>
  <si>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</si>
  <si>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</si>
  <si>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</si>
  <si>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</si>
  <si>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</si>
  <si>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</si>
  <si>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</si>
  <si>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</si>
  <si>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</si>
  <si>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</si>
  <si>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</si>
  <si>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</si>
  <si>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</si>
  <si>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</si>
  <si>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</si>
  <si>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</si>
  <si>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</si>
  <si>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</si>
  <si>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</si>
  <si>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</si>
  <si>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</si>
  <si>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</si>
  <si>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</si>
  <si>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</si>
  <si>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</si>
  <si>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</si>
  <si>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</si>
  <si>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</si>
  <si>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</si>
  <si>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</si>
  <si>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</si>
  <si>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</si>
  <si>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</si>
  <si>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</si>
  <si>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</si>
  <si>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</si>
  <si>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</si>
  <si>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</si>
  <si>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</si>
  <si>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</si>
  <si>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</si>
  <si>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</si>
  <si>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</si>
  <si>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</si>
  <si>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</si>
  <si>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</si>
  <si>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</si>
  <si>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</si>
  <si>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</si>
  <si>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</si>
  <si>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</si>
  <si>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</si>
  <si>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</si>
  <si>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</si>
  <si>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</si>
  <si>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</si>
  <si>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</si>
  <si>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</si>
  <si>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</si>
  <si>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</si>
  <si>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</si>
  <si>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</si>
  <si>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</si>
  <si>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</si>
  <si>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</si>
  <si>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</si>
  <si>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</si>
  <si>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</si>
  <si>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</si>
  <si>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</si>
  <si>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</si>
  <si>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</si>
  <si>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</si>
  <si>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</si>
  <si>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</si>
  <si>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</si>
  <si>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</si>
  <si>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</si>
  <si>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</si>
  <si>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</si>
  <si>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</si>
  <si>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</si>
  <si>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</si>
  <si>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</si>
  <si>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</si>
  <si>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</si>
  <si>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</si>
  <si>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</si>
  <si>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</si>
  <si>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</si>
  <si>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</si>
  <si>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</si>
  <si>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</si>
  <si>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</si>
  <si>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</si>
  <si>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</si>
  <si>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</si>
  <si>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</si>
  <si>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</si>
  <si>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</si>
  <si>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</si>
  <si>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</si>
  <si>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</si>
  <si>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</si>
  <si>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</si>
  <si>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</si>
  <si>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</si>
  <si>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</si>
  <si>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</si>
  <si>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</si>
  <si>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</si>
  <si>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</si>
  <si>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</si>
  <si>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</si>
  <si>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</si>
  <si>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</si>
  <si>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</si>
  <si>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</si>
  <si>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</si>
  <si>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</si>
  <si>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</si>
  <si>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</si>
  <si>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</si>
  <si>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</si>
  <si>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</si>
  <si>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</si>
  <si>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</si>
  <si>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</si>
  <si>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</si>
  <si>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</si>
  <si>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</si>
  <si>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</si>
  <si>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</si>
  <si>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</si>
  <si>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</si>
  <si>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</si>
  <si>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</si>
  <si>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</si>
  <si>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</si>
  <si>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</si>
  <si>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</si>
  <si>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</si>
  <si>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</si>
  <si>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</si>
  <si>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</si>
  <si>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</si>
  <si>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</si>
  <si>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</si>
  <si>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</si>
  <si>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</si>
  <si>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</si>
  <si>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</si>
  <si>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</si>
  <si>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</si>
  <si>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</si>
  <si>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</si>
  <si>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</si>
  <si>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</si>
  <si>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</si>
  <si>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</si>
  <si>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</si>
  <si>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</si>
  <si>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</si>
  <si>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</si>
  <si>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</si>
  <si>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</si>
  <si>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</si>
  <si>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</si>
  <si>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</si>
  <si>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</si>
  <si>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</si>
  <si>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</si>
  <si>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</si>
  <si>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</si>
  <si>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</si>
  <si>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</si>
  <si>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</si>
  <si>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</si>
  <si>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</si>
  <si>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</si>
  <si>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</si>
  <si>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</si>
  <si>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</si>
  <si>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</si>
  <si>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</si>
  <si>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</si>
  <si>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</si>
  <si>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</si>
  <si>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</si>
  <si>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</si>
  <si>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</si>
  <si>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</si>
  <si>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</si>
  <si>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</si>
  <si>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</si>
  <si>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</si>
  <si>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</si>
  <si>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</si>
  <si>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</si>
  <si>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</si>
  <si>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</si>
  <si>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</si>
  <si>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</si>
  <si>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</si>
  <si>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</si>
  <si>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</si>
  <si>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</si>
  <si>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</si>
  <si>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</si>
  <si>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</si>
  <si>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</si>
  <si>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</si>
  <si>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</si>
  <si>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</si>
  <si>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</si>
  <si>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</si>
  <si>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</si>
  <si>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</si>
  <si>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이동속도 +12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</si>
  <si>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</si>
  <si>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이동속도 -25%, 최대체력 +3하트</t>
    <phoneticPr fontId="8" type="noConversion"/>
  </si>
  <si>
    <t>이동속도 -30%, 최대체력 +3하트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</si>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</sst>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9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8" borderId="0" xfId="0" applyFont="1" applyFill="1">
      <alignment vertical="center"/>
    </xf>
    <xf numFmtId="0" fontId="17" fillId="10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61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44" t="s">
        <v>336</v>
      </c>
      <c r="C1" s="45"/>
      <c r="D1" s="45"/>
      <c r="E1" s="45"/>
    </row>
    <row r="2" spans="2:5" s="1" customFormat="1" x14ac:dyDescent="0.3">
      <c r="B2" s="45"/>
      <c r="C2" s="45"/>
      <c r="D2" s="45"/>
      <c r="E2" s="45"/>
    </row>
    <row r="3" spans="2:5" s="1" customFormat="1" x14ac:dyDescent="0.3">
      <c r="B3" s="45"/>
      <c r="C3" s="45"/>
      <c r="D3" s="45"/>
      <c r="E3" s="4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875" defaultRowHeight="16.5" x14ac:dyDescent="0.3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</cols>
  <sheetData>
    <row r="1" spans="2:12" s="1" customFormat="1" x14ac:dyDescent="0.3">
      <c r="B1" s="44" t="s">
        <v>216</v>
      </c>
      <c r="C1" s="45"/>
      <c r="D1" s="45"/>
      <c r="E1" s="45"/>
    </row>
    <row r="2" spans="2:12" s="1" customFormat="1" x14ac:dyDescent="0.3">
      <c r="B2" s="45"/>
      <c r="C2" s="45"/>
      <c r="D2" s="45"/>
      <c r="E2" s="45"/>
    </row>
    <row r="3" spans="2:12" s="1" customFormat="1" x14ac:dyDescent="0.3">
      <c r="B3" s="45"/>
      <c r="C3" s="45"/>
      <c r="D3" s="45"/>
      <c r="E3" s="45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508</v>
      </c>
      <c r="C10" s="2"/>
      <c r="D10" s="2"/>
      <c r="I10" s="2" t="s">
        <v>509</v>
      </c>
      <c r="J10" s="2"/>
      <c r="K10" s="2"/>
    </row>
    <row r="11" spans="2:12" x14ac:dyDescent="0.3">
      <c r="B11" s="18" t="s">
        <v>506</v>
      </c>
      <c r="C11" s="18" t="s">
        <v>507</v>
      </c>
      <c r="D11" s="18" t="s">
        <v>504</v>
      </c>
      <c r="E11" s="18" t="s">
        <v>505</v>
      </c>
      <c r="F11" s="18" t="s">
        <v>510</v>
      </c>
      <c r="I11" s="18" t="s">
        <v>511</v>
      </c>
      <c r="J11" s="18" t="s">
        <v>507</v>
      </c>
      <c r="K11" s="18" t="s">
        <v>504</v>
      </c>
      <c r="L11" s="18" t="s">
        <v>505</v>
      </c>
    </row>
    <row r="12" spans="2:12" x14ac:dyDescent="0.3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8" t="s">
        <v>512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8" t="s">
        <v>513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514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514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44" t="s">
        <v>314</v>
      </c>
      <c r="C1" s="45"/>
      <c r="D1" s="45"/>
      <c r="E1" s="45"/>
      <c r="F1" s="45"/>
    </row>
    <row r="2" spans="1:21" s="1" customFormat="1" x14ac:dyDescent="0.3">
      <c r="B2" s="45"/>
      <c r="C2" s="45"/>
      <c r="D2" s="45"/>
      <c r="E2" s="45"/>
      <c r="F2" s="45"/>
    </row>
    <row r="3" spans="1:21" s="1" customFormat="1" x14ac:dyDescent="0.3">
      <c r="B3" s="45"/>
      <c r="C3" s="45"/>
      <c r="D3" s="45"/>
      <c r="E3" s="45"/>
      <c r="F3" s="45"/>
    </row>
    <row r="5" spans="1:21" x14ac:dyDescent="0.3">
      <c r="B5" s="2" t="s">
        <v>108</v>
      </c>
      <c r="G5" s="2" t="s">
        <v>230</v>
      </c>
      <c r="H5" s="2"/>
      <c r="R5" s="2" t="s">
        <v>115</v>
      </c>
    </row>
    <row r="6" spans="1:21" x14ac:dyDescent="0.3">
      <c r="B6" t="s">
        <v>54</v>
      </c>
      <c r="C6" t="s">
        <v>149</v>
      </c>
      <c r="D6" t="s">
        <v>61</v>
      </c>
      <c r="E6" t="s">
        <v>355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318</v>
      </c>
      <c r="O6" t="s">
        <v>353</v>
      </c>
      <c r="P6" t="s">
        <v>316</v>
      </c>
      <c r="R6" t="s">
        <v>107</v>
      </c>
      <c r="S6" s="18" t="s">
        <v>515</v>
      </c>
    </row>
    <row r="7" spans="1:21" x14ac:dyDescent="0.3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x14ac:dyDescent="0.3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x14ac:dyDescent="0.3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285</v>
      </c>
      <c r="S9" s="2"/>
      <c r="T9" s="2"/>
    </row>
    <row r="10" spans="1:21" x14ac:dyDescent="0.3">
      <c r="A10" s="12"/>
      <c r="B10" s="12" t="s">
        <v>209</v>
      </c>
      <c r="C10" s="12" t="s">
        <v>254</v>
      </c>
      <c r="D10" t="s">
        <v>350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2"/>
      <c r="B11" s="12" t="s">
        <v>301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x14ac:dyDescent="0.3">
      <c r="A13" s="12"/>
      <c r="B13" s="12" t="s">
        <v>340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x14ac:dyDescent="0.3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312</v>
      </c>
    </row>
    <row r="15" spans="1:21" x14ac:dyDescent="0.3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x14ac:dyDescent="0.3">
      <c r="A17" s="12"/>
      <c r="B17" s="12" t="s">
        <v>341</v>
      </c>
      <c r="C17" s="12" t="s">
        <v>22</v>
      </c>
      <c r="D17" t="s">
        <v>142</v>
      </c>
      <c r="E17">
        <f>50/0.3</f>
        <v>166.66666666666669</v>
      </c>
    </row>
    <row r="18" spans="1:5" x14ac:dyDescent="0.3">
      <c r="A18" s="12"/>
      <c r="B18" s="12" t="s">
        <v>363</v>
      </c>
      <c r="C18" s="12" t="s">
        <v>22</v>
      </c>
      <c r="D18" t="s">
        <v>352</v>
      </c>
      <c r="E18" s="13">
        <f>30/-0.2</f>
        <v>-150</v>
      </c>
    </row>
    <row r="19" spans="1:5" x14ac:dyDescent="0.3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x14ac:dyDescent="0.3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x14ac:dyDescent="0.3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x14ac:dyDescent="0.3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x14ac:dyDescent="0.3">
      <c r="A23" s="12"/>
      <c r="B23" s="12" t="s">
        <v>237</v>
      </c>
      <c r="C23" s="12" t="s">
        <v>22</v>
      </c>
      <c r="D23" t="s">
        <v>348</v>
      </c>
      <c r="E23">
        <f>50/25</f>
        <v>2</v>
      </c>
    </row>
    <row r="24" spans="1:5" x14ac:dyDescent="0.3">
      <c r="A24" s="12"/>
      <c r="B24" s="12" t="s">
        <v>245</v>
      </c>
      <c r="C24" s="12" t="s">
        <v>22</v>
      </c>
      <c r="D24" t="s">
        <v>349</v>
      </c>
      <c r="E24">
        <f>50/25</f>
        <v>2</v>
      </c>
    </row>
    <row r="25" spans="1:5" x14ac:dyDescent="0.3">
      <c r="A25" s="12"/>
      <c r="B25" s="12" t="s">
        <v>265</v>
      </c>
      <c r="C25" s="12" t="s">
        <v>22</v>
      </c>
      <c r="D25" t="s">
        <v>368</v>
      </c>
      <c r="E25">
        <v>2</v>
      </c>
    </row>
    <row r="26" spans="1:5" x14ac:dyDescent="0.3">
      <c r="A26" s="12"/>
      <c r="B26" s="12" t="s">
        <v>288</v>
      </c>
      <c r="C26" s="12" t="s">
        <v>22</v>
      </c>
      <c r="D26" t="s">
        <v>369</v>
      </c>
      <c r="E26">
        <v>2</v>
      </c>
    </row>
    <row r="27" spans="1:5" x14ac:dyDescent="0.3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x14ac:dyDescent="0.3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x14ac:dyDescent="0.3">
      <c r="A29" s="12"/>
      <c r="B29" s="12" t="s">
        <v>302</v>
      </c>
      <c r="C29" s="12" t="s">
        <v>60</v>
      </c>
      <c r="D29" s="12" t="s">
        <v>21</v>
      </c>
      <c r="E29">
        <v>50</v>
      </c>
    </row>
    <row r="30" spans="1:5" x14ac:dyDescent="0.3">
      <c r="A30" s="12"/>
      <c r="B30" s="12" t="s">
        <v>52</v>
      </c>
      <c r="C30" s="12" t="s">
        <v>60</v>
      </c>
      <c r="D30" s="12" t="s">
        <v>403</v>
      </c>
      <c r="E30">
        <v>50</v>
      </c>
    </row>
    <row r="31" spans="1:5" x14ac:dyDescent="0.3">
      <c r="A31" s="12"/>
      <c r="B31" s="12" t="s">
        <v>298</v>
      </c>
      <c r="C31" s="12" t="s">
        <v>60</v>
      </c>
      <c r="D31" s="12" t="s">
        <v>194</v>
      </c>
      <c r="E31">
        <v>50</v>
      </c>
    </row>
    <row r="32" spans="1:5" x14ac:dyDescent="0.3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118</v>
      </c>
      <c r="C2" t="s">
        <v>74</v>
      </c>
      <c r="D2" s="6" t="s">
        <v>45</v>
      </c>
    </row>
    <row r="3" spans="1:4" x14ac:dyDescent="0.3">
      <c r="A3">
        <v>1</v>
      </c>
      <c r="B3" s="4" t="s">
        <v>196</v>
      </c>
      <c r="C3">
        <v>5</v>
      </c>
      <c r="D3" s="4" t="s">
        <v>220</v>
      </c>
    </row>
    <row r="4" spans="1:4" x14ac:dyDescent="0.3">
      <c r="A4">
        <v>2</v>
      </c>
      <c r="B4" s="4" t="s">
        <v>263</v>
      </c>
      <c r="C4">
        <v>5</v>
      </c>
      <c r="D4" s="4" t="s">
        <v>195</v>
      </c>
    </row>
    <row r="5" spans="1:4" x14ac:dyDescent="0.3">
      <c r="A5">
        <v>3</v>
      </c>
      <c r="B5" s="4" t="s">
        <v>289</v>
      </c>
      <c r="C5">
        <v>20</v>
      </c>
      <c r="D5" s="4" t="s">
        <v>8</v>
      </c>
    </row>
    <row r="6" spans="1:4" x14ac:dyDescent="0.3">
      <c r="A6">
        <v>4</v>
      </c>
      <c r="B6" s="4" t="s">
        <v>291</v>
      </c>
      <c r="C6">
        <v>0.5</v>
      </c>
      <c r="D6" s="4" t="s">
        <v>211</v>
      </c>
    </row>
    <row r="7" spans="1:4" x14ac:dyDescent="0.3">
      <c r="A7">
        <v>5</v>
      </c>
      <c r="B7" s="4" t="s">
        <v>344</v>
      </c>
      <c r="C7">
        <v>50</v>
      </c>
      <c r="D7" s="4" t="s">
        <v>401</v>
      </c>
    </row>
    <row r="8" spans="1:4" x14ac:dyDescent="0.3">
      <c r="A8">
        <v>6</v>
      </c>
      <c r="B8" s="4" t="s">
        <v>347</v>
      </c>
      <c r="C8">
        <v>1</v>
      </c>
      <c r="D8" s="4" t="s">
        <v>184</v>
      </c>
    </row>
    <row r="9" spans="1:4" x14ac:dyDescent="0.3">
      <c r="A9">
        <v>7</v>
      </c>
      <c r="B9" s="4" t="s">
        <v>398</v>
      </c>
      <c r="C9">
        <v>10</v>
      </c>
      <c r="D9" s="4" t="s">
        <v>395</v>
      </c>
    </row>
    <row r="10" spans="1:4" x14ac:dyDescent="0.3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162</v>
      </c>
      <c r="E2" t="s">
        <v>310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306</v>
      </c>
      <c r="N2" t="s">
        <v>209</v>
      </c>
      <c r="O2" t="s">
        <v>301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zoomScaleNormal="75" zoomScaleSheetLayoutView="100" workbookViewId="0">
      <selection activeCell="E28" sqref="E28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4" width="24.625" customWidth="1"/>
    <col min="25" max="25" width="14.125" bestFit="1" customWidth="1"/>
    <col min="26" max="26" width="28.875" bestFit="1" customWidth="1"/>
    <col min="27" max="27" width="17" customWidth="1"/>
    <col min="28" max="28" width="26.625" bestFit="1" customWidth="1"/>
    <col min="29" max="29" width="25" bestFit="1" customWidth="1"/>
    <col min="30" max="31" width="26.125" bestFit="1" customWidth="1"/>
    <col min="32" max="32" width="26" bestFit="1" customWidth="1"/>
    <col min="33" max="33" width="27.125" bestFit="1" customWidth="1"/>
  </cols>
  <sheetData>
    <row r="1" spans="2:33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X1" t="s">
        <v>48</v>
      </c>
      <c r="Y1" t="s">
        <v>48</v>
      </c>
      <c r="AF1" s="11" t="s">
        <v>181</v>
      </c>
    </row>
    <row r="2" spans="2:33" x14ac:dyDescent="0.3">
      <c r="B2" t="s">
        <v>78</v>
      </c>
      <c r="C2" s="6" t="s">
        <v>45</v>
      </c>
      <c r="D2" s="8" t="s">
        <v>217</v>
      </c>
      <c r="E2" s="7" t="s">
        <v>224</v>
      </c>
      <c r="F2" s="7" t="s">
        <v>343</v>
      </c>
      <c r="G2" s="8" t="s">
        <v>20</v>
      </c>
      <c r="H2" s="9" t="s">
        <v>233</v>
      </c>
      <c r="I2" s="9" t="s">
        <v>236</v>
      </c>
      <c r="J2" s="9" t="s">
        <v>340</v>
      </c>
      <c r="K2" s="9" t="s">
        <v>17</v>
      </c>
      <c r="L2" s="9" t="s">
        <v>363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0" t="s">
        <v>544</v>
      </c>
      <c r="X2" s="40" t="s">
        <v>545</v>
      </c>
      <c r="Y2" s="1" t="s">
        <v>341</v>
      </c>
      <c r="Z2" s="1" t="s">
        <v>405</v>
      </c>
      <c r="AA2" s="6" t="s">
        <v>356</v>
      </c>
      <c r="AB2" s="6" t="s">
        <v>238</v>
      </c>
      <c r="AC2" s="6" t="s">
        <v>262</v>
      </c>
      <c r="AD2" s="6" t="s">
        <v>241</v>
      </c>
      <c r="AE2" s="6" t="s">
        <v>261</v>
      </c>
      <c r="AF2" s="6" t="s">
        <v>253</v>
      </c>
      <c r="AG2" s="6" t="s">
        <v>26</v>
      </c>
    </row>
    <row r="3" spans="2:33" x14ac:dyDescent="0.3">
      <c r="B3">
        <v>200</v>
      </c>
      <c r="C3" s="4" t="s">
        <v>317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229</v>
      </c>
      <c r="E2" s="34" t="s">
        <v>219</v>
      </c>
      <c r="F2" s="34" t="s">
        <v>311</v>
      </c>
      <c r="G2" t="s">
        <v>15</v>
      </c>
      <c r="H2" t="s">
        <v>329</v>
      </c>
      <c r="I2" t="s">
        <v>227</v>
      </c>
      <c r="J2" t="s">
        <v>225</v>
      </c>
      <c r="K2" t="s">
        <v>315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 x14ac:dyDescent="0.3">
      <c r="B3">
        <v>800</v>
      </c>
      <c r="C3" s="22" t="s">
        <v>520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 x14ac:dyDescent="0.3">
      <c r="B4">
        <v>801</v>
      </c>
      <c r="C4" s="22" t="s">
        <v>521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2" t="s">
        <v>522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1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11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11" x14ac:dyDescent="0.3">
      <c r="B3" s="34">
        <v>9001</v>
      </c>
      <c r="C3" s="37" t="s">
        <v>543</v>
      </c>
      <c r="D3" s="34">
        <v>0</v>
      </c>
      <c r="E3" s="34">
        <v>5000</v>
      </c>
      <c r="F3" s="34">
        <v>5000</v>
      </c>
      <c r="G3" s="34">
        <v>0</v>
      </c>
      <c r="H3" s="34">
        <v>0</v>
      </c>
      <c r="I3" s="34">
        <v>0</v>
      </c>
      <c r="K3">
        <f>SUM(DropTable[[#This Row],[Normal]:[Cursed]])</f>
        <v>10000</v>
      </c>
    </row>
    <row r="4" spans="1:11" x14ac:dyDescent="0.3">
      <c r="B4">
        <v>9002</v>
      </c>
      <c r="C4" s="36" t="s">
        <v>542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 x14ac:dyDescent="0.3">
      <c r="A5" s="18"/>
      <c r="B5">
        <v>9003</v>
      </c>
      <c r="C5" s="36" t="s">
        <v>539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 x14ac:dyDescent="0.3">
      <c r="B6">
        <v>9100</v>
      </c>
      <c r="C6" s="22" t="s">
        <v>540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 x14ac:dyDescent="0.3">
      <c r="A7" t="s">
        <v>51</v>
      </c>
      <c r="B7" s="38">
        <v>9101</v>
      </c>
      <c r="C7" s="39" t="s">
        <v>541</v>
      </c>
      <c r="D7" s="38">
        <v>4000</v>
      </c>
      <c r="E7" s="38">
        <v>2000</v>
      </c>
      <c r="F7" s="38">
        <v>2000</v>
      </c>
      <c r="G7" s="38">
        <v>0</v>
      </c>
      <c r="H7" s="38">
        <v>2000</v>
      </c>
      <c r="I7" s="38">
        <v>0</v>
      </c>
    </row>
    <row r="8" spans="1:11" x14ac:dyDescent="0.3">
      <c r="A8" t="s">
        <v>51</v>
      </c>
      <c r="B8" s="38">
        <v>9102</v>
      </c>
      <c r="C8" s="39" t="s">
        <v>321</v>
      </c>
      <c r="D8" s="38">
        <v>4000</v>
      </c>
      <c r="E8" s="38">
        <v>2000</v>
      </c>
      <c r="F8" s="38">
        <v>2000</v>
      </c>
      <c r="G8" s="38">
        <v>0</v>
      </c>
      <c r="H8" s="38">
        <v>0</v>
      </c>
      <c r="I8" s="38">
        <v>2000</v>
      </c>
    </row>
    <row r="9" spans="1:11" x14ac:dyDescent="0.3">
      <c r="A9" t="s">
        <v>51</v>
      </c>
      <c r="B9" s="38">
        <v>9103</v>
      </c>
      <c r="C9" s="39" t="s">
        <v>124</v>
      </c>
      <c r="D9" s="38">
        <v>4000</v>
      </c>
      <c r="E9" s="38">
        <v>2000</v>
      </c>
      <c r="F9" s="38">
        <v>2000</v>
      </c>
      <c r="G9" s="38">
        <v>0</v>
      </c>
      <c r="H9" s="38">
        <v>2000</v>
      </c>
      <c r="I9" s="38">
        <v>0</v>
      </c>
    </row>
    <row r="10" spans="1:11" x14ac:dyDescent="0.3">
      <c r="A10" t="s">
        <v>51</v>
      </c>
      <c r="B10" s="38">
        <v>9104</v>
      </c>
      <c r="C10" s="39" t="s">
        <v>123</v>
      </c>
      <c r="D10" s="38">
        <v>0</v>
      </c>
      <c r="E10" s="38">
        <v>7000</v>
      </c>
      <c r="F10" s="38">
        <v>3000</v>
      </c>
      <c r="G10" s="38">
        <v>0</v>
      </c>
      <c r="H10" s="38">
        <v>0</v>
      </c>
      <c r="I10" s="38">
        <v>0</v>
      </c>
    </row>
    <row r="11" spans="1:11" x14ac:dyDescent="0.3">
      <c r="A11" t="s">
        <v>51</v>
      </c>
      <c r="B11" s="38">
        <v>9105</v>
      </c>
      <c r="C11" s="39" t="s">
        <v>330</v>
      </c>
      <c r="D11" s="38">
        <v>0</v>
      </c>
      <c r="E11" s="38">
        <v>0</v>
      </c>
      <c r="F11" s="38">
        <v>0</v>
      </c>
      <c r="G11" s="38">
        <v>10000</v>
      </c>
      <c r="H11" s="38">
        <v>0</v>
      </c>
      <c r="I11" s="38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I1" zoomScaleNormal="75" zoomScaleSheetLayoutView="100" workbookViewId="0">
      <selection activeCell="O14" sqref="O14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4.5" customWidth="1"/>
    <col min="7" max="7" width="12.875" bestFit="1" customWidth="1"/>
    <col min="8" max="8" width="14" bestFit="1" customWidth="1"/>
    <col min="9" max="9" width="27.875" bestFit="1" customWidth="1"/>
    <col min="10" max="10" width="17" bestFit="1" customWidth="1"/>
    <col min="11" max="11" width="17" customWidth="1"/>
    <col min="12" max="12" width="17.5" bestFit="1" customWidth="1"/>
    <col min="13" max="13" width="15.625" bestFit="1" customWidth="1"/>
    <col min="14" max="14" width="17.125" bestFit="1" customWidth="1"/>
    <col min="15" max="15" width="12.625" bestFit="1" customWidth="1"/>
    <col min="16" max="16" width="17.625" bestFit="1" customWidth="1"/>
    <col min="17" max="17" width="16" bestFit="1" customWidth="1"/>
    <col min="18" max="18" width="16.375" bestFit="1" customWidth="1"/>
    <col min="19" max="19" width="18.375" bestFit="1" customWidth="1"/>
    <col min="20" max="20" width="25" bestFit="1" customWidth="1"/>
    <col min="21" max="21" width="20.625" bestFit="1" customWidth="1"/>
    <col min="22" max="22" width="17.875" bestFit="1" customWidth="1"/>
  </cols>
  <sheetData>
    <row r="1" spans="2:22" x14ac:dyDescent="0.3">
      <c r="B1" t="s">
        <v>48</v>
      </c>
      <c r="C1" t="s">
        <v>51</v>
      </c>
      <c r="D1" s="18" t="s">
        <v>444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s="25" t="s">
        <v>548</v>
      </c>
      <c r="L1" t="s">
        <v>103</v>
      </c>
      <c r="M1" t="s">
        <v>129</v>
      </c>
      <c r="N1" t="s">
        <v>103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102</v>
      </c>
      <c r="U1" t="s">
        <v>51</v>
      </c>
      <c r="V1" t="s">
        <v>51</v>
      </c>
    </row>
    <row r="2" spans="2:22" x14ac:dyDescent="0.3">
      <c r="B2" t="s">
        <v>78</v>
      </c>
      <c r="C2" s="6" t="s">
        <v>63</v>
      </c>
      <c r="D2" s="21" t="s">
        <v>444</v>
      </c>
      <c r="E2" t="s">
        <v>133</v>
      </c>
      <c r="F2" s="25" t="s">
        <v>538</v>
      </c>
      <c r="G2" t="s">
        <v>323</v>
      </c>
      <c r="H2" t="s">
        <v>325</v>
      </c>
      <c r="I2" t="s">
        <v>282</v>
      </c>
      <c r="J2" t="s">
        <v>2</v>
      </c>
      <c r="K2" s="25" t="s">
        <v>549</v>
      </c>
      <c r="L2" t="s">
        <v>215</v>
      </c>
      <c r="M2" t="s">
        <v>210</v>
      </c>
      <c r="N2" t="s">
        <v>213</v>
      </c>
      <c r="O2" t="s">
        <v>322</v>
      </c>
      <c r="P2" t="s">
        <v>222</v>
      </c>
      <c r="Q2" t="s">
        <v>328</v>
      </c>
      <c r="R2" t="s">
        <v>326</v>
      </c>
      <c r="S2" t="s">
        <v>11</v>
      </c>
      <c r="T2" t="s">
        <v>331</v>
      </c>
      <c r="U2" s="6" t="s">
        <v>333</v>
      </c>
      <c r="V2" s="6" t="s">
        <v>351</v>
      </c>
    </row>
    <row r="3" spans="2:22" x14ac:dyDescent="0.3">
      <c r="B3">
        <v>500</v>
      </c>
      <c r="C3" s="4" t="s">
        <v>42</v>
      </c>
      <c r="D3" s="22" t="s">
        <v>445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76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t="s">
        <v>399</v>
      </c>
      <c r="U3">
        <v>0.2</v>
      </c>
      <c r="V3">
        <f>AVERAGE(EnemyGameData[[#This Row],[GoldDropMin]],EnemyGameData[[#This Row],[GoldDropMax]])</f>
        <v>0</v>
      </c>
    </row>
    <row r="4" spans="2:22" x14ac:dyDescent="0.3">
      <c r="B4">
        <v>501</v>
      </c>
      <c r="C4" s="22" t="s">
        <v>479</v>
      </c>
      <c r="D4" s="22" t="s">
        <v>447</v>
      </c>
      <c r="E4">
        <f>표14[적 기준 체력]*EnemyGameData[[#This Row],['#기준 적 체력 비율]]</f>
        <v>80</v>
      </c>
      <c r="F4">
        <v>10</v>
      </c>
      <c r="G4" t="s">
        <v>332</v>
      </c>
      <c r="H4">
        <v>6</v>
      </c>
      <c r="I4">
        <v>2</v>
      </c>
      <c r="J4">
        <v>2</v>
      </c>
      <c r="K4">
        <v>25</v>
      </c>
      <c r="L4">
        <v>1.8</v>
      </c>
      <c r="M4" t="s">
        <v>231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t="s">
        <v>393</v>
      </c>
      <c r="U4">
        <v>0.8</v>
      </c>
      <c r="V4">
        <f>AVERAGE(EnemyGameData[[#This Row],[GoldDropMin]],EnemyGameData[[#This Row],[GoldDropMax]])</f>
        <v>2</v>
      </c>
    </row>
    <row r="5" spans="2:22" x14ac:dyDescent="0.3">
      <c r="B5">
        <v>502</v>
      </c>
      <c r="C5" s="4" t="s">
        <v>359</v>
      </c>
      <c r="D5" s="22" t="s">
        <v>450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128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t="s">
        <v>393</v>
      </c>
      <c r="U5">
        <v>1</v>
      </c>
      <c r="V5">
        <f>AVERAGE(EnemyGameData[[#This Row],[GoldDropMin]],EnemyGameData[[#This Row],[GoldDropMax]])</f>
        <v>2</v>
      </c>
    </row>
    <row r="6" spans="2:22" x14ac:dyDescent="0.3">
      <c r="B6">
        <v>503</v>
      </c>
      <c r="C6" s="4" t="s">
        <v>260</v>
      </c>
      <c r="D6" s="22" t="s">
        <v>469</v>
      </c>
      <c r="E6">
        <f>표14[적 기준 체력]*EnemyGameData[[#This Row],['#기준 적 체력 비율]]</f>
        <v>80</v>
      </c>
      <c r="F6">
        <v>10</v>
      </c>
      <c r="G6" t="s">
        <v>332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128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t="s">
        <v>393</v>
      </c>
      <c r="U6">
        <v>0.8</v>
      </c>
      <c r="V6">
        <f>AVERAGE(EnemyGameData[[#This Row],[GoldDropMin]],EnemyGameData[[#This Row],[GoldDropMax]])</f>
        <v>2</v>
      </c>
    </row>
    <row r="7" spans="2:22" s="29" customFormat="1" x14ac:dyDescent="0.3">
      <c r="B7" s="29">
        <v>504</v>
      </c>
      <c r="C7" s="30" t="s">
        <v>251</v>
      </c>
      <c r="D7" s="30" t="s">
        <v>477</v>
      </c>
      <c r="E7" s="29">
        <f>표14[적 기준 체력]*EnemyGameData[[#This Row],['#기준 적 체력 비율]]</f>
        <v>80</v>
      </c>
      <c r="F7">
        <v>10</v>
      </c>
      <c r="G7" s="29" t="s">
        <v>332</v>
      </c>
      <c r="H7" s="29">
        <v>4</v>
      </c>
      <c r="I7" s="29">
        <v>1.5</v>
      </c>
      <c r="J7" s="29">
        <v>2</v>
      </c>
      <c r="K7">
        <v>25</v>
      </c>
      <c r="L7" s="29">
        <v>3</v>
      </c>
      <c r="M7" s="29" t="s">
        <v>128</v>
      </c>
      <c r="N7" s="29">
        <v>4</v>
      </c>
      <c r="O7" s="29">
        <v>603</v>
      </c>
      <c r="P7" s="29">
        <v>0</v>
      </c>
      <c r="Q7" s="29">
        <v>0</v>
      </c>
      <c r="R7" s="29">
        <v>0</v>
      </c>
      <c r="S7" s="29">
        <v>501</v>
      </c>
      <c r="T7" s="29" t="s">
        <v>393</v>
      </c>
      <c r="U7" s="29">
        <v>0.8</v>
      </c>
      <c r="V7" s="29">
        <f>AVERAGE(EnemyGameData[[#This Row],[GoldDropMin]],EnemyGameData[[#This Row],[GoldDropMax]])</f>
        <v>0</v>
      </c>
    </row>
    <row r="8" spans="2:22" s="29" customFormat="1" x14ac:dyDescent="0.3">
      <c r="B8" s="29">
        <v>505</v>
      </c>
      <c r="C8" s="30" t="s">
        <v>252</v>
      </c>
      <c r="D8" s="30" t="s">
        <v>477</v>
      </c>
      <c r="E8" s="29">
        <f>표14[적 기준 체력]*EnemyGameData[[#This Row],['#기준 적 체력 비율]]</f>
        <v>100</v>
      </c>
      <c r="F8">
        <v>10</v>
      </c>
      <c r="G8" s="29" t="s">
        <v>332</v>
      </c>
      <c r="H8" s="29">
        <v>4</v>
      </c>
      <c r="I8" s="29">
        <v>1.8</v>
      </c>
      <c r="J8" s="29">
        <v>2</v>
      </c>
      <c r="K8">
        <v>25</v>
      </c>
      <c r="L8" s="29">
        <v>3</v>
      </c>
      <c r="M8" s="29" t="s">
        <v>128</v>
      </c>
      <c r="N8" s="29">
        <v>4</v>
      </c>
      <c r="O8" s="29">
        <v>604</v>
      </c>
      <c r="P8" s="29">
        <v>0</v>
      </c>
      <c r="Q8" s="29">
        <v>0</v>
      </c>
      <c r="R8" s="29">
        <v>0</v>
      </c>
      <c r="S8" s="29">
        <v>501</v>
      </c>
      <c r="T8" s="29" t="s">
        <v>393</v>
      </c>
      <c r="U8" s="29">
        <v>1</v>
      </c>
      <c r="V8" s="29">
        <f>AVERAGE(EnemyGameData[[#This Row],[GoldDropMin]],EnemyGameData[[#This Row],[GoldDropMax]])</f>
        <v>0</v>
      </c>
    </row>
    <row r="9" spans="2:22" x14ac:dyDescent="0.3">
      <c r="B9">
        <v>506</v>
      </c>
      <c r="C9" s="4" t="s">
        <v>255</v>
      </c>
      <c r="D9" s="22" t="s">
        <v>475</v>
      </c>
      <c r="E9">
        <f>표14[적 기준 체력]*EnemyGameData[[#This Row],['#기준 적 체력 비율]]</f>
        <v>100</v>
      </c>
      <c r="F9">
        <v>10</v>
      </c>
      <c r="G9" t="s">
        <v>332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128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t="s">
        <v>393</v>
      </c>
      <c r="U9">
        <v>1</v>
      </c>
      <c r="V9">
        <f>AVERAGE(EnemyGameData[[#This Row],[GoldDropMin]],EnemyGameData[[#This Row],[GoldDropMax]])</f>
        <v>2</v>
      </c>
    </row>
    <row r="10" spans="2:22" x14ac:dyDescent="0.3">
      <c r="B10">
        <v>507</v>
      </c>
      <c r="C10" s="4" t="s">
        <v>387</v>
      </c>
      <c r="D10" s="4"/>
      <c r="E10">
        <v>2000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128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 x14ac:dyDescent="0.3">
      <c r="B11">
        <v>508</v>
      </c>
      <c r="C11" s="23" t="s">
        <v>481</v>
      </c>
      <c r="D11" s="22" t="s">
        <v>480</v>
      </c>
      <c r="E11">
        <f>표14[적 기준 체력]*EnemyGameData[[#This Row],['#기준 적 체력 비율]]</f>
        <v>80</v>
      </c>
      <c r="F11">
        <v>10</v>
      </c>
      <c r="G11" t="s">
        <v>332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231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t="s">
        <v>393</v>
      </c>
      <c r="U11">
        <v>0.8</v>
      </c>
      <c r="V11">
        <f>AVERAGE(EnemyGameData[[#This Row],[GoldDropMin]],EnemyGameData[[#This Row],[GoldDropMax]])</f>
        <v>2</v>
      </c>
    </row>
    <row r="12" spans="2:22" x14ac:dyDescent="0.3">
      <c r="B12">
        <v>550</v>
      </c>
      <c r="C12" s="22" t="s">
        <v>473</v>
      </c>
      <c r="D12" s="22" t="s">
        <v>446</v>
      </c>
      <c r="E12">
        <f>표14[적 기준 체력]*EnemyGameData[[#This Row],['#기준 적 체력 비율]]</f>
        <v>140</v>
      </c>
      <c r="F12">
        <v>10</v>
      </c>
      <c r="G12" t="s">
        <v>332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231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t="s">
        <v>393</v>
      </c>
      <c r="U12">
        <v>1.4</v>
      </c>
      <c r="V12">
        <v>7</v>
      </c>
    </row>
    <row r="13" spans="2:22" x14ac:dyDescent="0.3">
      <c r="B13" s="42">
        <v>551</v>
      </c>
      <c r="C13" s="43" t="s">
        <v>471</v>
      </c>
      <c r="D13" s="43" t="s">
        <v>451</v>
      </c>
      <c r="E13" s="42">
        <f>표14[적 기준 체력]*EnemyGameData[[#This Row],['#기준 적 체력 비율]]</f>
        <v>160</v>
      </c>
      <c r="F13" s="42">
        <v>10</v>
      </c>
      <c r="G13" s="42" t="s">
        <v>125</v>
      </c>
      <c r="H13" s="42">
        <v>0.1</v>
      </c>
      <c r="I13" s="42">
        <v>1.2</v>
      </c>
      <c r="J13" s="42">
        <v>3</v>
      </c>
      <c r="K13">
        <v>25</v>
      </c>
      <c r="L13" s="42">
        <v>1.5</v>
      </c>
      <c r="M13" s="42" t="s">
        <v>128</v>
      </c>
      <c r="N13" s="42">
        <v>3.5</v>
      </c>
      <c r="O13" s="42">
        <v>651</v>
      </c>
      <c r="P13" s="42">
        <v>0</v>
      </c>
      <c r="Q13" s="42">
        <v>3</v>
      </c>
      <c r="R13" s="42">
        <v>5</v>
      </c>
      <c r="S13" s="42">
        <v>501</v>
      </c>
      <c r="T13" s="42" t="s">
        <v>393</v>
      </c>
      <c r="U13" s="42">
        <v>1.6</v>
      </c>
      <c r="V13" s="42">
        <v>7</v>
      </c>
    </row>
    <row r="14" spans="2:22" x14ac:dyDescent="0.3">
      <c r="B14">
        <v>552</v>
      </c>
      <c r="C14" s="22" t="s">
        <v>472</v>
      </c>
      <c r="D14" s="22" t="s">
        <v>470</v>
      </c>
      <c r="E14">
        <f>표14[적 기준 체력]*EnemyGameData[[#This Row],['#기준 적 체력 비율]]</f>
        <v>140</v>
      </c>
      <c r="F14">
        <v>10</v>
      </c>
      <c r="G14" t="s">
        <v>332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128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t="s">
        <v>393</v>
      </c>
      <c r="U14">
        <v>1.4</v>
      </c>
      <c r="V14">
        <v>7</v>
      </c>
    </row>
    <row r="15" spans="2:22" x14ac:dyDescent="0.3">
      <c r="B15">
        <v>553</v>
      </c>
      <c r="C15" s="23" t="s">
        <v>476</v>
      </c>
      <c r="D15" s="22" t="s">
        <v>474</v>
      </c>
      <c r="E15">
        <f>표14[적 기준 체력]*EnemyGameData[[#This Row],['#기준 적 체력 비율]]</f>
        <v>160</v>
      </c>
      <c r="F15">
        <v>10</v>
      </c>
      <c r="G15" t="s">
        <v>332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128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t="s">
        <v>393</v>
      </c>
      <c r="U15">
        <v>1.6</v>
      </c>
      <c r="V15">
        <f>AVERAGE(EnemyGameData[[#This Row],[GoldDropMin]],EnemyGameData[[#This Row],[GoldDropMax]])</f>
        <v>5</v>
      </c>
    </row>
    <row r="16" spans="2:22" s="29" customFormat="1" x14ac:dyDescent="0.3">
      <c r="B16" s="29">
        <v>554</v>
      </c>
      <c r="C16" s="31" t="s">
        <v>478</v>
      </c>
      <c r="D16" s="30" t="s">
        <v>477</v>
      </c>
      <c r="E16" s="29">
        <f>표14[적 기준 체력]*EnemyGameData[[#This Row],['#기준 적 체력 비율]]</f>
        <v>20</v>
      </c>
      <c r="F16">
        <v>10</v>
      </c>
      <c r="G16" s="29" t="s">
        <v>125</v>
      </c>
      <c r="H16" s="29">
        <v>1</v>
      </c>
      <c r="I16" s="29">
        <v>0.3</v>
      </c>
      <c r="J16" s="29">
        <v>1.8</v>
      </c>
      <c r="K16">
        <v>25</v>
      </c>
      <c r="L16" s="29">
        <v>0</v>
      </c>
      <c r="M16" s="29" t="s">
        <v>76</v>
      </c>
      <c r="N16" s="29">
        <v>1</v>
      </c>
      <c r="O16" s="29">
        <v>0</v>
      </c>
      <c r="P16" s="29">
        <v>0</v>
      </c>
      <c r="Q16" s="29">
        <v>0</v>
      </c>
      <c r="R16" s="29">
        <v>0</v>
      </c>
      <c r="S16" s="29">
        <v>501</v>
      </c>
      <c r="T16" s="29" t="s">
        <v>399</v>
      </c>
      <c r="U16" s="29">
        <v>0.2</v>
      </c>
      <c r="V16" s="29">
        <f>AVERAGE(EnemyGameData[[#This Row],[GoldDropMin]],EnemyGameData[[#This Row],[GoldDropMax]])</f>
        <v>0</v>
      </c>
    </row>
    <row r="20" spans="19:19" x14ac:dyDescent="0.3">
      <c r="S20" s="18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F18" sqref="F18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8" t="s">
        <v>444</v>
      </c>
      <c r="I1" s="18" t="s">
        <v>444</v>
      </c>
    </row>
    <row r="2" spans="2:9" x14ac:dyDescent="0.3">
      <c r="B2" t="s">
        <v>78</v>
      </c>
      <c r="C2" s="6" t="s">
        <v>45</v>
      </c>
      <c r="D2" t="s">
        <v>338</v>
      </c>
      <c r="E2" t="s">
        <v>131</v>
      </c>
      <c r="F2" t="s">
        <v>337</v>
      </c>
      <c r="G2" t="s">
        <v>334</v>
      </c>
      <c r="H2" s="18" t="s">
        <v>444</v>
      </c>
      <c r="I2" s="18" t="s">
        <v>503</v>
      </c>
    </row>
    <row r="3" spans="2:9" x14ac:dyDescent="0.3">
      <c r="B3">
        <v>600</v>
      </c>
      <c r="C3" s="24" t="s">
        <v>495</v>
      </c>
      <c r="D3">
        <v>700</v>
      </c>
      <c r="E3" t="s">
        <v>164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 x14ac:dyDescent="0.3">
      <c r="B4">
        <v>601</v>
      </c>
      <c r="C4" s="22" t="s">
        <v>452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2" t="s">
        <v>452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2" t="s">
        <v>452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2" t="s">
        <v>452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2" t="s">
        <v>452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2" t="s">
        <v>452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2" t="s">
        <v>452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2" t="s">
        <v>452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2" t="s">
        <v>452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4" t="s">
        <v>491</v>
      </c>
      <c r="D13">
        <v>719</v>
      </c>
      <c r="E13" t="s">
        <v>156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 x14ac:dyDescent="0.3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4" t="s">
        <v>499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4" t="s">
        <v>499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4" t="s">
        <v>499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4" t="s">
        <v>490</v>
      </c>
      <c r="D18">
        <v>724</v>
      </c>
      <c r="E18" t="s">
        <v>156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 x14ac:dyDescent="0.3">
      <c r="B19">
        <v>606</v>
      </c>
      <c r="C19" s="4" t="s">
        <v>365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365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365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6" t="s">
        <v>489</v>
      </c>
      <c r="D22">
        <v>701</v>
      </c>
      <c r="E22" t="s">
        <v>164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 x14ac:dyDescent="0.3">
      <c r="B23">
        <v>650</v>
      </c>
      <c r="C23" s="24" t="s">
        <v>496</v>
      </c>
      <c r="D23">
        <v>725</v>
      </c>
      <c r="E23" t="s">
        <v>164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 x14ac:dyDescent="0.3">
      <c r="B24">
        <v>650</v>
      </c>
      <c r="C24" s="24" t="s">
        <v>497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 x14ac:dyDescent="0.3">
      <c r="B25">
        <v>650</v>
      </c>
      <c r="C25" s="24" t="s">
        <v>498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 x14ac:dyDescent="0.3">
      <c r="B26">
        <v>651</v>
      </c>
      <c r="C26" s="26" t="s">
        <v>529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 x14ac:dyDescent="0.3">
      <c r="B27">
        <v>651</v>
      </c>
      <c r="C27" s="26" t="s">
        <v>529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 x14ac:dyDescent="0.3">
      <c r="B28">
        <v>651</v>
      </c>
      <c r="C28" s="26" t="s">
        <v>529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 x14ac:dyDescent="0.3">
      <c r="B29">
        <v>651</v>
      </c>
      <c r="C29" s="26" t="s">
        <v>529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 x14ac:dyDescent="0.3">
      <c r="B30">
        <v>651</v>
      </c>
      <c r="C30" s="26" t="s">
        <v>529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 x14ac:dyDescent="0.3">
      <c r="B31">
        <v>651</v>
      </c>
      <c r="C31" s="26" t="s">
        <v>529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 x14ac:dyDescent="0.3">
      <c r="B32">
        <v>651</v>
      </c>
      <c r="C32" s="26" t="s">
        <v>529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 x14ac:dyDescent="0.3">
      <c r="B33">
        <v>651</v>
      </c>
      <c r="C33" s="26" t="s">
        <v>529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 x14ac:dyDescent="0.3">
      <c r="B34">
        <v>651</v>
      </c>
      <c r="C34" s="26" t="s">
        <v>529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 x14ac:dyDescent="0.3">
      <c r="B35">
        <v>651</v>
      </c>
      <c r="C35" s="26" t="s">
        <v>529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 x14ac:dyDescent="0.3">
      <c r="B36">
        <v>651</v>
      </c>
      <c r="C36" s="26" t="s">
        <v>529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 x14ac:dyDescent="0.3">
      <c r="B37">
        <v>651</v>
      </c>
      <c r="C37" s="26" t="s">
        <v>529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 x14ac:dyDescent="0.3">
      <c r="B38">
        <v>651</v>
      </c>
      <c r="C38" s="26" t="s">
        <v>529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 x14ac:dyDescent="0.3">
      <c r="B39">
        <v>651</v>
      </c>
      <c r="C39" s="26" t="s">
        <v>529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 x14ac:dyDescent="0.3">
      <c r="B40">
        <v>651</v>
      </c>
      <c r="C40" s="26" t="s">
        <v>529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 x14ac:dyDescent="0.3">
      <c r="B41">
        <v>651</v>
      </c>
      <c r="C41" s="26" t="s">
        <v>529</v>
      </c>
      <c r="D41">
        <v>717</v>
      </c>
      <c r="E41" t="s">
        <v>156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 x14ac:dyDescent="0.3">
      <c r="B42">
        <v>652</v>
      </c>
      <c r="C42" s="26" t="s">
        <v>500</v>
      </c>
      <c r="D42">
        <v>726</v>
      </c>
      <c r="E42" t="s">
        <v>156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 x14ac:dyDescent="0.3">
      <c r="B43">
        <v>652</v>
      </c>
      <c r="C43" s="26" t="s">
        <v>501</v>
      </c>
      <c r="D43">
        <v>726</v>
      </c>
      <c r="E43" t="s">
        <v>156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 x14ac:dyDescent="0.3">
      <c r="B44">
        <v>652</v>
      </c>
      <c r="C44" s="26" t="s">
        <v>502</v>
      </c>
      <c r="D44">
        <v>726</v>
      </c>
      <c r="E44" t="s">
        <v>156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 x14ac:dyDescent="0.3">
      <c r="B45">
        <v>9991</v>
      </c>
      <c r="C45" s="41" t="s">
        <v>484</v>
      </c>
      <c r="D45">
        <v>700</v>
      </c>
      <c r="E45" t="s">
        <v>156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 x14ac:dyDescent="0.3">
      <c r="B46">
        <v>9991</v>
      </c>
      <c r="C46" s="26" t="s">
        <v>484</v>
      </c>
      <c r="D46">
        <v>701</v>
      </c>
      <c r="E46" t="s">
        <v>156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 x14ac:dyDescent="0.3">
      <c r="B47">
        <v>9991</v>
      </c>
      <c r="C47" s="26" t="s">
        <v>484</v>
      </c>
      <c r="D47">
        <v>700</v>
      </c>
      <c r="E47" t="s">
        <v>156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 x14ac:dyDescent="0.3">
      <c r="B48">
        <v>9991</v>
      </c>
      <c r="C48" s="26" t="s">
        <v>484</v>
      </c>
      <c r="D48">
        <v>701</v>
      </c>
      <c r="E48" t="s">
        <v>156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 x14ac:dyDescent="0.3">
      <c r="B49">
        <v>9991</v>
      </c>
      <c r="C49" s="26" t="s">
        <v>484</v>
      </c>
      <c r="D49">
        <v>700</v>
      </c>
      <c r="E49" t="s">
        <v>156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 x14ac:dyDescent="0.3">
      <c r="B50">
        <v>9991</v>
      </c>
      <c r="C50" s="26" t="s">
        <v>484</v>
      </c>
      <c r="D50">
        <v>701</v>
      </c>
      <c r="E50" t="s">
        <v>156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 x14ac:dyDescent="0.3">
      <c r="B51">
        <v>9991</v>
      </c>
      <c r="C51" s="26" t="s">
        <v>484</v>
      </c>
      <c r="D51">
        <v>700</v>
      </c>
      <c r="E51" t="s">
        <v>156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 x14ac:dyDescent="0.3">
      <c r="B52">
        <v>9991</v>
      </c>
      <c r="C52" s="26" t="s">
        <v>484</v>
      </c>
      <c r="D52">
        <v>701</v>
      </c>
      <c r="E52" t="s">
        <v>156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 x14ac:dyDescent="0.3">
      <c r="B53">
        <v>9991</v>
      </c>
      <c r="C53" s="26" t="s">
        <v>484</v>
      </c>
      <c r="D53">
        <v>700</v>
      </c>
      <c r="E53" t="s">
        <v>156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 x14ac:dyDescent="0.3">
      <c r="B54">
        <v>9991</v>
      </c>
      <c r="C54" s="26" t="s">
        <v>484</v>
      </c>
      <c r="D54">
        <v>701</v>
      </c>
      <c r="E54" t="s">
        <v>156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 x14ac:dyDescent="0.3">
      <c r="B55">
        <v>9991</v>
      </c>
      <c r="C55" s="26" t="s">
        <v>484</v>
      </c>
      <c r="D55">
        <v>700</v>
      </c>
      <c r="E55" t="s">
        <v>156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 x14ac:dyDescent="0.3">
      <c r="B56" s="25">
        <v>9991</v>
      </c>
      <c r="C56" s="26" t="s">
        <v>484</v>
      </c>
      <c r="D56">
        <v>727</v>
      </c>
      <c r="E56" t="s">
        <v>156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 x14ac:dyDescent="0.3">
      <c r="B57">
        <v>9992</v>
      </c>
      <c r="C57" s="26" t="s">
        <v>485</v>
      </c>
      <c r="D57">
        <v>725</v>
      </c>
      <c r="E57" s="25" t="s">
        <v>482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 x14ac:dyDescent="0.3">
      <c r="B58">
        <v>9992</v>
      </c>
      <c r="C58" s="26" t="s">
        <v>485</v>
      </c>
      <c r="D58">
        <v>725</v>
      </c>
      <c r="E58" s="25" t="s">
        <v>482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 x14ac:dyDescent="0.3">
      <c r="B59">
        <v>9993</v>
      </c>
      <c r="C59" s="26" t="s">
        <v>486</v>
      </c>
      <c r="D59">
        <v>999</v>
      </c>
      <c r="E59" s="25" t="s">
        <v>483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339</v>
      </c>
      <c r="E2" t="s">
        <v>11</v>
      </c>
      <c r="F2" t="s">
        <v>232</v>
      </c>
      <c r="G2" t="s">
        <v>342</v>
      </c>
    </row>
    <row r="3" spans="2:7" x14ac:dyDescent="0.3">
      <c r="B3">
        <v>700</v>
      </c>
      <c r="C3" s="4" t="s">
        <v>357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357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357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357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22" t="s">
        <v>455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22" t="s">
        <v>456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22" t="s">
        <v>457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22" t="s">
        <v>458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22" t="s">
        <v>459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22" t="s">
        <v>460</v>
      </c>
      <c r="D17" s="18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22" t="s">
        <v>461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22" t="s">
        <v>462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22" t="s">
        <v>463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22" t="s">
        <v>464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22" t="s">
        <v>465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22" t="s">
        <v>453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22" t="s">
        <v>466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22" t="s">
        <v>454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22" t="s">
        <v>467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22" t="s">
        <v>468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22" t="s">
        <v>492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366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366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366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366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366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366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366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366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22" t="s">
        <v>449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22" t="s">
        <v>449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22" t="s">
        <v>448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22" t="s">
        <v>448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22" t="s">
        <v>448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22" t="s">
        <v>448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22" t="s">
        <v>448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22" t="s">
        <v>448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28" t="s">
        <v>358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727</v>
      </c>
      <c r="C73" s="23" t="s">
        <v>547</v>
      </c>
      <c r="D73">
        <v>0</v>
      </c>
      <c r="E73">
        <v>401</v>
      </c>
      <c r="F73">
        <v>0</v>
      </c>
      <c r="G73">
        <v>6.5</v>
      </c>
    </row>
    <row r="74" spans="2:7" x14ac:dyDescent="0.3">
      <c r="B74">
        <v>727</v>
      </c>
      <c r="C74" s="23" t="s">
        <v>547</v>
      </c>
      <c r="D74">
        <v>90</v>
      </c>
      <c r="E74">
        <v>401</v>
      </c>
      <c r="F74">
        <v>0</v>
      </c>
      <c r="G74">
        <v>6.5</v>
      </c>
    </row>
    <row r="75" spans="2:7" x14ac:dyDescent="0.3">
      <c r="B75">
        <v>727</v>
      </c>
      <c r="C75" s="23" t="s">
        <v>546</v>
      </c>
      <c r="D75">
        <v>180</v>
      </c>
      <c r="E75">
        <v>401</v>
      </c>
      <c r="F75">
        <v>0</v>
      </c>
      <c r="G75">
        <v>6.5</v>
      </c>
    </row>
    <row r="76" spans="2:7" x14ac:dyDescent="0.3">
      <c r="B76">
        <v>727</v>
      </c>
      <c r="C76" s="23" t="s">
        <v>546</v>
      </c>
      <c r="D76">
        <v>-90</v>
      </c>
      <c r="E76">
        <v>401</v>
      </c>
      <c r="F76">
        <v>0</v>
      </c>
      <c r="G76">
        <v>6.5</v>
      </c>
    </row>
    <row r="77" spans="2:7" x14ac:dyDescent="0.3">
      <c r="B77">
        <v>727</v>
      </c>
      <c r="C77" s="23" t="s">
        <v>546</v>
      </c>
      <c r="D77">
        <v>45</v>
      </c>
      <c r="E77">
        <v>401</v>
      </c>
      <c r="F77">
        <v>0</v>
      </c>
      <c r="G77">
        <v>6.5</v>
      </c>
    </row>
    <row r="78" spans="2:7" x14ac:dyDescent="0.3">
      <c r="B78">
        <v>727</v>
      </c>
      <c r="C78" s="23" t="s">
        <v>546</v>
      </c>
      <c r="D78">
        <v>-45</v>
      </c>
      <c r="E78">
        <v>401</v>
      </c>
      <c r="F78">
        <v>0</v>
      </c>
      <c r="G78">
        <v>6.5</v>
      </c>
    </row>
    <row r="79" spans="2:7" x14ac:dyDescent="0.3">
      <c r="B79">
        <v>727</v>
      </c>
      <c r="C79" s="23" t="s">
        <v>546</v>
      </c>
      <c r="D79">
        <v>135</v>
      </c>
      <c r="E79">
        <v>401</v>
      </c>
      <c r="F79">
        <v>0</v>
      </c>
      <c r="G79">
        <v>6.5</v>
      </c>
    </row>
    <row r="80" spans="2:7" x14ac:dyDescent="0.3">
      <c r="B80">
        <v>727</v>
      </c>
      <c r="C80" s="23" t="s">
        <v>546</v>
      </c>
      <c r="D80">
        <v>-135</v>
      </c>
      <c r="E80">
        <v>401</v>
      </c>
      <c r="F80">
        <v>0</v>
      </c>
      <c r="G80">
        <v>6.5</v>
      </c>
    </row>
    <row r="81" spans="2:7" x14ac:dyDescent="0.3">
      <c r="B81">
        <v>727</v>
      </c>
      <c r="C81" s="23" t="s">
        <v>547</v>
      </c>
      <c r="D81">
        <v>22.5</v>
      </c>
      <c r="E81">
        <v>401</v>
      </c>
      <c r="F81">
        <v>0</v>
      </c>
      <c r="G81">
        <v>6.5</v>
      </c>
    </row>
    <row r="82" spans="2:7" x14ac:dyDescent="0.3">
      <c r="B82">
        <v>727</v>
      </c>
      <c r="C82" s="23" t="s">
        <v>547</v>
      </c>
      <c r="D82">
        <v>112.5</v>
      </c>
      <c r="E82">
        <v>401</v>
      </c>
      <c r="F82">
        <v>0</v>
      </c>
      <c r="G82">
        <v>6.5</v>
      </c>
    </row>
    <row r="83" spans="2:7" x14ac:dyDescent="0.3">
      <c r="B83">
        <v>727</v>
      </c>
      <c r="C83" s="23" t="s">
        <v>546</v>
      </c>
      <c r="D83">
        <v>202.5</v>
      </c>
      <c r="E83">
        <v>401</v>
      </c>
      <c r="F83">
        <v>0</v>
      </c>
      <c r="G83">
        <v>6.5</v>
      </c>
    </row>
    <row r="84" spans="2:7" x14ac:dyDescent="0.3">
      <c r="B84">
        <v>727</v>
      </c>
      <c r="C84" s="23" t="s">
        <v>546</v>
      </c>
      <c r="D84">
        <v>-67.5</v>
      </c>
      <c r="E84">
        <v>401</v>
      </c>
      <c r="F84">
        <v>0</v>
      </c>
      <c r="G84">
        <v>6.5</v>
      </c>
    </row>
    <row r="85" spans="2:7" x14ac:dyDescent="0.3">
      <c r="B85">
        <v>727</v>
      </c>
      <c r="C85" s="23" t="s">
        <v>546</v>
      </c>
      <c r="D85">
        <v>67.5</v>
      </c>
      <c r="E85">
        <v>401</v>
      </c>
      <c r="F85">
        <v>0</v>
      </c>
      <c r="G85">
        <v>6.5</v>
      </c>
    </row>
    <row r="86" spans="2:7" x14ac:dyDescent="0.3">
      <c r="B86">
        <v>727</v>
      </c>
      <c r="C86" s="23" t="s">
        <v>546</v>
      </c>
      <c r="D86">
        <v>-22.5</v>
      </c>
      <c r="E86">
        <v>401</v>
      </c>
      <c r="F86">
        <v>0</v>
      </c>
      <c r="G86">
        <v>6.5</v>
      </c>
    </row>
    <row r="87" spans="2:7" x14ac:dyDescent="0.3">
      <c r="B87">
        <v>727</v>
      </c>
      <c r="C87" s="23" t="s">
        <v>546</v>
      </c>
      <c r="D87">
        <v>157.5</v>
      </c>
      <c r="E87">
        <v>401</v>
      </c>
      <c r="F87">
        <v>0</v>
      </c>
      <c r="G87">
        <v>6.5</v>
      </c>
    </row>
    <row r="88" spans="2:7" x14ac:dyDescent="0.3">
      <c r="B88">
        <v>727</v>
      </c>
      <c r="C88" s="23" t="s">
        <v>546</v>
      </c>
      <c r="D88">
        <v>-112.5</v>
      </c>
      <c r="E88">
        <v>401</v>
      </c>
      <c r="F88">
        <v>0</v>
      </c>
      <c r="G88">
        <v>6.5</v>
      </c>
    </row>
    <row r="89" spans="2:7" x14ac:dyDescent="0.3">
      <c r="B89">
        <v>999</v>
      </c>
      <c r="C89" s="27" t="s">
        <v>487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G6" sqref="G6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354</v>
      </c>
      <c r="E2" t="s">
        <v>183</v>
      </c>
      <c r="F2" t="s">
        <v>324</v>
      </c>
      <c r="G2" t="s">
        <v>331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394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392</v>
      </c>
    </row>
    <row r="5" spans="2:7" x14ac:dyDescent="0.3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392</v>
      </c>
    </row>
    <row r="6" spans="2:7" x14ac:dyDescent="0.3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392</v>
      </c>
    </row>
    <row r="7" spans="2:7" x14ac:dyDescent="0.3">
      <c r="B7">
        <v>401</v>
      </c>
      <c r="C7" s="4" t="s">
        <v>367</v>
      </c>
      <c r="D7" s="3" t="b">
        <v>1</v>
      </c>
      <c r="E7">
        <v>0.25</v>
      </c>
      <c r="F7">
        <v>25</v>
      </c>
      <c r="G7" t="s">
        <v>392</v>
      </c>
    </row>
    <row r="8" spans="2:7" x14ac:dyDescent="0.3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392</v>
      </c>
    </row>
    <row r="9" spans="2:7" x14ac:dyDescent="0.3">
      <c r="B9">
        <v>403</v>
      </c>
      <c r="C9" s="22" t="s">
        <v>493</v>
      </c>
      <c r="D9" s="3" t="b">
        <v>0</v>
      </c>
      <c r="E9">
        <v>0.8</v>
      </c>
      <c r="F9">
        <v>25</v>
      </c>
      <c r="G9" t="s">
        <v>392</v>
      </c>
    </row>
    <row r="10" spans="2:7" x14ac:dyDescent="0.3">
      <c r="B10">
        <v>404</v>
      </c>
      <c r="C10" s="22" t="s">
        <v>494</v>
      </c>
      <c r="D10" s="3" t="b">
        <v>1</v>
      </c>
      <c r="E10">
        <v>0.8</v>
      </c>
      <c r="F10">
        <v>25</v>
      </c>
      <c r="G10" t="s">
        <v>392</v>
      </c>
    </row>
    <row r="11" spans="2:7" x14ac:dyDescent="0.3">
      <c r="B11">
        <v>999</v>
      </c>
      <c r="C11" s="27" t="s">
        <v>488</v>
      </c>
      <c r="D11" t="b">
        <v>1</v>
      </c>
      <c r="E11">
        <v>1</v>
      </c>
      <c r="F11">
        <v>25</v>
      </c>
      <c r="G11" s="25" t="s">
        <v>537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tabSelected="1" zoomScaleNormal="75" zoomScaleSheetLayoutView="100" workbookViewId="0">
      <selection activeCell="D22" sqref="D22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6" width="64.5" customWidth="1"/>
  </cols>
  <sheetData>
    <row r="1" spans="2:17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 x14ac:dyDescent="0.3">
      <c r="B2" t="s">
        <v>78</v>
      </c>
      <c r="C2" t="s">
        <v>82</v>
      </c>
      <c r="D2" t="s">
        <v>178</v>
      </c>
      <c r="E2" t="s">
        <v>303</v>
      </c>
      <c r="F2" t="s">
        <v>91</v>
      </c>
      <c r="G2" t="s">
        <v>95</v>
      </c>
      <c r="H2" t="s">
        <v>304</v>
      </c>
      <c r="I2" t="s">
        <v>16</v>
      </c>
      <c r="J2" t="s">
        <v>208</v>
      </c>
      <c r="K2" s="6" t="s">
        <v>382</v>
      </c>
      <c r="L2" s="1" t="s">
        <v>51</v>
      </c>
      <c r="M2" s="1" t="s">
        <v>426</v>
      </c>
      <c r="N2" s="1" t="s">
        <v>427</v>
      </c>
      <c r="O2" s="1" t="s">
        <v>428</v>
      </c>
      <c r="P2" s="33" t="s">
        <v>530</v>
      </c>
      <c r="Q2" s="33" t="s">
        <v>518</v>
      </c>
    </row>
    <row r="3" spans="2:17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9"/>
      <c r="M3" s="19"/>
      <c r="N3" s="19"/>
      <c r="O3" s="19"/>
      <c r="P3" s="19"/>
      <c r="Q3" s="19" t="str">
        <f>IF(ItemTable[[#This Row],['#4]]=ItemTable[[#This Row],[Desc]],"T","F")</f>
        <v>T</v>
      </c>
    </row>
    <row r="4" spans="2:17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9"/>
      <c r="M4" s="19"/>
      <c r="N4" s="19"/>
      <c r="O4" s="19"/>
      <c r="P4" s="19"/>
      <c r="Q4" s="19" t="str">
        <f>IF(ItemTable[[#This Row],['#4]]=ItemTable[[#This Row],[Desc]],"T","F")</f>
        <v>T</v>
      </c>
    </row>
    <row r="5" spans="2:17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9"/>
      <c r="M5" s="19"/>
      <c r="N5" s="19"/>
      <c r="O5" s="19"/>
      <c r="P5" s="19"/>
      <c r="Q5" s="19" t="str">
        <f>IF(ItemTable[[#This Row],['#4]]=ItemTable[[#This Row],[Desc]],"T","F")</f>
        <v>T</v>
      </c>
    </row>
    <row r="6" spans="2:17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9"/>
      <c r="M6" s="19"/>
      <c r="N6" s="19"/>
      <c r="O6" s="19"/>
      <c r="P6" s="19"/>
      <c r="Q6" s="19" t="str">
        <f>IF(ItemTable[[#This Row],['#4]]=ItemTable[[#This Row],[Desc]],"T","F")</f>
        <v>T</v>
      </c>
    </row>
    <row r="7" spans="2:17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9"/>
      <c r="M7" s="19"/>
      <c r="N7" s="19"/>
      <c r="O7" s="19"/>
      <c r="P7" s="19"/>
      <c r="Q7" s="19" t="str">
        <f>IF(ItemTable[[#This Row],['#4]]=ItemTable[[#This Row],[Desc]],"T","F")</f>
        <v>T</v>
      </c>
    </row>
    <row r="8" spans="2:17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364</v>
      </c>
      <c r="D8" s="18" t="s">
        <v>430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0" t="s">
        <v>413</v>
      </c>
      <c r="M8" s="19" t="s">
        <v>383</v>
      </c>
      <c r="N8" s="19"/>
      <c r="O8" s="19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9"/>
      <c r="Q8" s="19" t="str">
        <f>IF(ItemTable[[#This Row],['#4]]=ItemTable[[#This Row],[Desc]],"T","F")</f>
        <v>T</v>
      </c>
    </row>
    <row r="9" spans="2:17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431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0" t="s">
        <v>429</v>
      </c>
      <c r="M9" s="19" t="s">
        <v>390</v>
      </c>
      <c r="N9" s="19"/>
      <c r="O9" s="19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9"/>
      <c r="Q9" s="19" t="str">
        <f>IF(ItemTable[[#This Row],['#4]]=ItemTable[[#This Row],[Desc]],"T","F")</f>
        <v>T</v>
      </c>
    </row>
    <row r="10" spans="2:17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432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0" t="s">
        <v>411</v>
      </c>
      <c r="M10" s="19" t="s">
        <v>379</v>
      </c>
      <c r="N10" s="19"/>
      <c r="O10" s="19" t="str">
        <f t="shared" si="0"/>
        <v>얼.죽.아 클럽의 새로운 유행입니다.\n\n&lt;size=20&gt;&lt;color=#97C456&gt;차징속도 +20%&lt;/color&gt;&lt;/size&gt;</v>
      </c>
      <c r="P10" s="19"/>
      <c r="Q10" s="19" t="str">
        <f>IF(ItemTable[[#This Row],['#4]]=ItemTable[[#This Row],[Desc]],"T","F")</f>
        <v>T</v>
      </c>
    </row>
    <row r="11" spans="2:17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433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0" t="s">
        <v>412</v>
      </c>
      <c r="M11" s="19" t="s">
        <v>378</v>
      </c>
      <c r="N11" s="19"/>
      <c r="O11" s="19" t="str">
        <f t="shared" si="0"/>
        <v>배트 이외의 물건에 사용하지 마시오\nQT추출물 0.0006% 함유\nQT향 0.1%함유\n\n&lt;size=20&gt;&lt;color=#97C456&gt;공 충돌횟수 +1&lt;/color&gt;&lt;/size&gt;</v>
      </c>
      <c r="P11" s="19"/>
      <c r="Q11" s="19" t="str">
        <f>IF(ItemTable[[#This Row],['#4]]=ItemTable[[#This Row],[Desc]],"T","F")</f>
        <v>T</v>
      </c>
    </row>
    <row r="12" spans="2:17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35" t="s">
        <v>551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0" t="s">
        <v>533</v>
      </c>
      <c r="M12" s="20" t="s">
        <v>524</v>
      </c>
      <c r="N12" s="19"/>
      <c r="O12" s="19" t="str">
        <f t="shared" si="0"/>
        <v>시크한 표정이 매력적입니다.\n세 나라 이야기의 붉은 목마 입니다.\n\n&lt;size=20&gt;&lt;color=#97C456&gt;이동속도 +6&lt;/color&gt;&lt;/size&gt;</v>
      </c>
      <c r="P12" s="19"/>
      <c r="Q12" s="19" t="str">
        <f>IF(ItemTable[[#This Row],['#4]]=ItemTable[[#This Row],[Desc]],"T","F")</f>
        <v>F</v>
      </c>
    </row>
    <row r="13" spans="2:17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434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0" t="s">
        <v>425</v>
      </c>
      <c r="M13" s="19" t="s">
        <v>376</v>
      </c>
      <c r="N13" s="19"/>
      <c r="O13" s="19" t="str">
        <f t="shared" si="0"/>
        <v>대나무 향을 머금은 흰 밥이\n까만 김을 만나 완성된 환상적인 조합.\n\n&lt;size=20&gt;&lt;color=#97C456&gt;최대 체력 +1하트&lt;/color&gt;&lt;/size&gt;</v>
      </c>
      <c r="P13" s="19"/>
      <c r="Q13" s="19" t="str">
        <f>IF(ItemTable[[#This Row],['#4]]=ItemTable[[#This Row],[Desc]],"T","F")</f>
        <v>T</v>
      </c>
    </row>
    <row r="14" spans="2:17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5" t="s">
        <v>535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0" t="s">
        <v>442</v>
      </c>
      <c r="M14" s="20" t="s">
        <v>525</v>
      </c>
      <c r="N14" s="19"/>
      <c r="O14" s="19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0" t="s">
        <v>534</v>
      </c>
      <c r="Q14" s="19" t="str">
        <f>IF(ItemTable[[#This Row],['#4]]=ItemTable[[#This Row],[Desc]],"T","F")</f>
        <v>T</v>
      </c>
    </row>
    <row r="15" spans="2:17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8" t="s">
        <v>414</v>
      </c>
      <c r="D15" t="s">
        <v>443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0" t="s">
        <v>441</v>
      </c>
      <c r="M15" s="19" t="s">
        <v>37</v>
      </c>
      <c r="N15" s="19"/>
      <c r="O15" s="19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9"/>
      <c r="Q15" s="19" t="str">
        <f>IF(ItemTable[[#This Row],['#4]]=ItemTable[[#This Row],[Desc]],"T","F")</f>
        <v>T</v>
      </c>
    </row>
    <row r="16" spans="2:17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528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0" t="s">
        <v>424</v>
      </c>
      <c r="M16" s="20" t="s">
        <v>527</v>
      </c>
      <c r="N16" s="19"/>
      <c r="O16" s="19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9"/>
      <c r="Q16" s="19" t="str">
        <f>IF(ItemTable[[#This Row],['#4]]=ItemTable[[#This Row],[Desc]],"T","F")</f>
        <v>T</v>
      </c>
    </row>
    <row r="17" spans="2:17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361</v>
      </c>
      <c r="D17" t="s">
        <v>435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0" t="s">
        <v>415</v>
      </c>
      <c r="M17" s="19" t="s">
        <v>375</v>
      </c>
      <c r="N17" s="19"/>
      <c r="O17" s="19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9"/>
      <c r="Q17" s="19" t="str">
        <f>IF(ItemTable[[#This Row],['#4]]=ItemTable[[#This Row],[Desc]],"T","F")</f>
        <v>T</v>
      </c>
    </row>
    <row r="18" spans="2:17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381</v>
      </c>
      <c r="D18" t="s">
        <v>436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0" t="s">
        <v>419</v>
      </c>
      <c r="M18" s="19" t="s">
        <v>377</v>
      </c>
      <c r="N18" s="19"/>
      <c r="O18" s="19" t="str">
        <f t="shared" si="0"/>
        <v>종교적인 용도로 보이는 컵입니다.\n잠깐, 방금 조금 움직인 것 같은데요?\n\n&lt;size=20&gt;&lt;color=#97C456&gt;공 충돌횟수 +2&lt;/color&gt;&lt;/size&gt;</v>
      </c>
      <c r="P18" s="19"/>
      <c r="Q18" s="19" t="str">
        <f>IF(ItemTable[[#This Row],['#4]]=ItemTable[[#This Row],[Desc]],"T","F")</f>
        <v>T</v>
      </c>
    </row>
    <row r="19" spans="2:17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437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0" t="s">
        <v>416</v>
      </c>
      <c r="M19" s="20" t="s">
        <v>420</v>
      </c>
      <c r="N19" s="19"/>
      <c r="O19" s="19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9"/>
      <c r="Q19" s="19" t="str">
        <f>IF(ItemTable[[#This Row],['#4]]=ItemTable[[#This Row],[Desc]],"T","F")</f>
        <v>T</v>
      </c>
    </row>
    <row r="20" spans="2:17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438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294</v>
      </c>
      <c r="K20" s="4" t="str">
        <f>MID(ItemTable[[#This Row],[ItemIconPath]],FIND("icon",ItemTable[[#This Row],[ItemIconPath]]),999)</f>
        <v>icon/item/item_06.png</v>
      </c>
      <c r="L20" s="20" t="s">
        <v>423</v>
      </c>
      <c r="M20" s="19" t="s">
        <v>389</v>
      </c>
      <c r="N20" s="19" t="s">
        <v>385</v>
      </c>
      <c r="O20" s="19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9"/>
      <c r="Q20" s="19" t="str">
        <f>IF(ItemTable[[#This Row],['#4]]=ItemTable[[#This Row],[Desc]],"T","F")</f>
        <v>T</v>
      </c>
    </row>
    <row r="21" spans="2:17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s="18" t="s">
        <v>554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297</v>
      </c>
      <c r="K21" s="4" t="str">
        <f>MID(ItemTable[[#This Row],[ItemIconPath]],FIND("icon",ItemTable[[#This Row],[ItemIconPath]]),999)</f>
        <v>icon/item/item_08.png</v>
      </c>
      <c r="L21" s="20" t="s">
        <v>417</v>
      </c>
      <c r="M21" s="19" t="s">
        <v>384</v>
      </c>
      <c r="N21" s="19" t="s">
        <v>386</v>
      </c>
      <c r="O21" s="19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9"/>
      <c r="Q21" s="19" t="str">
        <f>IF(ItemTable[[#This Row],['#4]]=ItemTable[[#This Row],[Desc]],"T","F")</f>
        <v>F</v>
      </c>
    </row>
    <row r="22" spans="2:17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371</v>
      </c>
      <c r="D22" t="s">
        <v>531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295</v>
      </c>
      <c r="K22" s="4" t="str">
        <f>MID(ItemTable[[#This Row],[ItemIconPath]],FIND("icon",ItemTable[[#This Row],[ItemIconPath]]),999)</f>
        <v>icon/item/item_14.png</v>
      </c>
      <c r="L22" s="20" t="s">
        <v>422</v>
      </c>
      <c r="M22" s="20" t="s">
        <v>517</v>
      </c>
      <c r="N22" s="19" t="s">
        <v>258</v>
      </c>
      <c r="O22" s="19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0" t="s">
        <v>532</v>
      </c>
      <c r="Q22" s="19" t="str">
        <f>IF(ItemTable[[#This Row],['#4]]=ItemTable[[#This Row],[Desc]],"T","F")</f>
        <v>F</v>
      </c>
    </row>
    <row r="23" spans="2:17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362</v>
      </c>
      <c r="D23" t="s">
        <v>439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296</v>
      </c>
      <c r="K23" s="4" t="str">
        <f>MID(ItemTable[[#This Row],[ItemIconPath]],FIND("icon",ItemTable[[#This Row],[ItemIconPath]]),999)</f>
        <v>icon/item/item_01.png</v>
      </c>
      <c r="L23" s="20" t="s">
        <v>418</v>
      </c>
      <c r="M23" s="19" t="s">
        <v>380</v>
      </c>
      <c r="N23" s="19" t="s">
        <v>388</v>
      </c>
      <c r="O23" s="19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9"/>
      <c r="Q23" s="19" t="str">
        <f>IF(ItemTable[[#This Row],['#4]]=ItemTable[[#This Row],[Desc]],"T","F")</f>
        <v>T</v>
      </c>
    </row>
    <row r="24" spans="2:17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8" t="s">
        <v>536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0" t="s">
        <v>440</v>
      </c>
      <c r="M24" s="20" t="s">
        <v>421</v>
      </c>
      <c r="N24" s="19" t="s">
        <v>391</v>
      </c>
      <c r="O24" s="19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9"/>
      <c r="Q24" s="19" t="str">
        <f>IF(ItemTable[[#This Row],['#4]]=ItemTable[[#This Row],[Desc]],"T","F")</f>
        <v>F</v>
      </c>
    </row>
    <row r="26" spans="2:17" x14ac:dyDescent="0.3">
      <c r="I26" s="18"/>
    </row>
    <row r="27" spans="2:17" x14ac:dyDescent="0.3">
      <c r="I27" s="18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J1" zoomScaleNormal="75" zoomScaleSheetLayoutView="100" workbookViewId="0">
      <selection activeCell="Q18" sqref="Q18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1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 x14ac:dyDescent="0.3">
      <c r="B2" s="6" t="s">
        <v>127</v>
      </c>
      <c r="C2" s="6" t="s">
        <v>130</v>
      </c>
      <c r="D2" s="6" t="s">
        <v>132</v>
      </c>
      <c r="E2" t="s">
        <v>78</v>
      </c>
      <c r="F2" t="s">
        <v>305</v>
      </c>
      <c r="G2" t="s">
        <v>360</v>
      </c>
      <c r="H2" s="6" t="s">
        <v>126</v>
      </c>
      <c r="I2" s="6" t="s">
        <v>174</v>
      </c>
      <c r="J2" t="s">
        <v>299</v>
      </c>
      <c r="K2" t="s">
        <v>13</v>
      </c>
      <c r="L2" t="s">
        <v>300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372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383</v>
      </c>
      <c r="J3">
        <v>0.7</v>
      </c>
      <c r="K3" t="s">
        <v>373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20.000000000000004</v>
      </c>
      <c r="R3" s="5">
        <f t="array" ref="R3">SUM(IF($E$3:$E$56=E3,$Q$3:$Q$56))</f>
        <v>20.000000000000004</v>
      </c>
      <c r="S3" s="5">
        <f>INDEX(표9[],MATCH(ItemEffectTable[[#This Row],['#Grade]],표9[#Headers],0))-ItemEffectTable[[#This Row],['#총 효력가치]]</f>
        <v>9.9999999999999964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372</v>
      </c>
      <c r="G4" s="12" t="s">
        <v>340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390</v>
      </c>
      <c r="J4">
        <v>1.2</v>
      </c>
      <c r="K4" s="12" t="s">
        <v>373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2.5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32.608695652173914</v>
      </c>
      <c r="R4" s="5">
        <f t="array" ref="R4">SUM(IF($E$3:$E$56=E4,$Q$3:$Q$56))</f>
        <v>32.608695652173914</v>
      </c>
      <c r="S4" s="5">
        <f>INDEX(표9[],MATCH(ItemEffectTable[[#This Row],['#Grade]],표9[#Headers],0))-ItemEffectTable[[#This Row],['#총 효력가치]]</f>
        <v>-2.608695652173914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372</v>
      </c>
      <c r="G5" s="12" t="s">
        <v>363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379</v>
      </c>
      <c r="J5">
        <v>0.8</v>
      </c>
      <c r="K5" t="s">
        <v>373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372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378</v>
      </c>
      <c r="J6">
        <v>1</v>
      </c>
      <c r="K6" t="s">
        <v>370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372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378</v>
      </c>
      <c r="J7">
        <v>1</v>
      </c>
      <c r="K7" t="s">
        <v>370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372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2" t="s">
        <v>550</v>
      </c>
      <c r="J8">
        <v>1.2</v>
      </c>
      <c r="K8" t="s">
        <v>370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7.2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60.000000000000007</v>
      </c>
      <c r="R8" s="5">
        <f t="array" ref="R8">SUM(IF($E$3:$E$56=E8,$Q$3:$Q$56))</f>
        <v>60.000000000000007</v>
      </c>
      <c r="S8" s="17">
        <f>INDEX(표9[],MATCH(ItemEffectTable[[#This Row],['#Grade]],표9[#Headers],0))-ItemEffectTable[[#This Row],['#총 효력가치]]</f>
        <v>-30.000000000000007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372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376</v>
      </c>
      <c r="J9">
        <v>25</v>
      </c>
      <c r="K9" t="s">
        <v>370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372</v>
      </c>
      <c r="G10" s="12" t="s">
        <v>341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2" t="s">
        <v>525</v>
      </c>
      <c r="J10" s="18" t="s">
        <v>523</v>
      </c>
      <c r="K10" t="s">
        <v>370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(7.2-6)*0.3</f>
        <v>0.36000000000000004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1.36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60.000000000000021</v>
      </c>
      <c r="R10" s="5">
        <f t="array" ref="R10">SUM(IF($E$3:$E$56=E10,$Q$3:$Q$56))</f>
        <v>60.000000000000021</v>
      </c>
      <c r="S10" s="5">
        <f>INDEX(표9[],MATCH(ItemEffectTable[[#This Row],['#Grade]],표9[#Headers],0))-ItemEffectTable[[#This Row],['#총 효력가치]]</f>
        <v>-10.000000000000021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372</v>
      </c>
      <c r="G11" s="12" t="s">
        <v>341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8" t="s">
        <v>519</v>
      </c>
      <c r="K11" t="s">
        <v>370</v>
      </c>
      <c r="L11" t="s">
        <v>374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372</v>
      </c>
      <c r="G12" t="s">
        <v>341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2" t="s">
        <v>526</v>
      </c>
      <c r="J12">
        <v>0.1</v>
      </c>
      <c r="K12" t="s">
        <v>370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372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2" t="s">
        <v>526</v>
      </c>
      <c r="J13">
        <v>0.5</v>
      </c>
      <c r="K13" t="s">
        <v>370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372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2" t="s">
        <v>526</v>
      </c>
      <c r="J14">
        <v>-0.1</v>
      </c>
      <c r="K14" t="s">
        <v>370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372</v>
      </c>
      <c r="G15" t="s">
        <v>301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375</v>
      </c>
      <c r="J15">
        <v>0.5</v>
      </c>
      <c r="K15" t="s">
        <v>370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372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377</v>
      </c>
      <c r="J16">
        <v>2</v>
      </c>
      <c r="K16" t="s">
        <v>370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372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377</v>
      </c>
      <c r="J17">
        <v>2</v>
      </c>
      <c r="K17" t="s">
        <v>370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372</v>
      </c>
      <c r="G18" s="12" t="s">
        <v>341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402</v>
      </c>
      <c r="K18" t="s">
        <v>370</v>
      </c>
      <c r="L18" t="s">
        <v>408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372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293</v>
      </c>
      <c r="J19">
        <v>1.2</v>
      </c>
      <c r="K19" t="s">
        <v>373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-13.333333333333332</v>
      </c>
      <c r="R19" s="5">
        <f t="array" ref="R19">SUM(IF($E$3:$E$56=E19,$Q$3:$Q$56))</f>
        <v>40.666666666666671</v>
      </c>
      <c r="S19" s="5">
        <f>INDEX(표9[],MATCH(ItemEffectTable[[#This Row],['#Grade]],표9[#Headers],0))-ItemEffectTable[[#This Row],['#총 효력가치]]</f>
        <v>9.3333333333333286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372</v>
      </c>
      <c r="G20" s="12" t="s">
        <v>363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293</v>
      </c>
      <c r="J20">
        <v>0.55000000000000004</v>
      </c>
      <c r="K20" t="s">
        <v>373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40.666666666666671</v>
      </c>
      <c r="S20" s="5">
        <f>INDEX(표9[],MATCH(ItemEffectTable[[#This Row],['#Grade]],표9[#Headers],0))-ItemEffectTable[[#This Row],['#총 효력가치]]</f>
        <v>9.3333333333333286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372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32" t="s">
        <v>553</v>
      </c>
      <c r="J21">
        <v>0.7</v>
      </c>
      <c r="K21" t="s">
        <v>373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4.1999999999999993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-90.000000000000028</v>
      </c>
      <c r="R21" s="5">
        <f t="array" ref="R21">SUM(IF($E$3:$E$56=E21,$Q$3:$Q$56))</f>
        <v>-2.8421709430404007E-14</v>
      </c>
      <c r="S21" s="5">
        <f>INDEX(표9[],MATCH(ItemEffectTable[[#This Row],['#Grade]],표9[#Headers],0))-ItemEffectTable[[#This Row],['#총 효력가치]]</f>
        <v>50.000000000000028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372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32" t="s">
        <v>552</v>
      </c>
      <c r="J22">
        <v>75</v>
      </c>
      <c r="K22" t="s">
        <v>370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150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90</v>
      </c>
      <c r="R22" s="5">
        <f t="array" ref="R22">SUM(IF($E$3:$E$56=E22,$Q$3:$Q$56))</f>
        <v>-2.8421709430404007E-14</v>
      </c>
      <c r="S22" s="5">
        <f>INDEX(표9[],MATCH(ItemEffectTable[[#This Row],['#Grade]],표9[#Headers],0))-ItemEffectTable[[#This Row],['#총 효력가치]]</f>
        <v>50.000000000000028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372</v>
      </c>
      <c r="G23" t="s">
        <v>341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2" t="s">
        <v>516</v>
      </c>
      <c r="J23">
        <v>1</v>
      </c>
      <c r="K23" t="s">
        <v>370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396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372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370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372</v>
      </c>
      <c r="G26" t="s">
        <v>341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370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372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400</v>
      </c>
      <c r="J27">
        <v>-1</v>
      </c>
      <c r="K27" t="s">
        <v>370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372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400</v>
      </c>
      <c r="J28">
        <v>-1</v>
      </c>
      <c r="K28" t="s">
        <v>370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372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400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345</v>
      </c>
      <c r="E3" t="s">
        <v>59</v>
      </c>
      <c r="F3" t="s">
        <v>264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320</v>
      </c>
      <c r="F4" t="s">
        <v>406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345</v>
      </c>
      <c r="E5" t="s">
        <v>59</v>
      </c>
      <c r="F5" t="s">
        <v>404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319</v>
      </c>
      <c r="E6" t="s">
        <v>214</v>
      </c>
      <c r="F6" t="s">
        <v>197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346</v>
      </c>
      <c r="E7" t="s">
        <v>327</v>
      </c>
      <c r="F7" t="s">
        <v>409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345</v>
      </c>
      <c r="E8" t="s">
        <v>59</v>
      </c>
      <c r="F8" t="s">
        <v>407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346</v>
      </c>
      <c r="E9" t="s">
        <v>327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309</v>
      </c>
      <c r="C2" t="s">
        <v>307</v>
      </c>
      <c r="D2" s="6" t="s">
        <v>119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335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308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313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397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410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2023-06-16T04:13:36Z</dcterms:modified>
  <cp:version>1200.0100.01</cp:version>
</cp:coreProperties>
</file>