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98A97971-C8A9-3747-BD87-994A2E73DBBF}" xr6:coauthVersionLast="47" xr6:coauthVersionMax="47" xr10:uidLastSave="{00000000-0000-0000-0000-000000000000}"/>
  <bookViews>
    <workbookView xWindow="13260" yWindow="4980" windowWidth="30920" windowHeight="17060" firstSheet="7" activeTab="13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Active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4" l="1"/>
  <c r="D3" i="14"/>
  <c r="I9" i="13" a="1"/>
  <c r="I9" i="13" s="1"/>
  <c r="I10" i="13" a="1"/>
  <c r="I10" i="13" s="1"/>
  <c r="I11" i="13" a="1"/>
  <c r="I11" i="13" s="1"/>
  <c r="I12" i="13" a="1"/>
  <c r="I12" i="13" s="1"/>
  <c r="I13" i="13" a="1"/>
  <c r="I13" i="13" s="1"/>
  <c r="I14" i="13" a="1"/>
  <c r="I14" i="13" s="1"/>
  <c r="I15" i="13" a="1"/>
  <c r="I15" i="13" s="1"/>
  <c r="I16" i="13" a="1"/>
  <c r="I16" i="13" s="1"/>
  <c r="I17" i="13" a="1"/>
  <c r="I17" i="13"/>
  <c r="I18" i="13" a="1"/>
  <c r="I18" i="13"/>
  <c r="I19" i="13" a="1"/>
  <c r="I19" i="13" s="1"/>
  <c r="I20" i="13" a="1"/>
  <c r="I20" i="13" s="1"/>
  <c r="I21" i="13" a="1"/>
  <c r="I21" i="13" s="1"/>
  <c r="I22" i="13" a="1"/>
  <c r="I22" i="13"/>
  <c r="I23" i="13" a="1"/>
  <c r="I23" i="13"/>
  <c r="I24" i="13" a="1"/>
  <c r="I24" i="13" s="1"/>
  <c r="K3" i="8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Q3" i="13"/>
  <c r="Q4" i="13"/>
  <c r="Q5" i="13"/>
  <c r="Q6" i="13"/>
  <c r="Q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V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G3" i="6"/>
  <c r="O7" i="3" s="1" a="1"/>
  <c r="O7" i="3" s="1"/>
  <c r="AF3" i="6"/>
  <c r="AE3" i="6"/>
  <c r="AD3" i="6"/>
  <c r="AC3" i="6"/>
  <c r="AB3" i="6"/>
  <c r="AA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O12" i="3" l="1" a="1"/>
  <c r="O12" i="3" s="1"/>
  <c r="P12" i="3" s="1"/>
  <c r="O11" i="3" a="1"/>
  <c r="O10" i="3" a="1"/>
  <c r="O9" i="3" a="1"/>
  <c r="O8" i="3" a="1"/>
  <c r="O11" i="3"/>
  <c r="P11" i="3" s="1"/>
  <c r="O10" i="3"/>
  <c r="O9" i="3"/>
  <c r="O8" i="3"/>
  <c r="P10" i="3"/>
  <c r="P8" i="3"/>
  <c r="F12" i="2"/>
  <c r="F21" i="2"/>
  <c r="F20" i="2"/>
  <c r="F19" i="2"/>
  <c r="F18" i="2"/>
  <c r="F17" i="2"/>
  <c r="F16" i="2"/>
  <c r="F15" i="2"/>
  <c r="F14" i="2"/>
  <c r="F13" i="2"/>
  <c r="B22" i="13" a="1"/>
  <c r="B22" i="13" s="1"/>
  <c r="B16" i="13" a="1"/>
  <c r="B16" i="13" s="1"/>
  <c r="B4" i="13" a="1"/>
  <c r="B4" i="13" s="1"/>
  <c r="I3" i="13" a="1"/>
  <c r="I3" i="13" s="1"/>
  <c r="A3" i="16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A8" i="16"/>
  <c r="F22" i="2" l="1"/>
  <c r="S7" i="3" s="1"/>
  <c r="A6" i="16"/>
  <c r="B7" i="13" a="1"/>
  <c r="B7" i="13" s="1"/>
  <c r="I6" i="13" a="1"/>
  <c r="I6" i="13" s="1"/>
  <c r="B17" i="13" a="1"/>
  <c r="B17" i="13" s="1"/>
  <c r="B23" i="13" a="1"/>
  <c r="B23" i="13" s="1"/>
  <c r="A4" i="16"/>
  <c r="I4" i="13" a="1"/>
  <c r="I4" i="13" s="1"/>
  <c r="B11" i="13" a="1"/>
  <c r="B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I7" i="13" a="1"/>
  <c r="I7" i="13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D8" i="16" a="1"/>
  <c r="D8" i="16" s="1"/>
  <c r="D9" i="16" a="1"/>
  <c r="D9" i="16" s="1"/>
  <c r="D4" i="16" a="1"/>
  <c r="D4" i="16" s="1"/>
  <c r="B18" i="13" a="1"/>
  <c r="B18" i="13" s="1"/>
  <c r="B24" i="13" a="1"/>
  <c r="B24" i="13" s="1"/>
  <c r="D5" i="16" a="1"/>
  <c r="D5" i="16" s="1"/>
  <c r="D3" i="16" a="1"/>
  <c r="D3" i="16" s="1"/>
  <c r="I11" i="3" l="1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B19" i="13" a="1"/>
  <c r="B19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<sst xmlns="http://schemas.openxmlformats.org/spreadsheetml/2006/main" count="991" uniqueCount="548">
  <si>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</si>
  <si>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</si>
  <si>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</si>
  <si>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</si>
  <si>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</si>
  <si>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</si>
  <si>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</si>
  <si>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</si>
  <si>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</si>
  <si>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</si>
  <si>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</si>
  <si>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</si>
  <si>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</si>
  <si>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</si>
  <si>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</si>
  <si>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</si>
  <si>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</si>
  <si>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</si>
  <si>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</si>
  <si>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</si>
  <si>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</si>
  <si>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</si>
  <si>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</si>
  <si>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</si>
  <si>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</si>
  <si>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</si>
  <si>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</si>
  <si>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</si>
  <si>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</si>
  <si>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</si>
  <si>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</si>
  <si>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</si>
  <si>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</si>
  <si>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</si>
  <si>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</si>
  <si>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</si>
  <si>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</si>
  <si>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</si>
  <si>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</si>
  <si>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</si>
  <si>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</si>
  <si>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</si>
  <si>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</si>
  <si>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</si>
  <si>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</si>
  <si>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</si>
  <si>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</si>
  <si>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</si>
  <si>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</si>
  <si>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</si>
  <si>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</si>
  <si>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</si>
  <si>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</si>
  <si>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</si>
  <si>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</si>
  <si>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</si>
  <si>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</si>
  <si>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</si>
  <si>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</si>
  <si>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</si>
  <si>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</si>
  <si>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</si>
  <si>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</si>
  <si>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</si>
  <si>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</si>
  <si>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</si>
  <si>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</si>
  <si>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</si>
  <si>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</si>
  <si>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</si>
  <si>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</si>
  <si>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</si>
  <si>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</si>
  <si>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</si>
  <si>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</si>
  <si>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</si>
  <si>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</si>
  <si>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</si>
  <si>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</si>
  <si>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</si>
  <si>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</si>
  <si>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</si>
  <si>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</si>
  <si>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</si>
  <si>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</si>
  <si>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</si>
  <si>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</si>
  <si>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</si>
  <si>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</si>
  <si>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</si>
  <si>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</si>
  <si>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</si>
  <si>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</si>
  <si>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</si>
  <si>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</si>
  <si>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</si>
  <si>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</si>
  <si>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</si>
  <si>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</si>
  <si>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</si>
  <si>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</si>
  <si>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</si>
  <si>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</si>
  <si>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</si>
  <si>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</si>
  <si>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</si>
  <si>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</si>
  <si>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</si>
  <si>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</si>
  <si>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</si>
  <si>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</si>
  <si>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</si>
  <si>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</si>
  <si>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</si>
  <si>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</si>
  <si>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</si>
  <si>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</si>
  <si>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</si>
  <si>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</si>
  <si>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</si>
  <si>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</si>
  <si>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</si>
  <si>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</si>
  <si>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</si>
  <si>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</si>
  <si>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</si>
  <si>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</si>
  <si>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</si>
  <si>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</si>
  <si>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</si>
  <si>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</si>
  <si>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</si>
  <si>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</si>
  <si>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</si>
  <si>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</si>
  <si>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</si>
  <si>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</si>
  <si>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</si>
  <si>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</si>
  <si>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</si>
  <si>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</si>
  <si>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</si>
  <si>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</si>
  <si>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</si>
  <si>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</si>
  <si>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</si>
  <si>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</si>
  <si>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</si>
  <si>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</si>
  <si>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</si>
  <si>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</si>
  <si>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</si>
  <si>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</si>
  <si>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</si>
  <si>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</si>
  <si>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</si>
  <si>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</si>
  <si>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</si>
  <si>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</si>
  <si>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</si>
  <si>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</si>
  <si>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</si>
  <si>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</si>
  <si>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</si>
  <si>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</si>
  <si>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</si>
  <si>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</si>
  <si>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</si>
  <si>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</si>
  <si>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</si>
  <si>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</si>
  <si>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</si>
  <si>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</si>
  <si>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</si>
  <si>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</si>
  <si>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</si>
  <si>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</si>
  <si>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</si>
  <si>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</si>
  <si>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</si>
  <si>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</si>
  <si>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</si>
  <si>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</si>
  <si>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</si>
  <si>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</si>
  <si>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</si>
  <si>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</si>
  <si>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</si>
  <si>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</si>
  <si>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</si>
  <si>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</si>
  <si>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</si>
  <si>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</si>
  <si>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</si>
  <si>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</si>
  <si>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</si>
  <si>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</si>
  <si>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</si>
  <si>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</si>
  <si>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</si>
  <si>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</si>
  <si>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</si>
  <si>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</si>
  <si>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</si>
  <si>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</si>
  <si>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</si>
  <si>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</si>
  <si>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</si>
  <si>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</si>
  <si>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</si>
  <si>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</si>
  <si>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</si>
  <si>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</si>
  <si>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</si>
  <si>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</si>
  <si>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</si>
  <si>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</si>
  <si>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</si>
  <si>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</si>
  <si>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</si>
  <si>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</si>
  <si>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</si>
  <si>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</si>
  <si>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</si>
  <si>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</si>
  <si>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</si>
  <si>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</si>
  <si>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</si>
  <si>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</si>
  <si>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</si>
  <si>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</si>
  <si>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</si>
  <si>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</si>
  <si>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</si>
  <si>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</si>
  <si>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</si>
  <si>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</si>
  <si>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</si>
  <si>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</si>
  <si>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</si>
  <si>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</si>
  <si>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</si>
  <si>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</si>
  <si>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</si>
  <si>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</si>
  <si>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</si>
  <si>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</si>
  <si>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</si>
  <si>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</si>
  <si>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</si>
  <si>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</si>
  <si>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</si>
  <si>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</si>
  <si>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</si>
  <si>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</si>
  <si>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</si>
  <si>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</si>
  <si>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</si>
  <si>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</si>
  <si>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</si>
  <si>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</si>
  <si>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</si>
  <si>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</si>
  <si>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</si>
  <si>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</si>
  <si>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</si>
  <si>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</si>
  <si>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</si>
  <si>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</si>
  <si>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</si>
  <si>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</si>
  <si>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</si>
  <si>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</si>
  <si>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</si>
  <si>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</si>
  <si>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</si>
  <si>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</si>
  <si>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</si>
  <si>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</si>
  <si>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</si>
  <si>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</si>
  <si>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</si>
  <si>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</si>
  <si>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</si>
  <si>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</si>
  <si>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</si>
  <si>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</si>
  <si>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</si>
  <si>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</si>
  <si>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</si>
  <si>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</si>
  <si>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</si>
  <si>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</si>
  <si>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</si>
  <si>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</si>
  <si>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</si>
  <si>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</si>
  <si>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</si>
  <si>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</si>
  <si>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</si>
  <si>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</si>
  <si>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</si>
  <si>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</si>
  <si>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</si>
  <si>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</si>
  <si>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</si>
  <si>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</si>
  <si>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</si>
  <si>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</si>
  <si>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</si>
  <si>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</si>
  <si>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</si>
  <si>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</si>
  <si>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</si>
  <si>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</si>
  <si>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</si>
  <si>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</si>
  <si>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</si>
  <si>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</si>
  <si>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</si>
  <si>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</si>
  <si>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</si>
  <si>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</si>
  <si>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</si>
  <si>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</si>
  <si>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</si>
  <si>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</si>
  <si>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</si>
  <si>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</si>
  <si>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</si>
  <si>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</si>
  <si>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</si>
  <si>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</si>
  <si>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</si>
  <si>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</si>
  <si>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</si>
  <si>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</si>
  <si>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</si>
  <si>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</si>
  <si>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</si>
  <si>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</si>
  <si>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</si>
  <si>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</si>
  <si>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</si>
  <si>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</si>
  <si>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</si>
  <si>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</si>
  <si>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</si>
  <si>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</si>
  <si>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</si>
  <si>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</si>
  <si>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</si>
  <si>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</si>
  <si>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</si>
  <si>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</si>
  <si>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</si>
  <si>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</si>
  <si>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</si>
  <si>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</si>
  <si>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</si>
  <si>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</si>
  <si>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</si>
  <si>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</si>
  <si>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</si>
  <si>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</si>
  <si>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</si>
  <si>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</si>
  <si>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</si>
  <si>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</si>
  <si>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</si>
  <si>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</si>
  <si>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</si>
  <si>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</si>
  <si>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</si>
  <si>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</si>
  <si>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</si>
  <si>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</si>
  <si>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</si>
  <si>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</si>
  <si>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</si>
  <si>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</si>
  <si>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</si>
  <si>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</si>
  <si>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</si>
  <si>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</si>
  <si>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</si>
  <si>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</si>
  <si>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</si>
  <si>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</si>
  <si>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</si>
  <si>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</si>
  <si>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</si>
  <si>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</si>
  <si>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</si>
  <si>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</si>
  <si>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</si>
  <si>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</si>
  <si>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</si>
  <si>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</si>
  <si>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</si>
  <si>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</si>
  <si>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</si>
  <si>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</si>
  <si>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</si>
  <si>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</si>
  <si>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</si>
  <si>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</si>
  <si>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</si>
  <si>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</si>
  <si>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</si>
  <si>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</si>
  <si>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</si>
  <si>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</si>
  <si>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</si>
  <si>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</si>
  <si>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</si>
  <si>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</si>
  <si>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</si>
  <si>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</si>
  <si>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</si>
  <si>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</si>
  <si>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</si>
  <si>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</si>
  <si>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</si>
  <si>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</si>
  <si>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</si>
  <si>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</si>
  <si>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</si>
  <si>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</si>
  <si>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</si>
  <si>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</si>
  <si>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</si>
  <si>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</si>
  <si>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</si>
  <si>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</si>
  <si>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</si>
  <si>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</si>
  <si>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</si>
  <si>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</si>
  <si>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</si>
  <si>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</si>
  <si>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</si>
  <si>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</si>
  <si>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</si>
  <si>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</si>
  <si>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</si>
  <si>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</si>
  <si>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</si>
  <si>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</si>
  <si>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</si>
  <si>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</si>
  <si>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</si>
  <si>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</si>
  <si>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</si>
  <si>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</si>
  <si>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</si>
  <si>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</si>
  <si>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</si>
  <si>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</si>
  <si>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</si>
  <si>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</si>
  <si>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</si>
  <si>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</si>
  <si>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</si>
  <si>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</si>
  <si>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</si>
  <si>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</si>
  <si>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</si>
  <si>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</si>
  <si>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</si>
  <si>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</si>
  <si>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</si>
  <si>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</si>
  <si>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</si>
  <si>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</si>
  <si>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</si>
  <si>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</si>
  <si>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</si>
  <si>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</si>
  <si>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</si>
  <si>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</si>
  <si>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</si>
  <si>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</si>
  <si>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</si>
  <si>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</si>
  <si>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</si>
  <si>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</si>
  <si>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</si>
  <si>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</si>
  <si>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</si>
  <si>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</si>
  <si>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</si>
  <si>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</si>
  <si>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</si>
  <si>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</si>
  <si>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</si>
  <si>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</si>
  <si>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</si>
  <si>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</si>
  <si>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</si>
  <si>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</si>
  <si>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</si>
  <si>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</si>
  <si>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</si>
  <si>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</si>
  <si>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</si>
  <si>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</si>
  <si>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</si>
  <si>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</si>
  <si>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</si>
  <si>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</si>
  <si>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</si>
  <si>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</si>
  <si>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</si>
  <si>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</si>
  <si>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</si>
  <si>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시크한 표정이 매력적입니다.\n세 나라 이야기의 붉은 목마 입니다.\n\n&lt;size=20&gt;&lt;color=#97C456&gt;이동속도 +12&lt;/color&gt;&lt;/size&gt;</t>
    <phoneticPr fontId="8" type="noConversion"/>
  </si>
  <si>
    <t>어째선지 계속해서 울고 있는 양초입니다.\n\n&lt;size=20&gt;&lt;color=#97C456&gt;최대체력 +3하트&lt;/color&gt;&lt;/size&gt;\n&lt;size=20&gt;&lt;color=#FF6A6A&gt;이동속도 -30%&lt;/color&gt;&lt;/size&gt;</t>
    <phoneticPr fontId="8" type="noConversion"/>
  </si>
  <si>
    <t>Buff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</si>
  <si>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</si>
  <si>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</si>
  <si>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</si>
  <si>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</si>
  <si>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</si>
  <si>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</si>
  <si>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ActiveEffectType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</si>
  <si>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</si>
  <si>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</si>
  <si>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</si>
  <si>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</si>
  <si>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</si>
  <si>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</si>
  <si>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</si>
  <si>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</si>
  <si>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</si>
  <si>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</si>
  <si>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</si>
  <si>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</si>
  <si>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</si>
  <si>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ApplyType</t>
    <phoneticPr fontId="8" type="noConversion"/>
  </si>
  <si>
    <t>ApplyId</t>
    <phoneticPr fontId="8" type="noConversion"/>
  </si>
  <si>
    <t>HP_Per</t>
    <phoneticPr fontId="8" type="noConversion"/>
  </si>
  <si>
    <t>GreaterThan</t>
    <phoneticPr fontId="8" type="noConversion"/>
  </si>
  <si>
    <t>ConditionValue</t>
    <phoneticPr fontId="8" type="noConversion"/>
  </si>
  <si>
    <t>Random</t>
    <phoneticPr fontId="8" type="noConversion"/>
  </si>
  <si>
    <t>None</t>
    <phoneticPr fontId="8" type="noConversion"/>
  </si>
  <si>
    <t>HP</t>
    <phoneticPr fontId="8" type="noConversion"/>
  </si>
  <si>
    <t>Equip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</si>
</sst>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262626"/>
      </patternFill>
    </fill>
    <fill>
      <patternFill patternType="solid">
        <fgColor rgb="FFFFF2CC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0" fillId="8" borderId="0" xfId="0" applyFill="1">
      <alignment vertical="center"/>
    </xf>
    <xf numFmtId="0" fontId="1" fillId="8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9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0" fillId="9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9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8" borderId="0" xfId="0" applyNumberFormat="1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</cellXfs>
  <cellStyles count="1">
    <cellStyle name="표준" xfId="0" builtinId="0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1"/>
      <tableStyleElement type="headerRow" dxfId="100"/>
      <tableStyleElement type="totalRow" dxfId="99"/>
      <tableStyleElement type="firstColumn" dxfId="98"/>
      <tableStyleElement type="lastColumn" dxfId="97"/>
      <tableStyleElement type="firstRowStripe" dxfId="96"/>
      <tableStyleElement type="firstColumnStripe" dxfId="95"/>
    </tableStyle>
    <tableStyle name="Light Style 1 - Accent 1" table="0" count="7" xr9:uid="{00000000-0011-0000-FFFF-FFFF01000000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  <tableStyle name="표 스타일 1" pivot="0" count="4" xr9:uid="{00000000-0011-0000-FFFF-FFFF02000000}">
      <tableStyleElement type="wholeTable" dxfId="87"/>
      <tableStyleElement type="headerRow" dxfId="86"/>
      <tableStyleElement type="firstRowStripe" dxfId="85"/>
      <tableStyleElement type="secondRowStripe" dxfId="8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3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2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1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0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9" dataDxfId="78">
  <autoFilter ref="B6:E32" xr:uid="{00000000-0009-0000-0100-000008000000}"/>
  <tableColumns count="4">
    <tableColumn id="1" xr3:uid="{00000000-0010-0000-0100-000001000000}" name="스텟" dataDxfId="77"/>
    <tableColumn id="2" xr3:uid="{00000000-0010-0000-0100-000002000000}" name="참조 테이블" dataDxfId="76"/>
    <tableColumn id="3" xr3:uid="{00000000-0010-0000-0100-000003000000}" name="설명" dataDxfId="75"/>
    <tableColumn id="4" xr3:uid="{00000000-0010-0000-0100-000004000000}" name="Value 1당 가치" dataDxfId="74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3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2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1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0"/>
    <tableColumn id="4" xr3:uid="{00000000-0010-0000-0400-000004000000}" name="획득 무기"/>
    <tableColumn id="5" xr3:uid="{00000000-0010-0000-0400-000005000000}" name="획득 골드" dataDxfId="69">
      <calculatedColumnFormula array="1">밸런스시트[[#This Row],[방 개수]]*표10[방 평균 골드]</calculatedColumnFormula>
    </tableColumn>
    <tableColumn id="6" xr3:uid="{00000000-0010-0000-0400-000006000000}" name="적 체력" dataDxfId="68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7">
      <calculatedColumnFormula array="1">CharacterAtkTable['#던진공 차징1 튕겨내기 DPS]</calculatedColumnFormula>
    </tableColumn>
    <tableColumn id="10" xr3:uid="{00000000-0010-0000-0400-00000A000000}" name="예상 전투 시간" dataDxfId="66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5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4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3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2"/>
    <tableColumn id="3" xr3:uid="{00000000-0010-0000-0600-000003000000}" name="value"/>
    <tableColumn id="4" xr3:uid="{00000000-0010-0000-0600-000004000000}" name="#설명" dataDxfId="61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0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59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G3" totalsRowShown="0" headerRowDxfId="58">
  <autoFilter ref="B2:AG3" xr:uid="{00000000-0009-0000-0100-000007000000}"/>
  <tableColumns count="32">
    <tableColumn id="1" xr3:uid="{00000000-0010-0000-0800-000001000000}" name="Index"/>
    <tableColumn id="2" xr3:uid="{00000000-0010-0000-0800-000002000000}" name="#설명" dataDxfId="57"/>
    <tableColumn id="3" xr3:uid="{00000000-0010-0000-0800-000003000000}" name="ThrowCooldown" dataDxfId="56"/>
    <tableColumn id="4" xr3:uid="{00000000-0010-0000-0800-000004000000}" name="ThrowAfterDelay" dataDxfId="55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4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3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2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1"/>
    <tableColumn id="14" xr3:uid="{00000000-0010-0000-0900-00000E000000}" name="#드랍테이블2" dataDxfId="50"/>
    <tableColumn id="15" xr3:uid="{00000000-0010-0000-0900-00000F000000}" name="#드랍테이블3" dataDxfId="49"/>
    <tableColumn id="16" xr3:uid="{00000000-0010-0000-0900-000010000000}" name="#드랍테이블4" dataDxfId="48"/>
    <tableColumn id="17" xr3:uid="{00000000-0010-0000-0900-000011000000}" name="#드랍테이블5" dataDxfId="47"/>
    <tableColumn id="18" xr3:uid="{00000000-0010-0000-0900-000012000000}" name="#드랍테이블6" dataDxfId="46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5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4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43"/>
    <tableColumn id="19" xr3:uid="{BFCBC32D-7E44-4D9E-BE44-E28E6C46489C}" name="#" dataDxfId="42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41"/>
    <tableColumn id="17" xr3:uid="{00000000-0010-0000-0B00-000011000000}" name="#기준 적 체력 비율"/>
    <tableColumn id="18" xr3:uid="{00000000-0010-0000-0B00-000012000000}" name="#평균 드랍 골드" dataDxfId="40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39"/>
    <tableColumn id="3" xr3:uid="{00000000-0010-0000-0C00-000003000000}" name="ShootDataId" dataDxfId="38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37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5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4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3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4" totalsRowShown="0" headerRowDxfId="32">
  <autoFilter ref="B2:Q24" xr:uid="{00000000-0009-0000-0100-000004000000}"/>
  <tableColumns count="16">
    <tableColumn id="1" xr3:uid="{00000000-0010-0000-0F00-000001000000}" name="Index" dataDxfId="31"/>
    <tableColumn id="2" xr3:uid="{00000000-0010-0000-0F00-000002000000}" name="Name" dataDxfId="30"/>
    <tableColumn id="3" xr3:uid="{00000000-0010-0000-0F00-000003000000}" name="Desc" dataDxfId="29"/>
    <tableColumn id="4" xr3:uid="{00000000-0010-0000-0F00-000004000000}" name="GradeType" dataDxfId="28"/>
    <tableColumn id="5" xr3:uid="{00000000-0010-0000-0F00-000005000000}" name="Value" dataDxfId="27"/>
    <tableColumn id="6" xr3:uid="{00000000-0010-0000-0F00-000006000000}" name="CostHp" dataDxfId="26"/>
    <tableColumn id="7" xr3:uid="{00000000-0010-0000-0F00-000007000000}" name="CostGold" dataDxfId="25"/>
    <tableColumn id="8" xr3:uid="{00000000-0010-0000-0F00-000008000000}" name="ItemEffectDataId" dataDxfId="24"/>
    <tableColumn id="9" xr3:uid="{00000000-0010-0000-0F00-000009000000}" name="ItemIconPath" dataDxfId="23"/>
    <tableColumn id="10" xr3:uid="{00000000-0010-0000-0F00-00000A000000}" name="#자료 위치 변환기" dataDxfId="22"/>
    <tableColumn id="11" xr3:uid="{E752B4AA-7181-4F60-B4A0-8DA8B2E2F337}" name="#" dataDxfId="21"/>
    <tableColumn id="12" xr3:uid="{F85A3E97-232B-4E3A-9F01-EF79D25FA9F9}" name="#2" dataDxfId="20"/>
    <tableColumn id="13" xr3:uid="{550D2A60-9FBB-40C8-A6C2-243D9848C602}" name="#3" dataDxfId="19"/>
    <tableColumn id="14" xr3:uid="{50807AE5-46D5-4351-8885-769C1629BA6A}" name="#4" dataDxfId="18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17"/>
    <tableColumn id="15" xr3:uid="{859A69BA-D558-47CD-B372-AF915766B5DE}" name="#체크" dataDxfId="16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L5" totalsRowShown="0" headerRowDxfId="15">
  <autoFilter ref="B2:L5" xr:uid="{00000000-0009-0000-0100-000001000000}"/>
  <tableColumns count="11">
    <tableColumn id="1" xr3:uid="{00000000-0010-0000-1000-000001000000}" name="#개발여부" dataDxfId="14"/>
    <tableColumn id="2" xr3:uid="{00000000-0010-0000-1000-000002000000}" name="#이름값" dataDxfId="13"/>
    <tableColumn id="3" xr3:uid="{00000000-0010-0000-1000-000003000000}" name="#Grade" dataDxfId="12"/>
    <tableColumn id="4" xr3:uid="{00000000-0010-0000-1000-000004000000}" name="Index" dataDxfId="11"/>
    <tableColumn id="5" xr3:uid="{00000000-0010-0000-1000-000005000000}" name="ApplyType"/>
    <tableColumn id="6" xr3:uid="{00000000-0010-0000-1000-000006000000}" name="Apply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0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F3" totalsRowShown="0" headerRowDxfId="10">
  <autoFilter ref="B2:F3" xr:uid="{00000000-0009-0000-0100-000001000000}"/>
  <tableColumns count="5">
    <tableColumn id="4" xr3:uid="{DE2DDF71-E208-9D48-B1BD-ADAF1A04A4E7}" name="Index" dataDxfId="9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F3" totalsRowShown="0" headerRowDxfId="8">
  <autoFilter ref="B2:F3" xr:uid="{00000000-0009-0000-0100-000001000000}"/>
  <tableColumns count="5">
    <tableColumn id="4" xr3:uid="{9F0C2145-5739-D948-B51C-59C2F70F8333}" name="Index" dataDxfId="7"/>
    <tableColumn id="5" xr3:uid="{68F4A981-62AA-3A4B-BE01-0227C535B866}" name="ActiveEffectType"/>
    <tableColumn id="6" xr3:uid="{8433B35F-F362-6144-AD53-9BADC63C6E39}" name="Param1"/>
    <tableColumn id="13" xr3:uid="{87231311-C662-DB49-A399-712B241C3925}" name="Param2"/>
    <tableColumn id="14" xr3:uid="{B4B3DBDF-BBC3-1F44-B6CB-63F8C93FD4DC}" name="Param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6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5"/>
    <tableColumn id="3" xr3:uid="{00000000-0010-0000-1100-000003000000}" name="#리소스 유형" dataDxfId="4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3">
  <autoFilter ref="A2:D76" xr:uid="{00000000-0009-0000-0100-000003000000}"/>
  <tableColumns count="4">
    <tableColumn id="1" xr3:uid="{00000000-0010-0000-1200-000001000000}" name="Index" dataDxfId="2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1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41" t="s">
        <v>316</v>
      </c>
      <c r="C1" s="42"/>
      <c r="D1" s="42"/>
      <c r="E1" s="42"/>
    </row>
    <row r="2" spans="2:5" s="1" customFormat="1">
      <c r="B2" s="42"/>
      <c r="C2" s="42"/>
      <c r="D2" s="42"/>
      <c r="E2" s="42"/>
    </row>
    <row r="3" spans="2:5" s="1" customFormat="1">
      <c r="B3" s="42"/>
      <c r="C3" s="42"/>
      <c r="D3" s="42"/>
      <c r="E3" s="42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41" t="s">
        <v>203</v>
      </c>
      <c r="C1" s="42"/>
      <c r="D1" s="42"/>
      <c r="E1" s="42"/>
    </row>
    <row r="2" spans="2:12" s="1" customFormat="1">
      <c r="B2" s="42"/>
      <c r="C2" s="42"/>
      <c r="D2" s="42"/>
      <c r="E2" s="42"/>
    </row>
    <row r="3" spans="2:12" s="1" customFormat="1">
      <c r="B3" s="42"/>
      <c r="C3" s="42"/>
      <c r="D3" s="42"/>
      <c r="E3" s="42"/>
    </row>
    <row r="5" spans="2:12">
      <c r="B5" s="2" t="s">
        <v>90</v>
      </c>
    </row>
    <row r="6" spans="2:12">
      <c r="B6" t="s">
        <v>45</v>
      </c>
      <c r="C6" t="s">
        <v>48</v>
      </c>
      <c r="D6" t="s">
        <v>94</v>
      </c>
      <c r="E6" t="s">
        <v>81</v>
      </c>
      <c r="F6" t="s">
        <v>82</v>
      </c>
      <c r="G6" t="s">
        <v>91</v>
      </c>
      <c r="H6" t="s">
        <v>84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478</v>
      </c>
      <c r="C10" s="2"/>
      <c r="D10" s="2"/>
      <c r="I10" s="2" t="s">
        <v>479</v>
      </c>
      <c r="J10" s="2"/>
      <c r="K10" s="2"/>
    </row>
    <row r="11" spans="2:12">
      <c r="B11" s="14" t="s">
        <v>476</v>
      </c>
      <c r="C11" s="14" t="s">
        <v>477</v>
      </c>
      <c r="D11" s="14" t="s">
        <v>474</v>
      </c>
      <c r="E11" s="14" t="s">
        <v>475</v>
      </c>
      <c r="F11" s="14" t="s">
        <v>480</v>
      </c>
      <c r="I11" s="14" t="s">
        <v>481</v>
      </c>
      <c r="J11" s="14" t="s">
        <v>477</v>
      </c>
      <c r="K11" s="14" t="s">
        <v>474</v>
      </c>
      <c r="L11" s="14" t="s">
        <v>475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482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483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484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484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41" t="s">
        <v>294</v>
      </c>
      <c r="C1" s="42"/>
      <c r="D1" s="42"/>
      <c r="E1" s="42"/>
      <c r="F1" s="42"/>
    </row>
    <row r="2" spans="1:21" s="1" customFormat="1">
      <c r="B2" s="42"/>
      <c r="C2" s="42"/>
      <c r="D2" s="42"/>
      <c r="E2" s="42"/>
      <c r="F2" s="42"/>
    </row>
    <row r="3" spans="1:21" s="1" customFormat="1">
      <c r="B3" s="42"/>
      <c r="C3" s="42"/>
      <c r="D3" s="42"/>
      <c r="E3" s="42"/>
      <c r="F3" s="42"/>
    </row>
    <row r="5" spans="1:21">
      <c r="B5" s="2" t="s">
        <v>106</v>
      </c>
      <c r="G5" s="2" t="s">
        <v>217</v>
      </c>
      <c r="H5" s="2"/>
      <c r="R5" s="2" t="s">
        <v>113</v>
      </c>
    </row>
    <row r="6" spans="1:21">
      <c r="B6" t="s">
        <v>52</v>
      </c>
      <c r="C6" t="s">
        <v>145</v>
      </c>
      <c r="D6" t="s">
        <v>59</v>
      </c>
      <c r="E6" t="s">
        <v>335</v>
      </c>
      <c r="G6" t="s">
        <v>42</v>
      </c>
      <c r="H6" t="s">
        <v>81</v>
      </c>
      <c r="I6" t="s">
        <v>82</v>
      </c>
      <c r="J6" t="s">
        <v>115</v>
      </c>
      <c r="K6" t="s">
        <v>114</v>
      </c>
      <c r="L6" t="s">
        <v>110</v>
      </c>
      <c r="M6" t="s">
        <v>112</v>
      </c>
      <c r="N6" t="s">
        <v>298</v>
      </c>
      <c r="O6" t="s">
        <v>333</v>
      </c>
      <c r="P6" t="s">
        <v>296</v>
      </c>
      <c r="R6" t="s">
        <v>105</v>
      </c>
      <c r="S6" s="14" t="s">
        <v>485</v>
      </c>
    </row>
    <row r="7" spans="1:21" ht="18">
      <c r="A7" s="13"/>
      <c r="B7" s="11" t="s">
        <v>186</v>
      </c>
      <c r="C7" s="13" t="s">
        <v>33</v>
      </c>
      <c r="D7" t="s">
        <v>138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ht="18">
      <c r="A8" s="11"/>
      <c r="B8" s="11" t="s">
        <v>2</v>
      </c>
      <c r="C8" s="11" t="s">
        <v>240</v>
      </c>
      <c r="D8" t="s">
        <v>147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ht="18">
      <c r="A9" s="11"/>
      <c r="B9" s="11" t="s">
        <v>56</v>
      </c>
      <c r="C9" s="11" t="s">
        <v>240</v>
      </c>
      <c r="D9" t="s">
        <v>149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270</v>
      </c>
      <c r="S9" s="2"/>
      <c r="T9" s="2"/>
    </row>
    <row r="10" spans="1:21" ht="18">
      <c r="A10" s="11"/>
      <c r="B10" s="11" t="s">
        <v>196</v>
      </c>
      <c r="C10" s="11" t="s">
        <v>240</v>
      </c>
      <c r="D10" t="s">
        <v>330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81</v>
      </c>
      <c r="S10" t="s">
        <v>82</v>
      </c>
      <c r="T10" t="s">
        <v>91</v>
      </c>
      <c r="U10" t="s">
        <v>84</v>
      </c>
    </row>
    <row r="11" spans="1:21" ht="18">
      <c r="A11" s="11"/>
      <c r="B11" s="11" t="s">
        <v>282</v>
      </c>
      <c r="C11" s="11" t="s">
        <v>240</v>
      </c>
      <c r="D11" t="s">
        <v>144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170</v>
      </c>
      <c r="C12" s="11" t="s">
        <v>226</v>
      </c>
      <c r="D12" t="s">
        <v>148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ht="18">
      <c r="A13" s="11"/>
      <c r="B13" s="11" t="s">
        <v>320</v>
      </c>
      <c r="C13" s="11" t="s">
        <v>22</v>
      </c>
      <c r="D13" t="s">
        <v>32</v>
      </c>
      <c r="E13">
        <f>30/0.46</f>
        <v>65.217391304347828</v>
      </c>
      <c r="R13" s="2" t="s">
        <v>109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111</v>
      </c>
      <c r="S14" t="s">
        <v>292</v>
      </c>
    </row>
    <row r="15" spans="1:21" ht="18">
      <c r="A15" s="11"/>
      <c r="B15" s="11" t="s">
        <v>220</v>
      </c>
      <c r="C15" s="11" t="s">
        <v>22</v>
      </c>
      <c r="D15" t="s">
        <v>234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188</v>
      </c>
      <c r="C16" s="11" t="s">
        <v>22</v>
      </c>
      <c r="D16" t="s">
        <v>245</v>
      </c>
      <c r="E16" s="10">
        <v>40</v>
      </c>
    </row>
    <row r="17" spans="1:5" ht="18">
      <c r="A17" s="11"/>
      <c r="B17" s="11" t="s">
        <v>321</v>
      </c>
      <c r="C17" s="11" t="s">
        <v>22</v>
      </c>
      <c r="D17" t="s">
        <v>139</v>
      </c>
      <c r="E17">
        <f>50/0.3</f>
        <v>166.66666666666669</v>
      </c>
    </row>
    <row r="18" spans="1:5" ht="18">
      <c r="A18" s="11"/>
      <c r="B18" s="11" t="s">
        <v>342</v>
      </c>
      <c r="C18" s="11" t="s">
        <v>22</v>
      </c>
      <c r="D18" t="s">
        <v>332</v>
      </c>
      <c r="E18" s="12">
        <f>30/-0.2</f>
        <v>-150</v>
      </c>
    </row>
    <row r="19" spans="1:5" ht="18">
      <c r="A19" s="11"/>
      <c r="B19" s="11" t="s">
        <v>210</v>
      </c>
      <c r="C19" s="11" t="s">
        <v>22</v>
      </c>
      <c r="D19" t="s">
        <v>233</v>
      </c>
      <c r="E19">
        <f>50/100</f>
        <v>0.5</v>
      </c>
    </row>
    <row r="20" spans="1:5" ht="18">
      <c r="A20" s="11"/>
      <c r="B20" s="11" t="s">
        <v>242</v>
      </c>
      <c r="C20" s="11" t="s">
        <v>22</v>
      </c>
      <c r="D20" t="s">
        <v>236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260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252</v>
      </c>
      <c r="E22">
        <f>30/1/2</f>
        <v>15</v>
      </c>
    </row>
    <row r="23" spans="1:5" ht="18">
      <c r="A23" s="11"/>
      <c r="B23" s="11" t="s">
        <v>224</v>
      </c>
      <c r="C23" s="11" t="s">
        <v>22</v>
      </c>
      <c r="D23" t="s">
        <v>328</v>
      </c>
      <c r="E23">
        <f>50/25</f>
        <v>2</v>
      </c>
    </row>
    <row r="24" spans="1:5" ht="18">
      <c r="A24" s="11"/>
      <c r="B24" s="11" t="s">
        <v>232</v>
      </c>
      <c r="C24" s="11" t="s">
        <v>22</v>
      </c>
      <c r="D24" t="s">
        <v>329</v>
      </c>
      <c r="E24">
        <f>50/25</f>
        <v>2</v>
      </c>
    </row>
    <row r="25" spans="1:5" ht="18">
      <c r="A25" s="11"/>
      <c r="B25" s="11" t="s">
        <v>251</v>
      </c>
      <c r="C25" s="11" t="s">
        <v>22</v>
      </c>
      <c r="D25" t="s">
        <v>347</v>
      </c>
      <c r="E25">
        <v>2</v>
      </c>
    </row>
    <row r="26" spans="1:5" ht="18">
      <c r="A26" s="11"/>
      <c r="B26" s="11" t="s">
        <v>273</v>
      </c>
      <c r="C26" s="11" t="s">
        <v>22</v>
      </c>
      <c r="D26" t="s">
        <v>348</v>
      </c>
      <c r="E26">
        <v>2</v>
      </c>
    </row>
    <row r="27" spans="1:5" ht="18">
      <c r="A27" s="11"/>
      <c r="B27" s="11" t="s">
        <v>194</v>
      </c>
      <c r="C27" s="11" t="s">
        <v>58</v>
      </c>
      <c r="D27" s="11" t="s">
        <v>25</v>
      </c>
      <c r="E27">
        <v>-50</v>
      </c>
    </row>
    <row r="28" spans="1:5" ht="18">
      <c r="A28" s="11"/>
      <c r="B28" s="11" t="s">
        <v>146</v>
      </c>
      <c r="C28" s="11" t="s">
        <v>58</v>
      </c>
      <c r="D28" s="11" t="s">
        <v>23</v>
      </c>
      <c r="E28">
        <v>-30</v>
      </c>
    </row>
    <row r="29" spans="1:5" ht="18">
      <c r="A29" s="11"/>
      <c r="B29" s="11" t="s">
        <v>283</v>
      </c>
      <c r="C29" s="11" t="s">
        <v>58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58</v>
      </c>
      <c r="D30" s="11" t="s">
        <v>374</v>
      </c>
      <c r="E30">
        <v>50</v>
      </c>
    </row>
    <row r="31" spans="1:5" ht="18">
      <c r="A31" s="11"/>
      <c r="B31" s="11" t="s">
        <v>281</v>
      </c>
      <c r="C31" s="11" t="s">
        <v>58</v>
      </c>
      <c r="D31" s="11" t="s">
        <v>181</v>
      </c>
      <c r="E31">
        <v>50</v>
      </c>
    </row>
    <row r="32" spans="1:5" ht="18">
      <c r="A32" s="11"/>
      <c r="B32" s="11" t="s">
        <v>193</v>
      </c>
      <c r="C32" s="11" t="s">
        <v>58</v>
      </c>
      <c r="D32" s="11" t="s">
        <v>227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100</v>
      </c>
      <c r="B1" t="s">
        <v>49</v>
      </c>
      <c r="C1" t="s">
        <v>101</v>
      </c>
      <c r="D1" t="s">
        <v>49</v>
      </c>
    </row>
    <row r="2" spans="1:4">
      <c r="A2" t="s">
        <v>76</v>
      </c>
      <c r="B2" s="5" t="s">
        <v>116</v>
      </c>
      <c r="C2" t="s">
        <v>72</v>
      </c>
      <c r="D2" s="5" t="s">
        <v>43</v>
      </c>
    </row>
    <row r="3" spans="1:4">
      <c r="A3">
        <v>1</v>
      </c>
      <c r="B3" s="4" t="s">
        <v>183</v>
      </c>
      <c r="C3">
        <v>5</v>
      </c>
      <c r="D3" s="4" t="s">
        <v>207</v>
      </c>
    </row>
    <row r="4" spans="1:4">
      <c r="A4">
        <v>2</v>
      </c>
      <c r="B4" s="4" t="s">
        <v>249</v>
      </c>
      <c r="C4">
        <v>5</v>
      </c>
      <c r="D4" s="4" t="s">
        <v>182</v>
      </c>
    </row>
    <row r="5" spans="1:4">
      <c r="A5">
        <v>3</v>
      </c>
      <c r="B5" s="4" t="s">
        <v>274</v>
      </c>
      <c r="C5">
        <v>20</v>
      </c>
      <c r="D5" s="4" t="s">
        <v>8</v>
      </c>
    </row>
    <row r="6" spans="1:4">
      <c r="A6">
        <v>4</v>
      </c>
      <c r="B6" s="4" t="s">
        <v>276</v>
      </c>
      <c r="C6">
        <v>0.5</v>
      </c>
      <c r="D6" s="4" t="s">
        <v>198</v>
      </c>
    </row>
    <row r="7" spans="1:4">
      <c r="A7">
        <v>5</v>
      </c>
      <c r="B7" s="4" t="s">
        <v>324</v>
      </c>
      <c r="C7">
        <v>50</v>
      </c>
      <c r="D7" s="4" t="s">
        <v>373</v>
      </c>
    </row>
    <row r="8" spans="1:4">
      <c r="A8">
        <v>6</v>
      </c>
      <c r="B8" s="4" t="s">
        <v>327</v>
      </c>
      <c r="C8">
        <v>1</v>
      </c>
      <c r="D8" s="4" t="s">
        <v>171</v>
      </c>
    </row>
    <row r="9" spans="1:4">
      <c r="A9">
        <v>7</v>
      </c>
      <c r="B9" s="4" t="s">
        <v>372</v>
      </c>
      <c r="C9">
        <v>10</v>
      </c>
      <c r="D9" s="4" t="s">
        <v>370</v>
      </c>
    </row>
    <row r="10" spans="1:4">
      <c r="A10">
        <v>8</v>
      </c>
      <c r="B10" s="4" t="s">
        <v>27</v>
      </c>
      <c r="C10">
        <v>5</v>
      </c>
      <c r="D10" s="4" t="s">
        <v>167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G29" sqref="G29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155</v>
      </c>
      <c r="L1" t="s">
        <v>155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76</v>
      </c>
      <c r="C2" s="5" t="s">
        <v>43</v>
      </c>
      <c r="D2" t="s">
        <v>152</v>
      </c>
      <c r="E2" t="s">
        <v>290</v>
      </c>
      <c r="F2" t="s">
        <v>2</v>
      </c>
      <c r="G2" t="s">
        <v>29</v>
      </c>
      <c r="H2" t="s">
        <v>14</v>
      </c>
      <c r="I2" t="s">
        <v>199</v>
      </c>
      <c r="J2" t="s">
        <v>12</v>
      </c>
      <c r="K2" t="s">
        <v>28</v>
      </c>
      <c r="L2" t="s">
        <v>230</v>
      </c>
      <c r="M2" t="s">
        <v>286</v>
      </c>
      <c r="N2" t="s">
        <v>196</v>
      </c>
      <c r="O2" t="s">
        <v>282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G3"/>
  <sheetViews>
    <sheetView topLeftCell="U1" zoomScaleNormal="75" zoomScaleSheetLayoutView="100" workbookViewId="0">
      <selection activeCell="E28" sqref="E28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4" width="24.6640625" customWidth="1"/>
    <col min="25" max="25" width="14.1640625" bestFit="1" customWidth="1"/>
    <col min="26" max="26" width="28.83203125" bestFit="1" customWidth="1"/>
    <col min="27" max="27" width="17" customWidth="1"/>
    <col min="28" max="28" width="26.6640625" bestFit="1" customWidth="1"/>
    <col min="29" max="29" width="25" bestFit="1" customWidth="1"/>
    <col min="30" max="31" width="26.1640625" bestFit="1" customWidth="1"/>
    <col min="32" max="32" width="26" bestFit="1" customWidth="1"/>
    <col min="33" max="33" width="27.1640625" bestFit="1" customWidth="1"/>
  </cols>
  <sheetData>
    <row r="1" spans="2:33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46</v>
      </c>
      <c r="L1" t="s">
        <v>101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Y1" t="s">
        <v>46</v>
      </c>
      <c r="AF1" s="10" t="s">
        <v>168</v>
      </c>
    </row>
    <row r="2" spans="2:33">
      <c r="B2" t="s">
        <v>76</v>
      </c>
      <c r="C2" s="5" t="s">
        <v>43</v>
      </c>
      <c r="D2" s="7" t="s">
        <v>204</v>
      </c>
      <c r="E2" s="6" t="s">
        <v>211</v>
      </c>
      <c r="F2" s="6" t="s">
        <v>323</v>
      </c>
      <c r="G2" s="7" t="s">
        <v>20</v>
      </c>
      <c r="H2" s="8" t="s">
        <v>220</v>
      </c>
      <c r="I2" s="8" t="s">
        <v>223</v>
      </c>
      <c r="J2" s="8" t="s">
        <v>320</v>
      </c>
      <c r="K2" s="8" t="s">
        <v>17</v>
      </c>
      <c r="L2" s="8" t="s">
        <v>342</v>
      </c>
      <c r="M2" s="8" t="s">
        <v>188</v>
      </c>
      <c r="N2" s="8" t="s">
        <v>210</v>
      </c>
      <c r="O2" s="8" t="s">
        <v>242</v>
      </c>
      <c r="P2" s="8" t="s">
        <v>24</v>
      </c>
      <c r="Q2" s="8" t="s">
        <v>30</v>
      </c>
      <c r="R2" s="8" t="s">
        <v>31</v>
      </c>
      <c r="S2" s="9" t="s">
        <v>224</v>
      </c>
      <c r="T2" s="9" t="s">
        <v>232</v>
      </c>
      <c r="U2" s="9" t="s">
        <v>251</v>
      </c>
      <c r="V2" s="9" t="s">
        <v>273</v>
      </c>
      <c r="W2" s="9" t="s">
        <v>510</v>
      </c>
      <c r="X2" s="35" t="s">
        <v>511</v>
      </c>
      <c r="Y2" s="1" t="s">
        <v>321</v>
      </c>
      <c r="Z2" s="1" t="s">
        <v>376</v>
      </c>
      <c r="AA2" s="5" t="s">
        <v>336</v>
      </c>
      <c r="AB2" s="5" t="s">
        <v>225</v>
      </c>
      <c r="AC2" s="5" t="s">
        <v>248</v>
      </c>
      <c r="AD2" s="5" t="s">
        <v>228</v>
      </c>
      <c r="AE2" s="5" t="s">
        <v>247</v>
      </c>
      <c r="AF2" s="5" t="s">
        <v>239</v>
      </c>
      <c r="AG2" s="5" t="s">
        <v>26</v>
      </c>
    </row>
    <row r="3" spans="2:33">
      <c r="B3">
        <v>200</v>
      </c>
      <c r="C3" s="4" t="s">
        <v>297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v>8</v>
      </c>
      <c r="AA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B3">
        <f>CharacterAtkTable[[#This Row],[ChargeRigidDmg1]]/CharacterAtkTable[[#This Row],[SwingCooldown]]</f>
        <v>20</v>
      </c>
      <c r="AC3">
        <f>CharacterAtkTable[[#This Row],[ChargeRigidDmg2]]/(CharacterAtkTable[[#This Row],[SwingCooldown]]+CharacterAtkTable[[#This Row],[ChargeTime]])</f>
        <v>22.222222222222221</v>
      </c>
      <c r="AD3" t="e">
        <f>#REF!/(CharacterAtkTable[[#This Row],[SwingCooldown]]+#REF!)</f>
        <v>#REF!</v>
      </c>
      <c r="AE3" t="e">
        <f>#REF!/(CharacterAtkTable[[#This Row],[SwingCooldown]]+#REF!)</f>
        <v>#REF!</v>
      </c>
      <c r="AF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G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76</v>
      </c>
      <c r="C2" s="5" t="s">
        <v>61</v>
      </c>
      <c r="D2" t="s">
        <v>216</v>
      </c>
      <c r="E2" s="29" t="s">
        <v>206</v>
      </c>
      <c r="F2" s="29" t="s">
        <v>291</v>
      </c>
      <c r="G2" t="s">
        <v>15</v>
      </c>
      <c r="H2" t="s">
        <v>309</v>
      </c>
      <c r="I2" t="s">
        <v>214</v>
      </c>
      <c r="J2" t="s">
        <v>212</v>
      </c>
      <c r="K2" t="s">
        <v>295</v>
      </c>
      <c r="L2" t="s">
        <v>208</v>
      </c>
      <c r="M2" t="s">
        <v>215</v>
      </c>
      <c r="N2" s="5" t="s">
        <v>132</v>
      </c>
      <c r="O2" s="5" t="s">
        <v>140</v>
      </c>
      <c r="P2" s="5" t="s">
        <v>141</v>
      </c>
      <c r="Q2" s="5" t="s">
        <v>142</v>
      </c>
      <c r="R2" s="5" t="s">
        <v>143</v>
      </c>
      <c r="S2" s="5" t="s">
        <v>135</v>
      </c>
    </row>
    <row r="3" spans="2:19">
      <c r="B3">
        <v>800</v>
      </c>
      <c r="C3" s="18" t="s">
        <v>488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8" t="s">
        <v>489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8" t="s">
        <v>490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</row>
    <row r="2" spans="1:11">
      <c r="B2" t="s">
        <v>76</v>
      </c>
      <c r="C2" s="5" t="s">
        <v>41</v>
      </c>
      <c r="D2" t="s">
        <v>81</v>
      </c>
      <c r="E2" t="s">
        <v>82</v>
      </c>
      <c r="F2" t="s">
        <v>91</v>
      </c>
      <c r="G2" t="s">
        <v>84</v>
      </c>
      <c r="H2" t="s">
        <v>48</v>
      </c>
      <c r="I2" t="s">
        <v>94</v>
      </c>
    </row>
    <row r="3" spans="1:11">
      <c r="B3" s="29">
        <v>9001</v>
      </c>
      <c r="C3" s="32" t="s">
        <v>509</v>
      </c>
      <c r="D3" s="29">
        <v>0</v>
      </c>
      <c r="E3" s="29">
        <v>5000</v>
      </c>
      <c r="F3" s="29">
        <v>5000</v>
      </c>
      <c r="G3" s="29">
        <v>0</v>
      </c>
      <c r="H3" s="29">
        <v>0</v>
      </c>
      <c r="I3" s="29">
        <v>0</v>
      </c>
      <c r="K3">
        <f>SUM(DropTable[[#This Row],[Normal]:[Cursed]])</f>
        <v>10000</v>
      </c>
    </row>
    <row r="4" spans="1:11">
      <c r="B4">
        <v>9002</v>
      </c>
      <c r="C4" s="31" t="s">
        <v>508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>
      <c r="A5" s="14"/>
      <c r="B5">
        <v>9003</v>
      </c>
      <c r="C5" s="31" t="s">
        <v>505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>
      <c r="B6">
        <v>9100</v>
      </c>
      <c r="C6" s="18" t="s">
        <v>506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>
      <c r="A7" t="s">
        <v>49</v>
      </c>
      <c r="B7" s="33">
        <v>9101</v>
      </c>
      <c r="C7" s="34" t="s">
        <v>507</v>
      </c>
      <c r="D7" s="33">
        <v>4000</v>
      </c>
      <c r="E7" s="33">
        <v>2000</v>
      </c>
      <c r="F7" s="33">
        <v>2000</v>
      </c>
      <c r="G7" s="33">
        <v>0</v>
      </c>
      <c r="H7" s="33">
        <v>2000</v>
      </c>
      <c r="I7" s="33">
        <v>0</v>
      </c>
    </row>
    <row r="8" spans="1:11">
      <c r="A8" t="s">
        <v>49</v>
      </c>
      <c r="B8" s="33">
        <v>9102</v>
      </c>
      <c r="C8" s="34" t="s">
        <v>301</v>
      </c>
      <c r="D8" s="33">
        <v>4000</v>
      </c>
      <c r="E8" s="33">
        <v>2000</v>
      </c>
      <c r="F8" s="33">
        <v>2000</v>
      </c>
      <c r="G8" s="33">
        <v>0</v>
      </c>
      <c r="H8" s="33">
        <v>0</v>
      </c>
      <c r="I8" s="33">
        <v>2000</v>
      </c>
    </row>
    <row r="9" spans="1:11">
      <c r="A9" t="s">
        <v>49</v>
      </c>
      <c r="B9" s="33">
        <v>9103</v>
      </c>
      <c r="C9" s="34" t="s">
        <v>122</v>
      </c>
      <c r="D9" s="33">
        <v>4000</v>
      </c>
      <c r="E9" s="33">
        <v>2000</v>
      </c>
      <c r="F9" s="33">
        <v>2000</v>
      </c>
      <c r="G9" s="33">
        <v>0</v>
      </c>
      <c r="H9" s="33">
        <v>2000</v>
      </c>
      <c r="I9" s="33">
        <v>0</v>
      </c>
    </row>
    <row r="10" spans="1:11">
      <c r="A10" t="s">
        <v>49</v>
      </c>
      <c r="B10" s="33">
        <v>9104</v>
      </c>
      <c r="C10" s="34" t="s">
        <v>121</v>
      </c>
      <c r="D10" s="33">
        <v>0</v>
      </c>
      <c r="E10" s="33">
        <v>7000</v>
      </c>
      <c r="F10" s="33">
        <v>3000</v>
      </c>
      <c r="G10" s="33">
        <v>0</v>
      </c>
      <c r="H10" s="33">
        <v>0</v>
      </c>
      <c r="I10" s="33">
        <v>0</v>
      </c>
    </row>
    <row r="11" spans="1:11">
      <c r="A11" t="s">
        <v>49</v>
      </c>
      <c r="B11" s="33">
        <v>9105</v>
      </c>
      <c r="C11" s="34" t="s">
        <v>310</v>
      </c>
      <c r="D11" s="33">
        <v>0</v>
      </c>
      <c r="E11" s="33">
        <v>0</v>
      </c>
      <c r="F11" s="33">
        <v>0</v>
      </c>
      <c r="G11" s="33">
        <v>10000</v>
      </c>
      <c r="H11" s="33">
        <v>0</v>
      </c>
      <c r="I11" s="33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B7" sqref="B7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4.5" customWidth="1"/>
    <col min="7" max="7" width="12.83203125" bestFit="1" customWidth="1"/>
    <col min="8" max="8" width="14" bestFit="1" customWidth="1"/>
    <col min="9" max="9" width="27.83203125" bestFit="1" customWidth="1"/>
    <col min="10" max="10" width="17" bestFit="1" customWidth="1"/>
    <col min="11" max="11" width="17" customWidth="1"/>
    <col min="12" max="12" width="17.5" bestFit="1" customWidth="1"/>
    <col min="13" max="13" width="15.6640625" bestFit="1" customWidth="1"/>
    <col min="14" max="14" width="17.1640625" bestFit="1" customWidth="1"/>
    <col min="15" max="15" width="12.6640625" bestFit="1" customWidth="1"/>
    <col min="16" max="16" width="17.6640625" bestFit="1" customWidth="1"/>
    <col min="17" max="17" width="16" bestFit="1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21" t="s">
        <v>534</v>
      </c>
      <c r="D1" s="14" t="s">
        <v>414</v>
      </c>
      <c r="E1" t="s">
        <v>46</v>
      </c>
      <c r="F1" t="s">
        <v>101</v>
      </c>
      <c r="G1" t="s">
        <v>126</v>
      </c>
      <c r="H1" t="s">
        <v>46</v>
      </c>
      <c r="I1" t="s">
        <v>101</v>
      </c>
      <c r="J1" t="s">
        <v>101</v>
      </c>
      <c r="K1" s="21" t="s">
        <v>514</v>
      </c>
      <c r="L1" t="s">
        <v>101</v>
      </c>
      <c r="M1" t="s">
        <v>126</v>
      </c>
      <c r="N1" t="s">
        <v>101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100</v>
      </c>
      <c r="U1" t="s">
        <v>49</v>
      </c>
      <c r="V1" t="s">
        <v>49</v>
      </c>
    </row>
    <row r="2" spans="2:22">
      <c r="B2" t="s">
        <v>76</v>
      </c>
      <c r="C2" s="40" t="s">
        <v>533</v>
      </c>
      <c r="D2" s="17" t="s">
        <v>414</v>
      </c>
      <c r="E2" t="s">
        <v>130</v>
      </c>
      <c r="F2" s="21" t="s">
        <v>504</v>
      </c>
      <c r="G2" t="s">
        <v>303</v>
      </c>
      <c r="H2" t="s">
        <v>305</v>
      </c>
      <c r="I2" s="21" t="s">
        <v>538</v>
      </c>
      <c r="J2" t="s">
        <v>2</v>
      </c>
      <c r="K2" s="21" t="s">
        <v>515</v>
      </c>
      <c r="L2" t="s">
        <v>202</v>
      </c>
      <c r="M2" t="s">
        <v>197</v>
      </c>
      <c r="N2" t="s">
        <v>200</v>
      </c>
      <c r="O2" t="s">
        <v>302</v>
      </c>
      <c r="P2" t="s">
        <v>209</v>
      </c>
      <c r="Q2" t="s">
        <v>308</v>
      </c>
      <c r="R2" t="s">
        <v>306</v>
      </c>
      <c r="S2" t="s">
        <v>11</v>
      </c>
      <c r="T2" t="s">
        <v>311</v>
      </c>
      <c r="U2" s="5" t="s">
        <v>313</v>
      </c>
      <c r="V2" s="5" t="s">
        <v>331</v>
      </c>
    </row>
    <row r="3" spans="2:22">
      <c r="B3">
        <v>500</v>
      </c>
      <c r="C3" s="4" t="s">
        <v>40</v>
      </c>
      <c r="D3" s="18" t="s">
        <v>415</v>
      </c>
      <c r="E3">
        <f>표14[적 기준 체력]*EnemyGameData[[#This Row],['#기준 적 체력 비율]]</f>
        <v>20</v>
      </c>
      <c r="F3">
        <v>10</v>
      </c>
      <c r="G3" t="s">
        <v>123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74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21" t="s">
        <v>531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8" t="s">
        <v>449</v>
      </c>
      <c r="D4" s="18" t="s">
        <v>417</v>
      </c>
      <c r="E4">
        <f>표14[적 기준 체력]*EnemyGameData[[#This Row],['#기준 적 체력 비율]]</f>
        <v>80</v>
      </c>
      <c r="F4">
        <v>10</v>
      </c>
      <c r="G4" t="s">
        <v>312</v>
      </c>
      <c r="H4">
        <v>6</v>
      </c>
      <c r="I4">
        <v>2</v>
      </c>
      <c r="J4">
        <v>2</v>
      </c>
      <c r="K4">
        <v>25</v>
      </c>
      <c r="L4">
        <v>1.8</v>
      </c>
      <c r="M4" t="s">
        <v>218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21" t="s">
        <v>532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339</v>
      </c>
      <c r="D5" s="18" t="s">
        <v>420</v>
      </c>
      <c r="E5">
        <f>표14[적 기준 체력]*EnemyGameData[[#This Row],['#기준 적 체력 비율]]</f>
        <v>100</v>
      </c>
      <c r="F5">
        <v>10</v>
      </c>
      <c r="G5" t="s">
        <v>123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125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21" t="s">
        <v>532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246</v>
      </c>
      <c r="D6" s="18" t="s">
        <v>439</v>
      </c>
      <c r="E6">
        <f>표14[적 기준 체력]*EnemyGameData[[#This Row],['#기준 적 체력 비율]]</f>
        <v>80</v>
      </c>
      <c r="F6">
        <v>10</v>
      </c>
      <c r="G6" t="s">
        <v>312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125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21" t="s">
        <v>532</v>
      </c>
      <c r="U6">
        <v>0.8</v>
      </c>
      <c r="V6">
        <f>AVERAGE(EnemyGameData[[#This Row],[GoldDropMin]],EnemyGameData[[#This Row],[GoldDropMax]])</f>
        <v>2</v>
      </c>
    </row>
    <row r="7" spans="2:22" s="25" customFormat="1">
      <c r="B7" s="25">
        <v>504</v>
      </c>
      <c r="C7" s="26" t="s">
        <v>237</v>
      </c>
      <c r="D7" s="26" t="s">
        <v>447</v>
      </c>
      <c r="E7" s="25">
        <f>표14[적 기준 체력]*EnemyGameData[[#This Row],['#기준 적 체력 비율]]</f>
        <v>80</v>
      </c>
      <c r="F7">
        <v>10</v>
      </c>
      <c r="G7" s="25" t="s">
        <v>312</v>
      </c>
      <c r="H7" s="25">
        <v>4</v>
      </c>
      <c r="I7" s="25">
        <v>1.5</v>
      </c>
      <c r="J7" s="25">
        <v>2</v>
      </c>
      <c r="K7">
        <v>25</v>
      </c>
      <c r="L7" s="25">
        <v>3</v>
      </c>
      <c r="M7" s="25" t="s">
        <v>125</v>
      </c>
      <c r="N7" s="25">
        <v>4</v>
      </c>
      <c r="O7" s="25">
        <v>603</v>
      </c>
      <c r="P7" s="25">
        <v>0</v>
      </c>
      <c r="Q7" s="25">
        <v>0</v>
      </c>
      <c r="R7" s="25">
        <v>0</v>
      </c>
      <c r="S7" s="25">
        <v>501</v>
      </c>
      <c r="T7" s="25" t="s">
        <v>532</v>
      </c>
      <c r="U7" s="25">
        <v>0.8</v>
      </c>
      <c r="V7" s="25">
        <f>AVERAGE(EnemyGameData[[#This Row],[GoldDropMin]],EnemyGameData[[#This Row],[GoldDropMax]])</f>
        <v>0</v>
      </c>
    </row>
    <row r="8" spans="2:22" s="25" customFormat="1">
      <c r="B8" s="25">
        <v>505</v>
      </c>
      <c r="C8" s="26" t="s">
        <v>238</v>
      </c>
      <c r="D8" s="26" t="s">
        <v>447</v>
      </c>
      <c r="E8" s="25">
        <f>표14[적 기준 체력]*EnemyGameData[[#This Row],['#기준 적 체력 비율]]</f>
        <v>100</v>
      </c>
      <c r="F8">
        <v>10</v>
      </c>
      <c r="G8" s="25" t="s">
        <v>312</v>
      </c>
      <c r="H8" s="25">
        <v>4</v>
      </c>
      <c r="I8" s="25">
        <v>1.8</v>
      </c>
      <c r="J8" s="25">
        <v>2</v>
      </c>
      <c r="K8">
        <v>25</v>
      </c>
      <c r="L8" s="25">
        <v>3</v>
      </c>
      <c r="M8" s="25" t="s">
        <v>125</v>
      </c>
      <c r="N8" s="25">
        <v>4</v>
      </c>
      <c r="O8" s="25">
        <v>604</v>
      </c>
      <c r="P8" s="25">
        <v>0</v>
      </c>
      <c r="Q8" s="25">
        <v>0</v>
      </c>
      <c r="R8" s="25">
        <v>0</v>
      </c>
      <c r="S8" s="25">
        <v>501</v>
      </c>
      <c r="T8" s="25" t="s">
        <v>532</v>
      </c>
      <c r="U8" s="25">
        <v>1</v>
      </c>
      <c r="V8" s="25">
        <f>AVERAGE(EnemyGameData[[#This Row],[GoldDropMin]],EnemyGameData[[#This Row],[GoldDropMax]])</f>
        <v>0</v>
      </c>
    </row>
    <row r="9" spans="2:22">
      <c r="B9">
        <v>506</v>
      </c>
      <c r="C9" s="4" t="s">
        <v>241</v>
      </c>
      <c r="D9" s="18" t="s">
        <v>445</v>
      </c>
      <c r="E9">
        <f>표14[적 기준 체력]*EnemyGameData[[#This Row],['#기준 적 체력 비율]]</f>
        <v>100</v>
      </c>
      <c r="F9">
        <v>10</v>
      </c>
      <c r="G9" t="s">
        <v>312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125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21" t="s">
        <v>532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363</v>
      </c>
      <c r="D10" s="4"/>
      <c r="E10">
        <v>2000</v>
      </c>
      <c r="F10">
        <v>10</v>
      </c>
      <c r="G10" t="s">
        <v>123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125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9" t="s">
        <v>451</v>
      </c>
      <c r="D11" s="18" t="s">
        <v>450</v>
      </c>
      <c r="E11">
        <f>표14[적 기준 체력]*EnemyGameData[[#This Row],['#기준 적 체력 비율]]</f>
        <v>80</v>
      </c>
      <c r="F11">
        <v>10</v>
      </c>
      <c r="G11" t="s">
        <v>312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218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21" t="s">
        <v>532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8" t="s">
        <v>443</v>
      </c>
      <c r="D12" s="18" t="s">
        <v>416</v>
      </c>
      <c r="E12">
        <f>표14[적 기준 체력]*EnemyGameData[[#This Row],['#기준 적 체력 비율]]</f>
        <v>140</v>
      </c>
      <c r="F12">
        <v>10</v>
      </c>
      <c r="G12" t="s">
        <v>312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218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21" t="s">
        <v>532</v>
      </c>
      <c r="U12">
        <v>1.4</v>
      </c>
      <c r="V12">
        <v>7</v>
      </c>
    </row>
    <row r="13" spans="2:22">
      <c r="B13" s="37">
        <v>551</v>
      </c>
      <c r="C13" s="38" t="s">
        <v>441</v>
      </c>
      <c r="D13" s="38" t="s">
        <v>421</v>
      </c>
      <c r="E13" s="37">
        <f>표14[적 기준 체력]*EnemyGameData[[#This Row],['#기준 적 체력 비율]]</f>
        <v>160</v>
      </c>
      <c r="F13" s="37">
        <v>10</v>
      </c>
      <c r="G13" s="37" t="s">
        <v>123</v>
      </c>
      <c r="H13" s="37">
        <v>0.1</v>
      </c>
      <c r="I13" s="37">
        <v>1.2</v>
      </c>
      <c r="J13" s="37">
        <v>3</v>
      </c>
      <c r="K13">
        <v>25</v>
      </c>
      <c r="L13" s="37">
        <v>1.5</v>
      </c>
      <c r="M13" s="37" t="s">
        <v>125</v>
      </c>
      <c r="N13" s="37">
        <v>3.5</v>
      </c>
      <c r="O13" s="37">
        <v>651</v>
      </c>
      <c r="P13" s="37">
        <v>0</v>
      </c>
      <c r="Q13" s="37">
        <v>3</v>
      </c>
      <c r="R13" s="37">
        <v>5</v>
      </c>
      <c r="S13" s="37">
        <v>501</v>
      </c>
      <c r="T13" s="37" t="s">
        <v>532</v>
      </c>
      <c r="U13" s="37">
        <v>1.6</v>
      </c>
      <c r="V13" s="37">
        <v>7</v>
      </c>
    </row>
    <row r="14" spans="2:22">
      <c r="B14">
        <v>552</v>
      </c>
      <c r="C14" s="18" t="s">
        <v>442</v>
      </c>
      <c r="D14" s="18" t="s">
        <v>440</v>
      </c>
      <c r="E14">
        <f>표14[적 기준 체력]*EnemyGameData[[#This Row],['#기준 적 체력 비율]]</f>
        <v>140</v>
      </c>
      <c r="F14">
        <v>10</v>
      </c>
      <c r="G14" t="s">
        <v>312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125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21" t="s">
        <v>532</v>
      </c>
      <c r="U14">
        <v>1.4</v>
      </c>
      <c r="V14">
        <v>7</v>
      </c>
    </row>
    <row r="15" spans="2:22">
      <c r="B15">
        <v>553</v>
      </c>
      <c r="C15" s="19" t="s">
        <v>446</v>
      </c>
      <c r="D15" s="18" t="s">
        <v>444</v>
      </c>
      <c r="E15">
        <f>표14[적 기준 체력]*EnemyGameData[[#This Row],['#기준 적 체력 비율]]</f>
        <v>160</v>
      </c>
      <c r="F15">
        <v>10</v>
      </c>
      <c r="G15" t="s">
        <v>312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125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21" t="s">
        <v>532</v>
      </c>
      <c r="U15">
        <v>1.6</v>
      </c>
      <c r="V15">
        <f>AVERAGE(EnemyGameData[[#This Row],[GoldDropMin]],EnemyGameData[[#This Row],[GoldDropMax]])</f>
        <v>5</v>
      </c>
    </row>
    <row r="16" spans="2:22" s="25" customFormat="1">
      <c r="B16" s="25">
        <v>554</v>
      </c>
      <c r="C16" s="27" t="s">
        <v>448</v>
      </c>
      <c r="D16" s="26" t="s">
        <v>447</v>
      </c>
      <c r="E16" s="25">
        <f>표14[적 기준 체력]*EnemyGameData[[#This Row],['#기준 적 체력 비율]]</f>
        <v>20</v>
      </c>
      <c r="F16">
        <v>10</v>
      </c>
      <c r="G16" s="25" t="s">
        <v>123</v>
      </c>
      <c r="H16" s="25">
        <v>1</v>
      </c>
      <c r="I16" s="25">
        <v>0.3</v>
      </c>
      <c r="J16" s="25">
        <v>1.8</v>
      </c>
      <c r="K16">
        <v>25</v>
      </c>
      <c r="L16" s="25">
        <v>0</v>
      </c>
      <c r="M16" s="25" t="s">
        <v>74</v>
      </c>
      <c r="N16" s="25">
        <v>1</v>
      </c>
      <c r="O16" s="25">
        <v>0</v>
      </c>
      <c r="P16" s="25">
        <v>0</v>
      </c>
      <c r="Q16" s="25">
        <v>0</v>
      </c>
      <c r="R16" s="25">
        <v>0</v>
      </c>
      <c r="S16" s="25">
        <v>501</v>
      </c>
      <c r="T16" s="25" t="s">
        <v>531</v>
      </c>
      <c r="U16" s="25">
        <v>0.2</v>
      </c>
      <c r="V16" s="25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126</v>
      </c>
      <c r="F1" t="s">
        <v>101</v>
      </c>
      <c r="G1" t="s">
        <v>101</v>
      </c>
      <c r="H1" s="14" t="s">
        <v>414</v>
      </c>
      <c r="I1" s="14" t="s">
        <v>414</v>
      </c>
    </row>
    <row r="2" spans="2:9">
      <c r="B2" t="s">
        <v>76</v>
      </c>
      <c r="C2" s="5" t="s">
        <v>43</v>
      </c>
      <c r="D2" t="s">
        <v>318</v>
      </c>
      <c r="E2" t="s">
        <v>128</v>
      </c>
      <c r="F2" t="s">
        <v>317</v>
      </c>
      <c r="G2" t="s">
        <v>314</v>
      </c>
      <c r="H2" s="14" t="s">
        <v>414</v>
      </c>
      <c r="I2" s="14" t="s">
        <v>473</v>
      </c>
    </row>
    <row r="3" spans="2:9">
      <c r="B3">
        <v>600</v>
      </c>
      <c r="C3" s="20" t="s">
        <v>465</v>
      </c>
      <c r="D3">
        <v>700</v>
      </c>
      <c r="E3" t="s">
        <v>154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8" t="s">
        <v>422</v>
      </c>
      <c r="D4">
        <v>702</v>
      </c>
      <c r="E4" t="s">
        <v>150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8" t="s">
        <v>422</v>
      </c>
      <c r="D5">
        <v>706</v>
      </c>
      <c r="E5" t="s">
        <v>150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8" t="s">
        <v>422</v>
      </c>
      <c r="D6">
        <v>712</v>
      </c>
      <c r="E6" t="s">
        <v>150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8" t="s">
        <v>422</v>
      </c>
      <c r="D7">
        <v>709</v>
      </c>
      <c r="E7" t="s">
        <v>150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8" t="s">
        <v>422</v>
      </c>
      <c r="D8">
        <v>711</v>
      </c>
      <c r="E8" t="s">
        <v>150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8" t="s">
        <v>422</v>
      </c>
      <c r="D9">
        <v>708</v>
      </c>
      <c r="E9" t="s">
        <v>150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8" t="s">
        <v>422</v>
      </c>
      <c r="D10">
        <v>718</v>
      </c>
      <c r="E10" t="s">
        <v>150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8" t="s">
        <v>422</v>
      </c>
      <c r="D11">
        <v>710</v>
      </c>
      <c r="E11" t="s">
        <v>150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8" t="s">
        <v>422</v>
      </c>
      <c r="D12">
        <v>703</v>
      </c>
      <c r="E12" t="s">
        <v>150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0" t="s">
        <v>461</v>
      </c>
      <c r="D13">
        <v>719</v>
      </c>
      <c r="E13" t="s">
        <v>150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156</v>
      </c>
      <c r="D14">
        <v>720</v>
      </c>
      <c r="E14" t="s">
        <v>150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0" t="s">
        <v>469</v>
      </c>
      <c r="D15">
        <v>721</v>
      </c>
      <c r="E15" t="s">
        <v>150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0" t="s">
        <v>469</v>
      </c>
      <c r="D16">
        <v>722</v>
      </c>
      <c r="E16" t="s">
        <v>150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0" t="s">
        <v>469</v>
      </c>
      <c r="D17">
        <v>723</v>
      </c>
      <c r="E17" t="s">
        <v>150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0" t="s">
        <v>460</v>
      </c>
      <c r="D18">
        <v>724</v>
      </c>
      <c r="E18" t="s">
        <v>150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344</v>
      </c>
      <c r="D19">
        <v>724</v>
      </c>
      <c r="E19" t="s">
        <v>150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344</v>
      </c>
      <c r="D20">
        <v>724</v>
      </c>
      <c r="E20" t="s">
        <v>150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344</v>
      </c>
      <c r="D21">
        <v>724</v>
      </c>
      <c r="E21" t="s">
        <v>150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2" t="s">
        <v>459</v>
      </c>
      <c r="D22">
        <v>701</v>
      </c>
      <c r="E22" t="s">
        <v>154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20" t="s">
        <v>466</v>
      </c>
      <c r="D23">
        <v>725</v>
      </c>
      <c r="E23" t="s">
        <v>154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20" t="s">
        <v>467</v>
      </c>
      <c r="D24">
        <v>725</v>
      </c>
      <c r="E24" t="s">
        <v>154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20" t="s">
        <v>468</v>
      </c>
      <c r="D25">
        <v>725</v>
      </c>
      <c r="E25" t="s">
        <v>154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2" t="s">
        <v>495</v>
      </c>
      <c r="D26">
        <v>716</v>
      </c>
      <c r="E26" t="s">
        <v>150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2" t="s">
        <v>495</v>
      </c>
      <c r="D27">
        <v>718</v>
      </c>
      <c r="E27" t="s">
        <v>150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2" t="s">
        <v>495</v>
      </c>
      <c r="D28">
        <v>708</v>
      </c>
      <c r="E28" t="s">
        <v>150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2" t="s">
        <v>495</v>
      </c>
      <c r="D29">
        <v>712</v>
      </c>
      <c r="E29" t="s">
        <v>150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2" t="s">
        <v>495</v>
      </c>
      <c r="D30">
        <v>708</v>
      </c>
      <c r="E30" t="s">
        <v>150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2" t="s">
        <v>495</v>
      </c>
      <c r="D31">
        <v>711</v>
      </c>
      <c r="E31" t="s">
        <v>150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2" t="s">
        <v>495</v>
      </c>
      <c r="D32">
        <v>713</v>
      </c>
      <c r="E32" t="s">
        <v>150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2" t="s">
        <v>495</v>
      </c>
      <c r="D33">
        <v>713</v>
      </c>
      <c r="E33" t="s">
        <v>150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2" t="s">
        <v>495</v>
      </c>
      <c r="D34">
        <v>705</v>
      </c>
      <c r="E34" t="s">
        <v>150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2" t="s">
        <v>495</v>
      </c>
      <c r="D35">
        <v>706</v>
      </c>
      <c r="E35" t="s">
        <v>150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2" t="s">
        <v>495</v>
      </c>
      <c r="D36">
        <v>711</v>
      </c>
      <c r="E36" t="s">
        <v>150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2" t="s">
        <v>495</v>
      </c>
      <c r="D37">
        <v>712</v>
      </c>
      <c r="E37" t="s">
        <v>150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2" t="s">
        <v>495</v>
      </c>
      <c r="D38">
        <v>708</v>
      </c>
      <c r="E38" t="s">
        <v>150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2" t="s">
        <v>495</v>
      </c>
      <c r="D39">
        <v>702</v>
      </c>
      <c r="E39" t="s">
        <v>150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2" t="s">
        <v>495</v>
      </c>
      <c r="D40">
        <v>708</v>
      </c>
      <c r="E40" t="s">
        <v>150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2" t="s">
        <v>495</v>
      </c>
      <c r="D41">
        <v>717</v>
      </c>
      <c r="E41" t="s">
        <v>150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2" t="s">
        <v>470</v>
      </c>
      <c r="D42">
        <v>726</v>
      </c>
      <c r="E42" t="s">
        <v>150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2" t="s">
        <v>471</v>
      </c>
      <c r="D43">
        <v>726</v>
      </c>
      <c r="E43" t="s">
        <v>150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2" t="s">
        <v>472</v>
      </c>
      <c r="D44">
        <v>726</v>
      </c>
      <c r="E44" t="s">
        <v>150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6" t="s">
        <v>454</v>
      </c>
      <c r="D45">
        <v>700</v>
      </c>
      <c r="E45" t="s">
        <v>150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2" t="s">
        <v>454</v>
      </c>
      <c r="D46">
        <v>701</v>
      </c>
      <c r="E46" t="s">
        <v>150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2" t="s">
        <v>454</v>
      </c>
      <c r="D47">
        <v>700</v>
      </c>
      <c r="E47" t="s">
        <v>150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2" t="s">
        <v>454</v>
      </c>
      <c r="D48">
        <v>701</v>
      </c>
      <c r="E48" t="s">
        <v>150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2" t="s">
        <v>454</v>
      </c>
      <c r="D49">
        <v>700</v>
      </c>
      <c r="E49" t="s">
        <v>150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2" t="s">
        <v>454</v>
      </c>
      <c r="D50">
        <v>701</v>
      </c>
      <c r="E50" t="s">
        <v>150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2" t="s">
        <v>454</v>
      </c>
      <c r="D51">
        <v>700</v>
      </c>
      <c r="E51" t="s">
        <v>150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2" t="s">
        <v>454</v>
      </c>
      <c r="D52">
        <v>701</v>
      </c>
      <c r="E52" t="s">
        <v>150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2" t="s">
        <v>454</v>
      </c>
      <c r="D53">
        <v>700</v>
      </c>
      <c r="E53" t="s">
        <v>150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2" t="s">
        <v>454</v>
      </c>
      <c r="D54">
        <v>701</v>
      </c>
      <c r="E54" t="s">
        <v>150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2" t="s">
        <v>454</v>
      </c>
      <c r="D55">
        <v>700</v>
      </c>
      <c r="E55" t="s">
        <v>150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21">
        <v>9991</v>
      </c>
      <c r="C56" s="22" t="s">
        <v>454</v>
      </c>
      <c r="D56">
        <v>727</v>
      </c>
      <c r="E56" t="s">
        <v>150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2" t="s">
        <v>455</v>
      </c>
      <c r="D57">
        <v>725</v>
      </c>
      <c r="E57" s="21" t="s">
        <v>452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2" t="s">
        <v>455</v>
      </c>
      <c r="D58">
        <v>725</v>
      </c>
      <c r="E58" s="21" t="s">
        <v>452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2" t="s">
        <v>456</v>
      </c>
      <c r="D59">
        <v>999</v>
      </c>
      <c r="E59" s="21" t="s">
        <v>453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22" zoomScaleNormal="75" zoomScaleSheetLayoutView="100" workbookViewId="0">
      <selection activeCell="B73" sqref="B7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126</v>
      </c>
      <c r="E1" t="s">
        <v>46</v>
      </c>
      <c r="F1" t="s">
        <v>46</v>
      </c>
      <c r="G1" t="s">
        <v>46</v>
      </c>
    </row>
    <row r="2" spans="2:7">
      <c r="B2" t="s">
        <v>76</v>
      </c>
      <c r="C2" s="5" t="s">
        <v>43</v>
      </c>
      <c r="D2" t="s">
        <v>319</v>
      </c>
      <c r="E2" t="s">
        <v>11</v>
      </c>
      <c r="F2" t="s">
        <v>219</v>
      </c>
      <c r="G2" t="s">
        <v>322</v>
      </c>
    </row>
    <row r="3" spans="2:7">
      <c r="B3">
        <v>700</v>
      </c>
      <c r="C3" s="4" t="s">
        <v>337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337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337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337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229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229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229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229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151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8" t="s">
        <v>425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8" t="s">
        <v>426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8" t="s">
        <v>427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8" t="s">
        <v>428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8" t="s">
        <v>429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8" t="s">
        <v>430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8" t="s">
        <v>431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8" t="s">
        <v>432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8" t="s">
        <v>433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8" t="s">
        <v>434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8" t="s">
        <v>435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8" t="s">
        <v>423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8" t="s">
        <v>436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8" t="s">
        <v>424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8" t="s">
        <v>437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8" t="s">
        <v>438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8" t="s">
        <v>462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345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345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345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345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345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345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345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345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231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231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231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231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231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231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231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231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243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243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243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243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243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243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243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243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235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235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235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235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235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235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235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235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159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8" t="s">
        <v>419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8" t="s">
        <v>419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8" t="s">
        <v>418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8" t="s">
        <v>418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8" t="s">
        <v>418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8" t="s">
        <v>418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8" t="s">
        <v>418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8" t="s">
        <v>418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4" t="s">
        <v>338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9" t="s">
        <v>513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9" t="s">
        <v>513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9" t="s">
        <v>512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9" t="s">
        <v>512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9" t="s">
        <v>512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9" t="s">
        <v>512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9" t="s">
        <v>512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9" t="s">
        <v>512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9" t="s">
        <v>513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9" t="s">
        <v>513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9" t="s">
        <v>512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9" t="s">
        <v>512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9" t="s">
        <v>512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9" t="s">
        <v>512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9" t="s">
        <v>512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9" t="s">
        <v>512</v>
      </c>
      <c r="D88">
        <v>-112.5</v>
      </c>
      <c r="E88">
        <v>401</v>
      </c>
      <c r="F88">
        <v>0</v>
      </c>
      <c r="G88">
        <v>6.5</v>
      </c>
    </row>
    <row r="89" spans="2:7">
      <c r="B89">
        <v>999</v>
      </c>
      <c r="C89" s="23" t="s">
        <v>457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133</v>
      </c>
      <c r="E1" t="s">
        <v>101</v>
      </c>
      <c r="F1" t="s">
        <v>46</v>
      </c>
      <c r="G1" t="s">
        <v>100</v>
      </c>
    </row>
    <row r="2" spans="2:7">
      <c r="B2" t="s">
        <v>76</v>
      </c>
      <c r="C2" s="5" t="s">
        <v>43</v>
      </c>
      <c r="D2" t="s">
        <v>334</v>
      </c>
      <c r="E2" t="s">
        <v>170</v>
      </c>
      <c r="F2" t="s">
        <v>304</v>
      </c>
      <c r="G2" t="s">
        <v>311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369</v>
      </c>
    </row>
    <row r="4" spans="2:7">
      <c r="B4">
        <v>500</v>
      </c>
      <c r="C4" s="4" t="s">
        <v>40</v>
      </c>
      <c r="D4" s="3" t="b">
        <v>0</v>
      </c>
      <c r="E4">
        <v>1</v>
      </c>
      <c r="F4">
        <v>60</v>
      </c>
      <c r="G4" t="s">
        <v>368</v>
      </c>
    </row>
    <row r="5" spans="2:7">
      <c r="B5">
        <v>501</v>
      </c>
      <c r="C5" s="4" t="s">
        <v>153</v>
      </c>
      <c r="D5" s="3" t="b">
        <v>0</v>
      </c>
      <c r="E5">
        <v>1</v>
      </c>
      <c r="F5">
        <v>60</v>
      </c>
      <c r="G5" t="s">
        <v>368</v>
      </c>
    </row>
    <row r="6" spans="2:7">
      <c r="B6">
        <v>400</v>
      </c>
      <c r="C6" s="4" t="s">
        <v>134</v>
      </c>
      <c r="D6" s="3" t="b">
        <v>0</v>
      </c>
      <c r="E6">
        <v>0.25</v>
      </c>
      <c r="F6">
        <v>25</v>
      </c>
      <c r="G6" t="s">
        <v>368</v>
      </c>
    </row>
    <row r="7" spans="2:7">
      <c r="B7">
        <v>401</v>
      </c>
      <c r="C7" s="4" t="s">
        <v>346</v>
      </c>
      <c r="D7" s="3" t="b">
        <v>1</v>
      </c>
      <c r="E7">
        <v>0.25</v>
      </c>
      <c r="F7">
        <v>25</v>
      </c>
      <c r="G7" t="s">
        <v>368</v>
      </c>
    </row>
    <row r="8" spans="2:7">
      <c r="B8">
        <v>402</v>
      </c>
      <c r="C8" s="4" t="s">
        <v>131</v>
      </c>
      <c r="D8" s="3" t="b">
        <v>0</v>
      </c>
      <c r="E8">
        <v>0.4</v>
      </c>
      <c r="F8">
        <v>25</v>
      </c>
      <c r="G8" t="s">
        <v>368</v>
      </c>
    </row>
    <row r="9" spans="2:7">
      <c r="B9">
        <v>403</v>
      </c>
      <c r="C9" s="18" t="s">
        <v>463</v>
      </c>
      <c r="D9" s="3" t="b">
        <v>0</v>
      </c>
      <c r="E9">
        <v>0.8</v>
      </c>
      <c r="F9">
        <v>25</v>
      </c>
      <c r="G9" t="s">
        <v>368</v>
      </c>
    </row>
    <row r="10" spans="2:7">
      <c r="B10">
        <v>404</v>
      </c>
      <c r="C10" s="18" t="s">
        <v>464</v>
      </c>
      <c r="D10" s="3" t="b">
        <v>1</v>
      </c>
      <c r="E10">
        <v>0.8</v>
      </c>
      <c r="F10">
        <v>25</v>
      </c>
      <c r="G10" t="s">
        <v>368</v>
      </c>
    </row>
    <row r="11" spans="2:7">
      <c r="B11">
        <v>999</v>
      </c>
      <c r="C11" s="23" t="s">
        <v>458</v>
      </c>
      <c r="D11" t="b">
        <v>1</v>
      </c>
      <c r="E11">
        <v>1</v>
      </c>
      <c r="F11">
        <v>25</v>
      </c>
      <c r="G11" s="21" t="s">
        <v>503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topLeftCell="C1" zoomScaleNormal="75" zoomScaleSheetLayoutView="100" workbookViewId="0">
      <selection activeCell="C8" sqref="C8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51</v>
      </c>
      <c r="C1" t="s">
        <v>77</v>
      </c>
      <c r="D1" t="s">
        <v>77</v>
      </c>
      <c r="E1" t="s">
        <v>77</v>
      </c>
      <c r="F1" t="s">
        <v>46</v>
      </c>
      <c r="G1" t="s">
        <v>46</v>
      </c>
      <c r="H1" t="s">
        <v>46</v>
      </c>
      <c r="I1" t="s">
        <v>46</v>
      </c>
      <c r="J1" t="s">
        <v>100</v>
      </c>
      <c r="K1" t="s">
        <v>49</v>
      </c>
    </row>
    <row r="2" spans="2:17">
      <c r="B2" t="s">
        <v>76</v>
      </c>
      <c r="C2" t="s">
        <v>80</v>
      </c>
      <c r="D2" t="s">
        <v>165</v>
      </c>
      <c r="E2" t="s">
        <v>284</v>
      </c>
      <c r="F2" t="s">
        <v>89</v>
      </c>
      <c r="G2" t="s">
        <v>93</v>
      </c>
      <c r="H2" t="s">
        <v>285</v>
      </c>
      <c r="I2" t="s">
        <v>16</v>
      </c>
      <c r="J2" t="s">
        <v>195</v>
      </c>
      <c r="K2" s="5" t="s">
        <v>358</v>
      </c>
      <c r="L2" s="1" t="s">
        <v>49</v>
      </c>
      <c r="M2" s="1" t="s">
        <v>396</v>
      </c>
      <c r="N2" s="1" t="s">
        <v>397</v>
      </c>
      <c r="O2" s="1" t="s">
        <v>398</v>
      </c>
      <c r="P2" s="28" t="s">
        <v>496</v>
      </c>
      <c r="Q2" s="28" t="s">
        <v>487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48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15"/>
      <c r="M3" s="15"/>
      <c r="N3" s="15"/>
      <c r="O3" s="15"/>
      <c r="P3" s="15"/>
      <c r="Q3" s="15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48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15"/>
      <c r="M4" s="15"/>
      <c r="N4" s="15"/>
      <c r="O4" s="15"/>
      <c r="P4" s="15"/>
      <c r="Q4" s="15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94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15"/>
      <c r="M5" s="15"/>
      <c r="N5" s="15"/>
      <c r="O5" s="15"/>
      <c r="P5" s="15"/>
      <c r="Q5" s="15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94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15"/>
      <c r="M6" s="15"/>
      <c r="N6" s="15"/>
      <c r="O6" s="15"/>
      <c r="P6" s="15"/>
      <c r="Q6" s="15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94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15"/>
      <c r="M7" s="15"/>
      <c r="N7" s="15"/>
      <c r="O7" s="15"/>
      <c r="P7" s="15"/>
      <c r="Q7" s="15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343</v>
      </c>
      <c r="D8" s="14" t="s">
        <v>400</v>
      </c>
      <c r="E8" t="s">
        <v>81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258</v>
      </c>
      <c r="K8" s="4" t="str">
        <f>MID(ItemTable[[#This Row],[ItemIconPath]],FIND("icon",ItemTable[[#This Row],[ItemIconPath]]),999)</f>
        <v>icon/item/item_02.png</v>
      </c>
      <c r="L8" s="16" t="s">
        <v>383</v>
      </c>
      <c r="M8" s="15" t="s">
        <v>359</v>
      </c>
      <c r="N8" s="15"/>
      <c r="O8" s="15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15"/>
      <c r="Q8" s="15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160</v>
      </c>
      <c r="D9" t="s">
        <v>401</v>
      </c>
      <c r="E9" t="s">
        <v>81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261</v>
      </c>
      <c r="K9" s="4" t="str">
        <f>MID(ItemTable[[#This Row],[ItemIconPath]],FIND("icon",ItemTable[[#This Row],[ItemIconPath]]),999)</f>
        <v>icon/item/item_04.png</v>
      </c>
      <c r="L9" s="16" t="s">
        <v>399</v>
      </c>
      <c r="M9" s="15" t="s">
        <v>366</v>
      </c>
      <c r="N9" s="15"/>
      <c r="O9" s="15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15"/>
      <c r="Q9" s="15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163</v>
      </c>
      <c r="D10" t="s">
        <v>402</v>
      </c>
      <c r="E10" t="s">
        <v>81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255</v>
      </c>
      <c r="K10" s="4" t="str">
        <f>MID(ItemTable[[#This Row],[ItemIconPath]],FIND("icon",ItemTable[[#This Row],[ItemIconPath]]),999)</f>
        <v>icon/item/item_05.png</v>
      </c>
      <c r="L10" s="16" t="s">
        <v>381</v>
      </c>
      <c r="M10" s="15" t="s">
        <v>355</v>
      </c>
      <c r="N10" s="15"/>
      <c r="O10" s="15" t="str">
        <f t="shared" si="0"/>
        <v>얼.죽.아 클럽의 새로운 유행입니다.\n\n&lt;size=20&gt;&lt;color=#97C456&gt;차징속도 +20%&lt;/color&gt;&lt;/size&gt;</v>
      </c>
      <c r="P10" s="15"/>
      <c r="Q10" s="15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162</v>
      </c>
      <c r="D11" t="s">
        <v>403</v>
      </c>
      <c r="E11" t="s">
        <v>81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253</v>
      </c>
      <c r="K11" s="4" t="str">
        <f>MID(ItemTable[[#This Row],[ItemIconPath]],FIND("icon",ItemTable[[#This Row],[ItemIconPath]]),999)</f>
        <v>icon/item/item_07.png</v>
      </c>
      <c r="L11" s="16" t="s">
        <v>382</v>
      </c>
      <c r="M11" s="15" t="s">
        <v>354</v>
      </c>
      <c r="N11" s="15"/>
      <c r="O11" s="15" t="str">
        <f t="shared" si="0"/>
        <v>배트 이외의 물건에 사용하지 마시오\nQT추출물 0.0006% 함유\nQT향 0.1%함유\n\n&lt;size=20&gt;&lt;color=#97C456&gt;공 충돌횟수 +1&lt;/color&gt;&lt;/size&gt;</v>
      </c>
      <c r="P11" s="15"/>
      <c r="Q11" s="15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158</v>
      </c>
      <c r="D12" s="30" t="s">
        <v>516</v>
      </c>
      <c r="E12" t="s">
        <v>81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256</v>
      </c>
      <c r="K12" s="4" t="str">
        <f>MID(ItemTable[[#This Row],[ItemIconPath]],FIND("icon",ItemTable[[#This Row],[ItemIconPath]]),999)</f>
        <v>icon/item/item_11.png</v>
      </c>
      <c r="L12" s="16" t="s">
        <v>499</v>
      </c>
      <c r="M12" s="16" t="s">
        <v>491</v>
      </c>
      <c r="N12" s="15"/>
      <c r="O12" s="15" t="str">
        <f t="shared" si="0"/>
        <v>시크한 표정이 매력적입니다.\n세 나라 이야기의 붉은 목마 입니다.\n\n&lt;size=20&gt;&lt;color=#97C456&gt;이동속도 +6&lt;/color&gt;&lt;/size&gt;</v>
      </c>
      <c r="P12" s="15"/>
      <c r="Q12" s="15" t="str">
        <f>IF(ItemTable[[#This Row],['#4]]=ItemTable[[#This Row],[Desc]],"T","F")</f>
        <v>F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164</v>
      </c>
      <c r="D13" t="s">
        <v>404</v>
      </c>
      <c r="E13" t="s">
        <v>81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257</v>
      </c>
      <c r="K13" s="4" t="str">
        <f>MID(ItemTable[[#This Row],[ItemIconPath]],FIND("icon",ItemTable[[#This Row],[ItemIconPath]]),999)</f>
        <v>icon/item/item_15.png</v>
      </c>
      <c r="L13" s="16" t="s">
        <v>395</v>
      </c>
      <c r="M13" s="15" t="s">
        <v>352</v>
      </c>
      <c r="N13" s="15"/>
      <c r="O13" s="15" t="str">
        <f t="shared" si="0"/>
        <v>대나무 향을 머금은 흰 밥이\n까만 김을 만나 완성된 환상적인 조합.\n\n&lt;size=20&gt;&lt;color=#97C456&gt;최대 체력 +1하트&lt;/color&gt;&lt;/size&gt;</v>
      </c>
      <c r="P13" s="15"/>
      <c r="Q13" s="15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60</v>
      </c>
      <c r="D14" s="30" t="s">
        <v>501</v>
      </c>
      <c r="E14" t="s">
        <v>82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259</v>
      </c>
      <c r="K14" s="4" t="str">
        <f>MID(ItemTable[[#This Row],[ItemIconPath]],FIND("icon",ItemTable[[#This Row],[ItemIconPath]]),999)</f>
        <v>icon/item/item_17.png</v>
      </c>
      <c r="L14" s="16" t="s">
        <v>412</v>
      </c>
      <c r="M14" s="16" t="s">
        <v>492</v>
      </c>
      <c r="N14" s="15"/>
      <c r="O14" s="15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16" t="s">
        <v>500</v>
      </c>
      <c r="Q14" s="15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4" t="s">
        <v>384</v>
      </c>
      <c r="D15" t="s">
        <v>413</v>
      </c>
      <c r="E15" t="s">
        <v>82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262</v>
      </c>
      <c r="K15" s="4" t="str">
        <f>MID(ItemTable[[#This Row],[ItemIconPath]],FIND("icon",ItemTable[[#This Row],[ItemIconPath]]),999)</f>
        <v>icon/item/item_12.png</v>
      </c>
      <c r="L15" s="16" t="s">
        <v>411</v>
      </c>
      <c r="M15" s="15" t="s">
        <v>36</v>
      </c>
      <c r="N15" s="15"/>
      <c r="O15" s="15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15"/>
      <c r="Q15" s="15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62</v>
      </c>
      <c r="D16" t="s">
        <v>494</v>
      </c>
      <c r="E16" t="s">
        <v>82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264</v>
      </c>
      <c r="K16" s="4" t="str">
        <f>MID(ItemTable[[#This Row],[ItemIconPath]],FIND("icon",ItemTable[[#This Row],[ItemIconPath]]),999)</f>
        <v>icon/item/item_09.png</v>
      </c>
      <c r="L16" s="16" t="s">
        <v>394</v>
      </c>
      <c r="M16" s="16" t="s">
        <v>493</v>
      </c>
      <c r="N16" s="15"/>
      <c r="O16" s="15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15"/>
      <c r="Q16" s="15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340</v>
      </c>
      <c r="D17" t="s">
        <v>405</v>
      </c>
      <c r="E17" t="s">
        <v>82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265</v>
      </c>
      <c r="K17" s="4" t="str">
        <f>MID(ItemTable[[#This Row],[ItemIconPath]],FIND("icon",ItemTable[[#This Row],[ItemIconPath]]),999)</f>
        <v>icon/item/item_10.png</v>
      </c>
      <c r="L17" s="16" t="s">
        <v>385</v>
      </c>
      <c r="M17" s="15" t="s">
        <v>351</v>
      </c>
      <c r="N17" s="15"/>
      <c r="O17" s="15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15"/>
      <c r="Q17" s="15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357</v>
      </c>
      <c r="D18" t="s">
        <v>406</v>
      </c>
      <c r="E18" t="s">
        <v>82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266</v>
      </c>
      <c r="K18" s="4" t="str">
        <f>MID(ItemTable[[#This Row],[ItemIconPath]],FIND("icon",ItemTable[[#This Row],[ItemIconPath]]),999)</f>
        <v>icon/item/item_16.png</v>
      </c>
      <c r="L18" s="16" t="s">
        <v>389</v>
      </c>
      <c r="M18" s="15" t="s">
        <v>353</v>
      </c>
      <c r="N18" s="15"/>
      <c r="O18" s="15" t="str">
        <f t="shared" si="0"/>
        <v>종교적인 용도로 보이는 컵입니다.\n잠깐, 방금 조금 움직인 것 같은데요?\n\n&lt;size=20&gt;&lt;color=#97C456&gt;공 충돌횟수 +2&lt;/color&gt;&lt;/size&gt;</v>
      </c>
      <c r="P18" s="15"/>
      <c r="Q18" s="15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166</v>
      </c>
      <c r="D19" t="s">
        <v>407</v>
      </c>
      <c r="E19" t="s">
        <v>82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268</v>
      </c>
      <c r="K19" s="4" t="str">
        <f>MID(ItemTable[[#This Row],[ItemIconPath]],FIND("icon",ItemTable[[#This Row],[ItemIconPath]]),999)</f>
        <v>icon/item/item_03.png</v>
      </c>
      <c r="L19" s="16" t="s">
        <v>386</v>
      </c>
      <c r="M19" s="16" t="s">
        <v>390</v>
      </c>
      <c r="N19" s="15"/>
      <c r="O19" s="15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15"/>
      <c r="Q19" s="15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161</v>
      </c>
      <c r="D20" t="s">
        <v>408</v>
      </c>
      <c r="E20" t="s">
        <v>91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277</v>
      </c>
      <c r="K20" s="4" t="str">
        <f>MID(ItemTable[[#This Row],[ItemIconPath]],FIND("icon",ItemTable[[#This Row],[ItemIconPath]]),999)</f>
        <v>icon/item/item_06.png</v>
      </c>
      <c r="L20" s="16" t="s">
        <v>393</v>
      </c>
      <c r="M20" s="15" t="s">
        <v>365</v>
      </c>
      <c r="N20" s="15" t="s">
        <v>361</v>
      </c>
      <c r="O20" s="15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15"/>
      <c r="Q20" s="15" t="str">
        <f>IF(ItemTable[[#This Row],['#4]]=ItemTable[[#This Row],[Desc]],"T","F")</f>
        <v>T</v>
      </c>
    </row>
    <row r="21" spans="2:17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157</v>
      </c>
      <c r="D21" s="14" t="s">
        <v>517</v>
      </c>
      <c r="E21" t="s">
        <v>91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280</v>
      </c>
      <c r="K21" s="4" t="str">
        <f>MID(ItemTable[[#This Row],[ItemIconPath]],FIND("icon",ItemTable[[#This Row],[ItemIconPath]]),999)</f>
        <v>icon/item/item_08.png</v>
      </c>
      <c r="L21" s="16" t="s">
        <v>387</v>
      </c>
      <c r="M21" s="15" t="s">
        <v>360</v>
      </c>
      <c r="N21" s="15" t="s">
        <v>362</v>
      </c>
      <c r="O21" s="15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15"/>
      <c r="Q21" s="15" t="str">
        <f>IF(ItemTable[[#This Row],['#4]]=ItemTable[[#This Row],[Desc]],"T","F")</f>
        <v>F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349</v>
      </c>
      <c r="D22" t="s">
        <v>497</v>
      </c>
      <c r="E22" t="s">
        <v>91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278</v>
      </c>
      <c r="K22" s="4" t="str">
        <f>MID(ItemTable[[#This Row],[ItemIconPath]],FIND("icon",ItemTable[[#This Row],[ItemIconPath]]),999)</f>
        <v>icon/item/item_14.png</v>
      </c>
      <c r="L22" s="16" t="s">
        <v>392</v>
      </c>
      <c r="M22" s="16" t="s">
        <v>486</v>
      </c>
      <c r="N22" s="15" t="s">
        <v>244</v>
      </c>
      <c r="O22" s="15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16" t="s">
        <v>498</v>
      </c>
      <c r="Q22" s="15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341</v>
      </c>
      <c r="D23" t="s">
        <v>409</v>
      </c>
      <c r="E23" t="s">
        <v>91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279</v>
      </c>
      <c r="K23" s="4" t="str">
        <f>MID(ItemTable[[#This Row],[ItemIconPath]],FIND("icon",ItemTable[[#This Row],[ItemIconPath]]),999)</f>
        <v>icon/item/item_01.png</v>
      </c>
      <c r="L23" s="16" t="s">
        <v>388</v>
      </c>
      <c r="M23" s="15" t="s">
        <v>356</v>
      </c>
      <c r="N23" s="15" t="s">
        <v>364</v>
      </c>
      <c r="O23" s="15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15"/>
      <c r="Q23" s="15" t="str">
        <f>IF(ItemTable[[#This Row],['#4]]=ItemTable[[#This Row],[Desc]],"T","F")</f>
        <v>T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55</v>
      </c>
      <c r="D24" s="14" t="s">
        <v>502</v>
      </c>
      <c r="E24" t="s">
        <v>91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263</v>
      </c>
      <c r="K24" s="4" t="str">
        <f>MID(ItemTable[[#This Row],[ItemIconPath]],FIND("icon",ItemTable[[#This Row],[ItemIconPath]]),999)</f>
        <v>icon/item/item_13.png</v>
      </c>
      <c r="L24" s="16" t="s">
        <v>410</v>
      </c>
      <c r="M24" s="16" t="s">
        <v>391</v>
      </c>
      <c r="N24" s="15" t="s">
        <v>367</v>
      </c>
      <c r="O24" s="15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15"/>
      <c r="Q24" s="15" t="str">
        <f>IF(ItemTable[[#This Row],['#4]]=ItemTable[[#This Row],[Desc]],"T","F")</f>
        <v>F</v>
      </c>
    </row>
    <row r="26" spans="2:17">
      <c r="I26" s="14"/>
    </row>
    <row r="27" spans="2:17">
      <c r="I27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L5"/>
  <sheetViews>
    <sheetView tabSelected="1" topLeftCell="B1" zoomScale="129" zoomScaleNormal="129" zoomScaleSheetLayoutView="100" workbookViewId="0">
      <selection activeCell="I9" sqref="I9"/>
    </sheetView>
  </sheetViews>
  <sheetFormatPr baseColWidth="10" defaultColWidth="8.83203125" defaultRowHeight="17"/>
  <cols>
    <col min="2" max="2" width="12.33203125" bestFit="1" customWidth="1"/>
    <col min="3" max="3" width="20" bestFit="1" customWidth="1"/>
    <col min="4" max="4" width="10.1640625" bestFit="1" customWidth="1"/>
    <col min="5" max="5" width="8.6640625" bestFit="1" customWidth="1"/>
    <col min="6" max="6" width="21.1640625" bestFit="1" customWidth="1"/>
    <col min="7" max="7" width="21.1640625" customWidth="1"/>
    <col min="8" max="8" width="22.5" customWidth="1"/>
    <col min="9" max="9" width="21.6640625" bestFit="1" customWidth="1"/>
    <col min="10" max="10" width="21.6640625" customWidth="1"/>
    <col min="11" max="11" width="22.83203125" bestFit="1" customWidth="1"/>
    <col min="12" max="12" width="17.83203125" customWidth="1"/>
  </cols>
  <sheetData>
    <row r="1" spans="2:12">
      <c r="E1" t="s">
        <v>46</v>
      </c>
      <c r="F1" t="s">
        <v>126</v>
      </c>
      <c r="G1" s="21" t="s">
        <v>514</v>
      </c>
      <c r="H1" s="21" t="s">
        <v>519</v>
      </c>
      <c r="I1" t="s">
        <v>126</v>
      </c>
      <c r="J1" s="21" t="s">
        <v>534</v>
      </c>
      <c r="K1" t="s">
        <v>126</v>
      </c>
      <c r="L1" s="21" t="s">
        <v>519</v>
      </c>
    </row>
    <row r="2" spans="2:12">
      <c r="B2" s="5" t="s">
        <v>124</v>
      </c>
      <c r="C2" s="5" t="s">
        <v>127</v>
      </c>
      <c r="D2" s="5" t="s">
        <v>129</v>
      </c>
      <c r="E2" t="s">
        <v>76</v>
      </c>
      <c r="F2" s="21" t="s">
        <v>539</v>
      </c>
      <c r="G2" s="21" t="s">
        <v>540</v>
      </c>
      <c r="H2" s="21" t="s">
        <v>520</v>
      </c>
      <c r="I2" s="21" t="s">
        <v>521</v>
      </c>
      <c r="J2" s="39" t="s">
        <v>523</v>
      </c>
      <c r="K2" s="21" t="s">
        <v>522</v>
      </c>
      <c r="L2" s="39" t="s">
        <v>543</v>
      </c>
    </row>
    <row r="3" spans="2:12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 s="21">
        <v>7000</v>
      </c>
      <c r="F3" s="21" t="s">
        <v>518</v>
      </c>
      <c r="G3" s="11">
        <v>7000</v>
      </c>
      <c r="H3">
        <v>0.7</v>
      </c>
      <c r="I3" s="21" t="s">
        <v>547</v>
      </c>
      <c r="J3" s="21" t="s">
        <v>541</v>
      </c>
      <c r="K3" s="21" t="s">
        <v>542</v>
      </c>
      <c r="L3">
        <v>0.5</v>
      </c>
    </row>
    <row r="4" spans="2:12">
      <c r="B4" s="43"/>
      <c r="C4" s="44"/>
      <c r="D4" s="45"/>
      <c r="E4" s="21">
        <v>7001</v>
      </c>
      <c r="F4" s="21" t="s">
        <v>518</v>
      </c>
      <c r="G4" s="11">
        <v>7000</v>
      </c>
      <c r="H4">
        <v>0.7</v>
      </c>
      <c r="I4" s="21" t="s">
        <v>547</v>
      </c>
      <c r="K4" s="21" t="s">
        <v>544</v>
      </c>
      <c r="L4">
        <v>70</v>
      </c>
    </row>
    <row r="5" spans="2:12">
      <c r="B5" s="43"/>
      <c r="C5" s="44"/>
      <c r="D5" s="45"/>
      <c r="E5" s="21">
        <v>7002</v>
      </c>
      <c r="F5" s="21" t="s">
        <v>518</v>
      </c>
      <c r="G5" s="11">
        <v>7000</v>
      </c>
      <c r="H5">
        <v>0.7</v>
      </c>
      <c r="I5" s="21" t="s">
        <v>547</v>
      </c>
      <c r="J5" s="21"/>
      <c r="K5" s="21" t="s">
        <v>545</v>
      </c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F3"/>
  <sheetViews>
    <sheetView zoomScale="129" zoomScaleNormal="129" zoomScaleSheetLayoutView="100" workbookViewId="0">
      <selection activeCell="E7" sqref="E7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1.1640625" customWidth="1"/>
    <col min="5" max="5" width="22" customWidth="1"/>
    <col min="6" max="6" width="18.33203125" customWidth="1"/>
  </cols>
  <sheetData>
    <row r="1" spans="2:6">
      <c r="B1" t="s">
        <v>46</v>
      </c>
      <c r="C1" t="s">
        <v>126</v>
      </c>
      <c r="D1" s="21" t="s">
        <v>534</v>
      </c>
      <c r="E1" s="21" t="s">
        <v>536</v>
      </c>
      <c r="F1" s="21" t="s">
        <v>529</v>
      </c>
    </row>
    <row r="2" spans="2:6">
      <c r="B2" t="s">
        <v>76</v>
      </c>
      <c r="C2" s="21" t="s">
        <v>524</v>
      </c>
      <c r="D2" s="21" t="s">
        <v>535</v>
      </c>
      <c r="E2" s="1" t="s">
        <v>13</v>
      </c>
      <c r="F2" s="39" t="s">
        <v>537</v>
      </c>
    </row>
    <row r="3" spans="2:6">
      <c r="B3" s="21">
        <v>7000</v>
      </c>
      <c r="C3" s="21" t="s">
        <v>546</v>
      </c>
      <c r="D3" s="11">
        <v>2</v>
      </c>
      <c r="E3" t="s">
        <v>350</v>
      </c>
      <c r="F3">
        <v>3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F3"/>
  <sheetViews>
    <sheetView zoomScale="129" zoomScaleNormal="129" zoomScaleSheetLayoutView="100" workbookViewId="0">
      <selection activeCell="D6" sqref="D6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11.1640625" customWidth="1"/>
    <col min="5" max="5" width="10.6640625" customWidth="1"/>
    <col min="6" max="6" width="11.6640625" customWidth="1"/>
  </cols>
  <sheetData>
    <row r="1" spans="2:6">
      <c r="B1" t="s">
        <v>46</v>
      </c>
      <c r="C1" t="s">
        <v>126</v>
      </c>
      <c r="D1" s="21" t="s">
        <v>519</v>
      </c>
      <c r="E1" s="21" t="s">
        <v>529</v>
      </c>
      <c r="F1" s="21" t="s">
        <v>529</v>
      </c>
    </row>
    <row r="2" spans="2:6">
      <c r="B2" t="s">
        <v>76</v>
      </c>
      <c r="C2" s="21" t="s">
        <v>525</v>
      </c>
      <c r="D2" s="21" t="s">
        <v>526</v>
      </c>
      <c r="E2" s="39" t="s">
        <v>527</v>
      </c>
      <c r="F2" s="39" t="s">
        <v>528</v>
      </c>
    </row>
    <row r="3" spans="2:6">
      <c r="B3" s="21">
        <v>7000</v>
      </c>
      <c r="C3" s="21" t="s">
        <v>530</v>
      </c>
      <c r="D3" s="11">
        <v>0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78</v>
      </c>
      <c r="F1" t="s">
        <v>77</v>
      </c>
    </row>
    <row r="2" spans="2:6">
      <c r="B2" t="s">
        <v>76</v>
      </c>
      <c r="C2" s="5" t="s">
        <v>118</v>
      </c>
      <c r="D2" s="5" t="s">
        <v>119</v>
      </c>
      <c r="E2" t="s">
        <v>221</v>
      </c>
      <c r="F2" t="s">
        <v>222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325</v>
      </c>
      <c r="E3" t="s">
        <v>57</v>
      </c>
      <c r="F3" t="s">
        <v>250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120</v>
      </c>
      <c r="E4" t="s">
        <v>300</v>
      </c>
      <c r="F4" t="s">
        <v>377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325</v>
      </c>
      <c r="E5" t="s">
        <v>57</v>
      </c>
      <c r="F5" t="s">
        <v>375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299</v>
      </c>
      <c r="E6" t="s">
        <v>201</v>
      </c>
      <c r="F6" t="s">
        <v>184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326</v>
      </c>
      <c r="E7" t="s">
        <v>307</v>
      </c>
      <c r="F7" t="s">
        <v>379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325</v>
      </c>
      <c r="E8" t="s">
        <v>57</v>
      </c>
      <c r="F8" t="s">
        <v>378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326</v>
      </c>
      <c r="E9" t="s">
        <v>307</v>
      </c>
      <c r="F9" t="s">
        <v>272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77</v>
      </c>
      <c r="C1" t="s">
        <v>77</v>
      </c>
      <c r="D1" t="s">
        <v>49</v>
      </c>
    </row>
    <row r="2" spans="1:4">
      <c r="A2" t="s">
        <v>76</v>
      </c>
      <c r="B2" t="s">
        <v>289</v>
      </c>
      <c r="C2" t="s">
        <v>287</v>
      </c>
      <c r="D2" s="5" t="s">
        <v>117</v>
      </c>
    </row>
    <row r="3" spans="1:4">
      <c r="A3">
        <f>ItemTable[[#This Row],[Index]]+10000</f>
        <v>10010</v>
      </c>
      <c r="B3" t="s">
        <v>95</v>
      </c>
      <c r="C3" t="s">
        <v>102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96</v>
      </c>
      <c r="C4" t="s">
        <v>103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92</v>
      </c>
      <c r="C5" t="s">
        <v>104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97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98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99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136</v>
      </c>
      <c r="C9" t="s">
        <v>137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315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64</v>
      </c>
      <c r="C12" t="s">
        <v>288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85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293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88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66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192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63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107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65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67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86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83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75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68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108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69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70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71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87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79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73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173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254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371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191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380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190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187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185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205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269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189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267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175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178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275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271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213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176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180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179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169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174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172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177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ActiveEffectGameData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2023-07-26T17:15:52Z</dcterms:modified>
  <cp:version>1200.0100.01</cp:version>
</cp:coreProperties>
</file>