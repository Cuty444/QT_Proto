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0BAF0619-6A5B-49D1-BA5A-43451694D479}" xr6:coauthVersionLast="47" xr6:coauthVersionMax="47" xr10:uidLastSave="{00000000-0000-0000-0000-000000000000}"/>
  <bookViews>
    <workbookView xWindow="-108" yWindow="-108" windowWidth="23256" windowHeight="12456" firstSheet="5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" i="2" l="1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4" i="14" l="1"/>
  <c r="B23" i="14"/>
  <c r="C15" i="14"/>
  <c r="B15" i="14"/>
  <c r="C22" i="14"/>
  <c r="B16" i="14"/>
  <c r="B19" i="14"/>
  <c r="C20" i="14"/>
  <c r="C23" i="14"/>
  <c r="B22" i="14"/>
  <c r="B17" i="14"/>
  <c r="C19" i="14"/>
  <c r="C24" i="14"/>
  <c r="C21" i="14"/>
  <c r="B20" i="14"/>
  <c r="C16" i="14"/>
  <c r="B25" i="14"/>
  <c r="C17" i="14"/>
  <c r="C25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<sst xmlns="http://schemas.openxmlformats.org/spreadsheetml/2006/main" count="1226" uniqueCount="638">
  <si>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</si>
  <si>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</si>
  <si>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</si>
  <si>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</si>
  <si>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</si>
  <si>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</si>
  <si>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</si>
  <si>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</si>
  <si>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</si>
  <si>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</si>
  <si>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</si>
  <si>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</si>
  <si>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</si>
  <si>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</si>
  <si>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</si>
  <si>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</si>
  <si>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</si>
  <si>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</si>
  <si>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</si>
  <si>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</si>
  <si>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</si>
  <si>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</si>
  <si>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</si>
  <si>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</si>
  <si>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</si>
  <si>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</si>
  <si>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</si>
  <si>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</si>
  <si>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</si>
  <si>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</si>
  <si>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</si>
  <si>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</si>
  <si>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</si>
  <si>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</si>
  <si>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</si>
  <si>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</si>
  <si>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</si>
  <si>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</si>
  <si>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</si>
  <si>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</si>
  <si>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</si>
  <si>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</si>
  <si>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</si>
  <si>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</si>
  <si>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</si>
  <si>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</si>
  <si>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</si>
  <si>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</si>
  <si>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</si>
  <si>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</si>
  <si>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</si>
  <si>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</si>
  <si>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</si>
  <si>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</si>
  <si>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</si>
  <si>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</si>
  <si>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</si>
  <si>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</si>
  <si>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</si>
  <si>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</si>
  <si>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</si>
  <si>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</si>
  <si>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</si>
  <si>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</si>
  <si>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</si>
  <si>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</si>
  <si>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</si>
  <si>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</si>
  <si>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</si>
  <si>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</si>
  <si>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</si>
  <si>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</si>
  <si>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</si>
  <si>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</si>
  <si>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</si>
  <si>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</si>
  <si>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</si>
  <si>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</si>
  <si>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</si>
  <si>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</si>
  <si>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</si>
  <si>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</si>
  <si>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</si>
  <si>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</si>
  <si>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</si>
  <si>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</si>
  <si>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</si>
  <si>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</si>
  <si>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</si>
  <si>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</si>
  <si>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</si>
  <si>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</si>
  <si>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</si>
  <si>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</si>
  <si>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</si>
  <si>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</si>
  <si>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</si>
  <si>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</si>
  <si>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</si>
  <si>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</si>
  <si>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</si>
  <si>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</si>
  <si>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</si>
  <si>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</si>
  <si>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</si>
  <si>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</si>
  <si>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</si>
  <si>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</si>
  <si>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</si>
  <si>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</si>
  <si>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</si>
  <si>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</si>
  <si>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</si>
  <si>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</si>
  <si>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</si>
  <si>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</si>
  <si>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</si>
  <si>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</si>
  <si>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</si>
  <si>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</si>
  <si>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</si>
  <si>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</si>
  <si>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</si>
  <si>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</si>
  <si>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</si>
  <si>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</si>
  <si>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</si>
  <si>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</si>
  <si>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</si>
  <si>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</si>
  <si>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</si>
  <si>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</si>
  <si>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</si>
  <si>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</si>
  <si>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</si>
  <si>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</si>
  <si>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</si>
  <si>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</si>
  <si>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</si>
  <si>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</si>
  <si>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</si>
  <si>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</si>
  <si>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</si>
  <si>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</si>
  <si>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</si>
  <si>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</si>
  <si>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</si>
  <si>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</si>
  <si>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</si>
  <si>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</si>
  <si>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</si>
  <si>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</si>
  <si>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</si>
  <si>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</si>
  <si>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</si>
  <si>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</si>
  <si>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</si>
  <si>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</si>
  <si>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</si>
  <si>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</si>
  <si>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</si>
  <si>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</si>
  <si>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</si>
  <si>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</si>
  <si>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</si>
  <si>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</si>
  <si>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</si>
  <si>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</si>
  <si>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</si>
  <si>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</si>
  <si>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</si>
  <si>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</si>
  <si>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</si>
  <si>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</si>
  <si>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</si>
  <si>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</si>
  <si>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</si>
  <si>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</si>
  <si>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</si>
  <si>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</si>
  <si>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</si>
  <si>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</si>
  <si>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</si>
  <si>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</si>
  <si>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</si>
  <si>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</si>
  <si>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</si>
  <si>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</si>
  <si>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</si>
  <si>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</si>
  <si>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</si>
  <si>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</si>
  <si>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</si>
  <si>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</si>
  <si>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</si>
  <si>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</si>
  <si>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</si>
  <si>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</si>
  <si>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</si>
  <si>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</si>
  <si>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</si>
  <si>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</si>
  <si>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</si>
  <si>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</si>
  <si>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</si>
  <si>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</si>
  <si>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</si>
  <si>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</si>
  <si>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</si>
  <si>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</si>
  <si>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</si>
  <si>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</si>
  <si>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</si>
  <si>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</si>
  <si>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</si>
  <si>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</si>
  <si>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</si>
  <si>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</si>
  <si>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</si>
  <si>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</si>
  <si>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</si>
  <si>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</si>
  <si>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</si>
  <si>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</si>
  <si>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</si>
  <si>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</si>
  <si>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</si>
  <si>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</si>
  <si>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</si>
  <si>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</si>
  <si>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</si>
  <si>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</si>
  <si>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</si>
  <si>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</si>
  <si>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</si>
  <si>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</si>
  <si>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</si>
  <si>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</si>
  <si>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</si>
  <si>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</si>
  <si>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</si>
  <si>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</si>
  <si>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</si>
  <si>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</si>
  <si>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</si>
  <si>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</si>
  <si>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</si>
  <si>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</si>
  <si>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</si>
  <si>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</si>
  <si>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</si>
  <si>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</si>
  <si>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</si>
  <si>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</si>
  <si>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</si>
  <si>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</si>
  <si>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</si>
  <si>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</si>
  <si>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</si>
  <si>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</si>
  <si>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</si>
  <si>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</si>
  <si>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</si>
  <si>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</si>
  <si>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</si>
  <si>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</si>
  <si>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</si>
  <si>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</si>
  <si>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</si>
  <si>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</si>
  <si>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</si>
  <si>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</si>
  <si>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</si>
  <si>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</si>
  <si>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</si>
  <si>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</si>
  <si>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</si>
  <si>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</si>
  <si>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</si>
  <si>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</si>
  <si>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</si>
  <si>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</si>
  <si>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</si>
  <si>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</si>
  <si>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</si>
  <si>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</si>
  <si>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</si>
  <si>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</si>
  <si>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</si>
  <si>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</si>
  <si>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</si>
  <si>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</si>
  <si>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</si>
  <si>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</si>
  <si>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</si>
  <si>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</si>
  <si>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</si>
  <si>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</si>
  <si>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</si>
  <si>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</si>
  <si>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</si>
  <si>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</si>
  <si>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</si>
  <si>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</si>
  <si>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</si>
  <si>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</si>
  <si>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</si>
  <si>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</si>
  <si>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</si>
  <si>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</si>
  <si>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</si>
  <si>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</si>
  <si>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</si>
  <si>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</si>
  <si>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</si>
  <si>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</si>
  <si>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</si>
  <si>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</si>
  <si>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</si>
  <si>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</si>
  <si>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</si>
  <si>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</si>
  <si>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</si>
  <si>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</si>
  <si>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</si>
  <si>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</si>
  <si>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</si>
  <si>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</si>
  <si>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</si>
  <si>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</si>
  <si>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</si>
  <si>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</si>
  <si>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</si>
  <si>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</si>
  <si>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</si>
  <si>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</si>
  <si>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</si>
  <si>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</si>
  <si>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</si>
  <si>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</si>
  <si>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</si>
  <si>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</si>
  <si>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</si>
  <si>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</si>
  <si>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</si>
  <si>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</si>
  <si>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</si>
  <si>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</si>
  <si>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</si>
  <si>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</si>
  <si>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</si>
  <si>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</si>
  <si>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</si>
  <si>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</si>
  <si>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</si>
  <si>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</si>
  <si>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</si>
  <si>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</si>
  <si>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</si>
  <si>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</si>
  <si>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</si>
  <si>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</si>
  <si>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</si>
  <si>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</si>
  <si>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</si>
  <si>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</si>
  <si>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</si>
  <si>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</si>
  <si>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</si>
  <si>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</si>
  <si>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</si>
  <si>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</si>
  <si>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</si>
  <si>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</si>
  <si>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</si>
  <si>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</si>
  <si>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</si>
  <si>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</si>
  <si>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</si>
  <si>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</si>
  <si>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</si>
  <si>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</si>
  <si>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</si>
  <si>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</si>
  <si>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</si>
  <si>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</si>
  <si>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</si>
  <si>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</si>
  <si>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</si>
  <si>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</si>
  <si>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</si>
  <si>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</si>
  <si>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</si>
  <si>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</si>
  <si>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</si>
  <si>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</si>
  <si>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</si>
  <si>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</si>
  <si>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</si>
  <si>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</si>
  <si>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</si>
  <si>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</si>
  <si>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</si>
  <si>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</si>
  <si>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</si>
  <si>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</si>
  <si>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</si>
  <si>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</si>
  <si>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</si>
  <si>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</si>
  <si>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</si>
  <si>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</si>
  <si>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</si>
  <si>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</si>
  <si>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</si>
  <si>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</si>
  <si>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</si>
  <si>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</si>
  <si>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</si>
  <si>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</si>
  <si>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</si>
  <si>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</si>
  <si>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</si>
  <si>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</si>
  <si>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</si>
  <si>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</si>
  <si>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</si>
  <si>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</si>
  <si>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</si>
  <si>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</si>
  <si>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</si>
  <si>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</si>
  <si>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</si>
  <si>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</si>
  <si>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</si>
  <si>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</si>
  <si>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</si>
  <si>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</si>
  <si>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</si>
  <si>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</si>
  <si>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</si>
  <si>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</si>
  <si>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</si>
  <si>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</si>
  <si>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</si>
  <si>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</si>
  <si>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</si>
  <si>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</si>
  <si>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</si>
  <si>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</si>
  <si>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</si>
  <si>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</si>
  <si>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</si>
  <si>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</si>
  <si>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</si>
  <si>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</si>
  <si>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</si>
  <si>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</si>
  <si>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</si>
  <si>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</si>
  <si>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</si>
  <si>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</si>
  <si>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</si>
  <si>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</si>
  <si>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</si>
  <si>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</si>
  <si>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</si>
  <si>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</si>
  <si>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</si>
  <si>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</si>
  <si>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</si>
  <si>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</si>
  <si>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</si>
  <si>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</si>
  <si>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</si>
  <si>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</si>
  <si>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</si>
  <si>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</si>
  <si>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</si>
  <si>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</si>
  <si>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</si>
  <si>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</si>
  <si>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</si>
  <si>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</si>
  <si>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</si>
  <si>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</si>
  <si>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</si>
  <si>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</si>
  <si>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</si>
  <si>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</si>
  <si>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</si>
  <si>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</si>
  <si>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</si>
  <si>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</si>
  <si>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</si>
  <si>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</si>
  <si>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</si>
  <si>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</si>
  <si>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</si>
  <si>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</si>
  <si>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</si>
  <si>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</si>
  <si>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</si>
  <si>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</si>
  <si>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</si>
  <si>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</si>
  <si>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</si>
  <si>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</si>
  <si>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</si>
  <si>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</si>
  <si>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</si>
  <si>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</si>
  <si>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</si>
  <si>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</si>
  <si>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</si>
  <si>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</si>
  <si>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(HP_Base - HP)*0.004</t>
    <phoneticPr fontId="8" type="noConversion"/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</si>
  <si>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</si>
  <si>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</si>
  <si>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</si>
  <si>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</si>
  <si>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</si>
  <si>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</si>
  <si>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</si>
  <si>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</si>
  <si>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</si>
  <si>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</si>
  <si>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</si>
  <si>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</si>
  <si>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</si>
  <si>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</si>
  <si>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</si>
  <si>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</si>
  <si>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</si>
  <si>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</si>
  <si>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</si>
  <si>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</si>
  <si>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</si>
  <si>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</si>
  <si>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이동속도 +12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</si>
  <si>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</si>
  <si>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</si>
  <si>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</si>
  <si>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</si>
  <si>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</si>
  <si>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</si>
  <si>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</si>
  <si>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</si>
  <si>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</si>
  <si>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</si>
  <si>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</si>
  <si>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</si>
  <si>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</si>
  <si>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</si>
  <si>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</si>
  <si>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</si>
  <si>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</si>
  <si>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</si>
  <si>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</si>
  <si>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</si>
  <si>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</si>
  <si>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</si>
  <si>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</si>
  <si>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</si>
  <si>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</si>
  <si>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</si>
  <si>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</si>
  <si>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</si>
  <si>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</si>
  <si>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</si>
  <si>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</si>
  <si>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</si>
  <si>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</si>
  <si>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</si>
  <si>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</si>
  <si>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</si>
  <si>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</si>
  <si>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</si>
  <si>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</si>
  <si>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</si>
  <si>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</si>
  <si>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</si>
  <si>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</si>
  <si>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</si>
  <si>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</si>
  <si>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</si>
  <si>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</si>
  <si>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</si>
  <si>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</si>
  <si>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</si>
  <si>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</si>
  <si>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공격시 공 3개 발사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</si>
  <si>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</si>
  <si>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</si>
  <si>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플레이어의 투사체가 적을 관통합니다.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</si>
  <si>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</si>
  <si>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</si>
  <si>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</si>
  <si>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패링 시 5초간 피해량 15%증가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</si>
  <si>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</si>
  <si>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</si>
  <si>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</si>
  <si>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</si>
  <si>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</si>
  <si>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</si>
  <si>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</si>
  <si>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</si>
  <si>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 공격시 4초간 공격력 30% 증가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</si>
  <si>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</si>
  <si>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</si>
  <si>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</si>
  <si>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차징 타격 시 5초간\n공격력 +20%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</si>
  <si>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</si>
  <si>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</si>
  <si>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</si>
  <si>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</si>
  <si>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</si>
  <si>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HP</t>
    <phoneticPr fontId="19" type="noConversion"/>
  </si>
  <si>
    <t>체력+2</t>
    <phoneticPr fontId="19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</si>
  <si>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</si>
  <si>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</si>
  <si>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타격 시마다 5초간 공격속도 15% 상승</t>
    <phoneticPr fontId="19" type="noConversion"/>
  </si>
  <si>
    <t>타격 시마다 5초간\n공격속도 +15%\n(효과는 중첩될 수 있습니다.)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</si>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</sst>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0" borderId="0" xfId="0" applyNumberFormat="1">
      <alignment vertical="center"/>
    </xf>
    <xf numFmtId="0" fontId="1" fillId="0" borderId="0" xfId="0" applyNumberFormat="1" applyFont="1">
      <alignment vertical="center"/>
    </xf>
  </cellXfs>
  <cellStyles count="1">
    <cellStyle name="표준" xfId="0" builtinId="0"/>
  </cellStyles>
  <dxfs count="11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3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5"/>
    <tableColumn id="6" xr3:uid="{4137F677-A56C-450D-803F-BB4DD6A6869A}" name="평균획득골드" totalsRowFunction="average" dataDxfId="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6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6" totalsRowDxfId="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2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0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95" dataDxfId="94">
  <autoFilter ref="B6:E32" xr:uid="{00000000-0009-0000-0100-000008000000}"/>
  <tableColumns count="4">
    <tableColumn id="1" xr3:uid="{00000000-0010-0000-0100-000001000000}" name="스텟" dataDxfId="93"/>
    <tableColumn id="2" xr3:uid="{00000000-0010-0000-0100-000002000000}" name="참조 테이블" dataDxfId="92"/>
    <tableColumn id="3" xr3:uid="{00000000-0010-0000-0100-000003000000}" name="설명" dataDxfId="91"/>
    <tableColumn id="4" xr3:uid="{00000000-0010-0000-0100-000004000000}" name="Value 1당 가치" dataDxfId="9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9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8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7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86"/>
    <tableColumn id="4" xr3:uid="{00000000-0010-0000-0400-000004000000}" name="획득 무기"/>
    <tableColumn id="5" xr3:uid="{00000000-0010-0000-0400-000005000000}" name="획득 골드" dataDxfId="85">
      <calculatedColumnFormula array="1">밸런스시트[[#This Row],[방 개수]]*표10[방 평균 골드]</calculatedColumnFormula>
    </tableColumn>
    <tableColumn id="6" xr3:uid="{00000000-0010-0000-0400-000006000000}" name="적 체력" dataDxfId="84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83">
      <calculatedColumnFormula array="1">CharacterAtkTable['#던진공 차징1 튕겨내기 DPS]</calculatedColumnFormula>
    </tableColumn>
    <tableColumn id="10" xr3:uid="{00000000-0010-0000-0400-00000A000000}" name="예상 전투 시간" dataDxfId="82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81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8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9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8"/>
    <tableColumn id="3" xr3:uid="{00000000-0010-0000-0600-000003000000}" name="value"/>
    <tableColumn id="4" xr3:uid="{00000000-0010-0000-0600-000004000000}" name="#설명" dataDxfId="77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76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75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74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73"/>
    <tableColumn id="3" xr3:uid="{00000000-0010-0000-0800-000003000000}" name="ThrowCooldown" dataDxfId="72"/>
    <tableColumn id="4" xr3:uid="{00000000-0010-0000-0800-000004000000}" name="ThrowAfterDelay" dataDxfId="71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70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9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8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7"/>
    <tableColumn id="14" xr3:uid="{00000000-0010-0000-0900-00000E000000}" name="#드랍테이블2" dataDxfId="66"/>
    <tableColumn id="15" xr3:uid="{00000000-0010-0000-0900-00000F000000}" name="#드랍테이블3" dataDxfId="65"/>
    <tableColumn id="16" xr3:uid="{00000000-0010-0000-0900-000010000000}" name="#드랍테이블4" dataDxfId="64"/>
    <tableColumn id="17" xr3:uid="{00000000-0010-0000-0900-000011000000}" name="#드랍테이블5" dataDxfId="63"/>
    <tableColumn id="18" xr3:uid="{00000000-0010-0000-0900-000012000000}" name="#드랍테이블6" dataDxfId="62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61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60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9"/>
    <tableColumn id="19" xr3:uid="{BFCBC32D-7E44-4D9E-BE44-E28E6C46489C}" name="#" dataDxfId="58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7"/>
    <tableColumn id="17" xr3:uid="{00000000-0010-0000-0B00-000011000000}" name="#기준 적 체력 비율"/>
    <tableColumn id="18" xr3:uid="{00000000-0010-0000-0B00-000012000000}" name="#평균 드랍 골드" dataDxfId="56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55"/>
    <tableColumn id="3" xr3:uid="{00000000-0010-0000-0C00-000003000000}" name="ShootDataId" dataDxfId="54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53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5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51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50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9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8">
  <autoFilter ref="B2:S29" xr:uid="{00000000-0009-0000-0100-000004000000}"/>
  <tableColumns count="18">
    <tableColumn id="1" xr3:uid="{00000000-0010-0000-0F00-000001000000}" name="Index" dataDxfId="47"/>
    <tableColumn id="2" xr3:uid="{00000000-0010-0000-0F00-000002000000}" name="Name" dataDxfId="46"/>
    <tableColumn id="3" xr3:uid="{00000000-0010-0000-0F00-000003000000}" name="Desc" dataDxfId="45"/>
    <tableColumn id="18" xr3:uid="{41D082BD-5DEE-994C-91CD-A250C270CBBB}" name="PlusDesc" dataDxfId="44"/>
    <tableColumn id="19" xr3:uid="{C2F394C8-4A93-ED44-B037-BCC13A5A77D1}" name="MinusDesc" dataDxfId="43"/>
    <tableColumn id="4" xr3:uid="{00000000-0010-0000-0F00-000004000000}" name="GradeType" dataDxfId="42"/>
    <tableColumn id="5" xr3:uid="{00000000-0010-0000-0F00-000005000000}" name="Value" dataDxfId="41"/>
    <tableColumn id="6" xr3:uid="{00000000-0010-0000-0F00-000006000000}" name="CostHp" dataDxfId="40"/>
    <tableColumn id="7" xr3:uid="{00000000-0010-0000-0F00-000007000000}" name="CostGold" dataDxfId="39"/>
    <tableColumn id="8" xr3:uid="{00000000-0010-0000-0F00-000008000000}" name="ItemEffectDataId" dataDxfId="38"/>
    <tableColumn id="9" xr3:uid="{00000000-0010-0000-0F00-000009000000}" name="ItemIconPath" dataDxfId="37"/>
    <tableColumn id="10" xr3:uid="{00000000-0010-0000-0F00-00000A000000}" name="#자료 위치 변환기" dataDxfId="36"/>
    <tableColumn id="11" xr3:uid="{E752B4AA-7181-4F60-B4A0-8DA8B2E2F337}" name="#" dataDxfId="35"/>
    <tableColumn id="12" xr3:uid="{F85A3E97-232B-4E3A-9F01-EF79D25FA9F9}" name="#2" dataDxfId="34"/>
    <tableColumn id="13" xr3:uid="{550D2A60-9FBB-40C8-A6C2-243D9848C602}" name="#3" dataDxfId="33"/>
    <tableColumn id="14" xr3:uid="{50807AE5-46D5-4351-8885-769C1629BA6A}" name="#4" dataDxfId="32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31"/>
    <tableColumn id="15" xr3:uid="{859A69BA-D558-47CD-B372-AF915766B5DE}" name="#체크" dataDxfId="3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5" totalsRowShown="0" headerRowDxfId="29">
  <autoFilter ref="B2:K25" xr:uid="{00000000-0009-0000-0100-000001000000}"/>
  <tableColumns count="10">
    <tableColumn id="2" xr3:uid="{00000000-0010-0000-1000-000002000000}" name="#이름값" dataDxfId="28">
      <calculatedColumnFormula>INDEX(ItemTable[Name],MATCH(ItemEffectTable[[#This Row],[Index]],ItemTable[ItemEffectDataId],0))</calculatedColumnFormula>
    </tableColumn>
    <tableColumn id="3" xr3:uid="{00000000-0010-0000-1000-000003000000}" name="#Grade" dataDxfId="27">
      <calculatedColumnFormula>INDEX(ItemTable[GradeType],MATCH(ItemEffectTable[[#This Row],[Index]],ItemTable[ItemEffectDataId],0))</calculatedColumnFormula>
    </tableColumn>
    <tableColumn id="4" xr3:uid="{00000000-0010-0000-1000-000004000000}" name="Index" dataDxfId="26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25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3" totalsRowShown="0" headerRowDxfId="24">
  <autoFilter ref="B2:H33" xr:uid="{00000000-0009-0000-0100-000001000000}"/>
  <tableColumns count="7">
    <tableColumn id="4" xr3:uid="{DE2DDF71-E208-9D48-B1BD-ADAF1A04A4E7}" name="Index" dataDxfId="23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22"/>
    <tableColumn id="2" xr3:uid="{4A23D036-ED42-4C71-987E-AC3F1E1DDB0E}" name="#폐기여부" dataDxfId="21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20">
  <autoFilter ref="B2:L8" xr:uid="{00000000-0009-0000-0100-000001000000}"/>
  <tableColumns count="11">
    <tableColumn id="4" xr3:uid="{9F0C2145-5739-D948-B51C-59C2F70F8333}" name="Index" dataDxfId="19"/>
    <tableColumn id="7" xr3:uid="{8358F1EA-D5A4-4910-BE08-DD87A5498E70}" name="#명칭" dataDxfId="18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7"/>
    <tableColumn id="13" xr3:uid="{87231311-C662-DB49-A399-712B241C3925}" name="Param2"/>
    <tableColumn id="2" xr3:uid="{3C8DB834-18FB-4D58-9956-214B8F2B4406}" name="#Param2설명" dataDxfId="16"/>
    <tableColumn id="14" xr3:uid="{B4B3DBDF-BBC3-1F44-B6CB-63F8C93FD4DC}" name="Param3"/>
    <tableColumn id="3" xr3:uid="{8306FFCB-EB8D-412A-A975-A00A92E457D5}" name="#Param3설명" dataDxfId="15"/>
    <tableColumn id="8" xr3:uid="{DD2B344B-857A-402B-9AFA-729945BDB23A}" name="Param4" dataDxfId="14"/>
    <tableColumn id="9" xr3:uid="{3FE4941D-1CE5-40A4-9B32-6AFD342FDEE8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12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11"/>
    <tableColumn id="3" xr3:uid="{00000000-0010-0000-1100-000003000000}" name="#리소스 유형" dataDxfId="10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9">
  <autoFilter ref="A2:D76" xr:uid="{00000000-0009-0000-0100-000003000000}"/>
  <tableColumns count="4">
    <tableColumn id="1" xr3:uid="{00000000-0010-0000-1200-000001000000}" name="Index" dataDxfId="8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7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3" t="s">
        <v>313</v>
      </c>
      <c r="C1" s="54"/>
      <c r="D1" s="54"/>
      <c r="E1" s="54"/>
    </row>
    <row r="2" spans="2:5" s="1" customFormat="1">
      <c r="B2" s="54"/>
      <c r="C2" s="54"/>
      <c r="D2" s="54"/>
      <c r="E2" s="54"/>
    </row>
    <row r="3" spans="2:5" s="1" customFormat="1">
      <c r="B3" s="54"/>
      <c r="C3" s="54"/>
      <c r="D3" s="54"/>
      <c r="E3" s="5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3" t="s">
        <v>201</v>
      </c>
      <c r="C1" s="54"/>
      <c r="D1" s="54"/>
      <c r="E1" s="54"/>
    </row>
    <row r="2" spans="2:13" s="1" customFormat="1">
      <c r="B2" s="54"/>
      <c r="C2" s="54"/>
      <c r="D2" s="54"/>
      <c r="E2" s="54"/>
    </row>
    <row r="3" spans="2:13" s="1" customFormat="1">
      <c r="B3" s="54"/>
      <c r="C3" s="54"/>
      <c r="D3" s="54"/>
      <c r="E3" s="54"/>
    </row>
    <row r="5" spans="2:13">
      <c r="B5" s="2" t="s">
        <v>89</v>
      </c>
      <c r="J5" s="2" t="s">
        <v>464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465</v>
      </c>
      <c r="K6" s="14" t="s">
        <v>462</v>
      </c>
      <c r="L6" s="14" t="s">
        <v>459</v>
      </c>
      <c r="M6" s="14" t="s">
        <v>460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466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467</v>
      </c>
      <c r="K8">
        <v>0</v>
      </c>
      <c r="L8">
        <v>4</v>
      </c>
      <c r="M8">
        <v>12</v>
      </c>
    </row>
    <row r="9" spans="2:13">
      <c r="J9" t="s">
        <v>468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463</v>
      </c>
      <c r="C11" s="2"/>
      <c r="D11" s="2"/>
      <c r="J11" s="2" t="s">
        <v>624</v>
      </c>
    </row>
    <row r="12" spans="2:13">
      <c r="B12" s="14" t="s">
        <v>623</v>
      </c>
      <c r="C12" s="14" t="s">
        <v>461</v>
      </c>
      <c r="D12" s="14" t="s">
        <v>462</v>
      </c>
      <c r="E12" s="14" t="s">
        <v>459</v>
      </c>
      <c r="F12" s="14" t="s">
        <v>460</v>
      </c>
      <c r="G12" s="14" t="s">
        <v>632</v>
      </c>
      <c r="H12" s="14"/>
      <c r="J12" s="14" t="s">
        <v>623</v>
      </c>
      <c r="K12" s="14" t="s">
        <v>631</v>
      </c>
      <c r="L12" s="14" t="s">
        <v>633</v>
      </c>
      <c r="M12" s="14" t="s">
        <v>634</v>
      </c>
    </row>
    <row r="13" spans="2:13">
      <c r="B13" s="56" t="s">
        <v>626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626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56" t="s">
        <v>626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628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56" t="s">
        <v>625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630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56" t="s">
        <v>625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468</v>
      </c>
      <c r="M16">
        <f>SUBTOTAL(109,표24[층 완료 획득])</f>
        <v>480.75</v>
      </c>
    </row>
    <row r="17" spans="2:13">
      <c r="B17" s="56" t="s">
        <v>625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56" t="s">
        <v>625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635</v>
      </c>
      <c r="M18" s="14">
        <f>표24[[#Totals],[층 완료 획득]]/30</f>
        <v>16.024999999999999</v>
      </c>
    </row>
    <row r="19" spans="2:13">
      <c r="B19" s="56" t="s">
        <v>625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636</v>
      </c>
      <c r="M19" s="14">
        <f>표24[[#Totals],[층 완료 획득]]/60</f>
        <v>8.0124999999999993</v>
      </c>
    </row>
    <row r="20" spans="2:13">
      <c r="B20" s="56" t="s">
        <v>625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637</v>
      </c>
    </row>
    <row r="21" spans="2:13">
      <c r="B21" s="56" t="s">
        <v>625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56" t="s">
        <v>625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56" t="s">
        <v>628</v>
      </c>
      <c r="C23">
        <v>1</v>
      </c>
      <c r="D23">
        <v>2</v>
      </c>
      <c r="E23">
        <v>4</v>
      </c>
      <c r="F23" s="55">
        <v>0</v>
      </c>
      <c r="G23" s="55">
        <f>표11[[#This Row],[박쥐]]*표20[[#Totals],[박쥐]]+
표11[[#This Row],[일반]]*표20[[#Totals],[일반]]+
표11[[#This Row],[정예]]*표20[[#Totals],[정예]]</f>
        <v>14</v>
      </c>
      <c r="H23" s="55"/>
    </row>
    <row r="24" spans="2:13">
      <c r="B24" s="56" t="s">
        <v>628</v>
      </c>
      <c r="C24">
        <v>2</v>
      </c>
      <c r="D24">
        <v>2</v>
      </c>
      <c r="E24">
        <v>5</v>
      </c>
      <c r="F24" s="55">
        <v>0</v>
      </c>
      <c r="G24" s="55">
        <f>표11[[#This Row],[박쥐]]*표20[[#Totals],[박쥐]]+
표11[[#This Row],[일반]]*표20[[#Totals],[일반]]+
표11[[#This Row],[정예]]*표20[[#Totals],[정예]]</f>
        <v>17.5</v>
      </c>
      <c r="H24" s="55"/>
    </row>
    <row r="25" spans="2:13">
      <c r="B25" s="56" t="s">
        <v>627</v>
      </c>
      <c r="C25">
        <v>3</v>
      </c>
      <c r="D25">
        <v>2</v>
      </c>
      <c r="E25">
        <v>3</v>
      </c>
      <c r="F25" s="55">
        <v>0</v>
      </c>
      <c r="G25" s="55">
        <f>표11[[#This Row],[박쥐]]*표20[[#Totals],[박쥐]]+
표11[[#This Row],[일반]]*표20[[#Totals],[일반]]+
표11[[#This Row],[정예]]*표20[[#Totals],[정예]]</f>
        <v>10.5</v>
      </c>
      <c r="H25" s="55"/>
    </row>
    <row r="26" spans="2:13">
      <c r="B26" s="56" t="s">
        <v>627</v>
      </c>
      <c r="C26">
        <v>4</v>
      </c>
      <c r="D26">
        <v>2</v>
      </c>
      <c r="E26">
        <v>4</v>
      </c>
      <c r="F26" s="55">
        <v>0</v>
      </c>
      <c r="G26" s="55">
        <f>표11[[#This Row],[박쥐]]*표20[[#Totals],[박쥐]]+
표11[[#This Row],[일반]]*표20[[#Totals],[일반]]+
표11[[#This Row],[정예]]*표20[[#Totals],[정예]]</f>
        <v>14</v>
      </c>
      <c r="H26" s="55"/>
    </row>
    <row r="27" spans="2:13">
      <c r="B27" s="56" t="s">
        <v>627</v>
      </c>
      <c r="C27">
        <v>5</v>
      </c>
      <c r="D27">
        <v>4</v>
      </c>
      <c r="E27">
        <v>4</v>
      </c>
      <c r="F27" s="55">
        <v>0</v>
      </c>
      <c r="G27" s="55">
        <f>표11[[#This Row],[박쥐]]*표20[[#Totals],[박쥐]]+
표11[[#This Row],[일반]]*표20[[#Totals],[일반]]+
표11[[#This Row],[정예]]*표20[[#Totals],[정예]]</f>
        <v>14</v>
      </c>
      <c r="H27" s="55"/>
    </row>
    <row r="28" spans="2:13">
      <c r="B28" s="56" t="s">
        <v>627</v>
      </c>
      <c r="C28">
        <v>6</v>
      </c>
      <c r="D28">
        <v>2</v>
      </c>
      <c r="E28">
        <v>4</v>
      </c>
      <c r="F28" s="55">
        <v>0</v>
      </c>
      <c r="G28" s="55">
        <f>표11[[#This Row],[박쥐]]*표20[[#Totals],[박쥐]]+
표11[[#This Row],[일반]]*표20[[#Totals],[일반]]+
표11[[#This Row],[정예]]*표20[[#Totals],[정예]]</f>
        <v>14</v>
      </c>
      <c r="H28" s="55"/>
    </row>
    <row r="29" spans="2:13">
      <c r="B29" s="56" t="s">
        <v>627</v>
      </c>
      <c r="C29">
        <v>7</v>
      </c>
      <c r="D29">
        <v>4</v>
      </c>
      <c r="E29">
        <v>4</v>
      </c>
      <c r="F29" s="55">
        <v>0</v>
      </c>
      <c r="G29" s="55">
        <f>표11[[#This Row],[박쥐]]*표20[[#Totals],[박쥐]]+
표11[[#This Row],[일반]]*표20[[#Totals],[일반]]+
표11[[#This Row],[정예]]*표20[[#Totals],[정예]]</f>
        <v>14</v>
      </c>
      <c r="H29" s="55"/>
    </row>
    <row r="30" spans="2:13">
      <c r="B30" s="56" t="s">
        <v>627</v>
      </c>
      <c r="C30">
        <v>8</v>
      </c>
      <c r="D30">
        <v>2</v>
      </c>
      <c r="E30">
        <v>4</v>
      </c>
      <c r="F30" s="55">
        <v>0</v>
      </c>
      <c r="G30" s="55">
        <f>표11[[#This Row],[박쥐]]*표20[[#Totals],[박쥐]]+
표11[[#This Row],[일반]]*표20[[#Totals],[일반]]+
표11[[#This Row],[정예]]*표20[[#Totals],[정예]]</f>
        <v>14</v>
      </c>
      <c r="H30" s="55"/>
    </row>
    <row r="31" spans="2:13">
      <c r="B31" s="56" t="s">
        <v>627</v>
      </c>
      <c r="C31">
        <v>9</v>
      </c>
      <c r="D31">
        <v>2</v>
      </c>
      <c r="E31">
        <v>4</v>
      </c>
      <c r="F31" s="55">
        <v>0</v>
      </c>
      <c r="G31" s="55">
        <f>표11[[#This Row],[박쥐]]*표20[[#Totals],[박쥐]]+
표11[[#This Row],[일반]]*표20[[#Totals],[일반]]+
표11[[#This Row],[정예]]*표20[[#Totals],[정예]]</f>
        <v>14</v>
      </c>
      <c r="H31" s="55"/>
    </row>
    <row r="32" spans="2:13">
      <c r="B32" s="56" t="s">
        <v>627</v>
      </c>
      <c r="C32">
        <v>10</v>
      </c>
      <c r="D32">
        <v>2</v>
      </c>
      <c r="E32">
        <v>5</v>
      </c>
      <c r="F32" s="55">
        <v>0</v>
      </c>
      <c r="G32" s="55">
        <f>표11[[#This Row],[박쥐]]*표20[[#Totals],[박쥐]]+
표11[[#This Row],[일반]]*표20[[#Totals],[일반]]+
표11[[#This Row],[정예]]*표20[[#Totals],[정예]]</f>
        <v>17.5</v>
      </c>
      <c r="H32" s="55"/>
    </row>
    <row r="33" spans="2:7">
      <c r="B33" s="56" t="s">
        <v>630</v>
      </c>
      <c r="C33">
        <v>1</v>
      </c>
      <c r="D33">
        <v>2</v>
      </c>
      <c r="E33">
        <v>4</v>
      </c>
      <c r="F33" s="55">
        <v>1</v>
      </c>
      <c r="G33" s="55">
        <f>표11[[#This Row],[박쥐]]*표20[[#Totals],[박쥐]]+
표11[[#This Row],[일반]]*표20[[#Totals],[일반]]+
표11[[#This Row],[정예]]*표20[[#Totals],[정예]]</f>
        <v>23.5</v>
      </c>
    </row>
    <row r="34" spans="2:7">
      <c r="B34" s="56" t="s">
        <v>630</v>
      </c>
      <c r="C34">
        <v>2</v>
      </c>
      <c r="D34">
        <v>2</v>
      </c>
      <c r="E34">
        <v>5</v>
      </c>
      <c r="F34" s="55">
        <v>1</v>
      </c>
      <c r="G34" s="55">
        <f>표11[[#This Row],[박쥐]]*표20[[#Totals],[박쥐]]+
표11[[#This Row],[일반]]*표20[[#Totals],[일반]]+
표11[[#This Row],[정예]]*표20[[#Totals],[정예]]</f>
        <v>27</v>
      </c>
    </row>
    <row r="35" spans="2:7">
      <c r="B35" s="56" t="s">
        <v>629</v>
      </c>
      <c r="C35">
        <v>3</v>
      </c>
      <c r="D35">
        <v>2</v>
      </c>
      <c r="E35">
        <v>5</v>
      </c>
      <c r="F35" s="55">
        <v>1</v>
      </c>
      <c r="G35" s="55">
        <f>표11[[#This Row],[박쥐]]*표20[[#Totals],[박쥐]]+
표11[[#This Row],[일반]]*표20[[#Totals],[일반]]+
표11[[#This Row],[정예]]*표20[[#Totals],[정예]]</f>
        <v>27</v>
      </c>
    </row>
    <row r="36" spans="2:7">
      <c r="B36" s="56" t="s">
        <v>629</v>
      </c>
      <c r="C36">
        <v>4</v>
      </c>
      <c r="D36">
        <v>3</v>
      </c>
      <c r="E36">
        <v>4</v>
      </c>
      <c r="F36" s="55">
        <v>1</v>
      </c>
      <c r="G36" s="55">
        <f>표11[[#This Row],[박쥐]]*표20[[#Totals],[박쥐]]+
표11[[#This Row],[일반]]*표20[[#Totals],[일반]]+
표11[[#This Row],[정예]]*표20[[#Totals],[정예]]</f>
        <v>23.5</v>
      </c>
    </row>
    <row r="37" spans="2:7">
      <c r="B37" s="56" t="s">
        <v>629</v>
      </c>
      <c r="C37">
        <v>5</v>
      </c>
      <c r="D37">
        <v>4</v>
      </c>
      <c r="E37">
        <v>5</v>
      </c>
      <c r="F37" s="55">
        <v>1</v>
      </c>
      <c r="G37" s="55">
        <f>표11[[#This Row],[박쥐]]*표20[[#Totals],[박쥐]]+
표11[[#This Row],[일반]]*표20[[#Totals],[일반]]+
표11[[#This Row],[정예]]*표20[[#Totals],[정예]]</f>
        <v>27</v>
      </c>
    </row>
    <row r="38" spans="2:7">
      <c r="B38" s="56" t="s">
        <v>629</v>
      </c>
      <c r="C38">
        <v>6</v>
      </c>
      <c r="D38">
        <v>2</v>
      </c>
      <c r="E38">
        <v>5</v>
      </c>
      <c r="F38" s="55">
        <v>1</v>
      </c>
      <c r="G38" s="55">
        <f>표11[[#This Row],[박쥐]]*표20[[#Totals],[박쥐]]+
표11[[#This Row],[일반]]*표20[[#Totals],[일반]]+
표11[[#This Row],[정예]]*표20[[#Totals],[정예]]</f>
        <v>27</v>
      </c>
    </row>
    <row r="39" spans="2:7">
      <c r="B39" s="56" t="s">
        <v>629</v>
      </c>
      <c r="C39">
        <v>7</v>
      </c>
      <c r="D39">
        <v>4</v>
      </c>
      <c r="E39">
        <v>6</v>
      </c>
      <c r="F39" s="55">
        <v>1</v>
      </c>
      <c r="G39" s="55">
        <f>표11[[#This Row],[박쥐]]*표20[[#Totals],[박쥐]]+
표11[[#This Row],[일반]]*표20[[#Totals],[일반]]+
표11[[#This Row],[정예]]*표20[[#Totals],[정예]]</f>
        <v>30.5</v>
      </c>
    </row>
    <row r="40" spans="2:7">
      <c r="B40" s="56" t="s">
        <v>629</v>
      </c>
      <c r="C40">
        <v>8</v>
      </c>
      <c r="D40">
        <v>2</v>
      </c>
      <c r="E40">
        <v>5</v>
      </c>
      <c r="F40" s="55">
        <v>1</v>
      </c>
      <c r="G40" s="55">
        <f>표11[[#This Row],[박쥐]]*표20[[#Totals],[박쥐]]+
표11[[#This Row],[일반]]*표20[[#Totals],[일반]]+
표11[[#This Row],[정예]]*표20[[#Totals],[정예]]</f>
        <v>27</v>
      </c>
    </row>
    <row r="41" spans="2:7">
      <c r="B41" s="56" t="s">
        <v>629</v>
      </c>
      <c r="C41">
        <v>9</v>
      </c>
      <c r="D41">
        <v>2</v>
      </c>
      <c r="E41">
        <v>3</v>
      </c>
      <c r="F41" s="55">
        <v>1</v>
      </c>
      <c r="G41" s="55">
        <f>표11[[#This Row],[박쥐]]*표20[[#Totals],[박쥐]]+
표11[[#This Row],[일반]]*표20[[#Totals],[일반]]+
표11[[#This Row],[정예]]*표20[[#Totals],[정예]]</f>
        <v>20</v>
      </c>
    </row>
    <row r="42" spans="2:7">
      <c r="B42" s="56" t="s">
        <v>629</v>
      </c>
      <c r="C42">
        <v>10</v>
      </c>
      <c r="D42">
        <v>4</v>
      </c>
      <c r="E42">
        <v>5</v>
      </c>
      <c r="F42" s="55">
        <v>1</v>
      </c>
      <c r="G42" s="55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3" t="s">
        <v>291</v>
      </c>
      <c r="C1" s="54"/>
      <c r="D1" s="54"/>
      <c r="E1" s="54"/>
      <c r="F1" s="54"/>
    </row>
    <row r="2" spans="1:21" s="1" customFormat="1">
      <c r="B2" s="54"/>
      <c r="C2" s="54"/>
      <c r="D2" s="54"/>
      <c r="E2" s="54"/>
      <c r="F2" s="54"/>
    </row>
    <row r="3" spans="1:21" s="1" customFormat="1">
      <c r="B3" s="54"/>
      <c r="C3" s="54"/>
      <c r="D3" s="54"/>
      <c r="E3" s="54"/>
      <c r="F3" s="54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469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45.833333333333329</v>
      </c>
      <c r="P7">
        <f>(밸런스시트[[#This Row],[레벨당 평균 적]]*밸런스시트[[#This Row],[방 개수]]*밸런스시트[[#This Row],[적 체력]])/밸런스시트[[#This Row],[PC 최대 DPS]]</f>
        <v>109.09090909090911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45.833333333333329</v>
      </c>
      <c r="P8">
        <f>(밸런스시트[[#This Row],[레벨당 평균 적]]*밸런스시트[[#This Row],[방 개수]]*밸런스시트[[#This Row],[적 체력]])/밸런스시트[[#This Row],[PC 최대 DPS]]</f>
        <v>157.09090909090909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45.833333333333329</v>
      </c>
      <c r="P9">
        <f>(밸런스시트[[#This Row],[레벨당 평균 적]]*밸런스시트[[#This Row],[방 개수]]*밸런스시트[[#This Row],[적 체력]])/밸런스시트[[#This Row],[PC 최대 DPS]]</f>
        <v>213.81818181818184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45.833333333333329</v>
      </c>
      <c r="P10">
        <f>(밸런스시트[[#This Row],[레벨당 평균 적]]*밸런스시트[[#This Row],[방 개수]]*밸런스시트[[#This Row],[적 체력]])/밸런스시트[[#This Row],[PC 최대 DPS]]</f>
        <v>279.27272727272731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45.833333333333329</v>
      </c>
      <c r="P11">
        <f>(밸런스시트[[#This Row],[레벨당 평균 적]]*밸런스시트[[#This Row],[방 개수]]*밸런스시트[[#This Row],[적 체력]])/밸런스시트[[#This Row],[PC 최대 DPS]]</f>
        <v>353.4545454545455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45.833333333333329</v>
      </c>
      <c r="P12">
        <f>(밸런스시트[[#This Row],[레벨당 평균 적]]*밸런스시트[[#This Row],[방 개수]]*밸런스시트[[#This Row],[적 체력]])/밸런스시트[[#This Row],[PC 최대 DPS]]</f>
        <v>436.36363636363643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C3" sqref="C3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572</v>
      </c>
      <c r="H2" t="s">
        <v>14</v>
      </c>
      <c r="I2" s="19" t="s">
        <v>530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K4" sqref="K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1" t="s">
        <v>531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487</v>
      </c>
      <c r="W2" s="33" t="s">
        <v>488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16.666666666666668</v>
      </c>
      <c r="AA3">
        <f>CharacterAtkTable[[#This Row],[ChargeRigidDmg2]]/(CharacterAtkTable[[#This Row],[SwingCooldown]]+CharacterAtkTable[[#This Row],[ChargeTime]])</f>
        <v>22.222222222222225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43.466666666666669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45.833333333333329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626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628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630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535</v>
      </c>
      <c r="H2" t="s">
        <v>48</v>
      </c>
      <c r="I2" t="s">
        <v>93</v>
      </c>
    </row>
    <row r="3" spans="1:11">
      <c r="B3" s="27">
        <v>9001</v>
      </c>
      <c r="C3" s="30" t="s">
        <v>486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484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H13" sqref="H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507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491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506</v>
      </c>
      <c r="D2" s="15" t="s">
        <v>399</v>
      </c>
      <c r="E2" t="s">
        <v>128</v>
      </c>
      <c r="F2" s="19" t="s">
        <v>481</v>
      </c>
      <c r="G2" t="s">
        <v>300</v>
      </c>
      <c r="H2" t="s">
        <v>302</v>
      </c>
      <c r="I2" s="19" t="s">
        <v>511</v>
      </c>
      <c r="J2" t="s">
        <v>2</v>
      </c>
      <c r="K2" s="19" t="s">
        <v>492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12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524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505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505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12</v>
      </c>
      <c r="G6" t="s">
        <v>309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505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12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505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12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505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12</v>
      </c>
      <c r="G9" t="s">
        <v>309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505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360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12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505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12</v>
      </c>
      <c r="G12" t="s">
        <v>309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505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505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12</v>
      </c>
      <c r="G14" t="s">
        <v>309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505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12</v>
      </c>
      <c r="G15" t="s">
        <v>309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505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504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475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475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475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475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475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475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475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475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475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475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475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475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475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475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475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475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31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489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490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490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489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489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489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489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489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489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568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568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568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569</v>
      </c>
      <c r="D4" s="3" t="b">
        <v>0</v>
      </c>
      <c r="E4">
        <v>0.8</v>
      </c>
      <c r="F4">
        <v>20</v>
      </c>
      <c r="G4" s="14" t="s">
        <v>573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E1" zoomScale="70" zoomScaleNormal="70" zoomScaleSheetLayoutView="100" workbookViewId="0">
      <selection activeCell="K9" sqref="K9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536</v>
      </c>
      <c r="F2" s="19" t="s">
        <v>537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476</v>
      </c>
      <c r="S2" s="26" t="s">
        <v>471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538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3" t="s">
        <v>379</v>
      </c>
      <c r="O8" s="42" t="s">
        <v>356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3" t="s">
        <v>395</v>
      </c>
      <c r="O9" s="42" t="s">
        <v>363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3" t="s">
        <v>377</v>
      </c>
      <c r="O10" s="42" t="s">
        <v>352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378</v>
      </c>
      <c r="E11" s="27" t="s">
        <v>611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3" t="s">
        <v>378</v>
      </c>
      <c r="O11" s="42" t="s">
        <v>351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588</v>
      </c>
      <c r="E12" s="28" t="s">
        <v>539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3" t="s">
        <v>478</v>
      </c>
      <c r="O12" s="43" t="s">
        <v>472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s="14" t="s">
        <v>610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3" t="s">
        <v>391</v>
      </c>
      <c r="O13" s="42" t="s">
        <v>349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398</v>
      </c>
      <c r="E14" s="49" t="s">
        <v>609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3" t="s">
        <v>398</v>
      </c>
      <c r="O14" s="43" t="s">
        <v>473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479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581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3" t="s">
        <v>397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589</v>
      </c>
      <c r="E16" s="14" t="s">
        <v>474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3" t="s">
        <v>390</v>
      </c>
      <c r="O16" s="43" t="s">
        <v>474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579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3" t="s">
        <v>381</v>
      </c>
      <c r="O17" s="42" t="s">
        <v>348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s="14" t="s">
        <v>600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3" t="s">
        <v>385</v>
      </c>
      <c r="O18" s="42" t="s">
        <v>350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602</v>
      </c>
      <c r="E19" s="27" t="s">
        <v>616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3" t="s">
        <v>382</v>
      </c>
      <c r="O19" s="43" t="s">
        <v>386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564</v>
      </c>
      <c r="D20" s="19" t="s">
        <v>565</v>
      </c>
      <c r="E20" s="19" t="s">
        <v>591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582</v>
      </c>
      <c r="M20" s="22" t="str">
        <f>MID(ItemTable[[#This Row],[ItemIconPath]],FIND("icon",ItemTable[[#This Row],[ItemIconPath]]),999)</f>
        <v>icon/item/item_18.png</v>
      </c>
      <c r="N20" s="43" t="s">
        <v>382</v>
      </c>
      <c r="O20" s="43" t="s">
        <v>386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389</v>
      </c>
      <c r="E21" s="27" t="s">
        <v>595</v>
      </c>
      <c r="F21" s="27" t="s">
        <v>596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3" t="s">
        <v>389</v>
      </c>
      <c r="O21" s="42" t="s">
        <v>362</v>
      </c>
      <c r="P21" s="42" t="s">
        <v>358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593</v>
      </c>
      <c r="E22" s="27" t="s">
        <v>622</v>
      </c>
      <c r="F22" s="27" t="s">
        <v>592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3" t="s">
        <v>383</v>
      </c>
      <c r="O22" s="42" t="s">
        <v>357</v>
      </c>
      <c r="P22" s="42" t="s">
        <v>359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s="14" t="s">
        <v>470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3" t="s">
        <v>388</v>
      </c>
      <c r="O23" s="43" t="s">
        <v>470</v>
      </c>
      <c r="P23" s="42" t="s">
        <v>241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477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338</v>
      </c>
      <c r="D24" s="52" t="s">
        <v>384</v>
      </c>
      <c r="E24" s="52" t="s">
        <v>615</v>
      </c>
      <c r="F24" s="52" t="s">
        <v>614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3" t="s">
        <v>384</v>
      </c>
      <c r="O24" s="42" t="s">
        <v>353</v>
      </c>
      <c r="P24" s="42" t="s">
        <v>361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571</v>
      </c>
      <c r="D25" s="14" t="s">
        <v>396</v>
      </c>
      <c r="E25" s="14" t="s">
        <v>594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3" t="s">
        <v>396</v>
      </c>
      <c r="O25" s="43" t="s">
        <v>387</v>
      </c>
      <c r="P25" s="42" t="s">
        <v>364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560</v>
      </c>
      <c r="D26" s="17" t="s">
        <v>619</v>
      </c>
      <c r="E26" s="21" t="s">
        <v>561</v>
      </c>
      <c r="F26" s="21"/>
      <c r="G26" s="19" t="s">
        <v>535</v>
      </c>
      <c r="H26">
        <v>1</v>
      </c>
      <c r="I26">
        <v>50</v>
      </c>
      <c r="J26">
        <v>100</v>
      </c>
      <c r="K26">
        <v>10000</v>
      </c>
      <c r="L26" s="14" t="s">
        <v>577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583</v>
      </c>
      <c r="D27" s="40" t="s">
        <v>590</v>
      </c>
      <c r="E27" s="40" t="s">
        <v>580</v>
      </c>
      <c r="F27" s="40"/>
      <c r="G27" s="19" t="s">
        <v>535</v>
      </c>
      <c r="H27">
        <v>1</v>
      </c>
      <c r="I27">
        <v>50</v>
      </c>
      <c r="J27">
        <v>100</v>
      </c>
      <c r="K27">
        <v>10001</v>
      </c>
      <c r="L27" s="14" t="s">
        <v>578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584</v>
      </c>
      <c r="D28" s="40" t="s">
        <v>586</v>
      </c>
      <c r="E28" s="40" t="s">
        <v>587</v>
      </c>
      <c r="F28" s="40"/>
      <c r="G28" s="19" t="s">
        <v>535</v>
      </c>
      <c r="H28">
        <v>1</v>
      </c>
      <c r="I28">
        <v>50</v>
      </c>
      <c r="J28">
        <v>100</v>
      </c>
      <c r="K28">
        <v>10002</v>
      </c>
      <c r="L28" s="14" t="s">
        <v>620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562</v>
      </c>
      <c r="D29" s="40" t="s">
        <v>585</v>
      </c>
      <c r="E29" s="40" t="s">
        <v>570</v>
      </c>
      <c r="F29" s="40"/>
      <c r="G29" s="19" t="s">
        <v>535</v>
      </c>
      <c r="H29">
        <v>1</v>
      </c>
      <c r="I29">
        <v>50</v>
      </c>
      <c r="J29">
        <v>100</v>
      </c>
      <c r="K29">
        <v>10003</v>
      </c>
      <c r="L29" s="14" t="s">
        <v>576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9"/>
  <sheetViews>
    <sheetView zoomScale="70" zoomScaleNormal="70" zoomScaleSheetLayoutView="100" workbookViewId="0">
      <selection activeCell="G15" sqref="G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491</v>
      </c>
      <c r="F1" s="19" t="s">
        <v>491</v>
      </c>
      <c r="G1" s="19" t="s">
        <v>493</v>
      </c>
      <c r="H1" t="s">
        <v>124</v>
      </c>
      <c r="I1" s="19" t="s">
        <v>507</v>
      </c>
      <c r="J1" t="s">
        <v>124</v>
      </c>
      <c r="K1" s="19" t="s">
        <v>493</v>
      </c>
    </row>
    <row r="2" spans="2:11">
      <c r="B2" s="5" t="s">
        <v>125</v>
      </c>
      <c r="C2" s="5" t="s">
        <v>127</v>
      </c>
      <c r="D2" t="s">
        <v>75</v>
      </c>
      <c r="E2" s="19" t="s">
        <v>518</v>
      </c>
      <c r="F2" s="19" t="s">
        <v>519</v>
      </c>
      <c r="G2" s="19" t="s">
        <v>494</v>
      </c>
      <c r="H2" s="19" t="s">
        <v>495</v>
      </c>
      <c r="I2" s="37" t="s">
        <v>497</v>
      </c>
      <c r="J2" s="19" t="s">
        <v>496</v>
      </c>
      <c r="K2" s="37" t="s">
        <v>512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514</v>
      </c>
      <c r="I3" s="19"/>
      <c r="J3" s="19" t="s">
        <v>513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514</v>
      </c>
      <c r="J4" s="19" t="s">
        <v>513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514</v>
      </c>
      <c r="I5" s="19"/>
      <c r="J5" s="19" t="s">
        <v>513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599</v>
      </c>
      <c r="J6" s="19" t="s">
        <v>513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514</v>
      </c>
      <c r="J7" s="19" t="s">
        <v>513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514</v>
      </c>
      <c r="J8" s="19" t="s">
        <v>513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563</v>
      </c>
      <c r="J9" s="19" t="s">
        <v>513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523</v>
      </c>
      <c r="J10" s="19" t="s">
        <v>513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514</v>
      </c>
      <c r="J11" s="19" t="s">
        <v>513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514</v>
      </c>
      <c r="J12" s="19" t="s">
        <v>513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514</v>
      </c>
      <c r="J13" s="19" t="s">
        <v>513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514</v>
      </c>
      <c r="J14" s="19" t="s">
        <v>513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533</v>
      </c>
      <c r="J15" s="19" t="s">
        <v>513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514</v>
      </c>
      <c r="J16" s="19" t="s">
        <v>513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605</v>
      </c>
      <c r="J17" s="19" t="s">
        <v>513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514</v>
      </c>
      <c r="J18" s="19" t="s">
        <v>513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514</v>
      </c>
      <c r="J19" s="19" t="s">
        <v>513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514</v>
      </c>
      <c r="J20" s="19" t="s">
        <v>513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>
        <v>9004</v>
      </c>
      <c r="F21" s="19"/>
      <c r="G21">
        <v>0</v>
      </c>
      <c r="H21" s="19" t="s">
        <v>514</v>
      </c>
      <c r="J21" s="19" t="s">
        <v>513</v>
      </c>
    </row>
    <row r="22" spans="2:11">
      <c r="B22" s="4" t="str">
        <f>INDEX(ItemTable[Name],MATCH(ItemEffectTable[[#This Row],[Index]],ItemTable[ItemEffectDataId],0))</f>
        <v>인피니티 도넛</v>
      </c>
      <c r="C22" s="39" t="str">
        <f>INDEX(ItemTable[GradeType],MATCH(ItemEffectTable[[#This Row],[Index]],ItemTable[ItemEffectDataId],0))</f>
        <v>Active</v>
      </c>
      <c r="D22" s="39">
        <v>10000</v>
      </c>
      <c r="F22">
        <v>10000</v>
      </c>
      <c r="G22">
        <v>0.01</v>
      </c>
      <c r="H22" s="19" t="s">
        <v>522</v>
      </c>
      <c r="J22" s="19" t="s">
        <v>513</v>
      </c>
    </row>
    <row r="23" spans="2:11">
      <c r="B23" s="4" t="str">
        <f>INDEX(ItemTable[Name],MATCH(ItemEffectTable[[#This Row],[Index]],ItemTable[ItemEffectDataId],0))</f>
        <v>초소형 블랙홀</v>
      </c>
      <c r="C23" s="39" t="str">
        <f>INDEX(ItemTable[GradeType],MATCH(ItemEffectTable[[#This Row],[Index]],ItemTable[ItemEffectDataId],0))</f>
        <v>Active</v>
      </c>
      <c r="D23" s="39">
        <v>10001</v>
      </c>
      <c r="F23">
        <v>10001</v>
      </c>
      <c r="G23">
        <v>6</v>
      </c>
      <c r="H23" s="19" t="s">
        <v>522</v>
      </c>
      <c r="I23" s="19" t="s">
        <v>529</v>
      </c>
      <c r="J23" s="19" t="s">
        <v>528</v>
      </c>
      <c r="K23" s="14">
        <v>6</v>
      </c>
    </row>
    <row r="24" spans="2:11">
      <c r="B24" s="4" t="str">
        <f>INDEX(ItemTable[Name],MATCH(ItemEffectTable[[#This Row],[Index]],ItemTable[ItemEffectDataId],0))</f>
        <v>신경 부스터</v>
      </c>
      <c r="C24" s="39" t="str">
        <f>INDEX(ItemTable[GradeType],MATCH(ItemEffectTable[[#This Row],[Index]],ItemTable[ItemEffectDataId],0))</f>
        <v>Active</v>
      </c>
      <c r="D24" s="39">
        <v>10002</v>
      </c>
      <c r="E24">
        <v>10002</v>
      </c>
      <c r="F24">
        <v>10002</v>
      </c>
      <c r="G24">
        <v>12</v>
      </c>
      <c r="H24" s="19" t="s">
        <v>522</v>
      </c>
      <c r="J24" s="19" t="s">
        <v>513</v>
      </c>
    </row>
    <row r="25" spans="2:11">
      <c r="B25" s="4" t="str">
        <f>INDEX(ItemTable[Name],MATCH(ItemEffectTable[[#This Row],[Index]],ItemTable[ItemEffectDataId],0))</f>
        <v>미사일 백팩</v>
      </c>
      <c r="C25" s="39" t="str">
        <f>INDEX(ItemTable[GradeType],MATCH(ItemEffectTable[[#This Row],[Index]],ItemTable[ItemEffectDataId],0))</f>
        <v>Active</v>
      </c>
      <c r="D25" s="39">
        <v>10003</v>
      </c>
      <c r="F25">
        <v>10003</v>
      </c>
      <c r="G25">
        <v>6</v>
      </c>
      <c r="H25" s="19" t="s">
        <v>522</v>
      </c>
      <c r="J25" s="19" t="s">
        <v>513</v>
      </c>
    </row>
    <row r="28" spans="2:11">
      <c r="G28" s="14"/>
    </row>
    <row r="29" spans="2:11">
      <c r="G29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3"/>
  <sheetViews>
    <sheetView zoomScale="70" zoomScaleNormal="70" zoomScaleSheetLayoutView="100" workbookViewId="0">
      <selection activeCell="G21" sqref="G21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507</v>
      </c>
      <c r="E1" s="19" t="s">
        <v>509</v>
      </c>
      <c r="F1" s="19" t="s">
        <v>502</v>
      </c>
      <c r="G1" s="19"/>
      <c r="H1" s="19"/>
    </row>
    <row r="2" spans="2:8">
      <c r="B2" t="s">
        <v>75</v>
      </c>
      <c r="C2" s="19" t="s">
        <v>498</v>
      </c>
      <c r="D2" s="19" t="s">
        <v>508</v>
      </c>
      <c r="E2" s="1" t="s">
        <v>13</v>
      </c>
      <c r="F2" s="37" t="s">
        <v>510</v>
      </c>
      <c r="G2" s="44" t="s">
        <v>540</v>
      </c>
      <c r="H2" s="37" t="s">
        <v>551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546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547</v>
      </c>
      <c r="H4" s="17"/>
    </row>
    <row r="5" spans="2:8">
      <c r="B5" s="19">
        <v>7002</v>
      </c>
      <c r="C5" s="19" t="s">
        <v>525</v>
      </c>
      <c r="D5" s="11">
        <v>0.8</v>
      </c>
      <c r="E5" t="s">
        <v>347</v>
      </c>
      <c r="F5">
        <v>-1</v>
      </c>
      <c r="G5" s="17" t="s">
        <v>548</v>
      </c>
      <c r="H5" s="17"/>
    </row>
    <row r="6" spans="2:8">
      <c r="B6" s="27">
        <v>7003</v>
      </c>
      <c r="C6" s="48" t="s">
        <v>597</v>
      </c>
      <c r="D6" s="27">
        <v>0.2</v>
      </c>
      <c r="E6" t="s">
        <v>515</v>
      </c>
      <c r="F6" s="27">
        <v>5</v>
      </c>
      <c r="G6" s="20" t="s">
        <v>598</v>
      </c>
      <c r="H6" s="17"/>
    </row>
    <row r="7" spans="2:8">
      <c r="B7" s="19">
        <v>7004</v>
      </c>
      <c r="C7" s="11" t="s">
        <v>2</v>
      </c>
      <c r="D7">
        <v>1.2</v>
      </c>
      <c r="E7" t="s">
        <v>515</v>
      </c>
      <c r="F7">
        <v>-1</v>
      </c>
      <c r="G7" s="17" t="s">
        <v>549</v>
      </c>
      <c r="H7" s="17"/>
    </row>
    <row r="8" spans="2:8">
      <c r="B8" s="19">
        <v>7005</v>
      </c>
      <c r="C8" s="11" t="s">
        <v>55</v>
      </c>
      <c r="D8">
        <v>25</v>
      </c>
      <c r="E8" t="s">
        <v>515</v>
      </c>
      <c r="F8">
        <v>-1</v>
      </c>
      <c r="G8" s="17" t="s">
        <v>550</v>
      </c>
      <c r="H8" s="17"/>
    </row>
    <row r="9" spans="2:8">
      <c r="B9" s="27">
        <v>8000</v>
      </c>
      <c r="C9" s="48" t="s">
        <v>318</v>
      </c>
      <c r="D9" s="27">
        <v>0.3</v>
      </c>
      <c r="E9" s="27" t="s">
        <v>515</v>
      </c>
      <c r="F9" s="27">
        <v>4</v>
      </c>
      <c r="G9" s="20" t="s">
        <v>607</v>
      </c>
      <c r="H9" s="46"/>
    </row>
    <row r="10" spans="2:8">
      <c r="B10" s="19">
        <v>8001</v>
      </c>
      <c r="C10" s="11" t="s">
        <v>318</v>
      </c>
      <c r="D10" s="14" t="s">
        <v>516</v>
      </c>
      <c r="E10" t="s">
        <v>515</v>
      </c>
      <c r="F10">
        <v>-1</v>
      </c>
      <c r="G10" s="17" t="s">
        <v>552</v>
      </c>
      <c r="H10" s="22"/>
    </row>
    <row r="11" spans="2:8">
      <c r="B11" s="19">
        <v>8002</v>
      </c>
      <c r="C11" t="s">
        <v>318</v>
      </c>
      <c r="D11">
        <v>0.1</v>
      </c>
      <c r="E11" t="s">
        <v>515</v>
      </c>
      <c r="F11">
        <v>-1</v>
      </c>
      <c r="G11" s="17" t="s">
        <v>555</v>
      </c>
      <c r="H11" s="22"/>
    </row>
    <row r="12" spans="2:8">
      <c r="B12" s="19">
        <v>8002</v>
      </c>
      <c r="C12" t="s">
        <v>2</v>
      </c>
      <c r="D12">
        <v>0.5</v>
      </c>
      <c r="E12" t="s">
        <v>515</v>
      </c>
      <c r="F12">
        <v>-1</v>
      </c>
      <c r="G12" s="17" t="s">
        <v>553</v>
      </c>
      <c r="H12" s="22"/>
    </row>
    <row r="13" spans="2:8">
      <c r="B13" s="19">
        <v>8002</v>
      </c>
      <c r="C13" t="s">
        <v>218</v>
      </c>
      <c r="D13">
        <v>-0.1</v>
      </c>
      <c r="E13" t="s">
        <v>515</v>
      </c>
      <c r="F13">
        <v>-1</v>
      </c>
      <c r="G13" s="17" t="s">
        <v>554</v>
      </c>
      <c r="H13" s="22"/>
    </row>
    <row r="14" spans="2:8">
      <c r="B14" s="19">
        <v>8003</v>
      </c>
      <c r="C14" t="s">
        <v>279</v>
      </c>
      <c r="D14">
        <v>0.5</v>
      </c>
      <c r="E14" t="s">
        <v>515</v>
      </c>
      <c r="F14">
        <v>-1</v>
      </c>
      <c r="G14" s="17" t="s">
        <v>556</v>
      </c>
      <c r="H14" s="22"/>
    </row>
    <row r="15" spans="2:8">
      <c r="B15" s="19">
        <v>8004</v>
      </c>
      <c r="C15" s="11" t="s">
        <v>24</v>
      </c>
      <c r="D15">
        <v>3</v>
      </c>
      <c r="E15" t="s">
        <v>515</v>
      </c>
      <c r="F15">
        <v>-1</v>
      </c>
      <c r="G15" s="17" t="s">
        <v>601</v>
      </c>
      <c r="H15" s="22"/>
    </row>
    <row r="16" spans="2:8">
      <c r="B16" s="19">
        <v>8004</v>
      </c>
      <c r="C16" s="11" t="s">
        <v>30</v>
      </c>
      <c r="D16">
        <v>3</v>
      </c>
      <c r="E16" t="s">
        <v>515</v>
      </c>
      <c r="F16">
        <v>-1</v>
      </c>
      <c r="G16" s="17" t="s">
        <v>601</v>
      </c>
      <c r="H16" s="22"/>
    </row>
    <row r="17" spans="2:8">
      <c r="B17" s="27">
        <v>8004</v>
      </c>
      <c r="C17" s="48" t="s">
        <v>617</v>
      </c>
      <c r="D17" s="27">
        <v>50</v>
      </c>
      <c r="E17" s="27" t="s">
        <v>515</v>
      </c>
      <c r="F17" s="27">
        <v>-1</v>
      </c>
      <c r="G17" s="20" t="s">
        <v>618</v>
      </c>
      <c r="H17" s="46"/>
    </row>
    <row r="18" spans="2:8">
      <c r="B18" s="27">
        <v>9000</v>
      </c>
      <c r="C18" s="48" t="s">
        <v>218</v>
      </c>
      <c r="D18" s="27">
        <v>1.4</v>
      </c>
      <c r="E18" s="27" t="s">
        <v>347</v>
      </c>
      <c r="F18" s="27">
        <v>-1</v>
      </c>
      <c r="G18" s="20" t="s">
        <v>608</v>
      </c>
      <c r="H18" s="22"/>
    </row>
    <row r="19" spans="2:8">
      <c r="B19" s="27">
        <v>9000</v>
      </c>
      <c r="C19" s="48" t="s">
        <v>339</v>
      </c>
      <c r="D19" s="27">
        <v>0</v>
      </c>
      <c r="E19" s="27" t="s">
        <v>347</v>
      </c>
      <c r="F19" s="27">
        <v>-1</v>
      </c>
      <c r="G19" s="20" t="s">
        <v>603</v>
      </c>
      <c r="H19" s="22"/>
    </row>
    <row r="20" spans="2:8">
      <c r="B20" s="27">
        <v>9001</v>
      </c>
      <c r="C20" s="48" t="s">
        <v>606</v>
      </c>
      <c r="D20" s="27">
        <v>0.85</v>
      </c>
      <c r="E20" s="27" t="s">
        <v>347</v>
      </c>
      <c r="F20" s="27">
        <v>5</v>
      </c>
      <c r="G20" s="20" t="s">
        <v>621</v>
      </c>
      <c r="H20" s="22"/>
    </row>
    <row r="21" spans="2:8">
      <c r="B21" s="27">
        <v>9101</v>
      </c>
      <c r="C21" s="48" t="s">
        <v>606</v>
      </c>
      <c r="D21" s="27">
        <v>1.3</v>
      </c>
      <c r="E21" s="27" t="s">
        <v>347</v>
      </c>
      <c r="F21" s="27">
        <v>-1</v>
      </c>
      <c r="G21" s="20" t="s">
        <v>604</v>
      </c>
      <c r="H21" s="22"/>
    </row>
    <row r="22" spans="2:8">
      <c r="B22" s="19">
        <v>9002</v>
      </c>
      <c r="C22" t="s">
        <v>318</v>
      </c>
      <c r="D22">
        <v>1</v>
      </c>
      <c r="E22" t="s">
        <v>515</v>
      </c>
      <c r="F22">
        <v>-1</v>
      </c>
      <c r="G22" s="17" t="s">
        <v>557</v>
      </c>
      <c r="H22" s="22"/>
    </row>
    <row r="23" spans="2:8">
      <c r="B23" s="19">
        <v>9003</v>
      </c>
      <c r="C23" s="11" t="s">
        <v>55</v>
      </c>
      <c r="D23">
        <v>-50</v>
      </c>
      <c r="E23" t="s">
        <v>515</v>
      </c>
      <c r="F23">
        <v>-1</v>
      </c>
      <c r="G23" s="17" t="s">
        <v>612</v>
      </c>
      <c r="H23" s="22"/>
    </row>
    <row r="24" spans="2:8">
      <c r="B24" s="19">
        <v>9003</v>
      </c>
      <c r="C24" s="51" t="s">
        <v>597</v>
      </c>
      <c r="D24">
        <v>0.6</v>
      </c>
      <c r="E24" t="s">
        <v>515</v>
      </c>
      <c r="F24">
        <v>-1</v>
      </c>
      <c r="G24" s="17" t="s">
        <v>613</v>
      </c>
      <c r="H24" s="22"/>
    </row>
    <row r="25" spans="2:8">
      <c r="B25" s="19">
        <v>9004</v>
      </c>
      <c r="C25" s="11" t="s">
        <v>24</v>
      </c>
      <c r="D25">
        <v>-1</v>
      </c>
      <c r="E25" t="s">
        <v>515</v>
      </c>
      <c r="F25">
        <v>-1</v>
      </c>
      <c r="G25" s="17" t="s">
        <v>558</v>
      </c>
      <c r="H25" s="22"/>
    </row>
    <row r="26" spans="2:8">
      <c r="B26" s="19">
        <v>9004</v>
      </c>
      <c r="C26" s="11" t="s">
        <v>30</v>
      </c>
      <c r="D26">
        <v>-1</v>
      </c>
      <c r="E26" t="s">
        <v>515</v>
      </c>
      <c r="F26">
        <v>-1</v>
      </c>
      <c r="G26" s="17" t="s">
        <v>558</v>
      </c>
      <c r="H26" s="22"/>
    </row>
    <row r="27" spans="2:8">
      <c r="B27" s="19">
        <v>9004</v>
      </c>
      <c r="C27" t="s">
        <v>186</v>
      </c>
      <c r="D27">
        <v>1</v>
      </c>
      <c r="E27" t="s">
        <v>517</v>
      </c>
      <c r="F27">
        <v>-1</v>
      </c>
      <c r="G27" s="17" t="s">
        <v>559</v>
      </c>
      <c r="H27" s="22"/>
    </row>
    <row r="28" spans="2:8">
      <c r="B28" s="39">
        <v>10002</v>
      </c>
      <c r="C28" t="s">
        <v>2</v>
      </c>
      <c r="D28">
        <v>2.5</v>
      </c>
      <c r="E28" t="s">
        <v>347</v>
      </c>
      <c r="F28">
        <v>5</v>
      </c>
      <c r="G28" s="22"/>
      <c r="H28" s="22"/>
    </row>
    <row r="29" spans="2:8">
      <c r="B29" s="39">
        <v>10002</v>
      </c>
      <c r="C29" t="s">
        <v>28</v>
      </c>
      <c r="D29">
        <v>0.2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227</v>
      </c>
      <c r="D30">
        <v>3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197</v>
      </c>
      <c r="D31">
        <v>0.05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218</v>
      </c>
      <c r="D32">
        <v>0.3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29</v>
      </c>
      <c r="D33">
        <v>2.5</v>
      </c>
      <c r="E33" t="s">
        <v>347</v>
      </c>
      <c r="F33">
        <v>5</v>
      </c>
      <c r="G33" s="22"/>
      <c r="H33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zoomScale="85" zoomScaleNormal="85" zoomScaleSheetLayoutView="100" workbookViewId="0">
      <selection activeCell="J12" sqref="J12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493</v>
      </c>
      <c r="F1" s="19"/>
      <c r="G1" s="19" t="s">
        <v>502</v>
      </c>
      <c r="H1" s="19"/>
      <c r="I1" s="19" t="s">
        <v>502</v>
      </c>
      <c r="J1" s="19"/>
      <c r="K1" s="19" t="s">
        <v>502</v>
      </c>
    </row>
    <row r="2" spans="2:12">
      <c r="B2" t="s">
        <v>75</v>
      </c>
      <c r="C2" s="47" t="s">
        <v>566</v>
      </c>
      <c r="D2" s="19" t="s">
        <v>526</v>
      </c>
      <c r="E2" s="19" t="s">
        <v>499</v>
      </c>
      <c r="F2" s="19" t="s">
        <v>541</v>
      </c>
      <c r="G2" s="37" t="s">
        <v>500</v>
      </c>
      <c r="H2" s="19" t="s">
        <v>542</v>
      </c>
      <c r="I2" s="37" t="s">
        <v>501</v>
      </c>
      <c r="J2" s="37" t="s">
        <v>543</v>
      </c>
      <c r="K2" s="37" t="s">
        <v>575</v>
      </c>
      <c r="L2" s="37" t="s">
        <v>574</v>
      </c>
    </row>
    <row r="3" spans="2:12">
      <c r="B3" s="19">
        <v>8006</v>
      </c>
      <c r="C3" s="21" t="s">
        <v>567</v>
      </c>
      <c r="D3" s="19" t="s">
        <v>534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520</v>
      </c>
      <c r="E4" s="11"/>
      <c r="F4" s="45"/>
      <c r="H4" s="45"/>
      <c r="J4" s="22"/>
      <c r="L4" s="22"/>
    </row>
    <row r="5" spans="2:12">
      <c r="B5" s="19">
        <v>10000</v>
      </c>
      <c r="C5" s="21"/>
      <c r="D5" s="19" t="s">
        <v>503</v>
      </c>
      <c r="E5" s="11">
        <v>8</v>
      </c>
      <c r="F5" s="45"/>
      <c r="H5" s="45"/>
      <c r="J5" s="22"/>
      <c r="L5" s="22"/>
    </row>
    <row r="6" spans="2:12">
      <c r="B6">
        <v>10001</v>
      </c>
      <c r="C6" s="22"/>
      <c r="D6" s="19" t="s">
        <v>527</v>
      </c>
      <c r="E6">
        <v>6</v>
      </c>
      <c r="F6" s="22"/>
      <c r="G6">
        <v>30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521</v>
      </c>
      <c r="E7">
        <v>0.5</v>
      </c>
      <c r="F7" s="17" t="s">
        <v>544</v>
      </c>
      <c r="G7">
        <v>5</v>
      </c>
      <c r="H7" s="17" t="s">
        <v>545</v>
      </c>
      <c r="J7" s="22"/>
      <c r="L7" s="22"/>
    </row>
    <row r="8" spans="2:12">
      <c r="B8">
        <v>10003</v>
      </c>
      <c r="C8" s="22"/>
      <c r="D8" s="19" t="s">
        <v>532</v>
      </c>
      <c r="E8">
        <v>10</v>
      </c>
      <c r="F8" s="22"/>
      <c r="G8">
        <v>90</v>
      </c>
      <c r="H8" s="22"/>
      <c r="I8">
        <v>1.2</v>
      </c>
      <c r="J8" s="22"/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2023-08-23T09:01:34Z</dcterms:modified>
  <cp:version>1200.0100.01</cp:version>
</cp:coreProperties>
</file>