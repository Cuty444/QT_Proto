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9D473CEE-A171-40D3-8375-5B4DA602F283}" xr6:coauthVersionLast="47" xr6:coauthVersionMax="47" xr10:uidLastSave="{00000000-0000-0000-0000-000000000000}"/>
  <bookViews>
    <workbookView xWindow="-96" yWindow="0" windowWidth="11712" windowHeight="12336" firstSheet="12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13" l="1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B21" i="13" a="1"/>
  <c r="B21" i="13" s="1"/>
  <c r="B22" i="13" s="1" a="1"/>
  <c r="B22" i="13" s="1"/>
  <c r="K22" i="13" s="1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3" i="13" a="1"/>
  <c r="B23" i="13" s="1"/>
  <c r="K23" i="13" s="1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B24" i="13" a="1"/>
  <c r="B24" i="13" s="1"/>
  <c r="K24" i="13" s="1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B25" i="13" a="1"/>
  <c r="B25" i="13" s="1"/>
  <c r="K25" i="13" s="1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B20" i="13" a="1"/>
  <c r="B20" i="13" s="1"/>
  <c r="K20" i="13" s="1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C15" i="14" l="1"/>
  <c r="B15" i="14"/>
  <c r="C21" i="14"/>
  <c r="B16" i="14"/>
  <c r="B18" i="14"/>
  <c r="C19" i="14"/>
  <c r="C22" i="14"/>
  <c r="B21" i="14"/>
  <c r="B17" i="14"/>
  <c r="B22" i="14"/>
  <c r="C18" i="14"/>
  <c r="C23" i="14"/>
  <c r="C20" i="14"/>
  <c r="B19" i="14"/>
  <c r="C16" i="14"/>
  <c r="B24" i="14"/>
  <c r="C17" i="14"/>
  <c r="C24" i="14"/>
  <c r="B2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E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<sst xmlns="http://schemas.openxmlformats.org/spreadsheetml/2006/main" count="1175" uniqueCount="608">
  <si>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</si>
  <si>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</si>
  <si>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</si>
  <si>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</si>
  <si>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</si>
  <si>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</si>
  <si>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</si>
  <si>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</si>
  <si>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</si>
  <si>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</si>
  <si>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</si>
  <si>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</si>
  <si>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</si>
  <si>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</si>
  <si>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</si>
  <si>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</si>
  <si>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</si>
  <si>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</si>
  <si>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</si>
  <si>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</si>
  <si>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</si>
  <si>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</si>
  <si>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</si>
  <si>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</si>
  <si>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</si>
  <si>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</si>
  <si>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</si>
  <si>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</si>
  <si>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</si>
  <si>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</si>
  <si>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</si>
  <si>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</si>
  <si>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</si>
  <si>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</si>
  <si>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</si>
  <si>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</si>
  <si>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</si>
  <si>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</si>
  <si>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</si>
  <si>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</si>
  <si>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</si>
  <si>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</si>
  <si>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</si>
  <si>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</si>
  <si>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</si>
  <si>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</si>
  <si>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</si>
  <si>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</si>
  <si>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</si>
  <si>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</si>
  <si>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</si>
  <si>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</si>
  <si>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</si>
  <si>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</si>
  <si>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</si>
  <si>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</si>
  <si>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</si>
  <si>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</si>
  <si>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</si>
  <si>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</si>
  <si>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</si>
  <si>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</si>
  <si>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</si>
  <si>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</si>
  <si>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</si>
  <si>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</si>
  <si>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</si>
  <si>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</si>
  <si>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</si>
  <si>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</si>
  <si>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</si>
  <si>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</si>
  <si>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</si>
  <si>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</si>
  <si>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</si>
  <si>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</si>
  <si>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</si>
  <si>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</si>
  <si>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</si>
  <si>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</si>
  <si>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</si>
  <si>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</si>
  <si>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</si>
  <si>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</si>
  <si>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</si>
  <si>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</si>
  <si>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</si>
  <si>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</si>
  <si>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</si>
  <si>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</si>
  <si>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</si>
  <si>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</si>
  <si>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</si>
  <si>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</si>
  <si>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</si>
  <si>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</si>
  <si>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</si>
  <si>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</si>
  <si>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</si>
  <si>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</si>
  <si>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</si>
  <si>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</si>
  <si>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</si>
  <si>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</si>
  <si>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</si>
  <si>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</si>
  <si>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</si>
  <si>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</si>
  <si>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</si>
  <si>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</si>
  <si>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</si>
  <si>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</si>
  <si>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</si>
  <si>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</si>
  <si>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</si>
  <si>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</si>
  <si>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</si>
  <si>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</si>
  <si>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</si>
  <si>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</si>
  <si>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</si>
  <si>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</si>
  <si>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</si>
  <si>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</si>
  <si>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</si>
  <si>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</si>
  <si>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</si>
  <si>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</si>
  <si>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</si>
  <si>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</si>
  <si>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</si>
  <si>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</si>
  <si>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</si>
  <si>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</si>
  <si>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</si>
  <si>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</si>
  <si>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</si>
  <si>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</si>
  <si>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</si>
  <si>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</si>
  <si>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</si>
  <si>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</si>
  <si>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</si>
  <si>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</si>
  <si>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</si>
  <si>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</si>
  <si>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</si>
  <si>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</si>
  <si>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</si>
  <si>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</si>
  <si>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</si>
  <si>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</si>
  <si>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</si>
  <si>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</si>
  <si>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</si>
  <si>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</si>
  <si>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</si>
  <si>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</si>
  <si>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</si>
  <si>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</si>
  <si>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</si>
  <si>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</si>
  <si>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</si>
  <si>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</si>
  <si>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</si>
  <si>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</si>
  <si>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</si>
  <si>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</si>
  <si>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</si>
  <si>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</si>
  <si>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</si>
  <si>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</si>
  <si>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</si>
  <si>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</si>
  <si>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</si>
  <si>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</si>
  <si>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</si>
  <si>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</si>
  <si>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</si>
  <si>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</si>
  <si>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</si>
  <si>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</si>
  <si>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</si>
  <si>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</si>
  <si>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</si>
  <si>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</si>
  <si>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</si>
  <si>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</si>
  <si>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</si>
  <si>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</si>
  <si>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</si>
  <si>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</si>
  <si>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</si>
  <si>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</si>
  <si>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</si>
  <si>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</si>
  <si>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</si>
  <si>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</si>
  <si>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</si>
  <si>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</si>
  <si>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</si>
  <si>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</si>
  <si>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</si>
  <si>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</si>
  <si>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</si>
  <si>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</si>
  <si>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</si>
  <si>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</si>
  <si>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</si>
  <si>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</si>
  <si>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</si>
  <si>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</si>
  <si>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</si>
  <si>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</si>
  <si>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</si>
  <si>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</si>
  <si>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</si>
  <si>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</si>
  <si>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</si>
  <si>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</si>
  <si>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</si>
  <si>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</si>
  <si>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</si>
  <si>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</si>
  <si>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</si>
  <si>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</si>
  <si>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</si>
  <si>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</si>
  <si>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</si>
  <si>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</si>
  <si>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</si>
  <si>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</si>
  <si>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</si>
  <si>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</si>
  <si>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</si>
  <si>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</si>
  <si>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</si>
  <si>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</si>
  <si>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</si>
  <si>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</si>
  <si>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</si>
  <si>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</si>
  <si>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</si>
  <si>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</si>
  <si>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</si>
  <si>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</si>
  <si>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</si>
  <si>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</si>
  <si>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</si>
  <si>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</si>
  <si>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</si>
  <si>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</si>
  <si>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</si>
  <si>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</si>
  <si>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</si>
  <si>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</si>
  <si>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</si>
  <si>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</si>
  <si>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</si>
  <si>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</si>
  <si>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</si>
  <si>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</si>
  <si>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</si>
  <si>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</si>
  <si>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</si>
  <si>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</si>
  <si>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</si>
  <si>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</si>
  <si>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</si>
  <si>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</si>
  <si>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</si>
  <si>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</si>
  <si>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</si>
  <si>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</si>
  <si>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</si>
  <si>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</si>
  <si>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</si>
  <si>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</si>
  <si>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</si>
  <si>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</si>
  <si>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</si>
  <si>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</si>
  <si>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</si>
  <si>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</si>
  <si>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</si>
  <si>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</si>
  <si>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</si>
  <si>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</si>
  <si>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</si>
  <si>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</si>
  <si>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</si>
  <si>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</si>
  <si>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</si>
  <si>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</si>
  <si>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</si>
  <si>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</si>
  <si>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</si>
  <si>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</si>
  <si>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</si>
  <si>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</si>
  <si>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</si>
  <si>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</si>
  <si>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</si>
  <si>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</si>
  <si>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</si>
  <si>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</si>
  <si>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</si>
  <si>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</si>
  <si>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</si>
  <si>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</si>
  <si>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</si>
  <si>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</si>
  <si>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</si>
  <si>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</si>
  <si>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</si>
  <si>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</si>
  <si>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</si>
  <si>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</si>
  <si>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</si>
  <si>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</si>
  <si>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</si>
  <si>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</si>
  <si>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</si>
  <si>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</si>
  <si>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</si>
  <si>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</si>
  <si>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</si>
  <si>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</si>
  <si>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</si>
  <si>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</si>
  <si>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</si>
  <si>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</si>
  <si>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</si>
  <si>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</si>
  <si>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</si>
  <si>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</si>
  <si>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</si>
  <si>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</si>
  <si>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</si>
  <si>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</si>
  <si>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</si>
  <si>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</si>
  <si>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</si>
  <si>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</si>
  <si>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</si>
  <si>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</si>
  <si>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</si>
  <si>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</si>
  <si>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</si>
  <si>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</si>
  <si>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</si>
  <si>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</si>
  <si>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</si>
  <si>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</si>
  <si>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</si>
  <si>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</si>
  <si>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</si>
  <si>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</si>
  <si>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</si>
  <si>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</si>
  <si>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</si>
  <si>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</si>
  <si>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</si>
  <si>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</si>
  <si>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</si>
  <si>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</si>
  <si>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</si>
  <si>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</si>
  <si>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</si>
  <si>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</si>
  <si>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</si>
  <si>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</si>
  <si>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</si>
  <si>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</si>
  <si>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</si>
  <si>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</si>
  <si>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</si>
  <si>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</si>
  <si>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</si>
  <si>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</si>
  <si>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</si>
  <si>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</si>
  <si>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</si>
  <si>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</si>
  <si>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</si>
  <si>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</si>
  <si>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</si>
  <si>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</si>
  <si>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</si>
  <si>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</si>
  <si>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</si>
  <si>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</si>
  <si>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</si>
  <si>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</si>
  <si>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</si>
  <si>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</si>
  <si>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</si>
  <si>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</si>
  <si>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</si>
  <si>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</si>
  <si>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</si>
  <si>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</si>
  <si>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</si>
  <si>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</si>
  <si>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</si>
  <si>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</si>
  <si>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</si>
  <si>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</si>
  <si>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</si>
  <si>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</si>
  <si>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</si>
  <si>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</si>
  <si>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</si>
  <si>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</si>
  <si>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</si>
  <si>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</si>
  <si>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</si>
  <si>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</si>
  <si>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</si>
  <si>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</si>
  <si>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</si>
  <si>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</si>
  <si>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</si>
  <si>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</si>
  <si>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</si>
  <si>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</si>
  <si>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</si>
  <si>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</si>
  <si>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</si>
  <si>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</si>
  <si>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</si>
  <si>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</si>
  <si>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</si>
  <si>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</si>
  <si>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</si>
  <si>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</si>
  <si>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</si>
  <si>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</si>
  <si>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</si>
  <si>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</si>
  <si>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</si>
  <si>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</si>
  <si>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</si>
  <si>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</si>
  <si>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</si>
  <si>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</si>
  <si>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</si>
  <si>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</si>
  <si>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</si>
  <si>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</si>
  <si>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</si>
  <si>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</si>
  <si>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</si>
  <si>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</si>
  <si>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</si>
  <si>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</si>
  <si>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</si>
  <si>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</si>
  <si>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</si>
  <si>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</si>
  <si>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</si>
  <si>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</si>
  <si>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</si>
  <si>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</si>
  <si>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</si>
  <si>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</si>
  <si>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</si>
  <si>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</si>
  <si>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</si>
  <si>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</si>
  <si>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</si>
  <si>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</si>
  <si>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</si>
  <si>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</si>
  <si>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</si>
  <si>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</si>
  <si>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</si>
  <si>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</si>
  <si>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</si>
  <si>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</si>
  <si>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</si>
  <si>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</si>
  <si>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</si>
  <si>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</si>
  <si>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</si>
  <si>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</si>
  <si>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</si>
  <si>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</si>
  <si>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</si>
  <si>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</si>
  <si>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</si>
  <si>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</si>
  <si>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</si>
  <si>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</si>
  <si>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</si>
  <si>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</si>
  <si>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</si>
  <si>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</si>
  <si>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</si>
  <si>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</si>
  <si>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</si>
  <si>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</si>
  <si>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</si>
  <si>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</si>
  <si>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</si>
  <si>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</si>
  <si>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</si>
  <si>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</si>
  <si>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</si>
  <si>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</si>
  <si>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</si>
  <si>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</si>
  <si>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</si>
  <si>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</si>
  <si>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</si>
  <si>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</si>
  <si>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</si>
  <si>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</si>
  <si>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</si>
  <si>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</si>
  <si>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</si>
  <si>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</si>
  <si>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</si>
  <si>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</si>
  <si>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</si>
  <si>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</si>
  <si>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</si>
  <si>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</si>
  <si>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</si>
  <si>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</si>
  <si>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</si>
  <si>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</si>
  <si>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</si>
  <si>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</si>
  <si>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</si>
  <si>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</si>
  <si>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</si>
  <si>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</si>
  <si>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</si>
  <si>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원기옥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</si>
  <si>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</si>
  <si>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</si>
  <si>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</si>
  <si>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</si>
  <si>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</si>
  <si>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</si>
  <si>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</si>
  <si>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</si>
  <si>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</si>
  <si>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</si>
  <si>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</si>
  <si>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공격력 +10%\n이동속도 +5\n공격속도 +0.1초</t>
  </si>
  <si>
    <t>공 충돌횟수당 공격력 +20%</t>
  </si>
  <si>
    <t>차징속도 +45%</t>
    <phoneticPr fontId="8" type="noConversion"/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</si>
  <si>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</si>
  <si>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</si>
  <si>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</si>
  <si>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</si>
  <si>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액티브 버튼을 누르면 벽에 부딪힐 때 까지 마우스 커서 방향으로 돌진합니다</t>
  </si>
  <si>
    <t>액티브 버튼을 누르면 시간이 느려지고 이동속도와 대쉬 속도가 증가하며,\n공격 쿨타임이 감소합니다.</t>
  </si>
  <si>
    <t>액티브 버튼을 누르면 주변 투사체를 가져와 발사합니다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</si>
  <si>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</si>
  <si>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</si>
  <si>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</si>
  <si>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</si>
  <si>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</si>
  <si>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</si>
  <si>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</si>
  <si>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</si>
  <si>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</si>
  <si>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</si>
  <si>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</si>
  <si>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</si>
  <si>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</si>
  <si>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</si>
  <si>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</si>
  <si>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</si>
  <si>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</si>
  <si>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</si>
  <si>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</si>
  <si>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</si>
  <si>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</si>
  <si>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</si>
  <si>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</si>
  <si>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</si>
  <si>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</si>
  <si>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</si>
  <si>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</si>
  <si>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</si>
  <si>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</si>
  <si>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</si>
  <si>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</si>
  <si>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화학물질 b</t>
    <phoneticPr fontId="8" type="noConversion"/>
  </si>
  <si>
    <t>미사일 백팩</t>
    <phoneticPr fontId="8" type="noConversion"/>
  </si>
  <si>
    <t>앞만 보고 살아가는 당신에게…\n뒤도 돌아보지 말고 돌진하자!\n데일리룩으로 안성맞춤.</t>
    <phoneticPr fontId="8" type="noConversion"/>
  </si>
  <si>
    <t>도넛에 특별한 5개의 토핑을\n뿌리면 엄청난 일들이\n가능하다고 합니다.</t>
    <phoneticPr fontId="8" type="noConversion"/>
  </si>
  <si>
    <t>아주 조금씩…\n아니 모든 원기를 나에게 나눠 줘!!</t>
    <phoneticPr fontId="8" type="noConversion"/>
  </si>
  <si>
    <t>OnAttackStunEnemy</t>
    <phoneticPr fontId="8" type="noConversion"/>
  </si>
  <si>
    <t>기초적인 임플란트입니다.\n하루 3회 이상 음용할 경우.\n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</si>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</sst>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8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Light Style 1 - Accent 1" table="0" count="7" xr9:uid="{00000000-0011-0000-FFFF-FFFF01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표 스타일 1" pivot="0" count="4" xr9:uid="{00000000-0011-0000-FFFF-FFFF02000000}">
      <tableStyleElement type="wholeTable" dxfId="93"/>
      <tableStyleElement type="headerRow" dxfId="92"/>
      <tableStyleElement type="firstRowStripe" dxfId="91"/>
      <tableStyleElement type="secondRowStripe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9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8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7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6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5" dataDxfId="84">
  <autoFilter ref="B6:E32" xr:uid="{00000000-0009-0000-0100-000008000000}"/>
  <tableColumns count="4">
    <tableColumn id="1" xr3:uid="{00000000-0010-0000-0100-000001000000}" name="스텟" dataDxfId="83"/>
    <tableColumn id="2" xr3:uid="{00000000-0010-0000-0100-000002000000}" name="참조 테이블" dataDxfId="82"/>
    <tableColumn id="3" xr3:uid="{00000000-0010-0000-0100-000003000000}" name="설명" dataDxfId="81"/>
    <tableColumn id="4" xr3:uid="{00000000-0010-0000-0100-000004000000}" name="Value 1당 가치" dataDxfId="8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9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8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7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6"/>
    <tableColumn id="4" xr3:uid="{00000000-0010-0000-0400-000004000000}" name="획득 무기"/>
    <tableColumn id="5" xr3:uid="{00000000-0010-0000-0400-000005000000}" name="획득 골드" dataDxfId="75">
      <calculatedColumnFormula array="1">밸런스시트[[#This Row],[방 개수]]*표10[방 평균 골드]</calculatedColumnFormula>
    </tableColumn>
    <tableColumn id="6" xr3:uid="{00000000-0010-0000-0400-000006000000}" name="적 체력" dataDxfId="74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3">
      <calculatedColumnFormula array="1">CharacterAtkTable['#던진공 차징1 튕겨내기 DPS]</calculatedColumnFormula>
    </tableColumn>
    <tableColumn id="10" xr3:uid="{00000000-0010-0000-0400-00000A000000}" name="예상 전투 시간" dataDxfId="72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1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0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9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8"/>
    <tableColumn id="3" xr3:uid="{00000000-0010-0000-0600-000003000000}" name="value"/>
    <tableColumn id="4" xr3:uid="{00000000-0010-0000-0600-000004000000}" name="#설명" dataDxfId="67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6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5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4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3"/>
    <tableColumn id="3" xr3:uid="{00000000-0010-0000-0800-000003000000}" name="ThrowCooldown" dataDxfId="62"/>
    <tableColumn id="4" xr3:uid="{00000000-0010-0000-0800-000004000000}" name="ThrowAfterDelay" dataDxfId="61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0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9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8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7"/>
    <tableColumn id="14" xr3:uid="{00000000-0010-0000-0900-00000E000000}" name="#드랍테이블2" dataDxfId="56"/>
    <tableColumn id="15" xr3:uid="{00000000-0010-0000-0900-00000F000000}" name="#드랍테이블3" dataDxfId="55"/>
    <tableColumn id="16" xr3:uid="{00000000-0010-0000-0900-000010000000}" name="#드랍테이블4" dataDxfId="54"/>
    <tableColumn id="17" xr3:uid="{00000000-0010-0000-0900-000011000000}" name="#드랍테이블5" dataDxfId="53"/>
    <tableColumn id="18" xr3:uid="{00000000-0010-0000-0900-000012000000}" name="#드랍테이블6" dataDxfId="52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1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0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9"/>
    <tableColumn id="19" xr3:uid="{BFCBC32D-7E44-4D9E-BE44-E28E6C46489C}" name="#" dataDxfId="48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7"/>
    <tableColumn id="17" xr3:uid="{00000000-0010-0000-0B00-000011000000}" name="#기준 적 체력 비율"/>
    <tableColumn id="18" xr3:uid="{00000000-0010-0000-0B00-000012000000}" name="#평균 드랍 골드" dataDxfId="4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5"/>
    <tableColumn id="3" xr3:uid="{00000000-0010-0000-0C00-000003000000}" name="ShootDataId" dataDxfId="44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3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41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40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9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38">
  <autoFilter ref="B2:S29" xr:uid="{00000000-0009-0000-0100-000004000000}"/>
  <tableColumns count="18">
    <tableColumn id="1" xr3:uid="{00000000-0010-0000-0F00-000001000000}" name="Index" dataDxfId="37"/>
    <tableColumn id="2" xr3:uid="{00000000-0010-0000-0F00-000002000000}" name="Name" dataDxfId="36"/>
    <tableColumn id="3" xr3:uid="{00000000-0010-0000-0F00-000003000000}" name="Desc" dataDxfId="35"/>
    <tableColumn id="18" xr3:uid="{41D082BD-5DEE-994C-91CD-A250C270CBBB}" name="PlusDesc" dataDxfId="34"/>
    <tableColumn id="19" xr3:uid="{C2F394C8-4A93-ED44-B037-BCC13A5A77D1}" name="Minus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3" totalsRowShown="0" headerRowDxfId="19">
  <autoFilter ref="B2:H33" xr:uid="{00000000-0009-0000-0100-000001000000}"/>
  <tableColumns count="7">
    <tableColumn id="4" xr3:uid="{DE2DDF71-E208-9D48-B1BD-ADAF1A04A4E7}" name="Index" dataDxfId="1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7"/>
    <tableColumn id="2" xr3:uid="{4A23D036-ED42-4C71-987E-AC3F1E1DDB0E}" name="#폐기여부" dataDxfId="1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5">
  <autoFilter ref="B2:K24" xr:uid="{00000000-0009-0000-0100-000001000000}"/>
  <tableColumns count="10">
    <tableColumn id="2" xr3:uid="{00000000-0010-0000-1000-000002000000}" name="#이름값" dataDxfId="14">
      <calculatedColumnFormula>INDEX(ItemTable[Name],MATCH(ItemEffectTable[[#This Row],[Index]],ItemTable[ItemEffectDataId],0))</calculatedColumnFormula>
    </tableColumn>
    <tableColumn id="3" xr3:uid="{00000000-0010-0000-1000-000003000000}" name="#Grade" dataDxfId="13">
      <calculatedColumnFormula>INDEX(ItemTable[GradeType],MATCH(ItemEffectTable[[#This Row],[Index]],ItemTable[ItemEffectDataId],0))</calculatedColumnFormula>
    </tableColumn>
    <tableColumn id="4" xr3:uid="{00000000-0010-0000-1000-000004000000}" name="Index" dataDxfId="12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1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I8" totalsRowShown="0" headerRowDxfId="10">
  <autoFilter ref="B2:I8" xr:uid="{00000000-0009-0000-0100-000001000000}"/>
  <tableColumns count="8">
    <tableColumn id="4" xr3:uid="{9F0C2145-5739-D948-B51C-59C2F70F8333}" name="Index" dataDxfId="9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8"/>
    <tableColumn id="13" xr3:uid="{87231311-C662-DB49-A399-712B241C3925}" name="Param2"/>
    <tableColumn id="2" xr3:uid="{3C8DB834-18FB-4D58-9956-214B8F2B4406}" name="#Param2설명" dataDxfId="7"/>
    <tableColumn id="14" xr3:uid="{B4B3DBDF-BBC3-1F44-B6CB-63F8C93FD4DC}" name="Param3"/>
    <tableColumn id="3" xr3:uid="{8306FFCB-EB8D-412A-A975-A00A92E457D5}" name="#Param3설명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49" t="s">
        <v>314</v>
      </c>
      <c r="C1" s="50"/>
      <c r="D1" s="50"/>
      <c r="E1" s="50"/>
    </row>
    <row r="2" spans="2:5" s="1" customFormat="1">
      <c r="B2" s="50"/>
      <c r="C2" s="50"/>
      <c r="D2" s="50"/>
      <c r="E2" s="50"/>
    </row>
    <row r="3" spans="2:5" s="1" customFormat="1">
      <c r="B3" s="50"/>
      <c r="C3" s="50"/>
      <c r="D3" s="50"/>
      <c r="E3" s="50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49" t="s">
        <v>202</v>
      </c>
      <c r="C1" s="50"/>
      <c r="D1" s="50"/>
      <c r="E1" s="50"/>
    </row>
    <row r="2" spans="2:12" s="1" customFormat="1">
      <c r="B2" s="50"/>
      <c r="C2" s="50"/>
      <c r="D2" s="50"/>
      <c r="E2" s="50"/>
    </row>
    <row r="3" spans="2:12" s="1" customFormat="1">
      <c r="B3" s="50"/>
      <c r="C3" s="50"/>
      <c r="D3" s="50"/>
      <c r="E3" s="50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464</v>
      </c>
      <c r="C10" s="2"/>
      <c r="D10" s="2"/>
      <c r="I10" s="2" t="s">
        <v>465</v>
      </c>
      <c r="J10" s="2"/>
      <c r="K10" s="2"/>
    </row>
    <row r="11" spans="2:12">
      <c r="B11" s="14" t="s">
        <v>462</v>
      </c>
      <c r="C11" s="14" t="s">
        <v>463</v>
      </c>
      <c r="D11" s="14" t="s">
        <v>460</v>
      </c>
      <c r="E11" s="14" t="s">
        <v>461</v>
      </c>
      <c r="F11" s="14" t="s">
        <v>466</v>
      </c>
      <c r="I11" s="14" t="s">
        <v>467</v>
      </c>
      <c r="J11" s="14" t="s">
        <v>463</v>
      </c>
      <c r="K11" s="14" t="s">
        <v>460</v>
      </c>
      <c r="L11" s="14" t="s">
        <v>461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468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469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470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470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49" t="s">
        <v>292</v>
      </c>
      <c r="C1" s="50"/>
      <c r="D1" s="50"/>
      <c r="E1" s="50"/>
      <c r="F1" s="50"/>
    </row>
    <row r="2" spans="1:21" s="1" customFormat="1">
      <c r="B2" s="50"/>
      <c r="C2" s="50"/>
      <c r="D2" s="50"/>
      <c r="E2" s="50"/>
      <c r="F2" s="50"/>
    </row>
    <row r="3" spans="1:21" s="1" customFormat="1">
      <c r="B3" s="50"/>
      <c r="C3" s="50"/>
      <c r="D3" s="50"/>
      <c r="E3" s="50"/>
      <c r="F3" s="50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333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296</v>
      </c>
      <c r="O6" t="s">
        <v>331</v>
      </c>
      <c r="P6" t="s">
        <v>294</v>
      </c>
      <c r="R6" t="s">
        <v>105</v>
      </c>
      <c r="S6" s="14" t="s">
        <v>471</v>
      </c>
    </row>
    <row r="7" spans="1:21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238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56</v>
      </c>
      <c r="C9" s="11" t="s">
        <v>238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268</v>
      </c>
      <c r="S9" s="2"/>
      <c r="T9" s="2"/>
    </row>
    <row r="10" spans="1:21">
      <c r="A10" s="11"/>
      <c r="B10" s="11" t="s">
        <v>195</v>
      </c>
      <c r="C10" s="11" t="s">
        <v>238</v>
      </c>
      <c r="D10" t="s">
        <v>328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81</v>
      </c>
      <c r="S10" t="s">
        <v>82</v>
      </c>
      <c r="T10" t="s">
        <v>91</v>
      </c>
      <c r="U10" t="s">
        <v>84</v>
      </c>
    </row>
    <row r="11" spans="1:21">
      <c r="A11" s="11"/>
      <c r="B11" s="11" t="s">
        <v>280</v>
      </c>
      <c r="C11" s="11" t="s">
        <v>238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169</v>
      </c>
      <c r="C12" s="11" t="s">
        <v>224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318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290</v>
      </c>
    </row>
    <row r="15" spans="1:21">
      <c r="A15" s="11"/>
      <c r="B15" s="11" t="s">
        <v>219</v>
      </c>
      <c r="C15" s="11" t="s">
        <v>22</v>
      </c>
      <c r="D15" t="s">
        <v>232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187</v>
      </c>
      <c r="C16" s="11" t="s">
        <v>22</v>
      </c>
      <c r="D16" t="s">
        <v>243</v>
      </c>
      <c r="E16" s="10">
        <v>40</v>
      </c>
    </row>
    <row r="17" spans="1:5">
      <c r="A17" s="11"/>
      <c r="B17" s="11" t="s">
        <v>319</v>
      </c>
      <c r="C17" s="11" t="s">
        <v>22</v>
      </c>
      <c r="D17" t="s">
        <v>138</v>
      </c>
      <c r="E17">
        <f>50/0.3</f>
        <v>166.66666666666669</v>
      </c>
    </row>
    <row r="18" spans="1:5">
      <c r="A18" s="11"/>
      <c r="B18" s="11" t="s">
        <v>340</v>
      </c>
      <c r="C18" s="11" t="s">
        <v>22</v>
      </c>
      <c r="D18" t="s">
        <v>330</v>
      </c>
      <c r="E18" s="12">
        <f>30/-0.2</f>
        <v>-150</v>
      </c>
    </row>
    <row r="19" spans="1:5">
      <c r="A19" s="11"/>
      <c r="B19" s="11" t="s">
        <v>209</v>
      </c>
      <c r="C19" s="11" t="s">
        <v>22</v>
      </c>
      <c r="D19" t="s">
        <v>231</v>
      </c>
      <c r="E19">
        <f>50/100</f>
        <v>0.5</v>
      </c>
    </row>
    <row r="20" spans="1:5">
      <c r="A20" s="11"/>
      <c r="B20" s="11" t="s">
        <v>240</v>
      </c>
      <c r="C20" s="11" t="s">
        <v>22</v>
      </c>
      <c r="D20" t="s">
        <v>234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258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250</v>
      </c>
      <c r="E22">
        <f>30/1/2</f>
        <v>15</v>
      </c>
    </row>
    <row r="23" spans="1:5">
      <c r="A23" s="11"/>
      <c r="B23" s="11" t="s">
        <v>222</v>
      </c>
      <c r="C23" s="11" t="s">
        <v>22</v>
      </c>
      <c r="D23" t="s">
        <v>326</v>
      </c>
      <c r="E23">
        <f>50/25</f>
        <v>2</v>
      </c>
    </row>
    <row r="24" spans="1:5">
      <c r="A24" s="11"/>
      <c r="B24" s="11" t="s">
        <v>230</v>
      </c>
      <c r="C24" s="11" t="s">
        <v>22</v>
      </c>
      <c r="D24" t="s">
        <v>327</v>
      </c>
      <c r="E24">
        <f>50/25</f>
        <v>2</v>
      </c>
    </row>
    <row r="25" spans="1:5">
      <c r="A25" s="11"/>
      <c r="B25" s="11" t="s">
        <v>249</v>
      </c>
      <c r="C25" s="11" t="s">
        <v>22</v>
      </c>
      <c r="D25" t="s">
        <v>345</v>
      </c>
      <c r="E25">
        <v>2</v>
      </c>
    </row>
    <row r="26" spans="1:5">
      <c r="A26" s="11"/>
      <c r="B26" s="11" t="s">
        <v>271</v>
      </c>
      <c r="C26" s="11" t="s">
        <v>22</v>
      </c>
      <c r="D26" t="s">
        <v>346</v>
      </c>
      <c r="E26">
        <v>2</v>
      </c>
    </row>
    <row r="27" spans="1:5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>
      <c r="A29" s="11"/>
      <c r="B29" s="11" t="s">
        <v>281</v>
      </c>
      <c r="C29" s="11" t="s">
        <v>58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58</v>
      </c>
      <c r="D30" s="11" t="s">
        <v>372</v>
      </c>
      <c r="E30">
        <v>50</v>
      </c>
    </row>
    <row r="31" spans="1:5">
      <c r="A31" s="11"/>
      <c r="B31" s="11" t="s">
        <v>279</v>
      </c>
      <c r="C31" s="11" t="s">
        <v>58</v>
      </c>
      <c r="D31" s="11" t="s">
        <v>180</v>
      </c>
      <c r="E31">
        <v>50</v>
      </c>
    </row>
    <row r="32" spans="1:5">
      <c r="A32" s="11"/>
      <c r="B32" s="11" t="s">
        <v>192</v>
      </c>
      <c r="C32" s="11" t="s">
        <v>58</v>
      </c>
      <c r="D32" s="11" t="s">
        <v>225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247</v>
      </c>
      <c r="C4">
        <v>5</v>
      </c>
      <c r="D4" s="4" t="s">
        <v>181</v>
      </c>
    </row>
    <row r="5" spans="1:4">
      <c r="A5">
        <v>3</v>
      </c>
      <c r="B5" s="4" t="s">
        <v>272</v>
      </c>
      <c r="C5">
        <v>20</v>
      </c>
      <c r="D5" s="4" t="s">
        <v>8</v>
      </c>
    </row>
    <row r="6" spans="1:4">
      <c r="A6">
        <v>4</v>
      </c>
      <c r="B6" s="4" t="s">
        <v>274</v>
      </c>
      <c r="C6">
        <v>0.5</v>
      </c>
      <c r="D6" s="4" t="s">
        <v>197</v>
      </c>
    </row>
    <row r="7" spans="1:4">
      <c r="A7">
        <v>5</v>
      </c>
      <c r="B7" s="4" t="s">
        <v>322</v>
      </c>
      <c r="C7">
        <v>50</v>
      </c>
      <c r="D7" s="4" t="s">
        <v>371</v>
      </c>
    </row>
    <row r="8" spans="1:4">
      <c r="A8">
        <v>6</v>
      </c>
      <c r="B8" s="4" t="s">
        <v>325</v>
      </c>
      <c r="C8">
        <v>1</v>
      </c>
      <c r="D8" s="4" t="s">
        <v>170</v>
      </c>
    </row>
    <row r="9" spans="1:4">
      <c r="A9">
        <v>7</v>
      </c>
      <c r="B9" s="4" t="s">
        <v>370</v>
      </c>
      <c r="C9">
        <v>10</v>
      </c>
      <c r="D9" s="4" t="s">
        <v>368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I1" zoomScaleNormal="75" zoomScaleSheetLayoutView="100" workbookViewId="0">
      <selection activeCell="J9" sqref="J9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288</v>
      </c>
      <c r="F2" t="s">
        <v>2</v>
      </c>
      <c r="G2" t="s">
        <v>29</v>
      </c>
      <c r="H2" t="s">
        <v>14</v>
      </c>
      <c r="I2" s="19" t="s">
        <v>540</v>
      </c>
      <c r="J2" t="s">
        <v>12</v>
      </c>
      <c r="K2" t="s">
        <v>28</v>
      </c>
      <c r="L2" t="s">
        <v>228</v>
      </c>
      <c r="M2" t="s">
        <v>284</v>
      </c>
      <c r="N2" t="s">
        <v>195</v>
      </c>
      <c r="O2" t="s">
        <v>280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Q1" zoomScaleNormal="75" zoomScaleSheetLayoutView="100" workbookViewId="0">
      <selection activeCell="V21" sqref="V2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2.19921875" bestFit="1" customWidth="1"/>
    <col min="8" max="8" width="18.5" bestFit="1" customWidth="1"/>
    <col min="9" max="9" width="12.296875" bestFit="1" customWidth="1"/>
    <col min="10" max="10" width="21.296875" bestFit="1" customWidth="1"/>
    <col min="11" max="11" width="16.796875" bestFit="1" customWidth="1"/>
    <col min="12" max="12" width="19" bestFit="1" customWidth="1"/>
    <col min="13" max="14" width="20.19921875" bestFit="1" customWidth="1"/>
    <col min="15" max="16" width="25.19921875" bestFit="1" customWidth="1"/>
    <col min="17" max="17" width="25.19921875" customWidth="1"/>
    <col min="18" max="19" width="20.69921875" bestFit="1" customWidth="1"/>
    <col min="20" max="21" width="24.69921875" bestFit="1" customWidth="1"/>
    <col min="22" max="23" width="24.69921875" customWidth="1"/>
    <col min="24" max="24" width="14.19921875" bestFit="1" customWidth="1"/>
    <col min="25" max="25" width="17" customWidth="1"/>
    <col min="26" max="26" width="26.69921875" bestFit="1" customWidth="1"/>
    <col min="27" max="27" width="25" bestFit="1" customWidth="1"/>
    <col min="28" max="29" width="26.19921875" bestFit="1" customWidth="1"/>
    <col min="30" max="30" width="26" bestFit="1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46</v>
      </c>
      <c r="K1" t="s">
        <v>101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167</v>
      </c>
    </row>
    <row r="2" spans="2:31">
      <c r="B2" t="s">
        <v>76</v>
      </c>
      <c r="C2" s="5" t="s">
        <v>43</v>
      </c>
      <c r="D2" s="7" t="s">
        <v>203</v>
      </c>
      <c r="E2" s="6" t="s">
        <v>210</v>
      </c>
      <c r="F2" s="6" t="s">
        <v>321</v>
      </c>
      <c r="G2" s="7" t="s">
        <v>20</v>
      </c>
      <c r="H2" s="42" t="s">
        <v>541</v>
      </c>
      <c r="I2" s="8" t="s">
        <v>318</v>
      </c>
      <c r="J2" s="8" t="s">
        <v>17</v>
      </c>
      <c r="K2" s="8" t="s">
        <v>340</v>
      </c>
      <c r="L2" s="8" t="s">
        <v>187</v>
      </c>
      <c r="M2" s="8" t="s">
        <v>209</v>
      </c>
      <c r="N2" s="8" t="s">
        <v>240</v>
      </c>
      <c r="O2" s="8" t="s">
        <v>24</v>
      </c>
      <c r="P2" s="8" t="s">
        <v>30</v>
      </c>
      <c r="Q2" s="8" t="s">
        <v>31</v>
      </c>
      <c r="R2" s="9" t="s">
        <v>222</v>
      </c>
      <c r="S2" s="9" t="s">
        <v>230</v>
      </c>
      <c r="T2" s="9" t="s">
        <v>249</v>
      </c>
      <c r="U2" s="9" t="s">
        <v>271</v>
      </c>
      <c r="V2" s="9" t="s">
        <v>492</v>
      </c>
      <c r="W2" s="33" t="s">
        <v>493</v>
      </c>
      <c r="X2" s="1" t="s">
        <v>319</v>
      </c>
      <c r="Y2" s="5" t="s">
        <v>334</v>
      </c>
      <c r="Z2" s="5" t="s">
        <v>223</v>
      </c>
      <c r="AA2" s="5" t="s">
        <v>246</v>
      </c>
      <c r="AB2" s="5" t="s">
        <v>226</v>
      </c>
      <c r="AC2" s="5" t="s">
        <v>245</v>
      </c>
      <c r="AD2" s="5" t="s">
        <v>237</v>
      </c>
      <c r="AE2" s="5" t="s">
        <v>26</v>
      </c>
    </row>
    <row r="3" spans="2:31">
      <c r="B3">
        <v>200</v>
      </c>
      <c r="C3" s="4" t="s">
        <v>295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7" t="s">
        <v>205</v>
      </c>
      <c r="F2" s="27" t="s">
        <v>289</v>
      </c>
      <c r="G2" t="s">
        <v>15</v>
      </c>
      <c r="H2" t="s">
        <v>307</v>
      </c>
      <c r="I2" t="s">
        <v>213</v>
      </c>
      <c r="J2" t="s">
        <v>211</v>
      </c>
      <c r="K2" t="s">
        <v>293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6" t="s">
        <v>474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475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s="19" t="s">
        <v>545</v>
      </c>
      <c r="H2" t="s">
        <v>48</v>
      </c>
      <c r="I2" t="s">
        <v>94</v>
      </c>
    </row>
    <row r="3" spans="1:11">
      <c r="B3" s="27">
        <v>9001</v>
      </c>
      <c r="C3" s="30" t="s">
        <v>491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490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487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400</v>
      </c>
      <c r="B6">
        <v>9100</v>
      </c>
      <c r="C6" s="16" t="s">
        <v>488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489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299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122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121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308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512</v>
      </c>
      <c r="D1" s="14" t="s">
        <v>400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19" t="s">
        <v>496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38" t="s">
        <v>511</v>
      </c>
      <c r="D2" s="15" t="s">
        <v>400</v>
      </c>
      <c r="E2" t="s">
        <v>129</v>
      </c>
      <c r="F2" s="19" t="s">
        <v>486</v>
      </c>
      <c r="G2" t="s">
        <v>301</v>
      </c>
      <c r="H2" t="s">
        <v>303</v>
      </c>
      <c r="I2" s="19" t="s">
        <v>516</v>
      </c>
      <c r="J2" t="s">
        <v>2</v>
      </c>
      <c r="K2" s="19" t="s">
        <v>497</v>
      </c>
      <c r="L2" t="s">
        <v>201</v>
      </c>
      <c r="M2" t="s">
        <v>196</v>
      </c>
      <c r="N2" t="s">
        <v>199</v>
      </c>
      <c r="O2" t="s">
        <v>300</v>
      </c>
      <c r="P2" t="s">
        <v>208</v>
      </c>
      <c r="Q2" t="s">
        <v>306</v>
      </c>
      <c r="R2" t="s">
        <v>304</v>
      </c>
      <c r="S2" t="s">
        <v>11</v>
      </c>
      <c r="T2" t="s">
        <v>309</v>
      </c>
      <c r="U2" s="5" t="s">
        <v>311</v>
      </c>
      <c r="V2" s="5" t="s">
        <v>329</v>
      </c>
    </row>
    <row r="3" spans="2:22">
      <c r="B3">
        <v>500</v>
      </c>
      <c r="C3" s="4" t="s">
        <v>40</v>
      </c>
      <c r="D3" s="16" t="s">
        <v>401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435</v>
      </c>
      <c r="D4" s="16" t="s">
        <v>403</v>
      </c>
      <c r="E4">
        <f>표14[적 기준 체력]*EnemyGameData[[#This Row],['#기준 적 체력 비율]]</f>
        <v>80</v>
      </c>
      <c r="F4">
        <v>10</v>
      </c>
      <c r="G4" t="s">
        <v>310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533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510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337</v>
      </c>
      <c r="D5" s="16" t="s">
        <v>406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510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244</v>
      </c>
      <c r="D6" s="16" t="s">
        <v>425</v>
      </c>
      <c r="E6">
        <f>표14[적 기준 체력]*EnemyGameData[[#This Row],['#기준 적 체력 비율]]</f>
        <v>80</v>
      </c>
      <c r="F6">
        <v>10</v>
      </c>
      <c r="G6" t="s">
        <v>310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510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235</v>
      </c>
      <c r="D7" s="24" t="s">
        <v>433</v>
      </c>
      <c r="E7" s="23">
        <f>표14[적 기준 체력]*EnemyGameData[[#This Row],['#기준 적 체력 비율]]</f>
        <v>80</v>
      </c>
      <c r="F7">
        <v>10</v>
      </c>
      <c r="G7" s="23" t="s">
        <v>310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124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510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236</v>
      </c>
      <c r="D8" s="24" t="s">
        <v>433</v>
      </c>
      <c r="E8" s="23">
        <f>표14[적 기준 체력]*EnemyGameData[[#This Row],['#기준 적 체력 비율]]</f>
        <v>100</v>
      </c>
      <c r="F8">
        <v>10</v>
      </c>
      <c r="G8" s="23" t="s">
        <v>310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124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510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239</v>
      </c>
      <c r="D9" s="16" t="s">
        <v>431</v>
      </c>
      <c r="E9">
        <f>표14[적 기준 체력]*EnemyGameData[[#This Row],['#기준 적 체력 비율]]</f>
        <v>100</v>
      </c>
      <c r="F9">
        <v>10</v>
      </c>
      <c r="G9" t="s">
        <v>310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510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361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437</v>
      </c>
      <c r="D11" s="16" t="s">
        <v>436</v>
      </c>
      <c r="E11">
        <f>표14[적 기준 체력]*EnemyGameData[[#This Row],['#기준 적 체력 비율]]</f>
        <v>80</v>
      </c>
      <c r="F11">
        <v>10</v>
      </c>
      <c r="G11" t="s">
        <v>310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510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429</v>
      </c>
      <c r="D12" s="16" t="s">
        <v>402</v>
      </c>
      <c r="E12">
        <f>표14[적 기준 체력]*EnemyGameData[[#This Row],['#기준 적 체력 비율]]</f>
        <v>140</v>
      </c>
      <c r="F12">
        <v>10</v>
      </c>
      <c r="G12" t="s">
        <v>310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510</v>
      </c>
      <c r="U12">
        <v>1.4</v>
      </c>
      <c r="V12">
        <v>7</v>
      </c>
    </row>
    <row r="13" spans="2:22">
      <c r="B13" s="35">
        <v>551</v>
      </c>
      <c r="C13" s="36" t="s">
        <v>427</v>
      </c>
      <c r="D13" s="36" t="s">
        <v>407</v>
      </c>
      <c r="E13" s="35">
        <f>표14[적 기준 체력]*EnemyGameData[[#This Row],['#기준 적 체력 비율]]</f>
        <v>160</v>
      </c>
      <c r="F13" s="35">
        <v>10</v>
      </c>
      <c r="G13" s="35" t="s">
        <v>123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124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510</v>
      </c>
      <c r="U13" s="35">
        <v>1.6</v>
      </c>
      <c r="V13" s="35">
        <v>7</v>
      </c>
    </row>
    <row r="14" spans="2:22">
      <c r="B14">
        <v>552</v>
      </c>
      <c r="C14" s="16" t="s">
        <v>428</v>
      </c>
      <c r="D14" s="16" t="s">
        <v>426</v>
      </c>
      <c r="E14">
        <f>표14[적 기준 체력]*EnemyGameData[[#This Row],['#기준 적 체력 비율]]</f>
        <v>140</v>
      </c>
      <c r="F14">
        <v>10</v>
      </c>
      <c r="G14" t="s">
        <v>310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510</v>
      </c>
      <c r="U14">
        <v>1.4</v>
      </c>
      <c r="V14">
        <v>7</v>
      </c>
    </row>
    <row r="15" spans="2:22">
      <c r="B15">
        <v>553</v>
      </c>
      <c r="C15" s="17" t="s">
        <v>432</v>
      </c>
      <c r="D15" s="16" t="s">
        <v>430</v>
      </c>
      <c r="E15">
        <f>표14[적 기준 체력]*EnemyGameData[[#This Row],['#기준 적 체력 비율]]</f>
        <v>160</v>
      </c>
      <c r="F15">
        <v>10</v>
      </c>
      <c r="G15" t="s">
        <v>310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510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434</v>
      </c>
      <c r="D16" s="24" t="s">
        <v>433</v>
      </c>
      <c r="E16" s="23">
        <f>표14[적 기준 체력]*EnemyGameData[[#This Row],['#기준 적 체력 비율]]</f>
        <v>20</v>
      </c>
      <c r="F16">
        <v>10</v>
      </c>
      <c r="G16" s="23" t="s">
        <v>123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74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509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400</v>
      </c>
      <c r="I1" s="14" t="s">
        <v>400</v>
      </c>
    </row>
    <row r="2" spans="2:9">
      <c r="B2" t="s">
        <v>76</v>
      </c>
      <c r="C2" s="5" t="s">
        <v>43</v>
      </c>
      <c r="D2" t="s">
        <v>316</v>
      </c>
      <c r="E2" t="s">
        <v>127</v>
      </c>
      <c r="F2" t="s">
        <v>315</v>
      </c>
      <c r="G2" t="s">
        <v>312</v>
      </c>
      <c r="H2" s="14" t="s">
        <v>400</v>
      </c>
      <c r="I2" s="14" t="s">
        <v>459</v>
      </c>
    </row>
    <row r="3" spans="2:9">
      <c r="B3">
        <v>600</v>
      </c>
      <c r="C3" s="18" t="s">
        <v>451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408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408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408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408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408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408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408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408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408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447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455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455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455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446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342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342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342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445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452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453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454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480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480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480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480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480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480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480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480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480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480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480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480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480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480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480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480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456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457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458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440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440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440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440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440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440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440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440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440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440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440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440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441</v>
      </c>
      <c r="D57">
        <v>725</v>
      </c>
      <c r="E57" s="19" t="s">
        <v>438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441</v>
      </c>
      <c r="D58">
        <v>725</v>
      </c>
      <c r="E58" s="19" t="s">
        <v>438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442</v>
      </c>
      <c r="D59">
        <v>999</v>
      </c>
      <c r="E59" s="19" t="s">
        <v>439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4" zoomScaleNormal="75" zoomScaleSheetLayoutView="100" workbookViewId="0">
      <selection activeCell="D72" sqref="D72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317</v>
      </c>
      <c r="E2" t="s">
        <v>11</v>
      </c>
      <c r="F2" t="s">
        <v>218</v>
      </c>
      <c r="G2" t="s">
        <v>320</v>
      </c>
    </row>
    <row r="3" spans="2:7">
      <c r="B3">
        <v>700</v>
      </c>
      <c r="C3" s="4" t="s">
        <v>335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411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412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413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414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415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416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417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418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419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420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421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409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422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410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423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424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343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343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343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343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343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343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343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343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241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241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241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241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241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241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241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241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405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405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404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404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404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404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404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404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494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495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495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494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494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494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494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494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494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1" t="s">
        <v>443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332</v>
      </c>
      <c r="E2" t="s">
        <v>169</v>
      </c>
      <c r="F2" t="s">
        <v>302</v>
      </c>
      <c r="G2" t="s">
        <v>309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367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366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366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366</v>
      </c>
    </row>
    <row r="7" spans="2:7">
      <c r="B7">
        <v>401</v>
      </c>
      <c r="C7" s="4" t="s">
        <v>344</v>
      </c>
      <c r="D7" s="3" t="b">
        <v>1</v>
      </c>
      <c r="E7">
        <v>0.25</v>
      </c>
      <c r="F7">
        <v>25</v>
      </c>
      <c r="G7" t="s">
        <v>366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366</v>
      </c>
    </row>
    <row r="9" spans="2:7">
      <c r="B9">
        <v>403</v>
      </c>
      <c r="C9" s="16" t="s">
        <v>449</v>
      </c>
      <c r="D9" s="3" t="b">
        <v>0</v>
      </c>
      <c r="E9">
        <v>0.8</v>
      </c>
      <c r="F9">
        <v>25</v>
      </c>
      <c r="G9" t="s">
        <v>366</v>
      </c>
    </row>
    <row r="10" spans="2:7">
      <c r="B10">
        <v>404</v>
      </c>
      <c r="C10" s="16" t="s">
        <v>450</v>
      </c>
      <c r="D10" s="3" t="b">
        <v>1</v>
      </c>
      <c r="E10">
        <v>0.8</v>
      </c>
      <c r="F10">
        <v>25</v>
      </c>
      <c r="G10" t="s">
        <v>366</v>
      </c>
    </row>
    <row r="11" spans="2:7">
      <c r="B11">
        <v>999</v>
      </c>
      <c r="C11" s="21" t="s">
        <v>444</v>
      </c>
      <c r="D11" t="b">
        <v>1</v>
      </c>
      <c r="E11">
        <v>1</v>
      </c>
      <c r="F11">
        <v>25</v>
      </c>
      <c r="G11" s="19" t="s">
        <v>485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abSelected="1" topLeftCell="G1" zoomScale="70" zoomScaleNormal="70" zoomScaleSheetLayoutView="100" workbookViewId="0">
      <selection activeCell="L21" sqref="L21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77</v>
      </c>
      <c r="D1" t="s">
        <v>77</v>
      </c>
      <c r="G1" t="s">
        <v>77</v>
      </c>
      <c r="H1" t="s">
        <v>46</v>
      </c>
      <c r="I1" t="s">
        <v>46</v>
      </c>
      <c r="J1" t="s">
        <v>46</v>
      </c>
      <c r="K1" t="s">
        <v>46</v>
      </c>
      <c r="L1" t="s">
        <v>100</v>
      </c>
      <c r="M1" t="s">
        <v>49</v>
      </c>
    </row>
    <row r="2" spans="2:19">
      <c r="B2" t="s">
        <v>76</v>
      </c>
      <c r="C2" t="s">
        <v>80</v>
      </c>
      <c r="D2" t="s">
        <v>164</v>
      </c>
      <c r="E2" s="19" t="s">
        <v>546</v>
      </c>
      <c r="F2" s="19" t="s">
        <v>547</v>
      </c>
      <c r="G2" t="s">
        <v>282</v>
      </c>
      <c r="H2" t="s">
        <v>89</v>
      </c>
      <c r="I2" t="s">
        <v>93</v>
      </c>
      <c r="J2" t="s">
        <v>283</v>
      </c>
      <c r="K2" t="s">
        <v>16</v>
      </c>
      <c r="L2" t="s">
        <v>194</v>
      </c>
      <c r="M2" s="5" t="s">
        <v>356</v>
      </c>
      <c r="N2" s="1" t="s">
        <v>49</v>
      </c>
      <c r="O2" s="1" t="s">
        <v>393</v>
      </c>
      <c r="P2" s="1" t="s">
        <v>394</v>
      </c>
      <c r="Q2" s="1" t="s">
        <v>395</v>
      </c>
      <c r="R2" s="26" t="s">
        <v>481</v>
      </c>
      <c r="S2" s="26" t="s">
        <v>473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94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94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94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341</v>
      </c>
      <c r="D8" s="14" t="s">
        <v>380</v>
      </c>
      <c r="E8" s="14" t="s">
        <v>548</v>
      </c>
      <c r="F8" s="14"/>
      <c r="G8" t="s">
        <v>81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256</v>
      </c>
      <c r="M8" s="22" t="str">
        <f>MID(ItemTable[[#This Row],[ItemIconPath]],FIND("icon",ItemTable[[#This Row],[ItemIconPath]]),999)</f>
        <v>icon/item/item_02.png</v>
      </c>
      <c r="N8" s="44" t="s">
        <v>380</v>
      </c>
      <c r="O8" s="43" t="s">
        <v>357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159</v>
      </c>
      <c r="D9" s="19" t="s">
        <v>396</v>
      </c>
      <c r="E9" t="s">
        <v>364</v>
      </c>
      <c r="G9" t="s">
        <v>81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259</v>
      </c>
      <c r="M9" s="22" t="str">
        <f>MID(ItemTable[[#This Row],[ItemIconPath]],FIND("icon",ItemTable[[#This Row],[ItemIconPath]]),999)</f>
        <v>icon/item/item_04.png</v>
      </c>
      <c r="N9" s="44" t="s">
        <v>396</v>
      </c>
      <c r="O9" s="43" t="s">
        <v>364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162</v>
      </c>
      <c r="D10" s="19" t="s">
        <v>378</v>
      </c>
      <c r="E10" t="s">
        <v>353</v>
      </c>
      <c r="G10" t="s">
        <v>81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253</v>
      </c>
      <c r="M10" s="22" t="str">
        <f>MID(ItemTable[[#This Row],[ItemIconPath]],FIND("icon",ItemTable[[#This Row],[ItemIconPath]]),999)</f>
        <v>icon/item/item_05.png</v>
      </c>
      <c r="N10" s="44" t="s">
        <v>378</v>
      </c>
      <c r="O10" s="43" t="s">
        <v>353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161</v>
      </c>
      <c r="D11" s="19" t="s">
        <v>379</v>
      </c>
      <c r="E11" s="19" t="s">
        <v>549</v>
      </c>
      <c r="G11" t="s">
        <v>81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251</v>
      </c>
      <c r="M11" s="22" t="str">
        <f>MID(ItemTable[[#This Row],[ItemIconPath]],FIND("icon",ItemTable[[#This Row],[ItemIconPath]]),999)</f>
        <v>icon/item/item_07.png</v>
      </c>
      <c r="N11" s="44" t="s">
        <v>379</v>
      </c>
      <c r="O11" s="43" t="s">
        <v>352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157</v>
      </c>
      <c r="D12" s="28" t="s">
        <v>483</v>
      </c>
      <c r="E12" s="28" t="s">
        <v>550</v>
      </c>
      <c r="F12" s="28"/>
      <c r="G12" t="s">
        <v>81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254</v>
      </c>
      <c r="M12" s="22" t="str">
        <f>MID(ItemTable[[#This Row],[ItemIconPath]],FIND("icon",ItemTable[[#This Row],[ItemIconPath]]),999)</f>
        <v>icon/item/item_11.png</v>
      </c>
      <c r="N12" s="44" t="s">
        <v>483</v>
      </c>
      <c r="O12" s="44" t="s">
        <v>477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163</v>
      </c>
      <c r="D13" s="19" t="s">
        <v>392</v>
      </c>
      <c r="E13" t="s">
        <v>350</v>
      </c>
      <c r="G13" t="s">
        <v>81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255</v>
      </c>
      <c r="M13" s="22" t="str">
        <f>MID(ItemTable[[#This Row],[ItemIconPath]],FIND("icon",ItemTable[[#This Row],[ItemIconPath]]),999)</f>
        <v>icon/item/item_15.png</v>
      </c>
      <c r="N13" s="44" t="s">
        <v>392</v>
      </c>
      <c r="O13" s="43" t="s">
        <v>350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60</v>
      </c>
      <c r="D14" s="28" t="s">
        <v>399</v>
      </c>
      <c r="E14" s="28" t="s">
        <v>602</v>
      </c>
      <c r="F14" s="28"/>
      <c r="G14" t="s">
        <v>82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257</v>
      </c>
      <c r="M14" s="22" t="str">
        <f>MID(ItemTable[[#This Row],[ItemIconPath]],FIND("icon",ItemTable[[#This Row],[ItemIconPath]]),999)</f>
        <v>icon/item/item_17.png</v>
      </c>
      <c r="N14" s="44" t="s">
        <v>399</v>
      </c>
      <c r="O14" s="44" t="s">
        <v>478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484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381</v>
      </c>
      <c r="D15" s="19" t="s">
        <v>398</v>
      </c>
      <c r="E15" t="s">
        <v>36</v>
      </c>
      <c r="G15" t="s">
        <v>82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260</v>
      </c>
      <c r="M15" s="22" t="str">
        <f>MID(ItemTable[[#This Row],[ItemIconPath]],FIND("icon",ItemTable[[#This Row],[ItemIconPath]]),999)</f>
        <v>icon/item/item_12.png</v>
      </c>
      <c r="N15" s="44" t="s">
        <v>398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62</v>
      </c>
      <c r="D16" s="19" t="s">
        <v>391</v>
      </c>
      <c r="E16" t="s">
        <v>551</v>
      </c>
      <c r="G16" t="s">
        <v>82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262</v>
      </c>
      <c r="M16" s="22" t="str">
        <f>MID(ItemTable[[#This Row],[ItemIconPath]],FIND("icon",ItemTable[[#This Row],[ItemIconPath]]),999)</f>
        <v>icon/item/item_09.png</v>
      </c>
      <c r="N16" s="44" t="s">
        <v>391</v>
      </c>
      <c r="O16" s="44" t="s">
        <v>479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338</v>
      </c>
      <c r="D17" s="19" t="s">
        <v>382</v>
      </c>
      <c r="E17" t="s">
        <v>349</v>
      </c>
      <c r="G17" t="s">
        <v>82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263</v>
      </c>
      <c r="M17" s="22" t="str">
        <f>MID(ItemTable[[#This Row],[ItemIconPath]],FIND("icon",ItemTable[[#This Row],[ItemIconPath]]),999)</f>
        <v>icon/item/item_10.png</v>
      </c>
      <c r="N17" s="44" t="s">
        <v>382</v>
      </c>
      <c r="O17" s="43" t="s">
        <v>349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355</v>
      </c>
      <c r="D18" s="19" t="s">
        <v>386</v>
      </c>
      <c r="E18" t="s">
        <v>351</v>
      </c>
      <c r="G18" t="s">
        <v>82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264</v>
      </c>
      <c r="M18" s="22" t="str">
        <f>MID(ItemTable[[#This Row],[ItemIconPath]],FIND("icon",ItemTable[[#This Row],[ItemIconPath]]),999)</f>
        <v>icon/item/item_16.png</v>
      </c>
      <c r="N18" s="44" t="s">
        <v>386</v>
      </c>
      <c r="O18" s="43" t="s">
        <v>351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165</v>
      </c>
      <c r="D19" s="19" t="s">
        <v>383</v>
      </c>
      <c r="E19" t="s">
        <v>552</v>
      </c>
      <c r="G19" t="s">
        <v>82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266</v>
      </c>
      <c r="M19" s="22" t="str">
        <f>MID(ItemTable[[#This Row],[ItemIconPath]],FIND("icon",ItemTable[[#This Row],[ItemIconPath]]),999)</f>
        <v>icon/item/item_03.png</v>
      </c>
      <c r="N19" s="44" t="s">
        <v>383</v>
      </c>
      <c r="O19" s="44" t="s">
        <v>387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599</v>
      </c>
      <c r="D20" s="19" t="s">
        <v>600</v>
      </c>
      <c r="E20" s="19" t="s">
        <v>601</v>
      </c>
      <c r="F20" s="19"/>
      <c r="G20" t="s">
        <v>82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607</v>
      </c>
      <c r="M20" s="22" t="str">
        <f>MID(ItemTable[[#This Row],[ItemIconPath]],FIND("icon",ItemTable[[#This Row],[ItemIconPath]]),999)</f>
        <v>icon/item/item_01.png</v>
      </c>
      <c r="N20" s="44" t="s">
        <v>383</v>
      </c>
      <c r="O20" s="44" t="s">
        <v>387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4000</v>
      </c>
      <c r="C21" t="s">
        <v>160</v>
      </c>
      <c r="D21" s="19" t="s">
        <v>390</v>
      </c>
      <c r="E21" s="19" t="s">
        <v>553</v>
      </c>
      <c r="F21" t="s">
        <v>359</v>
      </c>
      <c r="G21" t="s">
        <v>91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275</v>
      </c>
      <c r="M21" s="22" t="str">
        <f>MID(ItemTable[[#This Row],[ItemIconPath]],FIND("icon",ItemTable[[#This Row],[ItemIconPath]]),999)</f>
        <v>icon/item/item_06.png</v>
      </c>
      <c r="N21" s="44" t="s">
        <v>390</v>
      </c>
      <c r="O21" s="43" t="s">
        <v>363</v>
      </c>
      <c r="P21" s="43" t="s">
        <v>359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156</v>
      </c>
      <c r="D22" s="14" t="s">
        <v>384</v>
      </c>
      <c r="E22" s="14" t="s">
        <v>604</v>
      </c>
      <c r="F22" s="14" t="s">
        <v>554</v>
      </c>
      <c r="G22" t="s">
        <v>91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278</v>
      </c>
      <c r="M22" s="22" t="str">
        <f>MID(ItemTable[[#This Row],[ItemIconPath]],FIND("icon",ItemTable[[#This Row],[ItemIconPath]]),999)</f>
        <v>icon/item/item_08.png</v>
      </c>
      <c r="N22" s="44" t="s">
        <v>384</v>
      </c>
      <c r="O22" s="43" t="s">
        <v>358</v>
      </c>
      <c r="P22" s="43" t="s">
        <v>360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347</v>
      </c>
      <c r="D23" s="19" t="s">
        <v>556</v>
      </c>
      <c r="E23" t="s">
        <v>555</v>
      </c>
      <c r="F23" t="s">
        <v>242</v>
      </c>
      <c r="G23" t="s">
        <v>91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276</v>
      </c>
      <c r="M23" s="22" t="str">
        <f>MID(ItemTable[[#This Row],[ItemIconPath]],FIND("icon",ItemTable[[#This Row],[ItemIconPath]]),999)</f>
        <v>icon/item/item_14.png</v>
      </c>
      <c r="N23" s="44" t="s">
        <v>389</v>
      </c>
      <c r="O23" s="44" t="s">
        <v>472</v>
      </c>
      <c r="P23" s="43" t="s">
        <v>242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482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339</v>
      </c>
      <c r="D24" s="19" t="s">
        <v>385</v>
      </c>
      <c r="E24" t="s">
        <v>354</v>
      </c>
      <c r="F24" t="s">
        <v>362</v>
      </c>
      <c r="G24" t="s">
        <v>91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277</v>
      </c>
      <c r="M24" s="22" t="str">
        <f>MID(ItemTable[[#This Row],[ItemIconPath]],FIND("icon",ItemTable[[#This Row],[ItemIconPath]]),999)</f>
        <v>icon/item/item_01.png</v>
      </c>
      <c r="N24" s="44" t="s">
        <v>385</v>
      </c>
      <c r="O24" s="43" t="s">
        <v>354</v>
      </c>
      <c r="P24" s="43" t="s">
        <v>362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t="s">
        <v>55</v>
      </c>
      <c r="D25" s="14" t="s">
        <v>397</v>
      </c>
      <c r="E25" s="14" t="s">
        <v>557</v>
      </c>
      <c r="F25" s="14" t="s">
        <v>365</v>
      </c>
      <c r="G25" t="s">
        <v>91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261</v>
      </c>
      <c r="M25" s="22" t="str">
        <f>MID(ItemTable[[#This Row],[ItemIconPath]],FIND("icon",ItemTable[[#This Row],[ItemIconPath]]),999)</f>
        <v>icon/item/item_13.png</v>
      </c>
      <c r="N25" s="44" t="s">
        <v>397</v>
      </c>
      <c r="O25" s="44" t="s">
        <v>388</v>
      </c>
      <c r="P25" s="43" t="s">
        <v>365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590</v>
      </c>
      <c r="D26" s="17" t="s">
        <v>595</v>
      </c>
      <c r="E26" s="21" t="s">
        <v>591</v>
      </c>
      <c r="F26" s="21"/>
      <c r="G26" s="19" t="s">
        <v>545</v>
      </c>
      <c r="H26">
        <v>1</v>
      </c>
      <c r="I26">
        <v>50</v>
      </c>
      <c r="J26">
        <v>100</v>
      </c>
      <c r="K26">
        <v>10000</v>
      </c>
      <c r="L26" s="14" t="s">
        <v>607</v>
      </c>
      <c r="M26" s="22" t="str">
        <f>MID(ItemTable[[#This Row],[ItemIconPath]],FIND("icon",ItemTable[[#This Row],[ItemIconPath]]),999)</f>
        <v>icon/item/item_01.png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539</v>
      </c>
      <c r="D27" s="41" t="s">
        <v>596</v>
      </c>
      <c r="E27" s="41" t="s">
        <v>560</v>
      </c>
      <c r="F27" s="41"/>
      <c r="G27" s="19" t="s">
        <v>545</v>
      </c>
      <c r="H27">
        <v>1</v>
      </c>
      <c r="I27">
        <v>50</v>
      </c>
      <c r="J27">
        <v>100</v>
      </c>
      <c r="K27">
        <v>10001</v>
      </c>
      <c r="L27" s="14" t="s">
        <v>256</v>
      </c>
      <c r="M27" s="22" t="str">
        <f>MID(ItemTable[[#This Row],[ItemIconPath]],FIND("icon",ItemTable[[#This Row],[ItemIconPath]]),999)</f>
        <v>icon/item/item_02.png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592</v>
      </c>
      <c r="D28" s="41" t="s">
        <v>598</v>
      </c>
      <c r="E28" s="41" t="s">
        <v>559</v>
      </c>
      <c r="F28" s="41"/>
      <c r="G28" s="19" t="s">
        <v>545</v>
      </c>
      <c r="H28">
        <v>1</v>
      </c>
      <c r="I28">
        <v>50</v>
      </c>
      <c r="J28">
        <v>100</v>
      </c>
      <c r="K28">
        <v>10002</v>
      </c>
      <c r="L28" s="14" t="s">
        <v>266</v>
      </c>
      <c r="M28" s="22" t="str">
        <f>MID(ItemTable[[#This Row],[ItemIconPath]],FIND("icon",ItemTable[[#This Row],[ItemIconPath]]),999)</f>
        <v>icon/item/item_03.png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593</v>
      </c>
      <c r="D29" s="41" t="s">
        <v>594</v>
      </c>
      <c r="E29" s="41" t="s">
        <v>558</v>
      </c>
      <c r="F29" s="41"/>
      <c r="G29" s="19" t="s">
        <v>545</v>
      </c>
      <c r="H29">
        <v>1</v>
      </c>
      <c r="I29">
        <v>50</v>
      </c>
      <c r="J29">
        <v>100</v>
      </c>
      <c r="K29">
        <v>10003</v>
      </c>
      <c r="L29" s="14" t="s">
        <v>259</v>
      </c>
      <c r="M29" s="22" t="str">
        <f>MID(ItemTable[[#This Row],[ItemIconPath]],FIND("icon",ItemTable[[#This Row],[ItemIconPath]]),999)</f>
        <v>icon/item/item_04.png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3"/>
  <sheetViews>
    <sheetView zoomScale="70" zoomScaleNormal="70" zoomScaleSheetLayoutView="100" workbookViewId="0">
      <selection activeCell="C23" sqref="C23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125</v>
      </c>
      <c r="D1" s="19" t="s">
        <v>512</v>
      </c>
      <c r="E1" s="19" t="s">
        <v>514</v>
      </c>
      <c r="F1" s="19" t="s">
        <v>507</v>
      </c>
      <c r="G1" s="19"/>
      <c r="H1" s="19"/>
    </row>
    <row r="2" spans="2:8">
      <c r="B2" t="s">
        <v>76</v>
      </c>
      <c r="C2" s="19" t="s">
        <v>503</v>
      </c>
      <c r="D2" s="19" t="s">
        <v>513</v>
      </c>
      <c r="E2" s="1" t="s">
        <v>13</v>
      </c>
      <c r="F2" s="37" t="s">
        <v>515</v>
      </c>
      <c r="G2" s="45" t="s">
        <v>561</v>
      </c>
      <c r="H2" s="37" t="s">
        <v>573</v>
      </c>
    </row>
    <row r="3" spans="2:8">
      <c r="B3" s="19">
        <v>7000</v>
      </c>
      <c r="C3" s="11" t="s">
        <v>219</v>
      </c>
      <c r="D3">
        <v>0.7</v>
      </c>
      <c r="E3" t="s">
        <v>348</v>
      </c>
      <c r="F3">
        <v>-1</v>
      </c>
      <c r="G3" s="17" t="s">
        <v>567</v>
      </c>
      <c r="H3" s="17"/>
    </row>
    <row r="4" spans="2:8">
      <c r="B4" s="19">
        <v>7001</v>
      </c>
      <c r="C4" s="11" t="s">
        <v>318</v>
      </c>
      <c r="D4" s="11">
        <v>1.2</v>
      </c>
      <c r="E4" t="s">
        <v>348</v>
      </c>
      <c r="F4">
        <v>-1</v>
      </c>
      <c r="G4" s="17" t="s">
        <v>568</v>
      </c>
      <c r="H4" s="17"/>
    </row>
    <row r="5" spans="2:8">
      <c r="B5" s="19">
        <v>7002</v>
      </c>
      <c r="C5" s="19" t="s">
        <v>534</v>
      </c>
      <c r="D5" s="11">
        <v>0.8</v>
      </c>
      <c r="E5" t="s">
        <v>348</v>
      </c>
      <c r="F5">
        <v>-1</v>
      </c>
      <c r="G5" s="17" t="s">
        <v>570</v>
      </c>
      <c r="H5" s="17"/>
    </row>
    <row r="6" spans="2:8">
      <c r="B6" s="19">
        <v>7003</v>
      </c>
      <c r="C6" s="40" t="s">
        <v>520</v>
      </c>
      <c r="D6">
        <v>1</v>
      </c>
      <c r="E6" t="s">
        <v>522</v>
      </c>
      <c r="F6">
        <v>-1</v>
      </c>
      <c r="G6" s="17" t="s">
        <v>569</v>
      </c>
      <c r="H6" s="17"/>
    </row>
    <row r="7" spans="2:8">
      <c r="B7" s="19">
        <v>7003</v>
      </c>
      <c r="C7" s="40" t="s">
        <v>521</v>
      </c>
      <c r="D7">
        <v>1</v>
      </c>
      <c r="E7" t="s">
        <v>522</v>
      </c>
      <c r="F7">
        <v>-1</v>
      </c>
      <c r="G7" s="17" t="s">
        <v>569</v>
      </c>
      <c r="H7" s="17"/>
    </row>
    <row r="8" spans="2:8">
      <c r="B8" s="19">
        <v>7004</v>
      </c>
      <c r="C8" s="11" t="s">
        <v>2</v>
      </c>
      <c r="D8">
        <v>1.2</v>
      </c>
      <c r="E8" t="s">
        <v>522</v>
      </c>
      <c r="F8">
        <v>-1</v>
      </c>
      <c r="G8" s="17" t="s">
        <v>571</v>
      </c>
      <c r="H8" s="17"/>
    </row>
    <row r="9" spans="2:8">
      <c r="B9" s="19">
        <v>7005</v>
      </c>
      <c r="C9" s="11" t="s">
        <v>56</v>
      </c>
      <c r="D9">
        <v>25</v>
      </c>
      <c r="E9" t="s">
        <v>522</v>
      </c>
      <c r="F9">
        <v>-1</v>
      </c>
      <c r="G9" s="17" t="s">
        <v>572</v>
      </c>
      <c r="H9" s="17"/>
    </row>
    <row r="10" spans="2:8">
      <c r="B10" s="19">
        <v>8000</v>
      </c>
      <c r="C10" s="11" t="s">
        <v>319</v>
      </c>
      <c r="D10" s="14">
        <v>0.3</v>
      </c>
      <c r="E10" t="s">
        <v>522</v>
      </c>
      <c r="F10">
        <v>5</v>
      </c>
      <c r="G10" s="20" t="s">
        <v>603</v>
      </c>
      <c r="H10" s="47"/>
    </row>
    <row r="11" spans="2:8">
      <c r="B11" s="19">
        <v>8001</v>
      </c>
      <c r="C11" s="11" t="s">
        <v>319</v>
      </c>
      <c r="D11" s="14" t="s">
        <v>523</v>
      </c>
      <c r="E11" t="s">
        <v>522</v>
      </c>
      <c r="F11">
        <v>-1</v>
      </c>
      <c r="G11" s="17" t="s">
        <v>575</v>
      </c>
      <c r="H11" s="22"/>
    </row>
    <row r="12" spans="2:8">
      <c r="B12" s="19">
        <v>8002</v>
      </c>
      <c r="C12" t="s">
        <v>319</v>
      </c>
      <c r="D12">
        <v>0.1</v>
      </c>
      <c r="E12" t="s">
        <v>522</v>
      </c>
      <c r="F12">
        <v>-1</v>
      </c>
      <c r="G12" s="17" t="s">
        <v>578</v>
      </c>
      <c r="H12" s="22"/>
    </row>
    <row r="13" spans="2:8">
      <c r="B13" s="19">
        <v>8002</v>
      </c>
      <c r="C13" t="s">
        <v>2</v>
      </c>
      <c r="D13">
        <v>0.5</v>
      </c>
      <c r="E13" t="s">
        <v>522</v>
      </c>
      <c r="F13">
        <v>-1</v>
      </c>
      <c r="G13" s="17" t="s">
        <v>576</v>
      </c>
      <c r="H13" s="22"/>
    </row>
    <row r="14" spans="2:8">
      <c r="B14" s="19">
        <v>8002</v>
      </c>
      <c r="C14" t="s">
        <v>219</v>
      </c>
      <c r="D14">
        <v>-0.1</v>
      </c>
      <c r="E14" t="s">
        <v>522</v>
      </c>
      <c r="F14">
        <v>-1</v>
      </c>
      <c r="G14" s="17" t="s">
        <v>577</v>
      </c>
      <c r="H14" s="22"/>
    </row>
    <row r="15" spans="2:8">
      <c r="B15" s="19">
        <v>8003</v>
      </c>
      <c r="C15" t="s">
        <v>280</v>
      </c>
      <c r="D15">
        <v>0.5</v>
      </c>
      <c r="E15" t="s">
        <v>522</v>
      </c>
      <c r="F15">
        <v>-1</v>
      </c>
      <c r="G15" s="17" t="s">
        <v>579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522</v>
      </c>
      <c r="F16">
        <v>-1</v>
      </c>
      <c r="G16" s="17" t="s">
        <v>580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522</v>
      </c>
      <c r="F17">
        <v>-1</v>
      </c>
      <c r="G17" s="17" t="s">
        <v>580</v>
      </c>
      <c r="H17" s="22"/>
    </row>
    <row r="18" spans="2:8">
      <c r="B18" s="19">
        <v>8005</v>
      </c>
      <c r="C18" s="11" t="s">
        <v>319</v>
      </c>
      <c r="D18" t="s">
        <v>524</v>
      </c>
      <c r="E18" t="s">
        <v>522</v>
      </c>
      <c r="F18">
        <v>-1</v>
      </c>
      <c r="G18" s="20" t="s">
        <v>581</v>
      </c>
      <c r="H18" s="47" t="s">
        <v>574</v>
      </c>
    </row>
    <row r="19" spans="2:8">
      <c r="B19" s="19">
        <v>9000</v>
      </c>
      <c r="C19" s="11" t="s">
        <v>219</v>
      </c>
      <c r="D19">
        <v>1.2</v>
      </c>
      <c r="E19" t="s">
        <v>348</v>
      </c>
      <c r="F19">
        <v>-1</v>
      </c>
      <c r="G19" s="17" t="s">
        <v>582</v>
      </c>
      <c r="H19" s="22"/>
    </row>
    <row r="20" spans="2:8">
      <c r="B20" s="19">
        <v>9000</v>
      </c>
      <c r="C20" s="11" t="s">
        <v>340</v>
      </c>
      <c r="D20">
        <v>0.55000000000000004</v>
      </c>
      <c r="E20" t="s">
        <v>348</v>
      </c>
      <c r="F20">
        <v>-1</v>
      </c>
      <c r="G20" s="17" t="s">
        <v>583</v>
      </c>
      <c r="H20" s="22"/>
    </row>
    <row r="21" spans="2:8">
      <c r="B21" s="19">
        <v>9001</v>
      </c>
      <c r="C21" t="s">
        <v>2</v>
      </c>
      <c r="D21">
        <v>0.7</v>
      </c>
      <c r="E21" t="s">
        <v>348</v>
      </c>
      <c r="F21">
        <v>-1</v>
      </c>
      <c r="G21" s="17" t="s">
        <v>584</v>
      </c>
      <c r="H21" s="22"/>
    </row>
    <row r="22" spans="2:8">
      <c r="B22" s="19">
        <v>9001</v>
      </c>
      <c r="C22" s="48" t="s">
        <v>606</v>
      </c>
      <c r="D22">
        <v>0.6</v>
      </c>
      <c r="E22" t="s">
        <v>348</v>
      </c>
      <c r="F22">
        <v>-1</v>
      </c>
      <c r="G22" s="17" t="s">
        <v>605</v>
      </c>
      <c r="H22" s="22"/>
    </row>
    <row r="23" spans="2:8">
      <c r="B23" s="19">
        <v>9002</v>
      </c>
      <c r="C23" t="s">
        <v>319</v>
      </c>
      <c r="D23">
        <v>1</v>
      </c>
      <c r="E23" t="s">
        <v>522</v>
      </c>
      <c r="F23">
        <v>-1</v>
      </c>
      <c r="G23" s="17" t="s">
        <v>585</v>
      </c>
      <c r="H23" s="22"/>
    </row>
    <row r="24" spans="2:8">
      <c r="B24" s="19">
        <v>9003</v>
      </c>
      <c r="C24" s="11" t="s">
        <v>56</v>
      </c>
      <c r="D24">
        <v>-50</v>
      </c>
      <c r="E24" t="s">
        <v>522</v>
      </c>
      <c r="F24">
        <v>-1</v>
      </c>
      <c r="G24" s="17" t="s">
        <v>586</v>
      </c>
      <c r="H24" s="22"/>
    </row>
    <row r="25" spans="2:8">
      <c r="B25" s="19">
        <v>9003</v>
      </c>
      <c r="C25" t="s">
        <v>319</v>
      </c>
      <c r="D25">
        <v>0.6</v>
      </c>
      <c r="E25" t="s">
        <v>522</v>
      </c>
      <c r="F25">
        <v>-1</v>
      </c>
      <c r="G25" s="17" t="s">
        <v>587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522</v>
      </c>
      <c r="F26">
        <v>-1</v>
      </c>
      <c r="G26" s="17" t="s">
        <v>588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522</v>
      </c>
      <c r="F27">
        <v>-1</v>
      </c>
      <c r="G27" s="17" t="s">
        <v>588</v>
      </c>
      <c r="H27" s="22"/>
    </row>
    <row r="28" spans="2:8">
      <c r="B28" s="19">
        <v>9004</v>
      </c>
      <c r="C28" t="s">
        <v>187</v>
      </c>
      <c r="D28">
        <v>1</v>
      </c>
      <c r="E28" t="s">
        <v>525</v>
      </c>
      <c r="F28">
        <v>-1</v>
      </c>
      <c r="G28" s="17" t="s">
        <v>589</v>
      </c>
      <c r="H28" s="22"/>
    </row>
    <row r="29" spans="2:8">
      <c r="B29" s="39">
        <v>10002</v>
      </c>
      <c r="C29" t="s">
        <v>2</v>
      </c>
      <c r="D29">
        <v>1.2</v>
      </c>
      <c r="E29" t="s">
        <v>348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0.4</v>
      </c>
      <c r="E30" t="s">
        <v>348</v>
      </c>
      <c r="F30">
        <v>5</v>
      </c>
      <c r="G30" s="22"/>
      <c r="H30" s="22"/>
    </row>
    <row r="31" spans="2:8">
      <c r="B31" s="39">
        <v>10002</v>
      </c>
      <c r="C31" t="s">
        <v>228</v>
      </c>
      <c r="D31">
        <v>3</v>
      </c>
      <c r="E31" t="s">
        <v>348</v>
      </c>
      <c r="F31">
        <v>5</v>
      </c>
      <c r="G31" s="22"/>
      <c r="H31" s="22"/>
    </row>
    <row r="32" spans="2:8">
      <c r="B32" s="39">
        <v>10002</v>
      </c>
      <c r="C32" t="s">
        <v>198</v>
      </c>
      <c r="D32">
        <v>0.5</v>
      </c>
      <c r="E32" t="s">
        <v>348</v>
      </c>
      <c r="F32">
        <v>5</v>
      </c>
      <c r="G32" s="22"/>
      <c r="H32" s="22"/>
    </row>
    <row r="33" spans="2:8">
      <c r="B33" s="39">
        <v>10002</v>
      </c>
      <c r="C33" t="s">
        <v>219</v>
      </c>
      <c r="D33">
        <v>0.5</v>
      </c>
      <c r="E33" t="s">
        <v>348</v>
      </c>
      <c r="F33">
        <v>5</v>
      </c>
      <c r="G33" s="22"/>
      <c r="H33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4"/>
  <sheetViews>
    <sheetView zoomScale="70" zoomScaleNormal="70" zoomScaleSheetLayoutView="100" workbookViewId="0">
      <selection activeCell="E9" sqref="E9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496</v>
      </c>
      <c r="F1" s="19" t="s">
        <v>496</v>
      </c>
      <c r="G1" s="19" t="s">
        <v>498</v>
      </c>
      <c r="H1" t="s">
        <v>125</v>
      </c>
      <c r="I1" s="19" t="s">
        <v>512</v>
      </c>
      <c r="J1" t="s">
        <v>125</v>
      </c>
      <c r="K1" s="19" t="s">
        <v>498</v>
      </c>
    </row>
    <row r="2" spans="2:11">
      <c r="B2" s="5" t="s">
        <v>126</v>
      </c>
      <c r="C2" s="5" t="s">
        <v>128</v>
      </c>
      <c r="D2" t="s">
        <v>76</v>
      </c>
      <c r="E2" s="19" t="s">
        <v>526</v>
      </c>
      <c r="F2" s="19" t="s">
        <v>527</v>
      </c>
      <c r="G2" s="19" t="s">
        <v>499</v>
      </c>
      <c r="H2" s="19" t="s">
        <v>500</v>
      </c>
      <c r="I2" s="37" t="s">
        <v>502</v>
      </c>
      <c r="J2" s="19" t="s">
        <v>501</v>
      </c>
      <c r="K2" s="37" t="s">
        <v>517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519</v>
      </c>
      <c r="I3" s="19"/>
      <c r="J3" s="19" t="s">
        <v>518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519</v>
      </c>
      <c r="J4" s="19" t="s">
        <v>518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519</v>
      </c>
      <c r="I5" s="19"/>
      <c r="J5" s="19" t="s">
        <v>518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519</v>
      </c>
      <c r="J6" s="19" t="s">
        <v>518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519</v>
      </c>
      <c r="J7" s="19" t="s">
        <v>518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519</v>
      </c>
      <c r="J8" s="19" t="s">
        <v>518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597</v>
      </c>
      <c r="J9" s="19" t="s">
        <v>518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532</v>
      </c>
      <c r="J10" s="19" t="s">
        <v>518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519</v>
      </c>
      <c r="J11" s="19" t="s">
        <v>518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519</v>
      </c>
      <c r="J12" s="19" t="s">
        <v>518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519</v>
      </c>
      <c r="J13" s="19" t="s">
        <v>518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531</v>
      </c>
      <c r="J14" s="19" t="s">
        <v>518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543</v>
      </c>
      <c r="J15" s="19" t="s">
        <v>518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519</v>
      </c>
      <c r="J16" s="19" t="s">
        <v>518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519</v>
      </c>
      <c r="J17" s="19" t="s">
        <v>518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519</v>
      </c>
      <c r="J18" s="19" t="s">
        <v>518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519</v>
      </c>
      <c r="J19" s="19" t="s">
        <v>518</v>
      </c>
    </row>
    <row r="20" spans="2:11">
      <c r="B20" s="4" t="str">
        <f>INDEX(ItemTable[Name],MATCH(ItemEffectTable[[#This Row],[Index]],ItemTable[ItemEffectDataId],0))</f>
        <v>태양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519</v>
      </c>
      <c r="J20" s="19" t="s">
        <v>518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0.1</v>
      </c>
      <c r="H21" s="19" t="s">
        <v>530</v>
      </c>
      <c r="J21" s="19" t="s">
        <v>518</v>
      </c>
    </row>
    <row r="22" spans="2:11">
      <c r="B22" s="4" t="str">
        <f>INDEX(ItemTable[Name],MATCH(ItemEffectTable[[#This Row],[Index]],ItemTable[ItemEffectDataId],0))</f>
        <v>원기옥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3.5</v>
      </c>
      <c r="H22" s="19" t="s">
        <v>530</v>
      </c>
      <c r="I22" s="19" t="s">
        <v>538</v>
      </c>
      <c r="J22" s="19" t="s">
        <v>537</v>
      </c>
      <c r="K22">
        <v>3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8</v>
      </c>
      <c r="H23" s="19" t="s">
        <v>530</v>
      </c>
      <c r="J23" s="19" t="s">
        <v>518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1</v>
      </c>
      <c r="H24" s="19" t="s">
        <v>530</v>
      </c>
      <c r="J24" s="19" t="s">
        <v>518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I8"/>
  <sheetViews>
    <sheetView zoomScale="85" zoomScaleNormal="85" zoomScaleSheetLayoutView="100" workbookViewId="0">
      <selection activeCell="B3" sqref="B3:D3"/>
    </sheetView>
  </sheetViews>
  <sheetFormatPr defaultColWidth="8.796875" defaultRowHeight="17.399999999999999"/>
  <cols>
    <col min="2" max="2" width="8.69921875" bestFit="1" customWidth="1"/>
    <col min="3" max="3" width="14.5" customWidth="1"/>
    <col min="4" max="4" width="11.19921875" customWidth="1"/>
    <col min="5" max="5" width="18.296875" customWidth="1"/>
    <col min="6" max="6" width="11.796875" customWidth="1"/>
    <col min="7" max="7" width="20.59765625" customWidth="1"/>
    <col min="8" max="8" width="17.5" customWidth="1"/>
    <col min="9" max="9" width="25.8984375" customWidth="1"/>
  </cols>
  <sheetData>
    <row r="1" spans="2:9">
      <c r="B1" t="s">
        <v>46</v>
      </c>
      <c r="C1" t="s">
        <v>125</v>
      </c>
      <c r="D1" s="19" t="s">
        <v>498</v>
      </c>
      <c r="E1" s="19"/>
      <c r="F1" s="19" t="s">
        <v>507</v>
      </c>
      <c r="G1" s="19"/>
      <c r="H1" s="19" t="s">
        <v>507</v>
      </c>
      <c r="I1" s="19"/>
    </row>
    <row r="2" spans="2:9">
      <c r="B2" t="s">
        <v>76</v>
      </c>
      <c r="C2" s="19" t="s">
        <v>535</v>
      </c>
      <c r="D2" s="19" t="s">
        <v>504</v>
      </c>
      <c r="E2" s="19" t="s">
        <v>562</v>
      </c>
      <c r="F2" s="37" t="s">
        <v>505</v>
      </c>
      <c r="G2" s="19" t="s">
        <v>563</v>
      </c>
      <c r="H2" s="37" t="s">
        <v>506</v>
      </c>
      <c r="I2" s="37" t="s">
        <v>564</v>
      </c>
    </row>
    <row r="3" spans="2:9">
      <c r="B3" s="19">
        <v>8006</v>
      </c>
      <c r="C3" s="19" t="s">
        <v>544</v>
      </c>
      <c r="D3">
        <v>726</v>
      </c>
      <c r="E3" s="17"/>
      <c r="F3">
        <v>1</v>
      </c>
      <c r="G3" s="22"/>
      <c r="I3" s="22"/>
    </row>
    <row r="4" spans="2:9">
      <c r="B4" s="19">
        <v>9002</v>
      </c>
      <c r="C4" s="19" t="s">
        <v>528</v>
      </c>
      <c r="D4" s="11"/>
      <c r="E4" s="46"/>
      <c r="G4" s="46"/>
      <c r="I4" s="22"/>
    </row>
    <row r="5" spans="2:9">
      <c r="B5" s="19">
        <v>10000</v>
      </c>
      <c r="C5" s="19" t="s">
        <v>508</v>
      </c>
      <c r="D5" s="11">
        <v>8</v>
      </c>
      <c r="E5" s="46"/>
      <c r="G5" s="46"/>
      <c r="I5" s="22"/>
    </row>
    <row r="6" spans="2:9">
      <c r="B6">
        <v>10001</v>
      </c>
      <c r="C6" s="19" t="s">
        <v>536</v>
      </c>
      <c r="D6">
        <v>3</v>
      </c>
      <c r="E6" s="22"/>
      <c r="F6">
        <v>23</v>
      </c>
      <c r="G6" s="22"/>
      <c r="H6">
        <v>3</v>
      </c>
      <c r="I6" s="22"/>
    </row>
    <row r="7" spans="2:9">
      <c r="B7">
        <v>10002</v>
      </c>
      <c r="C7" s="19" t="s">
        <v>529</v>
      </c>
      <c r="D7">
        <v>0.5</v>
      </c>
      <c r="E7" s="17" t="s">
        <v>565</v>
      </c>
      <c r="F7">
        <v>5</v>
      </c>
      <c r="G7" s="17" t="s">
        <v>566</v>
      </c>
      <c r="I7" s="22"/>
    </row>
    <row r="8" spans="2:9">
      <c r="B8">
        <v>10003</v>
      </c>
      <c r="C8" s="19" t="s">
        <v>542</v>
      </c>
      <c r="D8">
        <v>10</v>
      </c>
      <c r="E8" s="22"/>
      <c r="F8">
        <v>90</v>
      </c>
      <c r="G8" s="22"/>
      <c r="H8">
        <v>1</v>
      </c>
      <c r="I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323</v>
      </c>
      <c r="E3" t="s">
        <v>57</v>
      </c>
      <c r="F3" t="s">
        <v>248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298</v>
      </c>
      <c r="F4" t="s">
        <v>374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323</v>
      </c>
      <c r="E5" t="s">
        <v>57</v>
      </c>
      <c r="F5" t="s">
        <v>373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297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324</v>
      </c>
      <c r="E7" t="s">
        <v>305</v>
      </c>
      <c r="F7" t="s">
        <v>376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323</v>
      </c>
      <c r="E8" t="s">
        <v>57</v>
      </c>
      <c r="F8" t="s">
        <v>375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324</v>
      </c>
      <c r="E9" t="s">
        <v>305</v>
      </c>
      <c r="F9" t="s">
        <v>270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287</v>
      </c>
      <c r="C2" t="s">
        <v>285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286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291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252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369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377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267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273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269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2023-08-20T15:29:57Z</dcterms:modified>
  <cp:version>1200.0100.01</cp:version>
</cp:coreProperties>
</file>