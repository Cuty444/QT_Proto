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440D14AE-587D-7343-B684-F4806F4AEF4C}" xr6:coauthVersionLast="47" xr6:coauthVersionMax="47" xr10:uidLastSave="{00000000-0000-0000-0000-000000000000}"/>
  <bookViews>
    <workbookView xWindow="80" yWindow="540" windowWidth="51200" windowHeight="21100" firstSheet="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2" i="16" l="1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T16" i="19" a="1"/>
  <c r="T16" i="19" s="1"/>
  <c r="C17" i="19"/>
  <c r="I17" i="19" a="1"/>
  <c r="I17" i="19" s="1"/>
  <c r="J17" i="19" s="1" a="1"/>
  <c r="J17" i="19" s="1"/>
  <c r="L17" i="19" s="1"/>
  <c r="N17" i="19"/>
  <c r="T17" i="19" a="1"/>
  <c r="T17" i="19" s="1"/>
  <c r="C18" i="19"/>
  <c r="I18" i="19" a="1"/>
  <c r="I18" i="19" s="1"/>
  <c r="J18" i="19" s="1" a="1"/>
  <c r="J18" i="19" s="1"/>
  <c r="L18" i="19" s="1"/>
  <c r="N18" i="19"/>
  <c r="T18" i="19" a="1"/>
  <c r="T18" i="19" s="1"/>
  <c r="C23" i="14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L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O9" i="14" s="1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O33" i="14" s="1"/>
  <c r="M33" i="14"/>
  <c r="P33" i="14" s="1"/>
  <c r="N33" i="14"/>
  <c r="Q33" i="14" s="1"/>
  <c r="S33" i="14"/>
  <c r="L16" i="14"/>
  <c r="O16" i="14" s="1"/>
  <c r="M16" i="14"/>
  <c r="P16" i="14" s="1"/>
  <c r="N16" i="14"/>
  <c r="Q16" i="14" s="1"/>
  <c r="S16" i="14"/>
  <c r="N9" i="20"/>
  <c r="M9" i="20" s="1"/>
  <c r="N7" i="20"/>
  <c r="M7" i="20" s="1"/>
  <c r="N19" i="20"/>
  <c r="M19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3" i="14" l="1"/>
  <c r="R9" i="14"/>
  <c r="M9" i="19" s="1"/>
  <c r="O9" i="19" s="1"/>
  <c r="P9" i="19" s="1"/>
  <c r="R16" i="14"/>
  <c r="R21" i="14"/>
  <c r="Q9" i="14"/>
  <c r="R22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3" i="14"/>
  <c r="R31" i="14"/>
  <c r="M25" i="19" s="1"/>
  <c r="O25" i="19" s="1"/>
  <c r="P25" i="19" s="1"/>
  <c r="G28" i="13"/>
  <c r="G31" i="13"/>
  <c r="G30" i="13"/>
  <c r="G29" i="13"/>
  <c r="G33" i="13"/>
  <c r="Q18" i="14"/>
  <c r="R18" i="14" s="1"/>
  <c r="R19" i="14"/>
  <c r="M14" i="19" s="1"/>
  <c r="O14" i="19" s="1"/>
  <c r="P14" i="19" s="1"/>
  <c r="I28" i="13"/>
  <c r="H28" i="13"/>
  <c r="J28" i="13"/>
  <c r="R32" i="14"/>
  <c r="R35" i="14"/>
  <c r="R14" i="14"/>
  <c r="M12" i="19" s="1"/>
  <c r="O12" i="19" s="1"/>
  <c r="P11" i="14"/>
  <c r="M3" i="20"/>
  <c r="M4" i="20"/>
  <c r="M6" i="20"/>
  <c r="O37" i="14"/>
  <c r="R37" i="14" s="1"/>
  <c r="C113" i="11"/>
  <c r="C111" i="11"/>
  <c r="Q21" i="2"/>
  <c r="Q22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P7" i="19" s="1"/>
  <c r="R5" i="14"/>
  <c r="M5" i="19" s="1"/>
  <c r="O5" i="19" s="1"/>
  <c r="R20" i="14"/>
  <c r="R4" i="14"/>
  <c r="M4" i="19" s="1"/>
  <c r="O4" i="19" s="1"/>
  <c r="R3" i="14"/>
  <c r="M3" i="19" s="1"/>
  <c r="O3" i="19" s="1"/>
  <c r="P3" i="19" s="1"/>
  <c r="O39" i="14"/>
  <c r="R39" i="14" s="1"/>
  <c r="O29" i="14"/>
  <c r="O25" i="14"/>
  <c r="O11" i="14"/>
  <c r="O6" i="14"/>
  <c r="R6" i="14" s="1"/>
  <c r="M6" i="19" s="1"/>
  <c r="O6" i="19" s="1"/>
  <c r="O38" i="14"/>
  <c r="R38" i="14" s="1"/>
  <c r="M32" i="19" s="1"/>
  <c r="O32" i="19" s="1"/>
  <c r="P32" i="19" s="1"/>
  <c r="O32" i="14"/>
  <c r="O28" i="14"/>
  <c r="R28" i="14" s="1"/>
  <c r="O24" i="14"/>
  <c r="O14" i="14"/>
  <c r="O10" i="14"/>
  <c r="R10" i="14" s="1"/>
  <c r="M10" i="19" s="1"/>
  <c r="O10" i="19" s="1"/>
  <c r="O5" i="14"/>
  <c r="O41" i="14"/>
  <c r="O31" i="14"/>
  <c r="O27" i="14"/>
  <c r="O13" i="14"/>
  <c r="R13" i="14" s="1"/>
  <c r="O8" i="14"/>
  <c r="O40" i="14"/>
  <c r="O36" i="14"/>
  <c r="R36" i="14" s="1"/>
  <c r="O30" i="14"/>
  <c r="R30" i="14" s="1"/>
  <c r="O26" i="14"/>
  <c r="O17" i="14"/>
  <c r="R17" i="14" s="1"/>
  <c r="O12" i="14"/>
  <c r="R12" i="14" s="1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M18" i="19" l="1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0" i="19"/>
  <c r="P6" i="19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R41" i="14"/>
  <c r="M35" i="19" s="1"/>
  <c r="O35" i="19" s="1"/>
  <c r="P35" i="19" s="1"/>
  <c r="R40" i="14"/>
  <c r="R24" i="14"/>
  <c r="M19" i="19" s="1"/>
  <c r="O19" i="19" s="1"/>
  <c r="P1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20" i="13" l="1"/>
  <c r="D20" i="13" s="1"/>
  <c r="Q20" i="13" a="1"/>
  <c r="Q20" i="13" s="1"/>
  <c r="K20" i="13"/>
  <c r="F20" i="13" s="1"/>
  <c r="J20" i="13"/>
  <c r="E20" i="13" s="1"/>
  <c r="H20" i="13"/>
  <c r="C20" i="13" s="1"/>
  <c r="B23" i="14" s="1"/>
  <c r="G20" i="13"/>
  <c r="Q19" i="13" a="1"/>
  <c r="Q19" i="13" s="1"/>
  <c r="K19" i="13"/>
  <c r="F19" i="13" s="1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K18" i="13"/>
  <c r="F18" i="13" s="1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16" i="19" l="1"/>
  <c r="B18" i="19"/>
  <c r="B17" i="19"/>
  <c r="B22" i="13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40" i="14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7" i="14"/>
  <c r="C22" i="20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T30" i="19" l="1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Q16" i="19" l="1"/>
  <c r="Q17" i="19"/>
  <c r="Q18" i="19"/>
  <c r="B26" i="19"/>
  <c r="Q26" i="19" s="1"/>
  <c r="R15" i="19"/>
  <c r="Q15" i="19"/>
  <c r="B29" i="19"/>
  <c r="B28" i="19"/>
  <c r="B31" i="19"/>
  <c r="Q7" i="19" s="1"/>
  <c r="C25" i="20"/>
  <c r="B27" i="19"/>
  <c r="B34" i="19"/>
  <c r="R14" i="19"/>
  <c r="B32" i="19"/>
  <c r="Q23" i="19" s="1"/>
  <c r="B30" i="19"/>
  <c r="C20" i="20"/>
  <c r="R17" i="19" s="1"/>
  <c r="Q14" i="19"/>
  <c r="R21" i="19"/>
  <c r="R24" i="19"/>
  <c r="R25" i="19"/>
  <c r="R13" i="19"/>
  <c r="R8" i="19"/>
  <c r="Q19" i="19"/>
  <c r="Q33" i="19"/>
  <c r="R16" i="19" l="1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<sst xmlns="http://schemas.openxmlformats.org/spreadsheetml/2006/main" count="2594" uniqueCount="1057">
  <si>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</si>
  <si>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</si>
  <si>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</si>
  <si>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</si>
  <si>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</si>
  <si>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</si>
  <si>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</si>
  <si>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</si>
  <si>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</si>
  <si>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</si>
  <si>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</si>
  <si>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</si>
  <si>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</si>
  <si>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</si>
  <si>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</si>
  <si>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</si>
  <si>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</si>
  <si>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</si>
  <si>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</si>
  <si>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</si>
  <si>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</si>
  <si>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</si>
  <si>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</si>
  <si>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</si>
  <si>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</si>
  <si>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</si>
  <si>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</si>
  <si>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</si>
  <si>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</si>
  <si>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</si>
  <si>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</si>
  <si>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</si>
  <si>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</si>
  <si>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</si>
  <si>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</si>
  <si>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</si>
  <si>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</si>
  <si>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</si>
  <si>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</si>
  <si>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</si>
  <si>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</si>
  <si>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</si>
  <si>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</si>
  <si>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</si>
  <si>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</si>
  <si>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</si>
  <si>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</si>
  <si>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</si>
  <si>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</si>
  <si>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</si>
  <si>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</si>
  <si>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</si>
  <si>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</si>
  <si>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</si>
  <si>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</si>
  <si>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</si>
  <si>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</si>
  <si>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</si>
  <si>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</si>
  <si>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</si>
  <si>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</si>
  <si>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</si>
  <si>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</si>
  <si>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</si>
  <si>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</si>
  <si>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</si>
  <si>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</si>
  <si>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</si>
  <si>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</si>
  <si>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</si>
  <si>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</si>
  <si>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</si>
  <si>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</si>
  <si>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</si>
  <si>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</si>
  <si>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</si>
  <si>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</si>
  <si>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</si>
  <si>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</si>
  <si>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</si>
  <si>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</si>
  <si>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</si>
  <si>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</si>
  <si>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</si>
  <si>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</si>
  <si>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</si>
  <si>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</si>
  <si>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</si>
  <si>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</si>
  <si>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</si>
  <si>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</si>
  <si>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</si>
  <si>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</si>
  <si>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</si>
  <si>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</si>
  <si>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</si>
  <si>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</si>
  <si>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</si>
  <si>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</si>
  <si>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</si>
  <si>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</si>
  <si>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</si>
  <si>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</si>
  <si>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</si>
  <si>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</si>
  <si>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</si>
  <si>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</si>
  <si>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</si>
  <si>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</si>
  <si>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</si>
  <si>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</si>
  <si>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</si>
  <si>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</si>
  <si>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</si>
  <si>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</si>
  <si>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</si>
  <si>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</si>
  <si>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</si>
  <si>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</si>
  <si>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</si>
  <si>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</si>
  <si>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</si>
  <si>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</si>
  <si>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</si>
  <si>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</si>
  <si>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</si>
  <si>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</si>
  <si>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</si>
  <si>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</si>
  <si>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</si>
  <si>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</si>
  <si>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</si>
  <si>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</si>
  <si>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</si>
  <si>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</si>
  <si>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</si>
  <si>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</si>
  <si>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</si>
  <si>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</si>
  <si>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</si>
  <si>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</si>
  <si>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</si>
  <si>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</si>
  <si>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</si>
  <si>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</si>
  <si>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</si>
  <si>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</si>
  <si>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</si>
  <si>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</si>
  <si>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</si>
  <si>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</si>
  <si>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</si>
  <si>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</si>
  <si>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</si>
  <si>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</si>
  <si>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</si>
  <si>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</si>
  <si>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</si>
  <si>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</si>
  <si>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</si>
  <si>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</si>
  <si>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</si>
  <si>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</si>
  <si>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</si>
  <si>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</si>
  <si>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</si>
  <si>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</si>
  <si>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</si>
  <si>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</si>
  <si>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</si>
  <si>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</si>
  <si>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</si>
  <si>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</si>
  <si>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</si>
  <si>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</si>
  <si>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</si>
  <si>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</si>
  <si>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</si>
  <si>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</si>
  <si>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</si>
  <si>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</si>
  <si>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</si>
  <si>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</si>
  <si>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</si>
  <si>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</si>
  <si>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</si>
  <si>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</si>
  <si>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</si>
  <si>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</si>
  <si>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</si>
  <si>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</si>
  <si>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</si>
  <si>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</si>
  <si>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</si>
  <si>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</si>
  <si>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</si>
  <si>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</si>
  <si>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</si>
  <si>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</si>
  <si>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</si>
  <si>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</si>
  <si>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</si>
  <si>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</si>
  <si>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</si>
  <si>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</si>
  <si>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</si>
  <si>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</si>
  <si>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</si>
  <si>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</si>
  <si>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</si>
  <si>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</si>
  <si>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</si>
  <si>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</si>
  <si>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</si>
  <si>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</si>
  <si>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</si>
  <si>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</si>
  <si>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</si>
  <si>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</si>
  <si>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</si>
  <si>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</si>
  <si>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</si>
  <si>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</si>
  <si>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</si>
  <si>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</si>
  <si>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</si>
  <si>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</si>
  <si>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</si>
  <si>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</si>
  <si>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</si>
  <si>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</si>
  <si>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</si>
  <si>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</si>
  <si>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</si>
  <si>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</si>
  <si>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</si>
  <si>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</si>
  <si>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</si>
  <si>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</si>
  <si>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</si>
  <si>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</si>
  <si>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</si>
  <si>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</si>
  <si>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</si>
  <si>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</si>
  <si>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</si>
  <si>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</si>
  <si>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</si>
  <si>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</si>
  <si>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</si>
  <si>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</si>
  <si>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</si>
  <si>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</si>
  <si>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</si>
  <si>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</si>
  <si>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</si>
  <si>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</si>
  <si>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</si>
  <si>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</si>
  <si>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</si>
  <si>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</si>
  <si>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</si>
  <si>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</si>
  <si>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</si>
  <si>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</si>
  <si>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</si>
  <si>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</si>
  <si>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</si>
  <si>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</si>
  <si>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</si>
  <si>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</si>
  <si>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</si>
  <si>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</si>
  <si>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</si>
  <si>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</si>
  <si>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</si>
  <si>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</si>
  <si>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</si>
  <si>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</si>
  <si>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</si>
  <si>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</si>
  <si>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</si>
  <si>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</si>
  <si>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</si>
  <si>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</si>
  <si>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</si>
  <si>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</si>
  <si>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</si>
  <si>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</si>
  <si>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</si>
  <si>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</si>
  <si>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</si>
  <si>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</si>
  <si>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</si>
  <si>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</si>
  <si>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</si>
  <si>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</si>
  <si>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</si>
  <si>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</si>
  <si>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</si>
  <si>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</si>
  <si>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</si>
  <si>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</si>
  <si>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</si>
  <si>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</si>
  <si>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</si>
  <si>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</si>
  <si>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</si>
  <si>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</si>
  <si>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</si>
  <si>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</si>
  <si>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</si>
  <si>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</si>
  <si>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</si>
  <si>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</si>
  <si>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</si>
  <si>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</si>
  <si>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</si>
  <si>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</si>
  <si>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</si>
  <si>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</si>
  <si>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</si>
  <si>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</si>
  <si>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</si>
  <si>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</si>
  <si>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</si>
  <si>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</si>
  <si>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</si>
  <si>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</si>
  <si>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</si>
  <si>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</si>
  <si>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</si>
  <si>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</si>
  <si>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</si>
  <si>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</si>
  <si>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</si>
  <si>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</si>
  <si>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</si>
  <si>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</si>
  <si>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</si>
  <si>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</si>
  <si>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</si>
  <si>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</si>
  <si>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</si>
  <si>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</si>
  <si>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</si>
  <si>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</si>
  <si>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</si>
  <si>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</si>
  <si>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</si>
  <si>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</si>
  <si>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</si>
  <si>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</si>
  <si>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</si>
  <si>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</si>
  <si>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</si>
  <si>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</si>
  <si>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</si>
  <si>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</si>
  <si>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</si>
  <si>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</si>
  <si>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</si>
  <si>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</si>
  <si>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</si>
  <si>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</si>
  <si>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</si>
  <si>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</si>
  <si>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</si>
  <si>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</si>
  <si>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</si>
  <si>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</si>
  <si>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</si>
  <si>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</si>
  <si>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</si>
  <si>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</si>
  <si>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</si>
  <si>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</si>
  <si>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</si>
  <si>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</si>
  <si>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</si>
  <si>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</si>
  <si>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</si>
  <si>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</si>
  <si>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</si>
  <si>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</si>
  <si>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</si>
  <si>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</si>
  <si>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</si>
  <si>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</si>
  <si>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</si>
  <si>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</si>
  <si>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</si>
  <si>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</si>
  <si>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</si>
  <si>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</si>
  <si>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</si>
  <si>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</si>
  <si>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</si>
  <si>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</si>
  <si>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</si>
  <si>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</si>
  <si>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</si>
  <si>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</si>
  <si>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</si>
  <si>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</si>
  <si>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</si>
  <si>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</si>
  <si>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</si>
  <si>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</si>
  <si>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</si>
  <si>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</si>
  <si>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</si>
  <si>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</si>
  <si>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</si>
  <si>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</si>
  <si>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</si>
  <si>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</si>
  <si>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</si>
  <si>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</si>
  <si>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</si>
  <si>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</si>
  <si>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</si>
  <si>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</si>
  <si>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</si>
  <si>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</si>
  <si>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</si>
  <si>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</si>
  <si>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</si>
  <si>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</si>
  <si>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</si>
  <si>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</si>
  <si>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</si>
  <si>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</si>
  <si>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</si>
  <si>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</si>
  <si>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</si>
  <si>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</si>
  <si>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</si>
  <si>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</si>
  <si>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</si>
  <si>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</si>
  <si>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</si>
  <si>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</si>
  <si>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</si>
  <si>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</si>
  <si>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</si>
  <si>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</si>
  <si>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</si>
  <si>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</si>
  <si>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</si>
  <si>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</si>
  <si>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</si>
  <si>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</si>
  <si>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</si>
  <si>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</si>
  <si>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</si>
  <si>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</si>
  <si>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</si>
  <si>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</si>
  <si>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</si>
  <si>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</si>
  <si>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</si>
  <si>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</si>
  <si>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</si>
  <si>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</si>
  <si>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</si>
  <si>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</si>
  <si>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</si>
  <si>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</si>
  <si>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</si>
  <si>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</si>
  <si>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</si>
  <si>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</si>
  <si>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</si>
  <si>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</si>
  <si>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</si>
  <si>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</si>
  <si>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</si>
  <si>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</si>
  <si>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</si>
  <si>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</si>
  <si>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</si>
  <si>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</si>
  <si>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</si>
  <si>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</si>
  <si>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</si>
  <si>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</si>
  <si>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</si>
  <si>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</si>
  <si>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</si>
  <si>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</si>
  <si>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</si>
  <si>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</si>
  <si>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</si>
  <si>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</si>
  <si>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</si>
  <si>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</si>
  <si>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</si>
  <si>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</si>
  <si>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</si>
  <si>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</si>
  <si>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</si>
  <si>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</si>
  <si>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</si>
  <si>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</si>
  <si>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</si>
  <si>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</si>
  <si>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</si>
  <si>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</si>
  <si>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</si>
  <si>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</si>
  <si>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</si>
  <si>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</si>
  <si>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</si>
  <si>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</si>
  <si>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</si>
  <si>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</si>
  <si>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</si>
  <si>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</si>
  <si>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</si>
  <si>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</si>
  <si>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</si>
  <si>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</si>
  <si>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</si>
  <si>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</si>
  <si>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</si>
  <si>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</si>
  <si>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</si>
  <si>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</si>
  <si>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</si>
  <si>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</si>
  <si>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</si>
  <si>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</si>
  <si>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</si>
  <si>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</si>
  <si>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</si>
  <si>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</si>
  <si>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</si>
  <si>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</si>
  <si>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</si>
  <si>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</si>
  <si>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</si>
  <si>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</si>
  <si>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</si>
  <si>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</si>
  <si>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</si>
  <si>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</si>
  <si>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</si>
  <si>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</si>
  <si>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</si>
  <si>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</si>
  <si>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</si>
  <si>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</si>
  <si>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</si>
  <si>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</si>
  <si>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</si>
  <si>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</si>
  <si>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</si>
  <si>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</si>
  <si>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</si>
  <si>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</si>
  <si>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</si>
  <si>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</si>
  <si>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</si>
  <si>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</si>
  <si>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</si>
  <si>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</si>
  <si>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</si>
  <si>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</si>
  <si>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</si>
  <si>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</si>
  <si>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</si>
  <si>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</si>
  <si>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</si>
  <si>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</si>
  <si>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</si>
  <si>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</si>
  <si>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</si>
  <si>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</si>
  <si>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</si>
  <si>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</si>
  <si>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</si>
  <si>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</si>
  <si>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</si>
  <si>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</si>
  <si>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</si>
  <si>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</si>
  <si>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</si>
  <si>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</si>
  <si>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</si>
  <si>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</si>
  <si>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</si>
  <si>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</si>
  <si>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</si>
  <si>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</si>
  <si>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</si>
  <si>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</si>
  <si>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</si>
  <si>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</si>
  <si>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</si>
  <si>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</si>
  <si>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</si>
  <si>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</si>
  <si>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</si>
  <si>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</si>
  <si>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</si>
  <si>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</si>
  <si>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</si>
  <si>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</si>
  <si>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</si>
  <si>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</si>
  <si>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</si>
  <si>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</si>
  <si>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</si>
  <si>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</si>
  <si>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</si>
  <si>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</si>
  <si>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</si>
  <si>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</si>
  <si>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</si>
  <si>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</si>
  <si>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</si>
  <si>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</si>
  <si>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</si>
  <si>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</si>
  <si>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</si>
  <si>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</si>
  <si>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</si>
  <si>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</si>
  <si>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</si>
  <si>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</si>
  <si>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</si>
  <si>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</si>
  <si>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</si>
  <si>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</si>
  <si>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</si>
  <si>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</si>
  <si>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</si>
  <si>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</si>
  <si>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</si>
  <si>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</si>
  <si>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</si>
  <si>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</si>
  <si>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</si>
  <si>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</si>
  <si>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</si>
  <si>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</si>
  <si>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</si>
  <si>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</si>
  <si>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</si>
  <si>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</si>
  <si>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</si>
  <si>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</si>
  <si>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</si>
  <si>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</si>
  <si>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</si>
  <si>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</si>
  <si>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</si>
  <si>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</si>
  <si>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</si>
  <si>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</si>
  <si>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</si>
  <si>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</si>
  <si>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</si>
  <si>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</si>
  <si>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</si>
  <si>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</si>
  <si>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</si>
  <si>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</si>
  <si>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</si>
  <si>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</si>
  <si>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</si>
  <si>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</si>
  <si>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</si>
  <si>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</si>
  <si>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</si>
  <si>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</si>
  <si>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</si>
  <si>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</si>
  <si>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</si>
  <si>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</si>
  <si>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</si>
  <si>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</si>
  <si>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</si>
  <si>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</si>
  <si>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</si>
  <si>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</si>
  <si>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</si>
  <si>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</si>
  <si>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</si>
  <si>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</si>
  <si>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</si>
  <si>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</si>
  <si>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</si>
  <si>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</si>
  <si>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</si>
  <si>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</si>
  <si>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</si>
  <si>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</si>
  <si>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</si>
  <si>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</si>
  <si>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</si>
  <si>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</si>
  <si>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</si>
  <si>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</si>
  <si>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</si>
  <si>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</si>
  <si>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</si>
  <si>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</si>
  <si>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</si>
  <si>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</si>
  <si>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</si>
  <si>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</si>
  <si>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</si>
  <si>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</si>
  <si>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</si>
  <si>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</si>
  <si>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</si>
  <si>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</si>
  <si>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</si>
  <si>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</si>
  <si>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</si>
  <si>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</si>
  <si>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</si>
  <si>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</si>
  <si>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</si>
  <si>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</si>
  <si>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</si>
  <si>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</si>
  <si>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</si>
  <si>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</si>
  <si>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</si>
  <si>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</si>
  <si>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</si>
  <si>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</si>
  <si>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</si>
  <si>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</si>
  <si>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</si>
  <si>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</si>
  <si>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</si>
  <si>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</si>
  <si>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</si>
  <si>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</si>
  <si>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</si>
  <si>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</si>
  <si>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</si>
  <si>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</si>
  <si>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</si>
  <si>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</si>
  <si>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</si>
  <si>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</si>
  <si>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</si>
  <si>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</si>
  <si>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</si>
  <si>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</si>
  <si>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</si>
  <si>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</si>
  <si>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</si>
  <si>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</si>
  <si>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</si>
  <si>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</si>
  <si>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</si>
  <si>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</si>
  <si>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</si>
  <si>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</si>
  <si>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</si>
  <si>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</si>
  <si>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</si>
  <si>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</si>
  <si>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</si>
  <si>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</si>
  <si>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</si>
  <si>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</si>
  <si>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</si>
  <si>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</si>
  <si>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</si>
  <si>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</si>
  <si>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</si>
  <si>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</si>
  <si>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</si>
  <si>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</si>
  <si>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</si>
  <si>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</si>
  <si>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</si>
  <si>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</si>
  <si>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</si>
  <si>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</si>
  <si>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</si>
  <si>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</si>
  <si>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</si>
  <si>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</si>
  <si>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</si>
  <si>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</si>
  <si>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</si>
  <si>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</si>
  <si>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</si>
  <si>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</si>
  <si>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</si>
  <si>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</si>
  <si>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</si>
  <si>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</si>
  <si>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</si>
  <si>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</si>
  <si>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</si>
  <si>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</si>
  <si>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</si>
  <si>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</si>
  <si>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</si>
  <si>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</si>
  <si>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</si>
  <si>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</si>
  <si>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</si>
  <si>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</si>
  <si>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</si>
  <si>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</si>
  <si>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</si>
  <si>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</si>
  <si>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</si>
  <si>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</si>
  <si>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</si>
  <si>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</si>
  <si>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</si>
  <si>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</si>
  <si>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</si>
  <si>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</si>
  <si>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</si>
  <si>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</si>
  <si>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</si>
  <si>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</si>
  <si>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</si>
  <si>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</si>
  <si>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</si>
  <si>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</si>
  <si>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</si>
  <si>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</si>
  <si>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</si>
  <si>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</si>
  <si>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</si>
  <si>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</si>
  <si>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</si>
  <si>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</si>
  <si>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</si>
  <si>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</si>
  <si>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</si>
  <si>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</si>
  <si>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</si>
  <si>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</si>
  <si>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</si>
  <si>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</si>
  <si>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</si>
  <si>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</si>
  <si>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</si>
  <si>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</si>
  <si>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</si>
  <si>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</si>
  <si>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</si>
  <si>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</si>
  <si>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</si>
  <si>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</si>
  <si>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</si>
  <si>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</si>
  <si>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</si>
  <si>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</si>
  <si>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</si>
  <si>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</si>
  <si>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</si>
  <si>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</si>
  <si>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</si>
  <si>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</si>
  <si>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</si>
  <si>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</si>
  <si>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</si>
  <si>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</si>
  <si>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</si>
  <si>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</si>
  <si>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</si>
  <si>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</si>
  <si>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</si>
  <si>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</si>
  <si>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</si>
  <si>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</si>
  <si>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</si>
  <si>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</si>
  <si>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</si>
  <si>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</si>
  <si>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</si>
  <si>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</si>
  <si>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</si>
  <si>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</si>
  <si>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</si>
  <si>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</si>
  <si>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</si>
  <si>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</si>
  <si>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</si>
  <si>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</si>
  <si>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</si>
  <si>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</si>
  <si>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</si>
  <si>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</si>
  <si>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</si>
  <si>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</si>
  <si>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</si>
  <si>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</si>
  <si>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</si>
  <si>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</si>
  <si>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</si>
  <si>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</si>
  <si>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</si>
  <si>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</si>
  <si>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</si>
  <si>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</si>
  <si>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</si>
  <si>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</si>
  <si>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</si>
  <si>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</si>
  <si>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</si>
  <si>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</si>
  <si>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</si>
  <si>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</si>
  <si>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</si>
  <si>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</si>
  <si>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</si>
  <si>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</si>
  <si>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</si>
  <si>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</si>
  <si>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</si>
  <si>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</si>
  <si>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</si>
  <si>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</si>
  <si>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</si>
  <si>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</si>
  <si>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</si>
  <si>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</si>
  <si>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</si>
  <si>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</si>
  <si>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</si>
  <si>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</si>
  <si>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</si>
  <si>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</si>
  <si>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</si>
  <si>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</si>
  <si>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</si>
  <si>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</si>
  <si>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</si>
  <si>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</si>
  <si>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</si>
  <si>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</si>
  <si>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</si>
  <si>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</si>
  <si>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</si>
  <si>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</si>
  <si>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</si>
  <si>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</si>
  <si>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</si>
  <si>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</si>
  <si>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</si>
  <si>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</si>
  <si>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</si>
  <si>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</si>
  <si>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</si>
  <si>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</si>
  <si>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</si>
  <si>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</si>
  <si>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</si>
  <si>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</si>
  <si>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</si>
  <si>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</si>
  <si>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</si>
  <si>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</si>
  <si>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</si>
  <si>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</si>
  <si>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</si>
  <si>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</si>
  <si>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</si>
  <si>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</si>
  <si>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</si>
  <si>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</si>
  <si>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</si>
  <si>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</si>
  <si>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</si>
  <si>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</si>
  <si>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</si>
  <si>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</si>
  <si>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</si>
  <si>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</si>
  <si>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</si>
  <si>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</si>
  <si>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</si>
  <si>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</si>
  <si>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</si>
  <si>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</si>
  <si>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</si>
  <si>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</si>
  <si>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</si>
  <si>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</si>
  <si>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</si>
  <si>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</si>
  <si>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</si>
  <si>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</si>
  <si>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</si>
  <si>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</si>
  <si>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</si>
  <si>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</si>
  <si>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</si>
  <si>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</si>
  <si>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</si>
  <si>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</si>
  <si>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</si>
  <si>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</si>
  <si>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</si>
  <si>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</si>
  <si>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</si>
  <si>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</si>
  <si>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</si>
  <si>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</si>
  <si>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</si>
  <si>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</si>
  <si>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</si>
  <si>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</si>
  <si>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</si>
  <si>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</si>
  <si>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</si>
  <si>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</si>
  <si>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</si>
  <si>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</si>
  <si>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</si>
  <si>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</si>
  <si>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</si>
  <si>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</si>
  <si>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</si>
  <si>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</si>
  <si>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</si>
  <si>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</si>
  <si>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</si>
  <si>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</si>
  <si>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</si>
  <si>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</si>
  <si>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</si>
  <si>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</si>
  <si>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</si>
  <si>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</si>
  <si>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</si>
  <si>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</si>
  <si>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</si>
  <si>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Increase offense by 1% on charging Attack\n(The effects continue to accumulate)</t>
    <phoneticPr fontId="6" type="noConversion"/>
  </si>
  <si>
    <t>차징 타격 시 공격력 1%씩 증가\n(효과는 계속 누적됩니다)</t>
    <phoneticPr fontId="6" type="noConversion"/>
  </si>
  <si>
    <t>icon/item/Passive_Item/item_12.png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</si>
  <si>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</si>
  <si>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</si>
  <si>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</si>
  <si>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</si>
  <si>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구르기 후 패링관련 능력치가 1초간 상승함\n(공 속도 2배)\n(공 데미지 +10%)</t>
    <phoneticPr fontId="6" type="noConversion"/>
  </si>
  <si>
    <t>Parring related capability increased for 1 second after rolling\n(double ball speed)\n(ball damage +10)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</si>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</sst>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21" fillId="0" borderId="0" xfId="0" applyFont="1" applyFill="1">
      <alignment vertical="center"/>
    </xf>
    <xf numFmtId="0" fontId="21" fillId="7" borderId="0" xfId="0" applyNumberFormat="1" applyFont="1" applyFill="1">
      <alignment vertical="center"/>
    </xf>
    <xf numFmtId="0" fontId="21" fillId="0" borderId="0" xfId="0" applyNumberFormat="1" applyFont="1">
      <alignment vertical="center"/>
    </xf>
    <xf numFmtId="0" fontId="17" fillId="0" borderId="0" xfId="0" applyFont="1" applyFill="1" applyAlignment="1">
      <alignment horizontal="right" vertical="center"/>
    </xf>
    <xf numFmtId="0" fontId="17" fillId="7" borderId="0" xfId="0" applyNumberFormat="1" applyFont="1" applyFill="1" applyAlignment="1">
      <alignment horizontal="left" vertical="center"/>
    </xf>
    <xf numFmtId="0" fontId="17" fillId="7" borderId="0" xfId="0" applyNumberFormat="1" applyFont="1" applyFill="1" applyAlignment="1">
      <alignment horizontal="right" vertical="center"/>
    </xf>
    <xf numFmtId="0" fontId="17" fillId="0" borderId="0" xfId="0" applyFont="1" applyFill="1">
      <alignment vertical="center"/>
    </xf>
    <xf numFmtId="0" fontId="8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NumberFormat="1">
      <alignment vertical="center"/>
    </xf>
    <xf numFmtId="0" fontId="17" fillId="0" borderId="0" xfId="0" applyFont="1" applyFill="1" applyAlignment="1">
      <alignment vertical="center" wrapText="1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83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400-000001000000}" name="스텟" dataDxfId="144"/>
    <tableColumn id="2" xr3:uid="{00000000-0010-0000-0400-000002000000}" name="참조 테이블" dataDxfId="143"/>
    <tableColumn id="3" xr3:uid="{00000000-0010-0000-0400-000003000000}" name="설명" dataDxfId="142"/>
    <tableColumn id="4" xr3:uid="{00000000-0010-0000-0400-000004000000}" name="Value 1당 가치" dataDxfId="141"/>
    <tableColumn id="5" xr3:uid="{E80FF9E0-4D51-4BB5-9D04-891CF4119D93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6">
      <calculatedColumnFormula array="1">표27[최종 DPS]</calculatedColumnFormula>
    </tableColumn>
    <tableColumn id="10" xr3:uid="{00000000-0010-0000-07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2">
  <autoFilter ref="H12:L13" xr:uid="{1A39BDA6-5227-4F3A-BB7B-457C71991C01}"/>
  <tableColumns count="5">
    <tableColumn id="1" xr3:uid="{C2200712-B727-4558-990C-91912E8DE66E}" name="직접 공격 DPS" dataDxfId="131">
      <calculatedColumnFormula array="1">CharacterAtkTable[ChargeRigidDmg1]/CharacterAtkTable[SwingCooldown]</calculatedColumnFormula>
    </tableColumn>
    <tableColumn id="2" xr3:uid="{7A94433E-C49F-40C3-8DEB-869FEDCBFEBA}" name="직접 차징 DPS" dataDxfId="13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8">
      <calculatedColumnFormula array="1">CharacterAtkTable[EnemyProjectileDmg]*표26[적에게 튕김 기댓값]</calculatedColumnFormula>
    </tableColumn>
    <tableColumn id="5" xr3:uid="{B8F641EE-C92E-4085-9FC5-1D7A1E85838D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6"/>
    <tableColumn id="2" xr3:uid="{7BC54428-2097-4B23-ACAC-4CF6F55435E4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2" dataDxfId="121">
  <autoFilter ref="B45:F54" xr:uid="{52C1D108-3D49-4B42-B815-0005AC0F8DFB}"/>
  <tableColumns count="5">
    <tableColumn id="1" xr3:uid="{97C44805-9CD2-45EA-B5DF-D65CFA5C28DC}" name="트리거" dataDxfId="120"/>
    <tableColumn id="2" xr3:uid="{0CB69347-3D8F-4363-BA6F-16EF9B4A762D}" name="발동 여부" dataDxfId="119"/>
    <tableColumn id="3" xr3:uid="{176A61E6-C094-47E3-8CBF-78EA6EEA3FB7}" name="발동에 걸리는 시간" dataDxfId="118"/>
    <tableColumn id="4" xr3:uid="{C9DEDF42-6084-4BE1-AED3-7B9E6FA248C1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5">
  <autoFilter ref="B57:F66" xr:uid="{5DE4A78B-5308-430C-BFB3-A3DED3312CD7}"/>
  <tableColumns count="5">
    <tableColumn id="1" xr3:uid="{D8664B31-C1C5-4F94-9493-0E923670269C}" name="특수 이펙트 명칭" dataDxfId="114"/>
    <tableColumn id="2" xr3:uid="{75D26A2C-66A5-4D4E-8467-00AB4551DB09}" name="열1" dataDxfId="113"/>
    <tableColumn id="3" xr3:uid="{C016E32B-6A25-4781-91D0-3F1F049AB241}" name="설명" dataDxfId="112"/>
    <tableColumn id="4" xr3:uid="{87B4D8C0-06AC-4B77-972D-B4F0F00820E7}" name="1당 가치" dataDxfId="111">
      <calculatedColumnFormula>E14</calculatedColumnFormula>
    </tableColumn>
    <tableColumn id="5" xr3:uid="{B8215913-9E5B-4616-A7FB-EBC3ED6C83CC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8"/>
    <tableColumn id="3" xr3:uid="{00000000-0010-0000-0900-000003000000}" name="value"/>
    <tableColumn id="4" xr3:uid="{00000000-0010-0000-09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3"/>
    <tableColumn id="7" xr3:uid="{00000000-0010-0000-0B00-000007000000}" name="SwingCooldown" dataDxfId="10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8"/>
    <tableColumn id="14" xr3:uid="{00000000-0010-0000-0C00-00000E000000}" name="#드랍테이블2" dataDxfId="97"/>
    <tableColumn id="15" xr3:uid="{00000000-0010-0000-0C00-00000F000000}" name="#드랍테이블3" dataDxfId="96"/>
    <tableColumn id="16" xr3:uid="{00000000-0010-0000-0C00-000010000000}" name="#드랍테이블4" dataDxfId="95"/>
    <tableColumn id="17" xr3:uid="{00000000-0010-0000-0C00-000011000000}" name="#드랍테이블5" dataDxfId="94"/>
    <tableColumn id="18" xr3:uid="{00000000-0010-0000-0C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0"/>
    <tableColumn id="19" xr3:uid="{00000000-0010-0000-0E00-000013000000}" name="#" dataDxfId="8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7"/>
    <tableColumn id="17" xr3:uid="{00000000-0010-0000-0E00-000011000000}" name="#기준 적 체력 비율"/>
    <tableColumn id="18" xr3:uid="{00000000-0010-0000-0E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5"/>
    <tableColumn id="3" xr3:uid="{00000000-0010-0000-0F00-000003000000}" name="ShootDataId" dataDxfId="8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000-000001000000}" name="Index"/>
    <tableColumn id="2" xr3:uid="{00000000-0010-0000-1000-000002000000}" name="#설명" dataDxfId="8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0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7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8" dataDxfId="77">
  <autoFilter ref="B2:R33" xr:uid="{00000000-0009-0000-0100-000004000000}"/>
  <tableColumns count="17">
    <tableColumn id="1" xr3:uid="{00000000-0010-0000-1200-000001000000}" name="#Index 참조용" dataDxfId="76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75">
      <calculatedColumnFormula>INDEX(LocaleTable[LocaleKR],MATCH(ItemTable[[#This Row],[Name]],LocaleTable[StringKey],0))</calculatedColumnFormula>
    </tableColumn>
    <tableColumn id="13" xr3:uid="{0228A5D9-BA73-4AE8-96BB-B4E0516E7318}" name="#설명" dataDxfId="74">
      <calculatedColumnFormula>INDEX(LocaleTable[LocaleKR],MATCH(ItemTable[[#This Row],[Desc]],LocaleTable[StringKey],0))</calculatedColumnFormula>
    </tableColumn>
    <tableColumn id="12" xr3:uid="{E9E64980-0312-45FE-9FAE-1ACAEDBC3E20}" name="#이로운효과" dataDxfId="73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72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71">
      <calculatedColumnFormula>ItemTable[[#This Row],['#Index 참조용]]</calculatedColumnFormula>
    </tableColumn>
    <tableColumn id="2" xr3:uid="{00000000-0010-0000-1200-000002000000}" name="Name" dataDxfId="70"/>
    <tableColumn id="3" xr3:uid="{00000000-0010-0000-1200-000003000000}" name="Desc" dataDxfId="69"/>
    <tableColumn id="18" xr3:uid="{00000000-0010-0000-1200-000012000000}" name="PlusDesc" dataDxfId="68"/>
    <tableColumn id="19" xr3:uid="{00000000-0010-0000-1200-000013000000}" name="MinusDesc" dataDxfId="67"/>
    <tableColumn id="4" xr3:uid="{00000000-0010-0000-1200-000004000000}" name="GradeType" dataDxfId="66"/>
    <tableColumn id="10" xr3:uid="{6DE5866A-8A04-9347-9CC2-5EDCEC20C35F}" name="MaxStack" dataDxfId="65"/>
    <tableColumn id="5" xr3:uid="{00000000-0010-0000-1200-000005000000}" name="Value" dataDxfId="64"/>
    <tableColumn id="6" xr3:uid="{00000000-0010-0000-1200-000006000000}" name="CostHp" dataDxfId="63"/>
    <tableColumn id="7" xr3:uid="{00000000-0010-0000-1200-000007000000}" name="CostGold" dataDxfId="62"/>
    <tableColumn id="8" xr3:uid="{00000000-0010-0000-1200-000008000000}" name="ItemEffectDataId" dataDxfId="61"/>
    <tableColumn id="9" xr3:uid="{00000000-0010-0000-1200-000009000000}" name="ItemIconPath" dataDxfId="60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41" totalsRowShown="0" headerRowDxfId="59">
  <autoFilter ref="B2:S41" xr:uid="{00000000-0009-0000-0100-000001000000}"/>
  <tableColumns count="18">
    <tableColumn id="2" xr3:uid="{00000000-0010-0000-1300-000002000000}" name="#이름" dataDxfId="58">
      <calculatedColumnFormula>INDEX(ItemTable['#이름],MATCH(ItemEffectTable[[#This Row],[Index]],ItemTable[ItemEffectDataId],0))</calculatedColumnFormula>
    </tableColumn>
    <tableColumn id="3" xr3:uid="{00000000-0010-0000-1300-000003000000}" name="#Grade" dataDxfId="57">
      <calculatedColumnFormula>INDEX(ItemTable[GradeType],MATCH(ItemEffectTable[[#This Row],[Index]],ItemTable[ItemEffectDataId],0))</calculatedColumnFormula>
    </tableColumn>
    <tableColumn id="4" xr3:uid="{00000000-0010-0000-1300-000004000000}" name="Index" dataDxfId="56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5"/>
    <tableColumn id="12" xr3:uid="{00000000-0010-0000-1300-00000C000000}" name="ConditionValue"/>
    <tableColumn id="1" xr3:uid="{0B4ED250-DA0A-47BD-8D15-6BC486DF4AD6}" name="#트리거1" dataDxfId="54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3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2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1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50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9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8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7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5" totalsRowShown="0" headerRowDxfId="46">
  <autoFilter ref="B2:U35" xr:uid="{00000000-0009-0000-0100-000016000000}"/>
  <tableColumns count="20">
    <tableColumn id="3" xr3:uid="{E74DAA42-5E4A-4F89-AD3E-565200EEF3AE}" name="#아이템 명칭" dataDxfId="45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4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3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2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1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40"/>
    <tableColumn id="8" xr3:uid="{27E501F3-F27A-44EE-8F20-18B66E39DD44}" name="#효력 가치 판단" dataDxfId="39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8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7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6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5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4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3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2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1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0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5" totalsRowShown="0" headerRowDxfId="29">
  <autoFilter ref="B2:N25" xr:uid="{00000000-0009-0000-0100-000017000000}"/>
  <tableColumns count="13">
    <tableColumn id="4" xr3:uid="{00000000-0010-0000-1500-000004000000}" name="Index" dataDxfId="28"/>
    <tableColumn id="7" xr3:uid="{00000000-0010-0000-1500-000007000000}" name="#명칭" dataDxfId="27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6"/>
    <tableColumn id="13" xr3:uid="{00000000-0010-0000-1500-00000D000000}" name="Param2"/>
    <tableColumn id="2" xr3:uid="{00000000-0010-0000-1500-000002000000}" name="#Param2설명" dataDxfId="25"/>
    <tableColumn id="14" xr3:uid="{00000000-0010-0000-1500-00000E000000}" name="Param3"/>
    <tableColumn id="3" xr3:uid="{00000000-0010-0000-1500-000003000000}" name="#Param3설명" dataDxfId="24"/>
    <tableColumn id="8" xr3:uid="{00000000-0010-0000-1500-000008000000}" name="Param4" dataDxfId="23"/>
    <tableColumn id="9" xr3:uid="{00000000-0010-0000-1500-000009000000}" name="#Param3설명3" dataDxfId="22"/>
    <tableColumn id="10" xr3:uid="{951A949B-EF34-47CE-8BAF-0E6EF248C2E8}" name="#가치판단" dataDxfId="21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0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9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8"/>
    <tableColumn id="3" xr3:uid="{00000000-0010-0000-1600-000003000000}" name="#리소스 유형" dataDxfId="17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14" totalsRowShown="0" headerRowDxfId="16" dataDxfId="15">
  <autoFilter ref="B2:I214" xr:uid="{00000000-0009-0000-0100-000003000000}"/>
  <tableColumns count="8">
    <tableColumn id="1" xr3:uid="{00000000-0010-0000-1700-000001000000}" name="StringKey" dataDxfId="14"/>
    <tableColumn id="2" xr3:uid="{00000000-0010-0000-1700-000002000000}" name="LocaleKR" dataDxfId="13"/>
    <tableColumn id="3" xr3:uid="{00000000-0010-0000-1700-000003000000}" name="LocaleUS" dataDxfId="12"/>
    <tableColumn id="6" xr3:uid="{E3862F4E-A202-4C33-8F08-0A8EE362E05D}" name="#컴포넌트1" dataDxfId="11"/>
    <tableColumn id="7" xr3:uid="{A8B25166-9EBA-45B8-A228-83468AA6119B}" name="#컴포넌트2" dataDxfId="10"/>
    <tableColumn id="8" xr3:uid="{32BD4EBA-A1BF-40F2-89E8-6AC453E97F65}" name="#컴포넌트3" dataDxfId="9"/>
    <tableColumn id="9" xr3:uid="{E4B209A1-024F-4787-87AC-CB0822188CFE}" name="#컴포넌트4" dataDxfId="8"/>
    <tableColumn id="5" xr3:uid="{E2A87673-1FFD-49A7-BA63-308B2C186E48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84" t="s">
        <v>184</v>
      </c>
      <c r="C1" s="85"/>
      <c r="D1" s="85"/>
      <c r="E1" s="85"/>
    </row>
    <row r="2" spans="2:5" s="1" customFormat="1">
      <c r="B2" s="85"/>
      <c r="C2" s="85"/>
      <c r="D2" s="85"/>
      <c r="E2" s="85"/>
    </row>
    <row r="3" spans="2:5" s="1" customFormat="1">
      <c r="B3" s="85"/>
      <c r="C3" s="85"/>
      <c r="D3" s="85"/>
      <c r="E3" s="85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84" t="s">
        <v>117</v>
      </c>
      <c r="C1" s="85"/>
      <c r="D1" s="85"/>
      <c r="E1" s="85"/>
    </row>
    <row r="2" spans="2:18" s="1" customFormat="1">
      <c r="B2" s="85"/>
      <c r="C2" s="85"/>
      <c r="D2" s="85"/>
      <c r="E2" s="85"/>
    </row>
    <row r="3" spans="2:18" s="1" customFormat="1">
      <c r="B3" s="85"/>
      <c r="C3" s="85"/>
      <c r="D3" s="85"/>
      <c r="E3" s="85"/>
    </row>
    <row r="5" spans="2:18">
      <c r="B5" s="2" t="s">
        <v>46</v>
      </c>
      <c r="J5" s="2" t="s">
        <v>287</v>
      </c>
      <c r="K5" s="2"/>
      <c r="O5" s="31" t="s">
        <v>557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540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550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538</v>
      </c>
      <c r="M12" s="11" t="s">
        <v>539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548</v>
      </c>
      <c r="K18" s="5"/>
    </row>
    <row r="19" spans="2:17">
      <c r="B19" s="11"/>
      <c r="J19" s="16" t="s">
        <v>374</v>
      </c>
      <c r="K19" s="16" t="s">
        <v>553</v>
      </c>
      <c r="L19" s="16" t="s">
        <v>552</v>
      </c>
      <c r="M19" s="16" t="s">
        <v>554</v>
      </c>
      <c r="N19" s="16" t="s">
        <v>551</v>
      </c>
      <c r="O19" s="16" t="s">
        <v>555</v>
      </c>
      <c r="P19" s="16" t="s">
        <v>556</v>
      </c>
      <c r="Q19" s="16" t="s">
        <v>549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4" t="s">
        <v>164</v>
      </c>
      <c r="C1" s="85"/>
      <c r="D1" s="85"/>
      <c r="E1" s="85"/>
      <c r="F1" s="85"/>
      <c r="G1" s="85"/>
    </row>
    <row r="2" spans="1:17" s="1" customFormat="1">
      <c r="B2" s="85"/>
      <c r="C2" s="85"/>
      <c r="D2" s="85"/>
      <c r="E2" s="85"/>
      <c r="F2" s="85"/>
      <c r="G2" s="85"/>
    </row>
    <row r="3" spans="1:17" s="1" customFormat="1">
      <c r="B3" s="85"/>
      <c r="C3" s="85"/>
      <c r="D3" s="85"/>
      <c r="E3" s="85"/>
      <c r="F3" s="85"/>
      <c r="G3" s="85"/>
    </row>
    <row r="5" spans="1:17">
      <c r="B5" s="2" t="s">
        <v>612</v>
      </c>
      <c r="C5" s="8" t="s">
        <v>613</v>
      </c>
      <c r="H5" s="2" t="s">
        <v>558</v>
      </c>
      <c r="N5" s="2" t="s">
        <v>56</v>
      </c>
    </row>
    <row r="6" spans="1:17">
      <c r="B6" s="11" t="s">
        <v>621</v>
      </c>
      <c r="C6" s="11" t="s">
        <v>622</v>
      </c>
      <c r="D6" s="11" t="s">
        <v>694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623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610</v>
      </c>
      <c r="H11" s="56" t="s">
        <v>537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604</v>
      </c>
      <c r="I12" s="11" t="s">
        <v>605</v>
      </c>
      <c r="J12" s="11" t="s">
        <v>606</v>
      </c>
      <c r="K12" t="s">
        <v>598</v>
      </c>
      <c r="L12" t="s">
        <v>599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724</v>
      </c>
      <c r="I15" t="s">
        <v>600</v>
      </c>
      <c r="J15" t="s">
        <v>601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339</v>
      </c>
      <c r="C17" s="9" t="s">
        <v>143</v>
      </c>
      <c r="D17" s="11" t="s">
        <v>587</v>
      </c>
      <c r="E17" s="14">
        <f>50/0.8</f>
        <v>62.5</v>
      </c>
      <c r="F17" s="61">
        <v>0</v>
      </c>
    </row>
    <row r="18" spans="1:15" ht="18">
      <c r="A18" s="9"/>
      <c r="B18" s="58" t="s">
        <v>589</v>
      </c>
      <c r="C18" s="9" t="s">
        <v>143</v>
      </c>
      <c r="D18" s="11" t="s">
        <v>590</v>
      </c>
      <c r="E18" s="19">
        <v>100</v>
      </c>
      <c r="F18" s="61">
        <v>0</v>
      </c>
      <c r="H18" t="s">
        <v>602</v>
      </c>
      <c r="I18" t="s">
        <v>603</v>
      </c>
      <c r="J18" s="11" t="s">
        <v>611</v>
      </c>
    </row>
    <row r="19" spans="1:15" ht="18">
      <c r="A19" s="9"/>
      <c r="B19" t="s">
        <v>135</v>
      </c>
      <c r="C19" s="9" t="s">
        <v>133</v>
      </c>
      <c r="D19" s="11" t="s">
        <v>591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609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608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607</v>
      </c>
      <c r="E24" s="19" cm="1">
        <f t="array" ref="E24">30/(CharacterAtkTable[SwingCooldown]*-0.08)</f>
        <v>-750</v>
      </c>
      <c r="F24" s="61">
        <v>0</v>
      </c>
    </row>
    <row r="25" spans="1:15" ht="18">
      <c r="A25" s="9"/>
      <c r="B25" s="71" t="s">
        <v>820</v>
      </c>
      <c r="C25" s="9" t="s">
        <v>9</v>
      </c>
      <c r="D25" s="16" t="s">
        <v>824</v>
      </c>
      <c r="E25" s="19">
        <v>50</v>
      </c>
      <c r="F25" s="61">
        <v>0</v>
      </c>
    </row>
    <row r="26" spans="1:15" ht="18">
      <c r="A26" s="9"/>
      <c r="B26" s="71" t="s">
        <v>821</v>
      </c>
      <c r="C26" s="9" t="s">
        <v>9</v>
      </c>
      <c r="D26" s="16" t="s">
        <v>823</v>
      </c>
      <c r="E26" s="19">
        <v>30</v>
      </c>
      <c r="F26" s="61">
        <v>0</v>
      </c>
    </row>
    <row r="27" spans="1:15" ht="18">
      <c r="A27" s="9"/>
      <c r="B27" s="71" t="s">
        <v>817</v>
      </c>
      <c r="C27" s="9" t="s">
        <v>9</v>
      </c>
      <c r="D27" s="16" t="s">
        <v>822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206</v>
      </c>
      <c r="C28" s="9" t="s">
        <v>9</v>
      </c>
      <c r="D28" s="11" t="s">
        <v>592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359</v>
      </c>
      <c r="C29" s="9" t="s">
        <v>9</v>
      </c>
      <c r="D29" s="11" t="s">
        <v>593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18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 ht="18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683</v>
      </c>
    </row>
    <row r="45" spans="1:6">
      <c r="B45" s="11" t="s">
        <v>693</v>
      </c>
      <c r="C45" s="11" t="s">
        <v>695</v>
      </c>
      <c r="D45" s="11" t="s">
        <v>696</v>
      </c>
      <c r="E45" s="11" t="s">
        <v>683</v>
      </c>
      <c r="F45" s="11" t="s">
        <v>610</v>
      </c>
    </row>
    <row r="46" spans="1:6" ht="18">
      <c r="B46" s="9" t="s">
        <v>684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685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686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687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688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689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690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691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692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683</v>
      </c>
    </row>
    <row r="57" spans="2:6">
      <c r="B57" s="11" t="s">
        <v>710</v>
      </c>
      <c r="C57" t="s">
        <v>712</v>
      </c>
      <c r="D57" s="11" t="s">
        <v>713</v>
      </c>
      <c r="E57" s="11" t="s">
        <v>711</v>
      </c>
      <c r="F57" s="11" t="s">
        <v>610</v>
      </c>
    </row>
    <row r="58" spans="2:6">
      <c r="B58" s="16" t="s">
        <v>422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439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433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22.1640625" customWidth="1"/>
    <col min="9" max="9" width="17.832031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83203125" bestFit="1" customWidth="1"/>
    <col min="14" max="15" width="19.5" bestFit="1" customWidth="1"/>
    <col min="16" max="16" width="23.33203125" bestFit="1" customWidth="1"/>
    <col min="17" max="17" width="23.1640625" bestFit="1" customWidth="1"/>
    <col min="18" max="18" width="13.33203125" bestFit="1" customWidth="1"/>
    <col min="19" max="19" width="14.1640625" bestFit="1" customWidth="1"/>
    <col min="20" max="20" width="25.1640625" bestFit="1" customWidth="1"/>
    <col min="21" max="23" width="22.332031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438</v>
      </c>
      <c r="G2" s="6" t="s">
        <v>206</v>
      </c>
      <c r="H2" s="33" t="s">
        <v>819</v>
      </c>
      <c r="I2" s="33" t="s">
        <v>821</v>
      </c>
      <c r="J2" s="33" t="s">
        <v>817</v>
      </c>
      <c r="K2" s="33" t="s">
        <v>401</v>
      </c>
      <c r="L2" s="37" t="s">
        <v>394</v>
      </c>
      <c r="M2" s="6" t="s">
        <v>15</v>
      </c>
      <c r="N2" s="7" t="s">
        <v>132</v>
      </c>
      <c r="O2" s="7" t="s">
        <v>137</v>
      </c>
      <c r="P2" s="38" t="s">
        <v>399</v>
      </c>
      <c r="Q2" s="28" t="s">
        <v>400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47.1640625" customWidth="1"/>
    <col min="21" max="21" width="20.6640625" bestFit="1" customWidth="1"/>
    <col min="22" max="22" width="17.8320312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413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414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415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406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407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416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417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411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418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398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412</v>
      </c>
      <c r="U11">
        <v>1.4</v>
      </c>
      <c r="V11">
        <v>7</v>
      </c>
    </row>
    <row r="12" spans="2:22">
      <c r="B12" s="39">
        <v>551</v>
      </c>
      <c r="C12" s="40" t="s">
        <v>419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404</v>
      </c>
      <c r="U12" s="39">
        <v>1.6</v>
      </c>
      <c r="V12" s="39">
        <v>7</v>
      </c>
    </row>
    <row r="13" spans="2:22">
      <c r="B13">
        <v>552</v>
      </c>
      <c r="C13" s="13" t="s">
        <v>420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410</v>
      </c>
      <c r="U13">
        <v>1.4</v>
      </c>
      <c r="V13">
        <v>7</v>
      </c>
    </row>
    <row r="14" spans="2:22">
      <c r="B14">
        <v>553</v>
      </c>
      <c r="C14" s="14" t="s">
        <v>421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409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402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806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847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807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848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845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850</v>
      </c>
      <c r="V18" s="20"/>
    </row>
    <row r="19" spans="2:22" s="39" customFormat="1">
      <c r="B19" s="39">
        <v>1103</v>
      </c>
      <c r="C19" s="45" t="s">
        <v>846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851</v>
      </c>
      <c r="V19" s="20"/>
    </row>
    <row r="20" spans="2:22" s="39" customFormat="1">
      <c r="B20" s="39">
        <v>1003</v>
      </c>
      <c r="C20" s="40" t="s">
        <v>805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849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809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813</v>
      </c>
      <c r="D60">
        <v>2002</v>
      </c>
      <c r="E60" s="16" t="s">
        <v>816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814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815</v>
      </c>
      <c r="D62">
        <v>2002</v>
      </c>
      <c r="E62" s="16" t="s">
        <v>816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825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825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825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825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825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825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825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825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825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844</v>
      </c>
      <c r="D72">
        <v>3104</v>
      </c>
      <c r="E72" s="16" t="s">
        <v>816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844</v>
      </c>
      <c r="D73">
        <v>3114</v>
      </c>
      <c r="E73" s="16" t="s">
        <v>816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844</v>
      </c>
      <c r="D74">
        <v>3109</v>
      </c>
      <c r="E74" s="16" t="s">
        <v>816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844</v>
      </c>
      <c r="D75">
        <v>3101</v>
      </c>
      <c r="E75" s="16" t="s">
        <v>816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844</v>
      </c>
      <c r="D76">
        <v>3102</v>
      </c>
      <c r="E76" s="16" t="s">
        <v>816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844</v>
      </c>
      <c r="D77">
        <v>3108</v>
      </c>
      <c r="E77" s="16" t="s">
        <v>816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844</v>
      </c>
      <c r="D78">
        <v>3111</v>
      </c>
      <c r="E78" s="16" t="s">
        <v>816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844</v>
      </c>
      <c r="D79">
        <v>3116</v>
      </c>
      <c r="E79" s="16" t="s">
        <v>816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844</v>
      </c>
      <c r="D80">
        <v>3115</v>
      </c>
      <c r="E80" s="16" t="s">
        <v>816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844</v>
      </c>
      <c r="D81">
        <v>3106</v>
      </c>
      <c r="E81" s="16" t="s">
        <v>816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844</v>
      </c>
      <c r="D82">
        <v>3103</v>
      </c>
      <c r="E82" s="16" t="s">
        <v>816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844</v>
      </c>
      <c r="D83">
        <v>3105</v>
      </c>
      <c r="E83" s="16" t="s">
        <v>816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844</v>
      </c>
      <c r="D84">
        <v>3113</v>
      </c>
      <c r="E84" s="16" t="s">
        <v>816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844</v>
      </c>
      <c r="D85">
        <v>3112</v>
      </c>
      <c r="E85" s="16" t="s">
        <v>816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844</v>
      </c>
      <c r="D86">
        <v>3110</v>
      </c>
      <c r="E86" s="16" t="s">
        <v>816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844</v>
      </c>
      <c r="D87">
        <v>3107</v>
      </c>
      <c r="E87" s="16" t="s">
        <v>816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844</v>
      </c>
      <c r="D88">
        <v>3110</v>
      </c>
      <c r="E88" s="16" t="s">
        <v>816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844</v>
      </c>
      <c r="D89">
        <v>3101</v>
      </c>
      <c r="E89" s="16" t="s">
        <v>816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844</v>
      </c>
      <c r="D90">
        <v>3116</v>
      </c>
      <c r="E90" s="16" t="s">
        <v>816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844</v>
      </c>
      <c r="D91">
        <v>3105</v>
      </c>
      <c r="E91" s="16" t="s">
        <v>816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844</v>
      </c>
      <c r="D92">
        <v>3115</v>
      </c>
      <c r="E92" s="16" t="s">
        <v>816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844</v>
      </c>
      <c r="D93">
        <v>3111</v>
      </c>
      <c r="E93" s="16" t="s">
        <v>816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844</v>
      </c>
      <c r="D94">
        <v>3112</v>
      </c>
      <c r="E94" s="16" t="s">
        <v>816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844</v>
      </c>
      <c r="D95">
        <v>3108</v>
      </c>
      <c r="E95" s="16" t="s">
        <v>816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844</v>
      </c>
      <c r="D96">
        <v>3107</v>
      </c>
      <c r="E96" s="16" t="s">
        <v>816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844</v>
      </c>
      <c r="D97">
        <v>3102</v>
      </c>
      <c r="E97" s="16" t="s">
        <v>816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844</v>
      </c>
      <c r="D98">
        <v>3106</v>
      </c>
      <c r="E98" s="16" t="s">
        <v>816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844</v>
      </c>
      <c r="D99">
        <v>3114</v>
      </c>
      <c r="E99" s="16" t="s">
        <v>816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844</v>
      </c>
      <c r="D100">
        <v>3103</v>
      </c>
      <c r="E100" s="16" t="s">
        <v>816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844</v>
      </c>
      <c r="D101">
        <v>3113</v>
      </c>
      <c r="E101" s="16" t="s">
        <v>816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844</v>
      </c>
      <c r="D102">
        <v>3104</v>
      </c>
      <c r="E102" s="16" t="s">
        <v>816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844</v>
      </c>
      <c r="D103">
        <v>3109</v>
      </c>
      <c r="E103" s="16" t="s">
        <v>816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844</v>
      </c>
      <c r="D104">
        <v>3110</v>
      </c>
      <c r="E104" s="16" t="s">
        <v>816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844</v>
      </c>
      <c r="D105">
        <v>3116</v>
      </c>
      <c r="E105" s="16" t="s">
        <v>816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844</v>
      </c>
      <c r="D106">
        <v>3108</v>
      </c>
      <c r="E106" s="16" t="s">
        <v>816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844</v>
      </c>
      <c r="D107">
        <v>3115</v>
      </c>
      <c r="E107" s="16" t="s">
        <v>816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844</v>
      </c>
      <c r="D108">
        <v>3103</v>
      </c>
      <c r="E108" s="16" t="s">
        <v>816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844</v>
      </c>
      <c r="D109">
        <v>3102</v>
      </c>
      <c r="E109" s="16" t="s">
        <v>816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844</v>
      </c>
      <c r="D110">
        <v>3114</v>
      </c>
      <c r="E110" s="16" t="s">
        <v>816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844</v>
      </c>
      <c r="D111">
        <v>3113</v>
      </c>
      <c r="E111" s="16" t="s">
        <v>816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844</v>
      </c>
      <c r="D112">
        <v>3111</v>
      </c>
      <c r="E112" s="16" t="s">
        <v>816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844</v>
      </c>
      <c r="D113">
        <v>3107</v>
      </c>
      <c r="E113" s="16" t="s">
        <v>816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844</v>
      </c>
      <c r="D114">
        <v>3106</v>
      </c>
      <c r="E114" s="16" t="s">
        <v>816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844</v>
      </c>
      <c r="D115">
        <v>3104</v>
      </c>
      <c r="E115" s="16" t="s">
        <v>816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844</v>
      </c>
      <c r="D116">
        <v>3112</v>
      </c>
      <c r="E116" s="16" t="s">
        <v>816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844</v>
      </c>
      <c r="D117">
        <v>3101</v>
      </c>
      <c r="E117" s="16" t="s">
        <v>816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844</v>
      </c>
      <c r="D118">
        <v>3105</v>
      </c>
      <c r="E118" s="16" t="s">
        <v>816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844</v>
      </c>
      <c r="D119">
        <v>3109</v>
      </c>
      <c r="E119" s="16" t="s">
        <v>816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844</v>
      </c>
      <c r="D120">
        <v>3101</v>
      </c>
      <c r="E120" s="16" t="s">
        <v>816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844</v>
      </c>
      <c r="D121">
        <v>3110</v>
      </c>
      <c r="E121" s="16" t="s">
        <v>816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844</v>
      </c>
      <c r="D122">
        <v>3103</v>
      </c>
      <c r="E122" s="16" t="s">
        <v>816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844</v>
      </c>
      <c r="D123">
        <v>3116</v>
      </c>
      <c r="E123" s="16" t="s">
        <v>816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844</v>
      </c>
      <c r="D124">
        <v>3109</v>
      </c>
      <c r="E124" s="16" t="s">
        <v>816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844</v>
      </c>
      <c r="D125">
        <v>3107</v>
      </c>
      <c r="E125" s="16" t="s">
        <v>816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844</v>
      </c>
      <c r="D126">
        <v>3113</v>
      </c>
      <c r="E126" s="16" t="s">
        <v>816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844</v>
      </c>
      <c r="D127">
        <v>3106</v>
      </c>
      <c r="E127" s="16" t="s">
        <v>816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844</v>
      </c>
      <c r="D128">
        <v>3102</v>
      </c>
      <c r="E128" s="16" t="s">
        <v>816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844</v>
      </c>
      <c r="D129">
        <v>3111</v>
      </c>
      <c r="E129" s="16" t="s">
        <v>816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844</v>
      </c>
      <c r="D130">
        <v>3115</v>
      </c>
      <c r="E130" s="16" t="s">
        <v>816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844</v>
      </c>
      <c r="D131">
        <v>3112</v>
      </c>
      <c r="E131" s="16" t="s">
        <v>816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844</v>
      </c>
      <c r="D132">
        <v>3114</v>
      </c>
      <c r="E132" s="16" t="s">
        <v>816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844</v>
      </c>
      <c r="D133">
        <v>3105</v>
      </c>
      <c r="E133" s="16" t="s">
        <v>816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844</v>
      </c>
      <c r="D134">
        <v>3104</v>
      </c>
      <c r="E134" s="16" t="s">
        <v>816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844</v>
      </c>
      <c r="D135">
        <v>3108</v>
      </c>
      <c r="E135" s="16" t="s">
        <v>816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885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885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885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5</v>
      </c>
      <c r="H84" s="11" t="s">
        <v>842</v>
      </c>
    </row>
    <row r="85" spans="2:8">
      <c r="B85">
        <v>804</v>
      </c>
      <c r="C85" s="11" t="s">
        <v>384</v>
      </c>
      <c r="D85">
        <v>60</v>
      </c>
      <c r="E85">
        <v>204</v>
      </c>
      <c r="F85">
        <v>2</v>
      </c>
      <c r="G85">
        <v>5</v>
      </c>
      <c r="H85" s="11" t="s">
        <v>842</v>
      </c>
    </row>
    <row r="86" spans="2:8">
      <c r="B86">
        <v>804</v>
      </c>
      <c r="C86" s="11" t="s">
        <v>384</v>
      </c>
      <c r="D86">
        <v>120</v>
      </c>
      <c r="E86">
        <v>204</v>
      </c>
      <c r="F86">
        <v>2</v>
      </c>
      <c r="G86">
        <v>5</v>
      </c>
      <c r="H86" s="11" t="s">
        <v>842</v>
      </c>
    </row>
    <row r="87" spans="2:8">
      <c r="B87">
        <v>804</v>
      </c>
      <c r="C87" s="11" t="s">
        <v>384</v>
      </c>
      <c r="D87">
        <v>180</v>
      </c>
      <c r="E87">
        <v>204</v>
      </c>
      <c r="F87">
        <v>2</v>
      </c>
      <c r="G87">
        <v>5</v>
      </c>
      <c r="H87" s="11" t="s">
        <v>842</v>
      </c>
    </row>
    <row r="88" spans="2:8">
      <c r="B88">
        <v>804</v>
      </c>
      <c r="C88" s="11" t="s">
        <v>384</v>
      </c>
      <c r="D88">
        <v>240</v>
      </c>
      <c r="E88">
        <v>204</v>
      </c>
      <c r="F88">
        <v>2</v>
      </c>
      <c r="G88">
        <v>5</v>
      </c>
      <c r="H88" s="11" t="s">
        <v>842</v>
      </c>
    </row>
    <row r="89" spans="2:8">
      <c r="B89">
        <v>804</v>
      </c>
      <c r="C89" s="11" t="s">
        <v>384</v>
      </c>
      <c r="D89">
        <v>300</v>
      </c>
      <c r="E89">
        <v>204</v>
      </c>
      <c r="F89">
        <v>2</v>
      </c>
      <c r="G89">
        <v>5</v>
      </c>
      <c r="H89" s="11" t="s">
        <v>842</v>
      </c>
    </row>
    <row r="90" spans="2:8">
      <c r="B90">
        <v>805</v>
      </c>
      <c r="C90" s="11" t="s">
        <v>426</v>
      </c>
      <c r="D90">
        <v>45</v>
      </c>
      <c r="E90">
        <v>205</v>
      </c>
      <c r="F90">
        <v>1</v>
      </c>
      <c r="G90">
        <v>8</v>
      </c>
      <c r="H90" s="11" t="s">
        <v>325</v>
      </c>
    </row>
    <row r="91" spans="2:8">
      <c r="B91">
        <v>805</v>
      </c>
      <c r="C91" s="11" t="s">
        <v>426</v>
      </c>
      <c r="D91">
        <v>-45</v>
      </c>
      <c r="E91">
        <v>205</v>
      </c>
      <c r="F91">
        <v>1</v>
      </c>
      <c r="G91">
        <v>8</v>
      </c>
      <c r="H91" s="11" t="s">
        <v>325</v>
      </c>
    </row>
    <row r="92" spans="2:8">
      <c r="B92">
        <v>805</v>
      </c>
      <c r="C92" s="11" t="s">
        <v>426</v>
      </c>
      <c r="D92">
        <v>225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426</v>
      </c>
      <c r="D93">
        <v>-225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806</v>
      </c>
      <c r="C94" s="11" t="s">
        <v>903</v>
      </c>
      <c r="D94">
        <v>0</v>
      </c>
      <c r="E94">
        <v>206</v>
      </c>
      <c r="F94">
        <v>0</v>
      </c>
      <c r="G94">
        <v>16</v>
      </c>
      <c r="H94" s="11" t="s">
        <v>1003</v>
      </c>
    </row>
    <row r="95" spans="2:8">
      <c r="B95">
        <v>806</v>
      </c>
      <c r="C95" s="11" t="s">
        <v>903</v>
      </c>
      <c r="D95">
        <v>15</v>
      </c>
      <c r="E95">
        <v>206</v>
      </c>
      <c r="F95">
        <v>0</v>
      </c>
      <c r="G95">
        <v>16</v>
      </c>
      <c r="H95" s="11" t="s">
        <v>1003</v>
      </c>
    </row>
    <row r="96" spans="2:8">
      <c r="B96">
        <v>806</v>
      </c>
      <c r="C96" s="11" t="s">
        <v>903</v>
      </c>
      <c r="D96">
        <v>-15</v>
      </c>
      <c r="E96">
        <v>206</v>
      </c>
      <c r="F96">
        <v>0</v>
      </c>
      <c r="G96">
        <v>16</v>
      </c>
      <c r="H96" s="11" t="s">
        <v>1003</v>
      </c>
    </row>
    <row r="97" spans="2:8">
      <c r="B97">
        <v>999</v>
      </c>
      <c r="C97" s="16" t="s">
        <v>266</v>
      </c>
      <c r="D97">
        <v>0</v>
      </c>
      <c r="E97">
        <v>999</v>
      </c>
      <c r="F97">
        <v>8</v>
      </c>
      <c r="G97">
        <v>15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v>2001</v>
      </c>
      <c r="C186" s="16" t="s">
        <v>809</v>
      </c>
      <c r="D186">
        <v>0</v>
      </c>
      <c r="E186">
        <v>2001</v>
      </c>
      <c r="F186">
        <v>1</v>
      </c>
      <c r="G186">
        <v>5</v>
      </c>
      <c r="H186" s="11" t="s">
        <v>325</v>
      </c>
    </row>
    <row r="187" spans="2:8">
      <c r="B187">
        <v>2002</v>
      </c>
      <c r="C187" s="16" t="s">
        <v>810</v>
      </c>
      <c r="D187">
        <v>25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810</v>
      </c>
      <c r="D188">
        <v>0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2002</v>
      </c>
      <c r="C189" s="16" t="s">
        <v>810</v>
      </c>
      <c r="D189">
        <v>-25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2003</v>
      </c>
      <c r="C190" s="11" t="s">
        <v>826</v>
      </c>
      <c r="D190">
        <v>96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826</v>
      </c>
      <c r="D191">
        <v>213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2003</v>
      </c>
      <c r="C192" s="11" t="s">
        <v>826</v>
      </c>
      <c r="D192">
        <v>153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827</v>
      </c>
      <c r="D193">
        <v>264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827</v>
      </c>
      <c r="D194">
        <v>124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827</v>
      </c>
      <c r="D195">
        <v>188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828</v>
      </c>
      <c r="D196">
        <v>59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828</v>
      </c>
      <c r="D197">
        <v>30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828</v>
      </c>
      <c r="D198">
        <v>120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829</v>
      </c>
      <c r="D199">
        <v>90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829</v>
      </c>
      <c r="D200">
        <v>350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829</v>
      </c>
      <c r="D201">
        <v>72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830</v>
      </c>
      <c r="D202">
        <v>255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830</v>
      </c>
      <c r="D203">
        <v>25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830</v>
      </c>
      <c r="D204">
        <v>105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3001</v>
      </c>
      <c r="C205" s="11" t="s">
        <v>839</v>
      </c>
      <c r="D205">
        <v>-90</v>
      </c>
      <c r="E205">
        <v>3001</v>
      </c>
      <c r="F205">
        <v>1</v>
      </c>
      <c r="G205">
        <v>5.5</v>
      </c>
      <c r="H205" s="11" t="s">
        <v>842</v>
      </c>
    </row>
    <row r="206" spans="2:8">
      <c r="B206">
        <v>3002</v>
      </c>
      <c r="C206" s="11" t="s">
        <v>838</v>
      </c>
      <c r="D206">
        <v>-90</v>
      </c>
      <c r="E206">
        <v>3002</v>
      </c>
      <c r="F206">
        <v>1</v>
      </c>
      <c r="G206">
        <v>5</v>
      </c>
      <c r="H206" s="11" t="s">
        <v>842</v>
      </c>
    </row>
    <row r="207" spans="2:8">
      <c r="B207">
        <v>3101</v>
      </c>
      <c r="C207" s="11" t="s">
        <v>844</v>
      </c>
      <c r="D207">
        <v>185</v>
      </c>
      <c r="E207">
        <v>3003</v>
      </c>
      <c r="F207">
        <v>0</v>
      </c>
      <c r="G207">
        <v>3</v>
      </c>
      <c r="H207" s="11" t="s">
        <v>325</v>
      </c>
    </row>
    <row r="208" spans="2:8">
      <c r="B208">
        <v>3102</v>
      </c>
      <c r="C208" s="11" t="s">
        <v>844</v>
      </c>
      <c r="D208">
        <v>190</v>
      </c>
      <c r="E208">
        <v>3004</v>
      </c>
      <c r="F208">
        <v>0</v>
      </c>
      <c r="G208">
        <v>3.5</v>
      </c>
      <c r="H208" s="11" t="s">
        <v>325</v>
      </c>
    </row>
    <row r="209" spans="2:8">
      <c r="B209">
        <v>3103</v>
      </c>
      <c r="C209" s="11" t="s">
        <v>844</v>
      </c>
      <c r="D209">
        <v>195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3104</v>
      </c>
      <c r="C210" s="11" t="s">
        <v>844</v>
      </c>
      <c r="D210">
        <v>200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3105</v>
      </c>
      <c r="C211" s="11" t="s">
        <v>844</v>
      </c>
      <c r="D211">
        <v>205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3106</v>
      </c>
      <c r="C212" s="11" t="s">
        <v>844</v>
      </c>
      <c r="D212" s="11">
        <v>210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3107</v>
      </c>
      <c r="C213" s="11" t="s">
        <v>844</v>
      </c>
      <c r="D213">
        <v>215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3108</v>
      </c>
      <c r="C214" s="11" t="s">
        <v>844</v>
      </c>
      <c r="D214">
        <v>220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3109</v>
      </c>
      <c r="C215" s="11" t="s">
        <v>844</v>
      </c>
      <c r="D215">
        <v>-185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3110</v>
      </c>
      <c r="C216" s="11" t="s">
        <v>844</v>
      </c>
      <c r="D216">
        <v>-190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3111</v>
      </c>
      <c r="C217" s="11" t="s">
        <v>844</v>
      </c>
      <c r="D217">
        <v>-195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3112</v>
      </c>
      <c r="C218" s="11" t="s">
        <v>844</v>
      </c>
      <c r="D218">
        <v>-200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3113</v>
      </c>
      <c r="C219" s="11" t="s">
        <v>844</v>
      </c>
      <c r="D219">
        <v>-205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3114</v>
      </c>
      <c r="C220" s="11" t="s">
        <v>844</v>
      </c>
      <c r="D220" s="11">
        <v>-210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3115</v>
      </c>
      <c r="C221" s="11" t="s">
        <v>844</v>
      </c>
      <c r="D221">
        <v>-215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3116</v>
      </c>
      <c r="C222" s="11" t="s">
        <v>844</v>
      </c>
      <c r="D222">
        <v>-220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3201</v>
      </c>
      <c r="C223" s="11" t="s">
        <v>843</v>
      </c>
      <c r="D223">
        <v>22.5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843</v>
      </c>
      <c r="D224">
        <v>67.5</v>
      </c>
      <c r="E224">
        <v>3004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843</v>
      </c>
      <c r="D225">
        <v>112.5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843</v>
      </c>
      <c r="D226">
        <v>157.5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843</v>
      </c>
      <c r="D227">
        <v>202.5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843</v>
      </c>
      <c r="D228">
        <v>247.5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843</v>
      </c>
      <c r="D229">
        <v>292.5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843</v>
      </c>
      <c r="D230">
        <v>337.5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3202</v>
      </c>
      <c r="C231" s="11" t="s">
        <v>843</v>
      </c>
      <c r="D231">
        <v>45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843</v>
      </c>
      <c r="D232">
        <v>90</v>
      </c>
      <c r="E232">
        <v>3004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843</v>
      </c>
      <c r="D233">
        <v>135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843</v>
      </c>
      <c r="D234">
        <v>180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843</v>
      </c>
      <c r="D235">
        <v>225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843</v>
      </c>
      <c r="D236">
        <v>270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843</v>
      </c>
      <c r="D237">
        <v>315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843</v>
      </c>
      <c r="D238">
        <v>360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3301</v>
      </c>
      <c r="C239" s="16" t="s">
        <v>892</v>
      </c>
      <c r="D239">
        <v>0</v>
      </c>
      <c r="E239">
        <v>3004</v>
      </c>
      <c r="F239">
        <v>1</v>
      </c>
      <c r="G239">
        <v>6</v>
      </c>
      <c r="H239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38.832031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787</v>
      </c>
    </row>
    <row r="6" spans="2:7">
      <c r="B6">
        <v>205</v>
      </c>
      <c r="C6" s="14" t="s">
        <v>427</v>
      </c>
      <c r="D6" t="b">
        <v>1</v>
      </c>
      <c r="E6">
        <v>1.2</v>
      </c>
      <c r="F6">
        <v>10</v>
      </c>
      <c r="G6" s="11" t="s">
        <v>396</v>
      </c>
    </row>
    <row r="7" spans="2:7">
      <c r="B7">
        <v>206</v>
      </c>
      <c r="C7" s="14" t="s">
        <v>903</v>
      </c>
      <c r="D7" t="b">
        <v>1</v>
      </c>
      <c r="E7">
        <v>2</v>
      </c>
      <c r="F7">
        <v>40</v>
      </c>
      <c r="G7" s="11" t="s">
        <v>787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812</v>
      </c>
      <c r="D16" t="b">
        <v>1</v>
      </c>
      <c r="E16">
        <v>2</v>
      </c>
      <c r="F16">
        <v>25</v>
      </c>
      <c r="G16" s="16" t="s">
        <v>808</v>
      </c>
    </row>
    <row r="17" spans="2:7">
      <c r="B17">
        <v>2001</v>
      </c>
      <c r="C17" s="18" t="s">
        <v>811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841</v>
      </c>
      <c r="D18" t="b">
        <v>1</v>
      </c>
      <c r="E18">
        <v>2</v>
      </c>
      <c r="F18">
        <v>25</v>
      </c>
      <c r="G18" s="16" t="s">
        <v>890</v>
      </c>
    </row>
    <row r="19" spans="2:7">
      <c r="B19">
        <v>3002</v>
      </c>
      <c r="C19" s="14" t="s">
        <v>840</v>
      </c>
      <c r="D19" t="b">
        <v>1</v>
      </c>
      <c r="E19">
        <v>2</v>
      </c>
      <c r="F19">
        <v>25</v>
      </c>
      <c r="G19" s="16" t="s">
        <v>891</v>
      </c>
    </row>
    <row r="20" spans="2:7">
      <c r="B20">
        <v>3003</v>
      </c>
      <c r="C20" s="14" t="s">
        <v>887</v>
      </c>
      <c r="D20" t="b">
        <v>1</v>
      </c>
      <c r="E20">
        <v>1</v>
      </c>
      <c r="F20">
        <v>25</v>
      </c>
      <c r="G20" s="16" t="s">
        <v>888</v>
      </c>
    </row>
    <row r="21" spans="2:7">
      <c r="B21">
        <v>3004</v>
      </c>
      <c r="C21" s="14" t="s">
        <v>886</v>
      </c>
      <c r="D21" t="b">
        <v>1</v>
      </c>
      <c r="E21">
        <v>1</v>
      </c>
      <c r="F21">
        <v>25</v>
      </c>
      <c r="G21" s="16" t="s">
        <v>889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zoomScaleNormal="100" zoomScaleSheetLayoutView="100" workbookViewId="0">
      <pane xSplit="3" topLeftCell="D1" activePane="topRight" state="frozen"/>
      <selection pane="topRight" activeCell="K40" sqref="K40"/>
    </sheetView>
  </sheetViews>
  <sheetFormatPr baseColWidth="10" defaultColWidth="8.83203125" defaultRowHeight="17"/>
  <cols>
    <col min="1" max="1" width="8.83203125" style="72"/>
    <col min="2" max="2" width="11.5" style="42" customWidth="1"/>
    <col min="3" max="3" width="17.6640625" style="42" customWidth="1"/>
    <col min="4" max="4" width="62.1640625" style="42" customWidth="1"/>
    <col min="5" max="5" width="56.1640625" style="42" customWidth="1"/>
    <col min="6" max="6" width="31.83203125" style="42" customWidth="1"/>
    <col min="7" max="7" width="8.33203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32031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33203125" style="42" customWidth="1"/>
    <col min="19" max="16384" width="8.832031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883</v>
      </c>
      <c r="C2" s="73" t="s">
        <v>793</v>
      </c>
      <c r="D2" s="73" t="s">
        <v>854</v>
      </c>
      <c r="E2" s="73" t="s">
        <v>855</v>
      </c>
      <c r="F2" s="73" t="s">
        <v>856</v>
      </c>
      <c r="G2" s="75" t="s">
        <v>884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794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536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440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441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442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443</v>
      </c>
    </row>
    <row r="9" spans="2:18">
      <c r="B9" s="91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92" t="str">
        <f>INDEX(LocaleTable[LocaleKR],MATCH(ItemTable[[#This Row],[Name]],LocaleTable[StringKey],0))</f>
        <v>모험의 모자</v>
      </c>
      <c r="D9" s="92" t="str">
        <f>INDEX(LocaleTable[LocaleKR],MATCH(ItemTable[[#This Row],[Desc]],LocaleTable[StringKey],0))</f>
        <v>자 이제 시작이야!</v>
      </c>
      <c r="E9" s="92" t="str">
        <f>INDEX(LocaleTable[LocaleKR],MATCH(ItemTable[[#This Row],[PlusDesc]],LocaleTable[StringKey],0))</f>
        <v>플레이어의 공이\n적을 추적합니다.</v>
      </c>
      <c r="F9" s="93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893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444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+5%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861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445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446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447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448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53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증가\n(효과는 계속 누적됩니다)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1035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53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K18" s="42" t="str">
        <f>_xlfn.CONCAT("Item_MinusDesc_",ItemTable[[#This Row],['#Index 참조용]])</f>
        <v>Item_MinusDesc_3008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450</v>
      </c>
    </row>
    <row r="19" spans="1:18">
      <c r="B19" s="91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92" t="str">
        <f>INDEX(LocaleTable[LocaleKR],MATCH(ItemTable[[#This Row],[Name]],LocaleTable[StringKey],0))</f>
        <v>개구리 꼬치구이</v>
      </c>
      <c r="D19" s="92" t="str">
        <f>INDEX(LocaleTable[LocaleKR],MATCH(ItemTable[[#This Row],[Desc]],LocaleTable[StringKey],0))</f>
        <v>거부할 수 없는 매력이 있습니다.</v>
      </c>
      <c r="E19" s="92" t="str">
        <f>INDEX(LocaleTable[LocaleKR],MATCH(ItemTable[[#This Row],[PlusDesc]],LocaleTable[StringKey],0))</f>
        <v>3번째 스윙이 바로 차징됨</v>
      </c>
      <c r="F19" s="93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K19" s="42" t="str">
        <f>_xlfn.CONCAT("Item_MinusDesc_",ItemTable[[#This Row],['#Index 참조용]])</f>
        <v>Item_MinusDesc_3009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1037</v>
      </c>
    </row>
    <row r="20" spans="1:18">
      <c r="B20" s="91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92" t="str">
        <f>INDEX(LocaleTable[LocaleKR],MATCH(ItemTable[[#This Row],[Name]],LocaleTable[StringKey],0))</f>
        <v>공룡 블럭</v>
      </c>
      <c r="D20" s="92" t="str">
        <f>INDEX(LocaleTable[LocaleKR],MATCH(ItemTable[[#This Row],[Desc]],LocaleTable[StringKey],0))</f>
        <v>이걸 밟고 구르면 아드레날린이 솟구칩니다.</v>
      </c>
      <c r="E20" s="92" t="str">
        <f>INDEX(LocaleTable[LocaleKR],MATCH(ItemTable[[#This Row],[PlusDesc]],LocaleTable[StringKey],0))</f>
        <v>구르기 후 패링관련 능력치가 1초간 상승함\n(공 속도 2배)\n(공 데미지 +10%)</v>
      </c>
      <c r="F20" s="93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K20" s="42" t="str">
        <f>_xlfn.CONCAT("Item_MinusDesc_",ItemTable[[#This Row],['#Index 참조용]])</f>
        <v>Item_MinusDesc_3010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451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860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누군가의 일기장</v>
      </c>
      <c r="D23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452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453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902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454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455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456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344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457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344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1004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344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458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3" sqref="G23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332031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793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625</v>
      </c>
      <c r="M2" s="65" t="s">
        <v>627</v>
      </c>
      <c r="N2" s="65" t="s">
        <v>626</v>
      </c>
      <c r="O2" s="65" t="s">
        <v>697</v>
      </c>
      <c r="P2" s="65" t="s">
        <v>698</v>
      </c>
      <c r="Q2" s="65" t="s">
        <v>699</v>
      </c>
      <c r="R2" s="65" t="s">
        <v>700</v>
      </c>
      <c r="S2" s="65" t="s">
        <v>701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1022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86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95">
        <v>7006</v>
      </c>
      <c r="E9" s="16">
        <v>7006</v>
      </c>
      <c r="F9" s="16"/>
      <c r="G9">
        <v>0</v>
      </c>
      <c r="H9" s="16" t="s">
        <v>326</v>
      </c>
      <c r="J9" s="16" t="s">
        <v>325</v>
      </c>
      <c r="L9" s="87" t="str">
        <f>IFERROR(LEFT(ItemEffectTable[[#This Row],[TriggerType]],FIND(",",ItemEffectTable[[#This Row],[TriggerType]],1)-1),ItemEffectTable[[#This Row],[TriggerType]])</f>
        <v>Equip</v>
      </c>
      <c r="M9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87">
        <f>IFERROR(INDEX(스텟별가치29[발동율],MATCH(ItemEffectTable[[#This Row],['#트리거1]],스텟별가치29[트리거],0)),0)</f>
        <v>-1</v>
      </c>
      <c r="P9" s="87">
        <f>IFERROR(INDEX(스텟별가치29[발동율],MATCH(ItemEffectTable[[#This Row],['#트리거2]],스텟별가치29[트리거],0)),-1)</f>
        <v>-1</v>
      </c>
      <c r="Q9" s="87">
        <f>IFERROR(INDEX(스텟별가치29[발동율],MATCH(ItemEffectTable[[#This Row],['#트리거3]],스텟별가치29[트리거],0)),-1)</f>
        <v>-1</v>
      </c>
      <c r="R9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1013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424</v>
      </c>
      <c r="J11" s="16" t="s">
        <v>325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352</v>
      </c>
      <c r="J12" s="16" t="s">
        <v>425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833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326</v>
      </c>
      <c r="J15" s="16" t="s">
        <v>325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342</v>
      </c>
      <c r="I16" s="11" t="s">
        <v>832</v>
      </c>
      <c r="J16" s="16" t="s">
        <v>1009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342</v>
      </c>
      <c r="I17" s="16" t="s">
        <v>832</v>
      </c>
      <c r="J17" s="11" t="s">
        <v>1010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897</v>
      </c>
      <c r="I18" s="11" t="s">
        <v>832</v>
      </c>
      <c r="J18" s="11" t="s">
        <v>879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897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1027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86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95">
        <v>8009</v>
      </c>
      <c r="E21" s="16"/>
      <c r="F21" s="16">
        <v>8009</v>
      </c>
      <c r="G21">
        <v>0</v>
      </c>
      <c r="H21" s="16" t="s">
        <v>1036</v>
      </c>
      <c r="I21" s="11" t="s">
        <v>832</v>
      </c>
      <c r="J21" s="16" t="s">
        <v>1009</v>
      </c>
      <c r="K21">
        <v>3</v>
      </c>
      <c r="L21" s="87" t="str">
        <f>IFERROR(LEFT(ItemEffectTable[[#This Row],[TriggerType]],FIND(",",ItemEffectTable[[#This Row],[TriggerType]],1)-1),ItemEffectTable[[#This Row],[TriggerType]])</f>
        <v>OnSwingStart</v>
      </c>
      <c r="M21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87">
        <f>IFERROR(INDEX(스텟별가치29[발동율],MATCH(ItemEffectTable[[#This Row],['#트리거1]],스텟별가치29[트리거],0)),0)</f>
        <v>0</v>
      </c>
      <c r="P21" s="87">
        <f>IFERROR(INDEX(스텟별가치29[발동율],MATCH(ItemEffectTable[[#This Row],['#트리거2]],스텟별가치29[트리거],0)),-1)</f>
        <v>-1</v>
      </c>
      <c r="Q21" s="87">
        <f>IFERROR(INDEX(스텟별가치29[발동율],MATCH(ItemEffectTable[[#This Row],['#트리거3]],스텟별가치29[트리거],0)),-1)</f>
        <v>-1</v>
      </c>
      <c r="R21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86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95">
        <v>8009</v>
      </c>
      <c r="E22" s="16">
        <v>8009</v>
      </c>
      <c r="F22" s="16">
        <v>8109</v>
      </c>
      <c r="G22">
        <v>0</v>
      </c>
      <c r="H22" s="16" t="s">
        <v>1036</v>
      </c>
      <c r="I22" s="16" t="s">
        <v>832</v>
      </c>
      <c r="J22" s="11" t="s">
        <v>1010</v>
      </c>
      <c r="K22">
        <v>3</v>
      </c>
      <c r="L22" s="87" t="str">
        <f>IFERROR(LEFT(ItemEffectTable[[#This Row],[TriggerType]],FIND(",",ItemEffectTable[[#This Row],[TriggerType]],1)-1),ItemEffectTable[[#This Row],[TriggerType]])</f>
        <v>OnSwingStart</v>
      </c>
      <c r="M22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87">
        <f>IFERROR(INDEX(스텟별가치29[발동율],MATCH(ItemEffectTable[[#This Row],['#트리거1]],스텟별가치29[트리거],0)),0)</f>
        <v>0</v>
      </c>
      <c r="P22" s="87">
        <f>IFERROR(INDEX(스텟별가치29[발동율],MATCH(ItemEffectTable[[#This Row],['#트리거2]],스텟별가치29[트리거],0)),-1)</f>
        <v>-1</v>
      </c>
      <c r="Q22" s="87">
        <f>IFERROR(INDEX(스텟별가치29[발동율],MATCH(ItemEffectTable[[#This Row],['#트리거3]],스텟별가치29[트리거],0)),-1)</f>
        <v>-1</v>
      </c>
      <c r="R22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86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95">
        <v>8010</v>
      </c>
      <c r="E23" s="16">
        <v>8010</v>
      </c>
      <c r="F23" s="16"/>
      <c r="G23">
        <v>1</v>
      </c>
      <c r="H23" s="16" t="s">
        <v>1050</v>
      </c>
      <c r="I23" s="16"/>
      <c r="J23" s="16" t="s">
        <v>325</v>
      </c>
      <c r="L23" s="87" t="str">
        <f>IFERROR(LEFT(ItemEffectTable[[#This Row],[TriggerType]],FIND(",",ItemEffectTable[[#This Row],[TriggerType]],1)-1),ItemEffectTable[[#This Row],[TriggerType]])</f>
        <v>OnDodgeEnd</v>
      </c>
      <c r="M23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87">
        <f>IFERROR(INDEX(스텟별가치29[발동율],MATCH(ItemEffectTable[[#This Row],['#트리거1]],스텟별가치29[트리거],0)),0)</f>
        <v>0</v>
      </c>
      <c r="P23" s="87">
        <f>IFERROR(INDEX(스텟별가치29[발동율],MATCH(ItemEffectTable[[#This Row],['#트리거2]],스텟별가치29[트리거],0)),-1)</f>
        <v>-1</v>
      </c>
      <c r="Q23" s="87">
        <f>IFERROR(INDEX(스텟별가치29[발동율],MATCH(ItemEffectTable[[#This Row],['#트리거3]],스텟별가치29[트리거],0)),-1)</f>
        <v>-1</v>
      </c>
      <c r="R23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371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누군가의 일기장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434</v>
      </c>
      <c r="J28" s="16" t="s">
        <v>325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326</v>
      </c>
      <c r="J29" s="16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390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326</v>
      </c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326</v>
      </c>
      <c r="J32" s="16" t="s">
        <v>325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86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342</v>
      </c>
      <c r="I33" s="16" t="s">
        <v>1005</v>
      </c>
      <c r="J33" s="11" t="s">
        <v>879</v>
      </c>
      <c r="K33">
        <v>1</v>
      </c>
      <c r="L33" s="87" t="str">
        <f>IFERROR(LEFT(ItemEffectTable[[#This Row],[TriggerType]],FIND(",",ItemEffectTable[[#This Row],[TriggerType]],1)-1),ItemEffectTable[[#This Row],[TriggerType]])</f>
        <v>OnSwing</v>
      </c>
      <c r="M33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87">
        <f>IFERROR(INDEX(스텟별가치29[발동율],MATCH(ItemEffectTable[[#This Row],['#트리거1]],스텟별가치29[트리거],0)),0)</f>
        <v>0.5</v>
      </c>
      <c r="P33" s="87">
        <f>IFERROR(INDEX(스텟별가치29[발동율],MATCH(ItemEffectTable[[#This Row],['#트리거2]],스텟별가치29[트리거],0)),-1)</f>
        <v>-1</v>
      </c>
      <c r="Q33" s="87">
        <f>IFERROR(INDEX(스텟별가치29[발동율],MATCH(ItemEffectTable[[#This Row],['#트리거3]],스텟별가치29[트리거],0)),-1)</f>
        <v>-1</v>
      </c>
      <c r="R33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1013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434</v>
      </c>
      <c r="I35" s="16" t="s">
        <v>1005</v>
      </c>
      <c r="J35" s="11" t="s">
        <v>879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332</v>
      </c>
      <c r="I36" s="16"/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332</v>
      </c>
      <c r="I37" s="16" t="s">
        <v>338</v>
      </c>
      <c r="J37" s="16" t="s">
        <v>337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332</v>
      </c>
      <c r="J38" s="16" t="s">
        <v>325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332</v>
      </c>
      <c r="J39" s="16" t="s">
        <v>325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332</v>
      </c>
      <c r="J40" s="16" t="s">
        <v>325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332</v>
      </c>
      <c r="J41" s="16" t="s">
        <v>325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8" sqref="F18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615</v>
      </c>
      <c r="E1" s="16" t="s">
        <v>616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707</v>
      </c>
      <c r="C2" s="63" t="s">
        <v>594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596</v>
      </c>
      <c r="J2" s="63" t="s">
        <v>595</v>
      </c>
      <c r="K2" s="64" t="s">
        <v>617</v>
      </c>
      <c r="L2" s="63" t="s">
        <v>614</v>
      </c>
      <c r="M2" s="63" t="s">
        <v>624</v>
      </c>
      <c r="N2" s="63" t="s">
        <v>702</v>
      </c>
      <c r="O2" s="63" t="s">
        <v>703</v>
      </c>
      <c r="P2" s="63" t="s">
        <v>597</v>
      </c>
      <c r="Q2" s="63" t="s">
        <v>706</v>
      </c>
      <c r="R2" s="63" t="s">
        <v>709</v>
      </c>
      <c r="S2" s="69" t="s">
        <v>714</v>
      </c>
      <c r="T2" s="63" t="s">
        <v>705</v>
      </c>
      <c r="U2" s="63" t="s">
        <v>704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818</v>
      </c>
      <c r="F3" s="16">
        <v>1</v>
      </c>
      <c r="G3" s="11" t="s">
        <v>392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206</v>
      </c>
      <c r="F6" s="51">
        <v>0.8</v>
      </c>
      <c r="G6" s="42" t="s">
        <v>213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397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99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86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94">
        <v>7006</v>
      </c>
      <c r="E9" s="51" t="s">
        <v>1034</v>
      </c>
      <c r="F9" s="16">
        <v>1</v>
      </c>
      <c r="G9" s="11" t="s">
        <v>392</v>
      </c>
      <c r="H9" s="16">
        <v>-1</v>
      </c>
      <c r="I9" s="87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87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K9" s="100"/>
      <c r="L9" s="86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86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86">
        <f>INDEX(ItemEffectTable[CoolTime],MATCH(ItemEffectTable23[[#This Row],[Index]],ItemEffectTable[ApplyBuffId],0))</f>
        <v>0</v>
      </c>
      <c r="O9" s="86">
        <f>IF(ItemEffectTable23[[#This Row],['#발동율]]=-1,-1,(ItemEffectTable23[[#This Row],['#발동율]]+ItemEffectTable23[[#This Row],['#쿨타임]])/ItemEffectTable23[[#This Row],[Duration]])</f>
        <v>-1</v>
      </c>
      <c r="P9" s="86">
        <f>ItemEffectTable23[[#This Row],['#효력 가치 판단]]/IF(ItemEffectTable23[[#This Row],['#발동량]]=-1,1,ItemEffectTable23[[#This Row],['#발동량]])</f>
        <v>30</v>
      </c>
      <c r="Q9" s="86">
        <f>SUMIF(ItemEffectTable23['#아이템 명칭],ItemEffectTable23[[#This Row],['#아이템 명칭]],ItemEffectTable23['#총 가치판단])</f>
        <v>30</v>
      </c>
      <c r="R9" s="86">
        <f>IFERROR(INDEX(ItemEffectTable2324['#가치판단],MATCH(ItemEffectTable23[[#This Row],['#아이템 명칭]],ItemEffectTable2324['#명칭],0)),0)</f>
        <v>0</v>
      </c>
      <c r="S9" s="86">
        <f>ItemEffectTable23[[#This Row],['#아이템 효력 합산]]+ItemEffectTable23[[#This Row],['#특수 효력]]/COUNTIF(ItemEffectTable23['#특수 효력],ItemEffectTable23[[#This Row],['#특수 효력]])</f>
        <v>30</v>
      </c>
      <c r="T9" s="86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101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327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618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388</v>
      </c>
      <c r="F12" s="42">
        <v>3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397</v>
      </c>
      <c r="F13" s="42">
        <v>50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896</v>
      </c>
      <c r="G14" s="42" t="s">
        <v>327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99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86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94">
        <v>8009</v>
      </c>
      <c r="E15" s="51" t="s">
        <v>206</v>
      </c>
      <c r="F15" s="42">
        <v>0</v>
      </c>
      <c r="G15" s="11" t="s">
        <v>392</v>
      </c>
      <c r="H15" s="42">
        <v>0.1</v>
      </c>
      <c r="I15" s="87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87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K15" s="100"/>
      <c r="L15" s="86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86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86">
        <f>INDEX(ItemEffectTable[CoolTime],MATCH(ItemEffectTable23[[#This Row],[Index]],ItemEffectTable[ApplyBuffId],0))</f>
        <v>0</v>
      </c>
      <c r="O15" s="86">
        <f>IF(ItemEffectTable23[[#This Row],['#발동율]]=-1,-1,(ItemEffectTable23[[#This Row],['#발동율]]+ItemEffectTable23[[#This Row],['#쿨타임]])/ItemEffectTable23[[#This Row],[Duration]])</f>
        <v>0</v>
      </c>
      <c r="P15" s="86" t="e">
        <f>ItemEffectTable23[[#This Row],['#효력 가치 판단]]/IF(ItemEffectTable23[[#This Row],['#발동량]]=-1,1,ItemEffectTable23[[#This Row],['#발동량]])</f>
        <v>#DIV/0!</v>
      </c>
      <c r="Q15" s="86" t="e">
        <f>SUMIF(ItemEffectTable23['#아이템 명칭],ItemEffectTable23[[#This Row],['#아이템 명칭]],ItemEffectTable23['#총 가치판단])</f>
        <v>#DIV/0!</v>
      </c>
      <c r="R15" s="86">
        <f>IFERROR(INDEX(ItemEffectTable2324['#가치판단],MATCH(ItemEffectTable23[[#This Row],['#아이템 명칭]],ItemEffectTable2324['#명칭],0)),0)</f>
        <v>0</v>
      </c>
      <c r="S15" s="86" t="e">
        <f>ItemEffectTable23[[#This Row],['#아이템 효력 합산]]+ItemEffectTable23[[#This Row],['#특수 효력]]/COUNTIF(ItemEffectTable23['#특수 효력],ItemEffectTable23[[#This Row],['#특수 효력]])</f>
        <v>#DIV/0!</v>
      </c>
      <c r="T15" s="86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101" t="e">
        <f>ItemEffectTable23[[#This Row],['#종합 효력]]/ItemEffectTable23[[#This Row],['#기준 효력]]</f>
        <v>#DIV/0!</v>
      </c>
    </row>
    <row r="16" spans="2:21" ht="18">
      <c r="B16" s="99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86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94">
        <v>8010</v>
      </c>
      <c r="E16" s="51" t="s">
        <v>1048</v>
      </c>
      <c r="F16" s="42">
        <v>1.1000000000000001</v>
      </c>
      <c r="G16" s="42" t="s">
        <v>213</v>
      </c>
      <c r="H16" s="42">
        <v>1</v>
      </c>
      <c r="I16" s="87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87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33</v>
      </c>
      <c r="K16" s="100"/>
      <c r="L16" s="86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86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86">
        <f>INDEX(ItemEffectTable[CoolTime],MATCH(ItemEffectTable23[[#This Row],[Index]],ItemEffectTable[ApplyBuffId],0))</f>
        <v>1</v>
      </c>
      <c r="O16" s="86">
        <f>IF(ItemEffectTable23[[#This Row],['#발동율]]=-1,-1,(ItemEffectTable23[[#This Row],['#발동율]]+ItemEffectTable23[[#This Row],['#쿨타임]])/ItemEffectTable23[[#This Row],[Duration]])</f>
        <v>1</v>
      </c>
      <c r="P16" s="86" t="e">
        <f>ItemEffectTable23[[#This Row],['#효력 가치 판단]]/IF(ItemEffectTable23[[#This Row],['#발동량]]=-1,1,ItemEffectTable23[[#This Row],['#발동량]])</f>
        <v>#N/A</v>
      </c>
      <c r="Q16" s="86" t="e">
        <f>SUMIF(ItemEffectTable23['#아이템 명칭],ItemEffectTable23[[#This Row],['#아이템 명칭]],ItemEffectTable23['#총 가치판단])</f>
        <v>#N/A</v>
      </c>
      <c r="R16" s="86">
        <f>IFERROR(INDEX(ItemEffectTable2324['#가치판단],MATCH(ItemEffectTable23[[#This Row],['#아이템 명칭]],ItemEffectTable2324['#명칭],0)),0)</f>
        <v>0</v>
      </c>
      <c r="S16" s="86" t="e">
        <f>ItemEffectTable23[[#This Row],['#아이템 효력 합산]]+ItemEffectTable23[[#This Row],['#특수 효력]]/COUNTIF(ItemEffectTable23['#특수 효력],ItemEffectTable23[[#This Row],['#특수 효력]])</f>
        <v>#N/A</v>
      </c>
      <c r="T16" s="86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101" t="e">
        <f>ItemEffectTable23[[#This Row],['#종합 효력]]/ItemEffectTable23[[#This Row],['#기준 효력]]</f>
        <v>#N/A</v>
      </c>
    </row>
    <row r="17" spans="2:21" ht="18">
      <c r="B17" s="99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86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94">
        <v>8010</v>
      </c>
      <c r="E17" s="51" t="s">
        <v>1049</v>
      </c>
      <c r="F17" s="42">
        <v>1.1000000000000001</v>
      </c>
      <c r="G17" s="42" t="s">
        <v>213</v>
      </c>
      <c r="H17" s="42">
        <v>1</v>
      </c>
      <c r="I17" s="87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87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44</v>
      </c>
      <c r="K17" s="100"/>
      <c r="L17" s="86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86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86">
        <f>INDEX(ItemEffectTable[CoolTime],MATCH(ItemEffectTable23[[#This Row],[Index]],ItemEffectTable[ApplyBuffId],0))</f>
        <v>1</v>
      </c>
      <c r="O17" s="86">
        <f>IF(ItemEffectTable23[[#This Row],['#발동율]]=-1,-1,(ItemEffectTable23[[#This Row],['#발동율]]+ItemEffectTable23[[#This Row],['#쿨타임]])/ItemEffectTable23[[#This Row],[Duration]])</f>
        <v>1</v>
      </c>
      <c r="P17" s="86" t="e">
        <f>ItemEffectTable23[[#This Row],['#효력 가치 판단]]/IF(ItemEffectTable23[[#This Row],['#발동량]]=-1,1,ItemEffectTable23[[#This Row],['#발동량]])</f>
        <v>#N/A</v>
      </c>
      <c r="Q17" s="86" t="e">
        <f>SUMIF(ItemEffectTable23['#아이템 명칭],ItemEffectTable23[[#This Row],['#아이템 명칭]],ItemEffectTable23['#총 가치판단])</f>
        <v>#N/A</v>
      </c>
      <c r="R17" s="86">
        <f>IFERROR(INDEX(ItemEffectTable2324['#가치판단],MATCH(ItemEffectTable23[[#This Row],['#아이템 명칭]],ItemEffectTable2324['#명칭],0)),0)</f>
        <v>0</v>
      </c>
      <c r="S17" s="86" t="e">
        <f>ItemEffectTable23[[#This Row],['#아이템 효력 합산]]+ItemEffectTable23[[#This Row],['#특수 효력]]/COUNTIF(ItemEffectTable23['#특수 효력],ItemEffectTable23[[#This Row],['#특수 효력]])</f>
        <v>#N/A</v>
      </c>
      <c r="T17" s="86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101" t="e">
        <f>ItemEffectTable23[[#This Row],['#종합 효력]]/ItemEffectTable23[[#This Row],['#기준 효력]]</f>
        <v>#N/A</v>
      </c>
    </row>
    <row r="18" spans="2:21" ht="18">
      <c r="B18" s="99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86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94">
        <v>8010</v>
      </c>
      <c r="E18" s="51" t="s">
        <v>1047</v>
      </c>
      <c r="F18" s="42">
        <v>2</v>
      </c>
      <c r="G18" s="42" t="s">
        <v>213</v>
      </c>
      <c r="H18" s="42">
        <v>1</v>
      </c>
      <c r="I18" s="87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87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K18" s="100"/>
      <c r="L18" s="86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86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86">
        <f>INDEX(ItemEffectTable[CoolTime],MATCH(ItemEffectTable23[[#This Row],[Index]],ItemEffectTable[ApplyBuffId],0))</f>
        <v>1</v>
      </c>
      <c r="O18" s="86">
        <f>IF(ItemEffectTable23[[#This Row],['#발동율]]=-1,-1,(ItemEffectTable23[[#This Row],['#발동율]]+ItemEffectTable23[[#This Row],['#쿨타임]])/ItemEffectTable23[[#This Row],[Duration]])</f>
        <v>1</v>
      </c>
      <c r="P18" s="86" t="e">
        <f>ItemEffectTable23[[#This Row],['#효력 가치 판단]]/IF(ItemEffectTable23[[#This Row],['#발동량]]=-1,1,ItemEffectTable23[[#This Row],['#발동량]])</f>
        <v>#N/A</v>
      </c>
      <c r="Q18" s="86" t="e">
        <f>SUMIF(ItemEffectTable23['#아이템 명칭],ItemEffectTable23[[#This Row],['#아이템 명칭]],ItemEffectTable23['#총 가치판단])</f>
        <v>#N/A</v>
      </c>
      <c r="R18" s="86">
        <f>IFERROR(INDEX(ItemEffectTable2324['#가치판단],MATCH(ItemEffectTable23[[#This Row],['#아이템 명칭]],ItemEffectTable2324['#명칭],0)),0)</f>
        <v>0</v>
      </c>
      <c r="S18" s="86" t="e">
        <f>ItemEffectTable23[[#This Row],['#아이템 효력 합산]]+ItemEffectTable23[[#This Row],['#특수 효력]]/COUNTIF(ItemEffectTable23['#특수 효력],ItemEffectTable23[[#This Row],['#특수 효력]])</f>
        <v>#N/A</v>
      </c>
      <c r="T18" s="86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101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372</v>
      </c>
      <c r="F19" s="42">
        <v>0.9</v>
      </c>
      <c r="G19" s="42" t="s">
        <v>213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372</v>
      </c>
      <c r="F20" s="42">
        <v>1.3</v>
      </c>
      <c r="G20" s="42" t="s">
        <v>213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397</v>
      </c>
      <c r="F22" s="42">
        <v>-100</v>
      </c>
      <c r="G22" s="42" t="s">
        <v>327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369</v>
      </c>
      <c r="F23" s="42">
        <v>0.45</v>
      </c>
      <c r="G23" s="42" t="s">
        <v>327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428</v>
      </c>
      <c r="F24">
        <v>0.8</v>
      </c>
      <c r="G24" s="11" t="s">
        <v>387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395</v>
      </c>
      <c r="F25">
        <v>2</v>
      </c>
      <c r="G25" s="11" t="s">
        <v>387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459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588</v>
      </c>
      <c r="F28">
        <v>0.8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334</v>
      </c>
      <c r="F32">
        <v>0.5</v>
      </c>
      <c r="G32" t="s">
        <v>213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213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818</v>
      </c>
      <c r="F34" s="16">
        <v>1</v>
      </c>
      <c r="G34" s="11" t="s">
        <v>392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437</v>
      </c>
      <c r="F35">
        <v>2.5</v>
      </c>
      <c r="G35" s="11" t="s">
        <v>459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2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708</v>
      </c>
      <c r="N2" s="68" t="s">
        <v>715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422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422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439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422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795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1008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795</v>
      </c>
      <c r="E10">
        <v>1</v>
      </c>
      <c r="F10" s="14" t="s">
        <v>882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95">
        <v>8008</v>
      </c>
      <c r="C11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331</v>
      </c>
      <c r="E11">
        <v>0.5</v>
      </c>
      <c r="F11" s="14"/>
      <c r="G11">
        <v>0.5</v>
      </c>
      <c r="H11" s="19"/>
      <c r="J11" s="19"/>
      <c r="K11" s="96"/>
      <c r="L11" s="86"/>
      <c r="M11" s="86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 s="97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95">
        <v>8009</v>
      </c>
      <c r="C12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795</v>
      </c>
      <c r="E12">
        <v>1</v>
      </c>
      <c r="F12" s="14"/>
      <c r="H12" s="19"/>
      <c r="J12" s="19"/>
      <c r="K12" s="96"/>
      <c r="L12" s="86"/>
      <c r="M12" s="86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s="9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1008</v>
      </c>
      <c r="F13" s="14"/>
      <c r="H13" s="19"/>
      <c r="J13" s="19"/>
      <c r="K13" s="96"/>
      <c r="L13" s="86"/>
      <c r="M13" s="86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s="9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343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343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330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439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88">
        <v>9106</v>
      </c>
      <c r="C18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439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88"/>
      <c r="L18" s="89"/>
      <c r="M18" s="8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90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422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439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315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336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331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430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341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343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31" zoomScale="94" zoomScaleNormal="94" zoomScaleSheetLayoutView="100" workbookViewId="0">
      <selection activeCell="O131" sqref="O131"/>
    </sheetView>
  </sheetViews>
  <sheetFormatPr baseColWidth="10" defaultColWidth="8.83203125" defaultRowHeight="17"/>
  <cols>
    <col min="2" max="2" width="22.83203125" customWidth="1"/>
    <col min="3" max="3" width="73.5" style="9" customWidth="1"/>
    <col min="4" max="4" width="64.1640625" customWidth="1"/>
    <col min="5" max="5" width="13.6640625" style="79" customWidth="1"/>
    <col min="6" max="6" width="12.33203125" style="79" bestFit="1" customWidth="1"/>
    <col min="7" max="7" width="16.6640625" style="79" customWidth="1"/>
    <col min="8" max="8" width="12.332031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 ht="18">
      <c r="B2" s="11" t="s">
        <v>531</v>
      </c>
      <c r="C2" s="9" t="s">
        <v>160</v>
      </c>
      <c r="D2" t="s">
        <v>159</v>
      </c>
      <c r="E2" s="80" t="s">
        <v>472</v>
      </c>
      <c r="F2" s="80" t="s">
        <v>473</v>
      </c>
      <c r="G2" s="80" t="s">
        <v>474</v>
      </c>
      <c r="H2" s="80" t="s">
        <v>475</v>
      </c>
      <c r="I2" s="36" t="s">
        <v>513</v>
      </c>
    </row>
    <row r="3" spans="2:10" ht="18">
      <c r="B3" t="str">
        <f>LocaleTable[[#This Row],['#인덱스제너레이터]]</f>
        <v>UI_Title_Button_Start</v>
      </c>
      <c r="C3" s="51" t="s">
        <v>506</v>
      </c>
      <c r="D3" s="51" t="s">
        <v>499</v>
      </c>
      <c r="E3" s="81" t="s">
        <v>477</v>
      </c>
      <c r="F3" s="81" t="s">
        <v>511</v>
      </c>
      <c r="G3" s="81" t="s">
        <v>503</v>
      </c>
      <c r="H3" s="81" t="s">
        <v>500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507</v>
      </c>
      <c r="D4" s="51" t="s">
        <v>501</v>
      </c>
      <c r="E4" s="81" t="s">
        <v>477</v>
      </c>
      <c r="F4" s="81" t="s">
        <v>511</v>
      </c>
      <c r="G4" s="81" t="s">
        <v>503</v>
      </c>
      <c r="H4" s="81" t="s">
        <v>502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508</v>
      </c>
      <c r="D5" s="51" t="s">
        <v>504</v>
      </c>
      <c r="E5" s="81" t="s">
        <v>477</v>
      </c>
      <c r="F5" s="81" t="s">
        <v>511</v>
      </c>
      <c r="G5" s="82" t="s">
        <v>503</v>
      </c>
      <c r="H5" s="81" t="s">
        <v>505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564</v>
      </c>
      <c r="D6" s="51" t="s">
        <v>559</v>
      </c>
      <c r="E6" s="81" t="s">
        <v>477</v>
      </c>
      <c r="F6" s="81" t="s">
        <v>511</v>
      </c>
      <c r="G6" s="82" t="s">
        <v>503</v>
      </c>
      <c r="H6" s="81" t="s">
        <v>559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655</v>
      </c>
      <c r="D7" s="51" t="s">
        <v>504</v>
      </c>
      <c r="E7" s="81" t="s">
        <v>477</v>
      </c>
      <c r="F7" s="82" t="s">
        <v>502</v>
      </c>
      <c r="G7" s="82" t="s">
        <v>511</v>
      </c>
      <c r="H7" s="81" t="s">
        <v>505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731</v>
      </c>
      <c r="D8" s="51" t="s">
        <v>730</v>
      </c>
      <c r="E8" s="81" t="s">
        <v>477</v>
      </c>
      <c r="F8" s="82" t="s">
        <v>502</v>
      </c>
      <c r="G8" s="82" t="s">
        <v>511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638</v>
      </c>
      <c r="D9" s="51" t="s">
        <v>656</v>
      </c>
      <c r="E9" s="81" t="s">
        <v>477</v>
      </c>
      <c r="F9" s="82" t="s">
        <v>502</v>
      </c>
      <c r="G9" s="82" t="s">
        <v>511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639</v>
      </c>
      <c r="D10" s="51" t="s">
        <v>727</v>
      </c>
      <c r="E10" s="81" t="s">
        <v>477</v>
      </c>
      <c r="F10" s="82" t="s">
        <v>502</v>
      </c>
      <c r="G10" s="82" t="s">
        <v>511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640</v>
      </c>
      <c r="D11" s="51" t="s">
        <v>657</v>
      </c>
      <c r="E11" s="81" t="s">
        <v>477</v>
      </c>
      <c r="F11" s="82" t="s">
        <v>502</v>
      </c>
      <c r="G11" s="82" t="s">
        <v>511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641</v>
      </c>
      <c r="D12" s="51" t="s">
        <v>658</v>
      </c>
      <c r="E12" s="81" t="s">
        <v>477</v>
      </c>
      <c r="F12" s="82" t="s">
        <v>502</v>
      </c>
      <c r="G12" s="82" t="s">
        <v>511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642</v>
      </c>
      <c r="D13" s="51" t="s">
        <v>659</v>
      </c>
      <c r="E13" s="81" t="s">
        <v>477</v>
      </c>
      <c r="F13" s="82" t="s">
        <v>502</v>
      </c>
      <c r="G13" s="82" t="s">
        <v>511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643</v>
      </c>
      <c r="D14" s="51" t="s">
        <v>728</v>
      </c>
      <c r="E14" s="81" t="s">
        <v>477</v>
      </c>
      <c r="F14" s="82" t="s">
        <v>502</v>
      </c>
      <c r="G14" s="82" t="s">
        <v>511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512</v>
      </c>
      <c r="D15" s="51" t="s">
        <v>471</v>
      </c>
      <c r="E15" s="81" t="s">
        <v>477</v>
      </c>
      <c r="F15" s="82" t="s">
        <v>502</v>
      </c>
      <c r="G15" s="82" t="s">
        <v>511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750</v>
      </c>
      <c r="D16" s="51" t="s">
        <v>756</v>
      </c>
      <c r="E16" s="81" t="s">
        <v>763</v>
      </c>
      <c r="F16" s="82" t="s">
        <v>502</v>
      </c>
      <c r="G16" s="82" t="s">
        <v>729</v>
      </c>
      <c r="H16" s="81" t="s">
        <v>756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751</v>
      </c>
      <c r="D17" s="51" t="s">
        <v>757</v>
      </c>
      <c r="E17" s="81" t="s">
        <v>763</v>
      </c>
      <c r="F17" s="82" t="s">
        <v>502</v>
      </c>
      <c r="G17" s="82" t="s">
        <v>729</v>
      </c>
      <c r="H17" s="81" t="s">
        <v>757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752</v>
      </c>
      <c r="D18" s="51" t="s">
        <v>758</v>
      </c>
      <c r="E18" s="81" t="s">
        <v>763</v>
      </c>
      <c r="F18" s="82" t="s">
        <v>502</v>
      </c>
      <c r="G18" s="82" t="s">
        <v>729</v>
      </c>
      <c r="H18" s="81" t="s">
        <v>758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753</v>
      </c>
      <c r="D19" s="51" t="s">
        <v>659</v>
      </c>
      <c r="E19" s="81" t="s">
        <v>763</v>
      </c>
      <c r="F19" s="82" t="s">
        <v>502</v>
      </c>
      <c r="G19" s="82" t="s">
        <v>729</v>
      </c>
      <c r="H19" s="81" t="s">
        <v>764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564</v>
      </c>
      <c r="D20" s="51" t="s">
        <v>559</v>
      </c>
      <c r="E20" s="81" t="s">
        <v>763</v>
      </c>
      <c r="F20" s="82" t="s">
        <v>502</v>
      </c>
      <c r="G20" s="82" t="s">
        <v>729</v>
      </c>
      <c r="H20" s="81" t="s">
        <v>559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754</v>
      </c>
      <c r="D21" s="51" t="s">
        <v>759</v>
      </c>
      <c r="E21" s="81" t="s">
        <v>763</v>
      </c>
      <c r="F21" s="82" t="s">
        <v>502</v>
      </c>
      <c r="G21" s="82" t="s">
        <v>729</v>
      </c>
      <c r="H21" s="81" t="s">
        <v>765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755</v>
      </c>
      <c r="D22" s="51" t="s">
        <v>760</v>
      </c>
      <c r="E22" s="81" t="s">
        <v>763</v>
      </c>
      <c r="F22" s="82" t="s">
        <v>502</v>
      </c>
      <c r="G22" s="82" t="s">
        <v>729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477</v>
      </c>
      <c r="F23" s="82" t="s">
        <v>502</v>
      </c>
      <c r="G23" s="82" t="s">
        <v>644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645</v>
      </c>
      <c r="D24" s="51" t="s">
        <v>725</v>
      </c>
      <c r="E24" s="81" t="s">
        <v>477</v>
      </c>
      <c r="F24" s="82" t="s">
        <v>502</v>
      </c>
      <c r="G24" s="82" t="s">
        <v>644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646</v>
      </c>
      <c r="D25" s="51" t="s">
        <v>726</v>
      </c>
      <c r="E25" s="81" t="s">
        <v>477</v>
      </c>
      <c r="F25" s="82" t="s">
        <v>502</v>
      </c>
      <c r="G25" s="82" t="s">
        <v>644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761</v>
      </c>
      <c r="D26" s="51" t="s">
        <v>762</v>
      </c>
      <c r="E26" s="81" t="s">
        <v>477</v>
      </c>
      <c r="F26" s="82" t="s">
        <v>502</v>
      </c>
      <c r="G26" s="82" t="s">
        <v>644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647</v>
      </c>
      <c r="D27" s="51" t="s">
        <v>660</v>
      </c>
      <c r="E27" s="81" t="s">
        <v>477</v>
      </c>
      <c r="F27" s="82" t="s">
        <v>502</v>
      </c>
      <c r="G27" s="82" t="s">
        <v>644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648</v>
      </c>
      <c r="D28" s="51" t="s">
        <v>661</v>
      </c>
      <c r="E28" s="81" t="s">
        <v>477</v>
      </c>
      <c r="F28" s="82" t="s">
        <v>502</v>
      </c>
      <c r="G28" s="82" t="s">
        <v>644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649</v>
      </c>
      <c r="D29" s="51" t="s">
        <v>662</v>
      </c>
      <c r="E29" s="81" t="s">
        <v>477</v>
      </c>
      <c r="F29" s="82" t="s">
        <v>502</v>
      </c>
      <c r="G29" s="82" t="s">
        <v>644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650</v>
      </c>
      <c r="D30" s="51" t="s">
        <v>663</v>
      </c>
      <c r="E30" s="81" t="s">
        <v>477</v>
      </c>
      <c r="F30" s="82" t="s">
        <v>502</v>
      </c>
      <c r="G30" s="82" t="s">
        <v>644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477</v>
      </c>
      <c r="F31" s="82" t="s">
        <v>502</v>
      </c>
      <c r="G31" s="82" t="s">
        <v>651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669</v>
      </c>
      <c r="D32" s="51" t="s">
        <v>670</v>
      </c>
      <c r="E32" s="81" t="s">
        <v>477</v>
      </c>
      <c r="F32" s="82" t="s">
        <v>502</v>
      </c>
      <c r="G32" s="82" t="s">
        <v>651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652</v>
      </c>
      <c r="D33" s="51" t="s">
        <v>664</v>
      </c>
      <c r="E33" s="81" t="s">
        <v>477</v>
      </c>
      <c r="F33" s="82" t="s">
        <v>502</v>
      </c>
      <c r="G33" s="82" t="s">
        <v>651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673</v>
      </c>
      <c r="D34" s="51" t="s">
        <v>672</v>
      </c>
      <c r="E34" s="81" t="s">
        <v>477</v>
      </c>
      <c r="F34" s="82" t="s">
        <v>502</v>
      </c>
      <c r="G34" s="82" t="s">
        <v>651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674</v>
      </c>
      <c r="D35" s="51" t="s">
        <v>671</v>
      </c>
      <c r="E35" s="81" t="s">
        <v>477</v>
      </c>
      <c r="F35" s="82" t="s">
        <v>502</v>
      </c>
      <c r="G35" s="82" t="s">
        <v>651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653</v>
      </c>
      <c r="D36" s="51" t="s">
        <v>665</v>
      </c>
      <c r="E36" s="81" t="s">
        <v>477</v>
      </c>
      <c r="F36" s="82" t="s">
        <v>502</v>
      </c>
      <c r="G36" s="82" t="s">
        <v>651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667</v>
      </c>
      <c r="D37" s="51" t="s">
        <v>668</v>
      </c>
      <c r="E37" s="81" t="s">
        <v>477</v>
      </c>
      <c r="F37" s="82" t="s">
        <v>502</v>
      </c>
      <c r="G37" s="82" t="s">
        <v>651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654</v>
      </c>
      <c r="D38" s="51" t="s">
        <v>666</v>
      </c>
      <c r="E38" s="81" t="s">
        <v>477</v>
      </c>
      <c r="F38" s="82" t="s">
        <v>502</v>
      </c>
      <c r="G38" s="82" t="s">
        <v>651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564</v>
      </c>
      <c r="D39" s="51" t="s">
        <v>559</v>
      </c>
      <c r="E39" s="81" t="s">
        <v>477</v>
      </c>
      <c r="F39" s="81" t="s">
        <v>559</v>
      </c>
      <c r="G39" s="82" t="s">
        <v>511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566</v>
      </c>
      <c r="D40" s="51" t="s">
        <v>565</v>
      </c>
      <c r="E40" s="81" t="s">
        <v>477</v>
      </c>
      <c r="F40" s="81" t="s">
        <v>559</v>
      </c>
      <c r="G40" s="82" t="s">
        <v>560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567</v>
      </c>
      <c r="D41" s="51" t="s">
        <v>570</v>
      </c>
      <c r="E41" s="81" t="s">
        <v>477</v>
      </c>
      <c r="F41" s="81" t="s">
        <v>559</v>
      </c>
      <c r="G41" s="82" t="s">
        <v>561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568</v>
      </c>
      <c r="D42" s="51" t="s">
        <v>569</v>
      </c>
      <c r="E42" s="81" t="s">
        <v>477</v>
      </c>
      <c r="F42" s="81" t="s">
        <v>559</v>
      </c>
      <c r="G42" s="82" t="s">
        <v>562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571</v>
      </c>
      <c r="D43" s="51" t="s">
        <v>563</v>
      </c>
      <c r="E43" s="81" t="s">
        <v>477</v>
      </c>
      <c r="F43" s="81" t="s">
        <v>559</v>
      </c>
      <c r="G43" s="82" t="s">
        <v>563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573</v>
      </c>
      <c r="D44" s="51" t="s">
        <v>574</v>
      </c>
      <c r="E44" s="81" t="s">
        <v>477</v>
      </c>
      <c r="F44" s="81" t="s">
        <v>559</v>
      </c>
      <c r="G44" s="82" t="s">
        <v>572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575</v>
      </c>
      <c r="D45" s="51" t="s">
        <v>502</v>
      </c>
      <c r="E45" s="81" t="s">
        <v>477</v>
      </c>
      <c r="F45" s="81" t="s">
        <v>559</v>
      </c>
      <c r="G45" s="82" t="s">
        <v>502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512</v>
      </c>
      <c r="D46" s="51" t="s">
        <v>586</v>
      </c>
      <c r="E46" s="81" t="s">
        <v>477</v>
      </c>
      <c r="F46" s="81" t="s">
        <v>509</v>
      </c>
      <c r="G46" s="81" t="s">
        <v>510</v>
      </c>
      <c r="H46" s="81" t="s">
        <v>586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492</v>
      </c>
      <c r="D47" s="51" t="s">
        <v>478</v>
      </c>
      <c r="E47" s="81" t="s">
        <v>477</v>
      </c>
      <c r="F47" s="81" t="s">
        <v>509</v>
      </c>
      <c r="G47" s="81" t="s">
        <v>510</v>
      </c>
      <c r="H47" s="81" t="s">
        <v>479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768</v>
      </c>
      <c r="D48" s="51" t="s">
        <v>780</v>
      </c>
      <c r="E48" s="81" t="s">
        <v>477</v>
      </c>
      <c r="F48" s="81" t="s">
        <v>509</v>
      </c>
      <c r="G48" s="81" t="s">
        <v>769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773</v>
      </c>
      <c r="D49" s="51" t="s">
        <v>779</v>
      </c>
      <c r="E49" s="81" t="s">
        <v>477</v>
      </c>
      <c r="F49" s="81" t="s">
        <v>509</v>
      </c>
      <c r="G49" s="81" t="s">
        <v>769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774</v>
      </c>
      <c r="D50" s="51" t="s">
        <v>770</v>
      </c>
      <c r="E50" s="81" t="s">
        <v>477</v>
      </c>
      <c r="F50" s="81" t="s">
        <v>509</v>
      </c>
      <c r="G50" s="81" t="s">
        <v>769</v>
      </c>
      <c r="H50" s="81" t="s">
        <v>770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775</v>
      </c>
      <c r="D51" s="51" t="s">
        <v>771</v>
      </c>
      <c r="E51" s="81" t="s">
        <v>477</v>
      </c>
      <c r="F51" s="81" t="s">
        <v>509</v>
      </c>
      <c r="G51" s="81" t="s">
        <v>769</v>
      </c>
      <c r="H51" s="81" t="s">
        <v>771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776</v>
      </c>
      <c r="D52" s="51" t="s">
        <v>778</v>
      </c>
      <c r="E52" s="81" t="s">
        <v>477</v>
      </c>
      <c r="F52" s="81" t="s">
        <v>509</v>
      </c>
      <c r="G52" s="81" t="s">
        <v>769</v>
      </c>
      <c r="H52" s="81" t="s">
        <v>772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777</v>
      </c>
      <c r="D53" s="51" t="s">
        <v>576</v>
      </c>
      <c r="E53" s="81" t="s">
        <v>477</v>
      </c>
      <c r="F53" s="81" t="s">
        <v>509</v>
      </c>
      <c r="G53" s="81" t="s">
        <v>769</v>
      </c>
      <c r="H53" s="81" t="s">
        <v>576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493</v>
      </c>
      <c r="D54" s="51" t="s">
        <v>481</v>
      </c>
      <c r="E54" s="83" t="s">
        <v>477</v>
      </c>
      <c r="F54" s="81" t="s">
        <v>509</v>
      </c>
      <c r="G54" s="83" t="s">
        <v>480</v>
      </c>
      <c r="H54" s="81" t="s">
        <v>482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494</v>
      </c>
      <c r="D55" s="51" t="s">
        <v>488</v>
      </c>
      <c r="E55" s="83" t="s">
        <v>477</v>
      </c>
      <c r="F55" s="81" t="s">
        <v>509</v>
      </c>
      <c r="G55" s="83" t="s">
        <v>480</v>
      </c>
      <c r="H55" s="81" t="s">
        <v>489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495</v>
      </c>
      <c r="D56" s="51" t="s">
        <v>485</v>
      </c>
      <c r="E56" s="81" t="s">
        <v>477</v>
      </c>
      <c r="F56" s="81" t="s">
        <v>509</v>
      </c>
      <c r="G56" s="81" t="s">
        <v>480</v>
      </c>
      <c r="H56" s="81" t="s">
        <v>486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497</v>
      </c>
      <c r="D57" s="51" t="s">
        <v>483</v>
      </c>
      <c r="E57" s="81" t="s">
        <v>477</v>
      </c>
      <c r="F57" s="81" t="s">
        <v>509</v>
      </c>
      <c r="G57" s="81" t="s">
        <v>480</v>
      </c>
      <c r="H57" s="81" t="s">
        <v>484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496</v>
      </c>
      <c r="D58" s="51" t="s">
        <v>490</v>
      </c>
      <c r="E58" s="81" t="s">
        <v>477</v>
      </c>
      <c r="F58" s="81" t="s">
        <v>509</v>
      </c>
      <c r="G58" s="81" t="s">
        <v>480</v>
      </c>
      <c r="H58" s="81" t="s">
        <v>491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498</v>
      </c>
      <c r="D59" s="51" t="s">
        <v>156</v>
      </c>
      <c r="E59" s="81" t="s">
        <v>477</v>
      </c>
      <c r="F59" s="81" t="s">
        <v>509</v>
      </c>
      <c r="G59" s="81" t="s">
        <v>480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585</v>
      </c>
      <c r="D60" s="51" t="s">
        <v>511</v>
      </c>
      <c r="E60" s="81" t="s">
        <v>477</v>
      </c>
      <c r="F60" s="81" t="s">
        <v>582</v>
      </c>
      <c r="G60" s="81" t="s">
        <v>511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584</v>
      </c>
      <c r="D61" s="51" t="s">
        <v>583</v>
      </c>
      <c r="E61" s="81" t="s">
        <v>477</v>
      </c>
      <c r="F61" s="81" t="s">
        <v>582</v>
      </c>
      <c r="G61" s="81" t="s">
        <v>583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792</v>
      </c>
      <c r="D62" s="51" t="s">
        <v>790</v>
      </c>
      <c r="E62" s="81" t="s">
        <v>477</v>
      </c>
      <c r="F62" s="81" t="s">
        <v>788</v>
      </c>
      <c r="G62" s="81" t="s">
        <v>790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791</v>
      </c>
      <c r="D63" s="51" t="s">
        <v>789</v>
      </c>
      <c r="E63" s="81" t="s">
        <v>477</v>
      </c>
      <c r="F63" s="81" t="s">
        <v>788</v>
      </c>
      <c r="G63" s="81" t="s">
        <v>789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781</v>
      </c>
      <c r="D64" s="51" t="s">
        <v>782</v>
      </c>
      <c r="E64" s="81" t="s">
        <v>477</v>
      </c>
      <c r="F64" s="81" t="s">
        <v>628</v>
      </c>
      <c r="G64" s="81" t="s">
        <v>629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630</v>
      </c>
      <c r="D65" s="51" t="s">
        <v>743</v>
      </c>
      <c r="E65" s="81" t="s">
        <v>477</v>
      </c>
      <c r="F65" s="81" t="s">
        <v>628</v>
      </c>
      <c r="G65" s="81" t="s">
        <v>629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631</v>
      </c>
      <c r="D66" s="51" t="s">
        <v>742</v>
      </c>
      <c r="E66" s="81" t="s">
        <v>477</v>
      </c>
      <c r="F66" s="81" t="s">
        <v>628</v>
      </c>
      <c r="G66" s="81" t="s">
        <v>629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632</v>
      </c>
      <c r="D67" s="51" t="s">
        <v>744</v>
      </c>
      <c r="E67" s="81" t="s">
        <v>477</v>
      </c>
      <c r="F67" s="81" t="s">
        <v>628</v>
      </c>
      <c r="G67" s="81" t="s">
        <v>629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745</v>
      </c>
      <c r="D68" s="51" t="s">
        <v>746</v>
      </c>
      <c r="E68" s="81" t="s">
        <v>477</v>
      </c>
      <c r="F68" s="81" t="s">
        <v>628</v>
      </c>
      <c r="G68" s="81" t="s">
        <v>629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633</v>
      </c>
      <c r="D69" s="51" t="s">
        <v>636</v>
      </c>
      <c r="E69" s="81" t="s">
        <v>477</v>
      </c>
      <c r="F69" s="81" t="s">
        <v>628</v>
      </c>
      <c r="G69" s="81" t="s">
        <v>629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634</v>
      </c>
      <c r="D70" s="51" t="s">
        <v>747</v>
      </c>
      <c r="E70" s="81" t="s">
        <v>477</v>
      </c>
      <c r="F70" s="81" t="s">
        <v>628</v>
      </c>
      <c r="G70" s="81" t="s">
        <v>629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635</v>
      </c>
      <c r="D71" s="51" t="s">
        <v>637</v>
      </c>
      <c r="E71" s="81" t="s">
        <v>477</v>
      </c>
      <c r="F71" s="81" t="s">
        <v>628</v>
      </c>
      <c r="G71" s="81" t="s">
        <v>629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749</v>
      </c>
      <c r="D72" s="51" t="s">
        <v>748</v>
      </c>
      <c r="E72" s="81" t="s">
        <v>477</v>
      </c>
      <c r="F72" s="81" t="s">
        <v>628</v>
      </c>
      <c r="G72" s="81" t="s">
        <v>629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785</v>
      </c>
      <c r="D73" s="51" t="s">
        <v>786</v>
      </c>
      <c r="E73" s="81" t="s">
        <v>477</v>
      </c>
      <c r="F73" s="81" t="s">
        <v>628</v>
      </c>
      <c r="G73" s="81" t="s">
        <v>629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783</v>
      </c>
      <c r="D74" s="51" t="s">
        <v>784</v>
      </c>
      <c r="E74" s="81" t="s">
        <v>477</v>
      </c>
      <c r="F74" s="81" t="s">
        <v>628</v>
      </c>
      <c r="G74" s="81" t="s">
        <v>629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766</v>
      </c>
      <c r="D75" s="51" t="s">
        <v>767</v>
      </c>
      <c r="E75" s="81" t="s">
        <v>477</v>
      </c>
      <c r="F75" s="81" t="s">
        <v>628</v>
      </c>
      <c r="G75" s="81" t="s">
        <v>629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578</v>
      </c>
      <c r="D76" s="51" t="s">
        <v>581</v>
      </c>
      <c r="E76" s="81" t="s">
        <v>477</v>
      </c>
      <c r="F76" s="81" t="s">
        <v>576</v>
      </c>
      <c r="G76" s="81" t="s">
        <v>577</v>
      </c>
      <c r="H76" s="81" t="s">
        <v>511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579</v>
      </c>
      <c r="D77" s="51" t="s">
        <v>580</v>
      </c>
      <c r="E77" s="81" t="s">
        <v>477</v>
      </c>
      <c r="F77" s="81" t="s">
        <v>576</v>
      </c>
      <c r="G77" s="81" t="s">
        <v>577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929</v>
      </c>
      <c r="D78" s="51" t="s">
        <v>930</v>
      </c>
      <c r="E78" s="81" t="s">
        <v>914</v>
      </c>
      <c r="F78" s="81" t="s">
        <v>915</v>
      </c>
      <c r="G78" s="81" t="s">
        <v>501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931</v>
      </c>
      <c r="D79" s="51" t="s">
        <v>932</v>
      </c>
      <c r="E79" s="83" t="s">
        <v>914</v>
      </c>
      <c r="F79" s="83" t="s">
        <v>915</v>
      </c>
      <c r="G79" s="83" t="s">
        <v>501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933</v>
      </c>
      <c r="D80" s="51" t="s">
        <v>934</v>
      </c>
      <c r="E80" s="83" t="s">
        <v>914</v>
      </c>
      <c r="F80" s="83" t="s">
        <v>915</v>
      </c>
      <c r="G80" s="83" t="s">
        <v>501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935</v>
      </c>
      <c r="D81" s="51" t="s">
        <v>936</v>
      </c>
      <c r="E81" s="83" t="s">
        <v>914</v>
      </c>
      <c r="F81" s="83" t="s">
        <v>915</v>
      </c>
      <c r="G81" s="83" t="s">
        <v>916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937</v>
      </c>
      <c r="D82" s="51" t="s">
        <v>938</v>
      </c>
      <c r="E82" s="83" t="s">
        <v>914</v>
      </c>
      <c r="F82" s="83" t="s">
        <v>915</v>
      </c>
      <c r="G82" s="83" t="s">
        <v>916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939</v>
      </c>
      <c r="D83" s="51" t="s">
        <v>940</v>
      </c>
      <c r="E83" s="83" t="s">
        <v>914</v>
      </c>
      <c r="F83" s="83" t="s">
        <v>915</v>
      </c>
      <c r="G83" s="83" t="s">
        <v>917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941</v>
      </c>
      <c r="D84" s="51" t="s">
        <v>942</v>
      </c>
      <c r="E84" s="83" t="s">
        <v>914</v>
      </c>
      <c r="F84" s="83" t="s">
        <v>915</v>
      </c>
      <c r="G84" s="83" t="s">
        <v>917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943</v>
      </c>
      <c r="D85" s="51" t="s">
        <v>944</v>
      </c>
      <c r="E85" s="83" t="s">
        <v>914</v>
      </c>
      <c r="F85" s="83" t="s">
        <v>915</v>
      </c>
      <c r="G85" s="83" t="s">
        <v>917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945</v>
      </c>
      <c r="D86" s="51" t="s">
        <v>946</v>
      </c>
      <c r="E86" s="83" t="s">
        <v>914</v>
      </c>
      <c r="F86" s="83" t="s">
        <v>915</v>
      </c>
      <c r="G86" s="83" t="s">
        <v>918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947</v>
      </c>
      <c r="D87" s="51" t="s">
        <v>948</v>
      </c>
      <c r="E87" s="83" t="s">
        <v>914</v>
      </c>
      <c r="F87" s="83" t="s">
        <v>915</v>
      </c>
      <c r="G87" s="83" t="s">
        <v>919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949</v>
      </c>
      <c r="D88" s="51" t="s">
        <v>950</v>
      </c>
      <c r="E88" s="83" t="s">
        <v>914</v>
      </c>
      <c r="F88" s="83" t="s">
        <v>915</v>
      </c>
      <c r="G88" s="83" t="s">
        <v>920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951</v>
      </c>
      <c r="D89" s="51" t="s">
        <v>952</v>
      </c>
      <c r="E89" s="83" t="s">
        <v>914</v>
      </c>
      <c r="F89" s="83" t="s">
        <v>915</v>
      </c>
      <c r="G89" s="83" t="s">
        <v>921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953</v>
      </c>
      <c r="D90" s="51" t="s">
        <v>954</v>
      </c>
      <c r="E90" s="83" t="s">
        <v>914</v>
      </c>
      <c r="F90" s="83" t="s">
        <v>915</v>
      </c>
      <c r="G90" s="83" t="s">
        <v>921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955</v>
      </c>
      <c r="D91" s="51" t="s">
        <v>956</v>
      </c>
      <c r="E91" s="83" t="s">
        <v>914</v>
      </c>
      <c r="F91" s="83" t="s">
        <v>915</v>
      </c>
      <c r="G91" s="83" t="s">
        <v>921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957</v>
      </c>
      <c r="D92" s="51" t="s">
        <v>958</v>
      </c>
      <c r="E92" s="83" t="s">
        <v>914</v>
      </c>
      <c r="F92" s="83" t="s">
        <v>501</v>
      </c>
      <c r="G92" s="83" t="s">
        <v>499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959</v>
      </c>
      <c r="D93" s="51" t="s">
        <v>960</v>
      </c>
      <c r="E93" s="83" t="s">
        <v>914</v>
      </c>
      <c r="F93" s="83" t="s">
        <v>501</v>
      </c>
      <c r="G93" s="83" t="s">
        <v>922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961</v>
      </c>
      <c r="D94" s="51" t="s">
        <v>962</v>
      </c>
      <c r="E94" s="83" t="s">
        <v>914</v>
      </c>
      <c r="F94" s="83" t="s">
        <v>501</v>
      </c>
      <c r="G94" s="83" t="s">
        <v>922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963</v>
      </c>
      <c r="D95" s="51" t="s">
        <v>964</v>
      </c>
      <c r="E95" s="83" t="s">
        <v>914</v>
      </c>
      <c r="F95" s="83" t="s">
        <v>501</v>
      </c>
      <c r="G95" s="83" t="s">
        <v>922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965</v>
      </c>
      <c r="D96" s="51" t="s">
        <v>966</v>
      </c>
      <c r="E96" s="83" t="s">
        <v>914</v>
      </c>
      <c r="F96" s="83" t="s">
        <v>501</v>
      </c>
      <c r="G96" s="83" t="s">
        <v>922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967</v>
      </c>
      <c r="D97" s="51" t="s">
        <v>968</v>
      </c>
      <c r="E97" s="83" t="s">
        <v>914</v>
      </c>
      <c r="F97" s="83" t="s">
        <v>501</v>
      </c>
      <c r="G97" s="83" t="s">
        <v>922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969</v>
      </c>
      <c r="D98" s="51" t="s">
        <v>970</v>
      </c>
      <c r="E98" s="83" t="s">
        <v>914</v>
      </c>
      <c r="F98" s="83" t="s">
        <v>501</v>
      </c>
      <c r="G98" s="83" t="s">
        <v>922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9" t="s">
        <v>971</v>
      </c>
      <c r="D99" s="51" t="s">
        <v>972</v>
      </c>
      <c r="E99" s="83" t="s">
        <v>914</v>
      </c>
      <c r="F99" s="83" t="s">
        <v>501</v>
      </c>
      <c r="G99" s="83" t="s">
        <v>922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973</v>
      </c>
      <c r="D100" s="51" t="s">
        <v>974</v>
      </c>
      <c r="E100" s="83" t="s">
        <v>914</v>
      </c>
      <c r="F100" s="83" t="s">
        <v>501</v>
      </c>
      <c r="G100" s="83" t="s">
        <v>922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975</v>
      </c>
      <c r="D101" s="51" t="s">
        <v>976</v>
      </c>
      <c r="E101" s="83" t="s">
        <v>914</v>
      </c>
      <c r="F101" s="83" t="s">
        <v>501</v>
      </c>
      <c r="G101" s="83" t="s">
        <v>922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9" t="s">
        <v>977</v>
      </c>
      <c r="D102" s="51" t="s">
        <v>978</v>
      </c>
      <c r="E102" s="83" t="s">
        <v>914</v>
      </c>
      <c r="F102" s="83" t="s">
        <v>501</v>
      </c>
      <c r="G102" s="83" t="s">
        <v>922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979</v>
      </c>
      <c r="D103" s="51" t="s">
        <v>980</v>
      </c>
      <c r="E103" s="83" t="s">
        <v>914</v>
      </c>
      <c r="F103" s="83" t="s">
        <v>501</v>
      </c>
      <c r="G103" s="83" t="s">
        <v>923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981</v>
      </c>
      <c r="D104" s="51" t="s">
        <v>982</v>
      </c>
      <c r="E104" s="83" t="s">
        <v>914</v>
      </c>
      <c r="F104" s="83" t="s">
        <v>501</v>
      </c>
      <c r="G104" s="83" t="s">
        <v>923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983</v>
      </c>
      <c r="D105" s="51" t="s">
        <v>984</v>
      </c>
      <c r="E105" s="83" t="s">
        <v>914</v>
      </c>
      <c r="F105" s="83" t="s">
        <v>501</v>
      </c>
      <c r="G105" s="83" t="s">
        <v>924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985</v>
      </c>
      <c r="D106" s="51" t="s">
        <v>986</v>
      </c>
      <c r="E106" s="83" t="s">
        <v>914</v>
      </c>
      <c r="F106" s="83" t="s">
        <v>501</v>
      </c>
      <c r="G106" s="83" t="s">
        <v>924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987</v>
      </c>
      <c r="D107" s="51" t="s">
        <v>988</v>
      </c>
      <c r="E107" s="83" t="s">
        <v>914</v>
      </c>
      <c r="F107" s="83" t="s">
        <v>501</v>
      </c>
      <c r="G107" s="83" t="s">
        <v>924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989</v>
      </c>
      <c r="D108" s="51" t="s">
        <v>990</v>
      </c>
      <c r="E108" s="83" t="s">
        <v>914</v>
      </c>
      <c r="F108" s="83" t="s">
        <v>501</v>
      </c>
      <c r="G108" s="83" t="s">
        <v>924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991</v>
      </c>
      <c r="D109" s="51" t="s">
        <v>992</v>
      </c>
      <c r="E109" s="83" t="s">
        <v>914</v>
      </c>
      <c r="F109" s="83" t="s">
        <v>501</v>
      </c>
      <c r="G109" s="83" t="s">
        <v>925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993</v>
      </c>
      <c r="D110" s="51" t="s">
        <v>994</v>
      </c>
      <c r="E110" s="83" t="s">
        <v>914</v>
      </c>
      <c r="F110" s="83" t="s">
        <v>501</v>
      </c>
      <c r="G110" s="83" t="s">
        <v>925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995</v>
      </c>
      <c r="D111" s="51" t="s">
        <v>996</v>
      </c>
      <c r="E111" s="83" t="s">
        <v>914</v>
      </c>
      <c r="F111" s="83" t="s">
        <v>501</v>
      </c>
      <c r="G111" s="83" t="s">
        <v>925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9" t="s">
        <v>997</v>
      </c>
      <c r="D112" s="51" t="s">
        <v>998</v>
      </c>
      <c r="E112" s="83" t="s">
        <v>914</v>
      </c>
      <c r="F112" s="83" t="s">
        <v>926</v>
      </c>
      <c r="G112" s="83" t="s">
        <v>927</v>
      </c>
      <c r="H112" s="83" t="s">
        <v>918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9" t="s">
        <v>999</v>
      </c>
      <c r="D113" s="51" t="s">
        <v>1000</v>
      </c>
      <c r="E113" s="83" t="s">
        <v>914</v>
      </c>
      <c r="F113" s="83" t="s">
        <v>926</v>
      </c>
      <c r="G113" s="83" t="s">
        <v>927</v>
      </c>
      <c r="H113" s="83" t="s">
        <v>919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9" t="s">
        <v>1001</v>
      </c>
      <c r="D114" s="51" t="s">
        <v>1002</v>
      </c>
      <c r="E114" s="83" t="s">
        <v>914</v>
      </c>
      <c r="F114" s="83" t="s">
        <v>926</v>
      </c>
      <c r="G114" s="83" t="s">
        <v>927</v>
      </c>
      <c r="H114" s="83" t="s">
        <v>928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207</v>
      </c>
      <c r="D115" s="51" t="s">
        <v>463</v>
      </c>
      <c r="E115" s="81" t="s">
        <v>471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852</v>
      </c>
      <c r="D116" s="51" t="s">
        <v>853</v>
      </c>
      <c r="E116" s="81" t="s">
        <v>471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464</v>
      </c>
      <c r="E117" s="81" t="s">
        <v>471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514</v>
      </c>
      <c r="E118" s="81" t="s">
        <v>471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469</v>
      </c>
      <c r="E119" s="81" t="s">
        <v>471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525</v>
      </c>
      <c r="E120" s="81" t="s">
        <v>471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Item_Name_2006</v>
      </c>
      <c r="C121" s="51" t="s">
        <v>1028</v>
      </c>
      <c r="D121" s="51" t="s">
        <v>1029</v>
      </c>
      <c r="E121" s="81" t="s">
        <v>471</v>
      </c>
      <c r="F121" s="81" t="s">
        <v>318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 ht="18">
      <c r="B122" t="str">
        <f>LocaleTable[[#This Row],['#인덱스제너레이터]]</f>
        <v>Item_Name_3000</v>
      </c>
      <c r="C122" s="51" t="s">
        <v>33</v>
      </c>
      <c r="D122" s="51" t="s">
        <v>465</v>
      </c>
      <c r="E122" s="81" t="s">
        <v>471</v>
      </c>
      <c r="F122" s="81" t="s">
        <v>318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 ht="18">
      <c r="B123" t="str">
        <f>LocaleTable[[#This Row],['#인덱스제너레이터]]</f>
        <v>Item_Name_3001</v>
      </c>
      <c r="C123" s="51" t="s">
        <v>862</v>
      </c>
      <c r="D123" s="51" t="s">
        <v>863</v>
      </c>
      <c r="E123" s="81" t="s">
        <v>471</v>
      </c>
      <c r="F123" s="81" t="s">
        <v>318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 ht="18">
      <c r="B124" t="str">
        <f>LocaleTable[[#This Row],['#인덱스제너레이터]]</f>
        <v>Item_Name_3002</v>
      </c>
      <c r="C124" s="51" t="s">
        <v>35</v>
      </c>
      <c r="D124" s="51" t="s">
        <v>470</v>
      </c>
      <c r="E124" s="81" t="s">
        <v>471</v>
      </c>
      <c r="F124" s="81" t="s">
        <v>318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 ht="18">
      <c r="B125" t="str">
        <f>LocaleTable[[#This Row],['#인덱스제너레이터]]</f>
        <v>Item_Name_3003</v>
      </c>
      <c r="C125" s="51" t="s">
        <v>204</v>
      </c>
      <c r="D125" s="51" t="s">
        <v>515</v>
      </c>
      <c r="E125" s="81" t="s">
        <v>471</v>
      </c>
      <c r="F125" s="81" t="s">
        <v>318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 ht="18">
      <c r="B126" t="str">
        <f>LocaleTable[[#This Row],['#인덱스제너레이터]]</f>
        <v>Item_Name_3004</v>
      </c>
      <c r="C126" s="51" t="s">
        <v>214</v>
      </c>
      <c r="D126" s="51" t="s">
        <v>516</v>
      </c>
      <c r="E126" s="81" t="s">
        <v>471</v>
      </c>
      <c r="F126" s="81" t="s">
        <v>318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 ht="18">
      <c r="B127" t="str">
        <f>LocaleTable[[#This Row],['#인덱스제너레이터]]</f>
        <v>Item_Name_3005</v>
      </c>
      <c r="C127" s="51" t="s">
        <v>101</v>
      </c>
      <c r="D127" s="51" t="s">
        <v>517</v>
      </c>
      <c r="E127" s="81" t="s">
        <v>471</v>
      </c>
      <c r="F127" s="81" t="s">
        <v>318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 ht="18">
      <c r="B128" t="str">
        <f>LocaleTable[[#This Row],['#인덱스제너레이터]]</f>
        <v>Item_Name_3006</v>
      </c>
      <c r="C128" s="52" t="s">
        <v>353</v>
      </c>
      <c r="D128" s="51" t="s">
        <v>518</v>
      </c>
      <c r="E128" s="81" t="s">
        <v>471</v>
      </c>
      <c r="F128" s="81" t="s">
        <v>318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 ht="18">
      <c r="B129" t="str">
        <f>LocaleTable[[#This Row],['#인덱스제너레이터]]</f>
        <v>Item_Name_3007</v>
      </c>
      <c r="C129" s="52" t="s">
        <v>880</v>
      </c>
      <c r="D129" s="51" t="s">
        <v>881</v>
      </c>
      <c r="E129" s="81" t="s">
        <v>471</v>
      </c>
      <c r="F129" s="81" t="s">
        <v>318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 ht="18">
      <c r="B130" t="str">
        <f>LocaleTable[[#This Row],['#인덱스제너레이터]]</f>
        <v>Item_Name_3008</v>
      </c>
      <c r="C130" s="51" t="s">
        <v>96</v>
      </c>
      <c r="D130" s="51" t="s">
        <v>519</v>
      </c>
      <c r="E130" s="81" t="s">
        <v>471</v>
      </c>
      <c r="F130" s="81" t="s">
        <v>318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 ht="18">
      <c r="B131" t="str">
        <f>LocaleTable[[#This Row],['#인덱스제너레이터]]</f>
        <v>Item_Name_3009</v>
      </c>
      <c r="C131" s="51" t="s">
        <v>1038</v>
      </c>
      <c r="D131" s="51" t="s">
        <v>1039</v>
      </c>
      <c r="E131" s="81" t="s">
        <v>471</v>
      </c>
      <c r="F131" s="81" t="s">
        <v>318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 ht="18">
      <c r="B132" t="str">
        <f>LocaleTable[[#This Row],['#인덱스제너레이터]]</f>
        <v>Item_Name_3010</v>
      </c>
      <c r="C132" s="51" t="s">
        <v>1055</v>
      </c>
      <c r="D132" s="51" t="s">
        <v>1056</v>
      </c>
      <c r="E132" s="81" t="s">
        <v>471</v>
      </c>
      <c r="F132" s="81" t="s">
        <v>318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 ht="18">
      <c r="B133" t="str">
        <f>LocaleTable[[#This Row],['#인덱스제너레이터]]</f>
        <v>Item_Name_4001</v>
      </c>
      <c r="C133" s="51" t="s">
        <v>93</v>
      </c>
      <c r="D133" s="51" t="s">
        <v>466</v>
      </c>
      <c r="E133" s="81" t="s">
        <v>471</v>
      </c>
      <c r="F133" s="81" t="s">
        <v>318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 ht="18">
      <c r="B134" t="str">
        <f>LocaleTable[[#This Row],['#인덱스제너레이터]]</f>
        <v>Item_Name_4002</v>
      </c>
      <c r="C134" s="51" t="s">
        <v>867</v>
      </c>
      <c r="D134" s="51" t="s">
        <v>864</v>
      </c>
      <c r="E134" s="81" t="s">
        <v>471</v>
      </c>
      <c r="F134" s="81" t="s">
        <v>318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 ht="18">
      <c r="B135" t="str">
        <f>LocaleTable[[#This Row],['#인덱스제너레이터]]</f>
        <v>Item_Name_4003</v>
      </c>
      <c r="C135" s="51" t="s">
        <v>205</v>
      </c>
      <c r="D135" s="51" t="s">
        <v>868</v>
      </c>
      <c r="E135" s="81" t="s">
        <v>471</v>
      </c>
      <c r="F135" s="81" t="s">
        <v>318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 ht="18">
      <c r="B136" t="str">
        <f>LocaleTable[[#This Row],['#인덱스제너레이터]]</f>
        <v>Item_Name_4004</v>
      </c>
      <c r="C136" s="51" t="s">
        <v>358</v>
      </c>
      <c r="D136" s="51" t="s">
        <v>520</v>
      </c>
      <c r="E136" s="81" t="s">
        <v>471</v>
      </c>
      <c r="F136" s="81" t="s">
        <v>318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 ht="18">
      <c r="B137" t="str">
        <f>LocaleTable[[#This Row],['#인덱스제너레이터]]</f>
        <v>Item_Name_4005</v>
      </c>
      <c r="C137" s="51" t="s">
        <v>427</v>
      </c>
      <c r="D137" s="51" t="s">
        <v>521</v>
      </c>
      <c r="E137" s="81" t="s">
        <v>471</v>
      </c>
      <c r="F137" s="81" t="s">
        <v>318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 ht="18">
      <c r="B138" t="str">
        <f>LocaleTable[[#This Row],['#인덱스제너레이터]]</f>
        <v>Item_Name_4006</v>
      </c>
      <c r="C138" s="51" t="s">
        <v>429</v>
      </c>
      <c r="D138" s="51" t="s">
        <v>732</v>
      </c>
      <c r="E138" s="81" t="s">
        <v>471</v>
      </c>
      <c r="F138" s="81" t="s">
        <v>318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 ht="18">
      <c r="B139" t="str">
        <f>LocaleTable[[#This Row],['#인덱스제너레이터]]</f>
        <v>Item_Name_4007</v>
      </c>
      <c r="C139" s="52" t="s">
        <v>874</v>
      </c>
      <c r="D139" s="51" t="s">
        <v>873</v>
      </c>
      <c r="E139" s="81" t="s">
        <v>471</v>
      </c>
      <c r="F139" s="81" t="s">
        <v>318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 ht="18">
      <c r="B140" t="str">
        <f>LocaleTable[[#This Row],['#인덱스제너레이터]]</f>
        <v>Item_Name_10000</v>
      </c>
      <c r="C140" s="51" t="s">
        <v>350</v>
      </c>
      <c r="D140" s="51" t="s">
        <v>522</v>
      </c>
      <c r="E140" s="81" t="s">
        <v>471</v>
      </c>
      <c r="F140" s="81" t="s">
        <v>318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 ht="18">
      <c r="B141" t="str">
        <f>LocaleTable[[#This Row],['#인덱스제너레이터]]</f>
        <v>Item_Name_10001</v>
      </c>
      <c r="C141" s="52" t="s">
        <v>362</v>
      </c>
      <c r="D141" s="51" t="s">
        <v>523</v>
      </c>
      <c r="E141" s="81" t="s">
        <v>471</v>
      </c>
      <c r="F141" s="81" t="s">
        <v>318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 ht="18">
      <c r="B142" t="str">
        <f>LocaleTable[[#This Row],['#인덱스제너레이터]]</f>
        <v>Item_Name_10002</v>
      </c>
      <c r="C142" s="52" t="s">
        <v>462</v>
      </c>
      <c r="D142" s="51" t="s">
        <v>467</v>
      </c>
      <c r="E142" s="81" t="s">
        <v>471</v>
      </c>
      <c r="F142" s="81" t="s">
        <v>318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 ht="18">
      <c r="B143" t="str">
        <f>LocaleTable[[#This Row],['#인덱스제너레이터]]</f>
        <v>Item_Name_10003</v>
      </c>
      <c r="C143" s="52" t="s">
        <v>351</v>
      </c>
      <c r="D143" s="51" t="s">
        <v>524</v>
      </c>
      <c r="E143" s="81" t="s">
        <v>471</v>
      </c>
      <c r="F143" s="81" t="s">
        <v>318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 ht="18">
      <c r="B144" t="str">
        <f>LocaleTable[[#This Row],['#인덱스제너레이터]]</f>
        <v>Item_Name_10004</v>
      </c>
      <c r="C144" s="51" t="s">
        <v>431</v>
      </c>
      <c r="D144" s="51" t="s">
        <v>468</v>
      </c>
      <c r="E144" s="81" t="s">
        <v>471</v>
      </c>
      <c r="F144" s="81" t="s">
        <v>318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 ht="18">
      <c r="B145" t="str">
        <f>LocaleTable[[#This Row],['#인덱스제너레이터]]</f>
        <v>Item_Name_10005</v>
      </c>
      <c r="C145" s="51" t="s">
        <v>435</v>
      </c>
      <c r="D145" s="51" t="s">
        <v>733</v>
      </c>
      <c r="E145" s="81" t="s">
        <v>471</v>
      </c>
      <c r="F145" s="81" t="s">
        <v>318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 ht="18">
      <c r="B146" t="str">
        <f>LocaleTable[[#This Row],['#인덱스제너레이터]]</f>
        <v>Item_Desc_2000</v>
      </c>
      <c r="C146" s="51" t="s">
        <v>389</v>
      </c>
      <c r="D146" s="51" t="s">
        <v>527</v>
      </c>
      <c r="E146" s="81" t="s">
        <v>471</v>
      </c>
      <c r="F146" s="81" t="s">
        <v>476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6">
      <c r="B147" t="str">
        <f>LocaleTable[[#This Row],['#인덱스제너레이터]]</f>
        <v>Item_Desc_2001</v>
      </c>
      <c r="C147" s="52" t="s">
        <v>869</v>
      </c>
      <c r="D147" s="51" t="s">
        <v>870</v>
      </c>
      <c r="E147" s="81" t="s">
        <v>471</v>
      </c>
      <c r="F147" s="81" t="s">
        <v>476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 ht="18">
      <c r="B148" t="str">
        <f>LocaleTable[[#This Row],['#인덱스제너레이터]]</f>
        <v>Item_Desc_2002</v>
      </c>
      <c r="C148" s="52" t="s">
        <v>224</v>
      </c>
      <c r="D148" s="51" t="s">
        <v>528</v>
      </c>
      <c r="E148" s="81" t="s">
        <v>471</v>
      </c>
      <c r="F148" s="81" t="s">
        <v>476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6">
      <c r="B149" t="str">
        <f>LocaleTable[[#This Row],['#인덱스제너레이터]]</f>
        <v>Item_Desc_2003</v>
      </c>
      <c r="C149" s="51" t="s">
        <v>225</v>
      </c>
      <c r="D149" s="51" t="s">
        <v>675</v>
      </c>
      <c r="E149" s="81" t="s">
        <v>471</v>
      </c>
      <c r="F149" s="81" t="s">
        <v>476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6">
      <c r="B150" t="str">
        <f>LocaleTable[[#This Row],['#인덱스제너레이터]]</f>
        <v>Item_Desc_2004</v>
      </c>
      <c r="C150" s="77" t="s">
        <v>364</v>
      </c>
      <c r="D150" s="51" t="s">
        <v>529</v>
      </c>
      <c r="E150" s="81" t="s">
        <v>471</v>
      </c>
      <c r="F150" s="81" t="s">
        <v>476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6">
      <c r="B151" t="str">
        <f>LocaleTable[[#This Row],['#인덱스제너레이터]]</f>
        <v>Item_Desc_2005</v>
      </c>
      <c r="C151" s="51" t="s">
        <v>229</v>
      </c>
      <c r="D151" s="51" t="s">
        <v>676</v>
      </c>
      <c r="E151" s="81" t="s">
        <v>471</v>
      </c>
      <c r="F151" s="81" t="s">
        <v>476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 ht="18">
      <c r="B152" t="str">
        <f>LocaleTable[[#This Row],['#인덱스제너레이터]]</f>
        <v>Item_Desc_2006</v>
      </c>
      <c r="C152" s="51" t="s">
        <v>1030</v>
      </c>
      <c r="D152" s="51" t="s">
        <v>1031</v>
      </c>
      <c r="E152" s="81" t="s">
        <v>471</v>
      </c>
      <c r="F152" s="81" t="s">
        <v>476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 ht="18">
      <c r="B153" t="str">
        <f>LocaleTable[[#This Row],['#인덱스제너레이터]]</f>
        <v>Item_Desc_3000</v>
      </c>
      <c r="C153" s="77" t="s">
        <v>530</v>
      </c>
      <c r="D153" s="51" t="s">
        <v>677</v>
      </c>
      <c r="E153" s="81" t="s">
        <v>471</v>
      </c>
      <c r="F153" s="81" t="s">
        <v>476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 ht="18">
      <c r="B154" t="str">
        <f>LocaleTable[[#This Row],['#인덱스제너레이터]]</f>
        <v>Item_Desc_3001</v>
      </c>
      <c r="C154" s="78" t="s">
        <v>871</v>
      </c>
      <c r="D154" s="77" t="s">
        <v>872</v>
      </c>
      <c r="E154" s="81" t="s">
        <v>471</v>
      </c>
      <c r="F154" s="81" t="s">
        <v>476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 ht="18">
      <c r="B155" t="str">
        <f>LocaleTable[[#This Row],['#인덱스제너레이터]]</f>
        <v>Item_Desc_3002</v>
      </c>
      <c r="C155" s="52" t="s">
        <v>365</v>
      </c>
      <c r="D155" s="51" t="s">
        <v>796</v>
      </c>
      <c r="E155" s="81" t="s">
        <v>471</v>
      </c>
      <c r="F155" s="81" t="s">
        <v>476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6">
      <c r="B156" t="str">
        <f>LocaleTable[[#This Row],['#인덱스제너레이터]]</f>
        <v>Item_Desc_3003</v>
      </c>
      <c r="C156" s="52" t="s">
        <v>797</v>
      </c>
      <c r="D156" s="51" t="s">
        <v>678</v>
      </c>
      <c r="E156" s="81" t="s">
        <v>471</v>
      </c>
      <c r="F156" s="81" t="s">
        <v>476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 ht="18">
      <c r="B157" t="str">
        <f>LocaleTable[[#This Row],['#인덱스제너레이터]]</f>
        <v>Item_Desc_3004</v>
      </c>
      <c r="C157" s="52" t="s">
        <v>227</v>
      </c>
      <c r="D157" s="51" t="s">
        <v>682</v>
      </c>
      <c r="E157" s="81" t="s">
        <v>471</v>
      </c>
      <c r="F157" s="81" t="s">
        <v>476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 ht="36">
      <c r="B158" t="str">
        <f>LocaleTable[[#This Row],['#인덱스제너레이터]]</f>
        <v>Item_Desc_3005</v>
      </c>
      <c r="C158" s="52" t="s">
        <v>526</v>
      </c>
      <c r="D158" s="51" t="s">
        <v>798</v>
      </c>
      <c r="E158" s="81" t="s">
        <v>471</v>
      </c>
      <c r="F158" s="81" t="s">
        <v>476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 ht="18">
      <c r="B159" t="str">
        <f>LocaleTable[[#This Row],['#인덱스제너레이터]]</f>
        <v>Item_Desc_3006</v>
      </c>
      <c r="C159" s="52" t="s">
        <v>354</v>
      </c>
      <c r="D159" s="51" t="s">
        <v>799</v>
      </c>
      <c r="E159" s="81" t="s">
        <v>471</v>
      </c>
      <c r="F159" s="81" t="s">
        <v>476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6">
      <c r="B160" t="str">
        <f>LocaleTable[[#This Row],['#인덱스제너레이터]]</f>
        <v>Item_Desc_3007</v>
      </c>
      <c r="C160" s="52" t="s">
        <v>894</v>
      </c>
      <c r="D160" s="51" t="s">
        <v>895</v>
      </c>
      <c r="E160" s="81" t="s">
        <v>471</v>
      </c>
      <c r="F160" s="81" t="s">
        <v>476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6">
      <c r="B161" t="str">
        <f>LocaleTable[[#This Row],['#인덱스제너레이터]]</f>
        <v>Item_Desc_3008</v>
      </c>
      <c r="C161" s="51" t="s">
        <v>228</v>
      </c>
      <c r="D161" s="51" t="s">
        <v>800</v>
      </c>
      <c r="E161" s="81" t="s">
        <v>471</v>
      </c>
      <c r="F161" s="81" t="s">
        <v>476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 ht="18">
      <c r="B162" t="str">
        <f>LocaleTable[[#This Row],['#인덱스제너레이터]]</f>
        <v>Item_Desc_3009</v>
      </c>
      <c r="C162" s="51" t="s">
        <v>1040</v>
      </c>
      <c r="D162" s="51" t="s">
        <v>1041</v>
      </c>
      <c r="E162" s="81" t="s">
        <v>471</v>
      </c>
      <c r="F162" s="81" t="s">
        <v>476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 ht="18">
      <c r="B163" t="str">
        <f>LocaleTable[[#This Row],['#인덱스제너레이터]]</f>
        <v>Item_Desc_3010</v>
      </c>
      <c r="C163" s="51" t="s">
        <v>1053</v>
      </c>
      <c r="D163" s="51" t="s">
        <v>1054</v>
      </c>
      <c r="E163" s="81" t="s">
        <v>471</v>
      </c>
      <c r="F163" s="81" t="s">
        <v>476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6">
      <c r="B164" t="str">
        <f>LocaleTable[[#This Row],['#인덱스제너레이터]]</f>
        <v>Item_Desc_4001</v>
      </c>
      <c r="C164" s="51" t="s">
        <v>368</v>
      </c>
      <c r="D164" s="51" t="s">
        <v>801</v>
      </c>
      <c r="E164" s="81" t="s">
        <v>471</v>
      </c>
      <c r="F164" s="81" t="s">
        <v>476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6">
      <c r="B165" t="str">
        <f>LocaleTable[[#This Row],['#인덱스제너레이터]]</f>
        <v>Item_Desc_4002</v>
      </c>
      <c r="C165" s="52" t="s">
        <v>865</v>
      </c>
      <c r="D165" s="51" t="s">
        <v>866</v>
      </c>
      <c r="E165" s="81" t="s">
        <v>471</v>
      </c>
      <c r="F165" s="81" t="s">
        <v>476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36">
      <c r="B166" t="str">
        <f>LocaleTable[[#This Row],['#인덱스제너레이터]]</f>
        <v>Item_Desc_4003</v>
      </c>
      <c r="C166" s="51" t="s">
        <v>226</v>
      </c>
      <c r="D166" s="51" t="s">
        <v>533</v>
      </c>
      <c r="E166" s="81" t="s">
        <v>471</v>
      </c>
      <c r="F166" s="81" t="s">
        <v>476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6">
      <c r="B167" t="str">
        <f>LocaleTable[[#This Row],['#인덱스제너레이터]]</f>
        <v>Item_Desc_4004</v>
      </c>
      <c r="C167" s="51" t="s">
        <v>230</v>
      </c>
      <c r="D167" s="51" t="s">
        <v>532</v>
      </c>
      <c r="E167" s="81" t="s">
        <v>471</v>
      </c>
      <c r="F167" s="81" t="s">
        <v>476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 ht="18">
      <c r="B168" t="str">
        <f>LocaleTable[[#This Row],['#인덱스제너레이터]]</f>
        <v>Item_Desc_4005</v>
      </c>
      <c r="C168" s="51" t="s">
        <v>740</v>
      </c>
      <c r="D168" s="51" t="s">
        <v>679</v>
      </c>
      <c r="E168" s="81" t="s">
        <v>471</v>
      </c>
      <c r="F168" s="81" t="s">
        <v>476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 ht="18">
      <c r="B169" t="str">
        <f>LocaleTable[[#This Row],['#인덱스제너레이터]]</f>
        <v>Item_Desc_4006</v>
      </c>
      <c r="C169" s="51" t="s">
        <v>802</v>
      </c>
      <c r="D169" s="51" t="s">
        <v>534</v>
      </c>
      <c r="E169" s="81" t="s">
        <v>471</v>
      </c>
      <c r="F169" s="81" t="s">
        <v>476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6">
      <c r="B170" t="str">
        <f>LocaleTable[[#This Row],['#인덱스제너레이터]]</f>
        <v>Item_Desc_4007</v>
      </c>
      <c r="C170" s="78" t="s">
        <v>898</v>
      </c>
      <c r="D170" s="77" t="s">
        <v>899</v>
      </c>
      <c r="E170" s="81" t="s">
        <v>471</v>
      </c>
      <c r="F170" s="81" t="s">
        <v>476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6">
      <c r="B171" t="str">
        <f>LocaleTable[[#This Row],['#인덱스제너레이터]]</f>
        <v>Item_Desc_10000</v>
      </c>
      <c r="C171" s="51" t="s">
        <v>804</v>
      </c>
      <c r="D171" s="51" t="s">
        <v>680</v>
      </c>
      <c r="E171" s="81" t="s">
        <v>471</v>
      </c>
      <c r="F171" s="81" t="s">
        <v>476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 ht="18">
      <c r="B172" t="str">
        <f>LocaleTable[[#This Row],['#인덱스제너레이터]]</f>
        <v>Item_Desc_10001</v>
      </c>
      <c r="C172" s="52" t="s">
        <v>366</v>
      </c>
      <c r="D172" s="51" t="s">
        <v>535</v>
      </c>
      <c r="E172" s="81" t="s">
        <v>471</v>
      </c>
      <c r="F172" s="81" t="s">
        <v>476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6">
      <c r="B173" t="str">
        <f>LocaleTable[[#This Row],['#인덱스제너레이터]]</f>
        <v>Item_Desc_10002</v>
      </c>
      <c r="C173" s="52" t="s">
        <v>803</v>
      </c>
      <c r="D173" s="77" t="s">
        <v>681</v>
      </c>
      <c r="E173" s="81" t="s">
        <v>471</v>
      </c>
      <c r="F173" s="81" t="s">
        <v>476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6">
      <c r="B174" t="str">
        <f>LocaleTable[[#This Row],['#인덱스제너레이터]]</f>
        <v>Item_Desc_10003</v>
      </c>
      <c r="C174" s="52" t="s">
        <v>363</v>
      </c>
      <c r="D174" s="51" t="s">
        <v>738</v>
      </c>
      <c r="E174" s="81" t="s">
        <v>471</v>
      </c>
      <c r="F174" s="81" t="s">
        <v>476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 ht="18">
      <c r="B175" t="str">
        <f>LocaleTable[[#This Row],['#인덱스제너레이터]]</f>
        <v>Item_Desc_10004</v>
      </c>
      <c r="C175" s="51" t="s">
        <v>432</v>
      </c>
      <c r="D175" s="51" t="s">
        <v>541</v>
      </c>
      <c r="E175" s="81" t="s">
        <v>471</v>
      </c>
      <c r="F175" s="81" t="s">
        <v>476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 ht="18">
      <c r="B176" t="str">
        <f>LocaleTable[[#This Row],['#인덱스제너레이터]]</f>
        <v>Item_Desc_10005</v>
      </c>
      <c r="C176" s="51" t="s">
        <v>436</v>
      </c>
      <c r="D176" s="51" t="s">
        <v>542</v>
      </c>
      <c r="E176" s="81" t="s">
        <v>471</v>
      </c>
      <c r="F176" s="81" t="s">
        <v>476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 ht="18">
      <c r="B177" t="str">
        <f>LocaleTable[[#This Row],['#인덱스제너레이터]]</f>
        <v>Item_PlusDesc_2000</v>
      </c>
      <c r="C177" s="52" t="s">
        <v>393</v>
      </c>
      <c r="D177" s="51" t="s">
        <v>543</v>
      </c>
      <c r="E177" s="81" t="s">
        <v>471</v>
      </c>
      <c r="F177" s="81" t="s">
        <v>345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 ht="18">
      <c r="B178" t="str">
        <f>LocaleTable[[#This Row],['#인덱스제너레이터]]</f>
        <v>Item_PlusDesc_2001</v>
      </c>
      <c r="C178" s="51" t="s">
        <v>716</v>
      </c>
      <c r="D178" s="51" t="s">
        <v>723</v>
      </c>
      <c r="E178" s="81" t="s">
        <v>471</v>
      </c>
      <c r="F178" s="81" t="s">
        <v>345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 ht="18">
      <c r="B179" t="str">
        <f>LocaleTable[[#This Row],['#인덱스제너레이터]]</f>
        <v>Item_PlusDesc_2002</v>
      </c>
      <c r="C179" s="51" t="s">
        <v>717</v>
      </c>
      <c r="D179" s="51" t="s">
        <v>722</v>
      </c>
      <c r="E179" s="81" t="s">
        <v>471</v>
      </c>
      <c r="F179" s="81" t="s">
        <v>345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 ht="18">
      <c r="B180" t="str">
        <f>LocaleTable[[#This Row],['#인덱스제너레이터]]</f>
        <v>Item_PlusDesc_2003</v>
      </c>
      <c r="C180" s="51" t="s">
        <v>1020</v>
      </c>
      <c r="D180" s="51" t="s">
        <v>1021</v>
      </c>
      <c r="E180" s="81" t="s">
        <v>471</v>
      </c>
      <c r="F180" s="81" t="s">
        <v>345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 ht="18">
      <c r="B181" t="str">
        <f>LocaleTable[[#This Row],['#인덱스제너레이터]]</f>
        <v>Item_PlusDesc_2004</v>
      </c>
      <c r="C181" s="51" t="s">
        <v>718</v>
      </c>
      <c r="D181" s="51" t="s">
        <v>721</v>
      </c>
      <c r="E181" s="81" t="s">
        <v>471</v>
      </c>
      <c r="F181" s="81" t="s">
        <v>345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 ht="18">
      <c r="B182" t="str">
        <f>LocaleTable[[#This Row],['#인덱스제너레이터]]</f>
        <v>Item_PlusDesc_2005</v>
      </c>
      <c r="C182" s="71" t="s">
        <v>734</v>
      </c>
      <c r="D182" s="51" t="s">
        <v>875</v>
      </c>
      <c r="E182" s="81" t="s">
        <v>471</v>
      </c>
      <c r="F182" s="81" t="s">
        <v>345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 ht="18">
      <c r="B183" t="str">
        <f>LocaleTable[[#This Row],['#인덱스제너레이터]]</f>
        <v>Item_PlusDesc_2006</v>
      </c>
      <c r="C183" s="52" t="s">
        <v>1032</v>
      </c>
      <c r="D183" s="51" t="s">
        <v>1033</v>
      </c>
      <c r="E183" s="81" t="s">
        <v>471</v>
      </c>
      <c r="F183" s="81" t="s">
        <v>345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 ht="18">
      <c r="B184" t="str">
        <f>LocaleTable[[#This Row],['#인덱스제너레이터]]</f>
        <v>Item_PlusDesc_3000</v>
      </c>
      <c r="C184" s="77" t="s">
        <v>1023</v>
      </c>
      <c r="D184" s="51" t="s">
        <v>1024</v>
      </c>
      <c r="E184" s="81" t="s">
        <v>471</v>
      </c>
      <c r="F184" s="81" t="s">
        <v>345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 ht="18">
      <c r="B185" t="str">
        <f>LocaleTable[[#This Row],['#인덱스제너레이터]]</f>
        <v>Item_PlusDesc_3001</v>
      </c>
      <c r="C185" s="51" t="s">
        <v>619</v>
      </c>
      <c r="D185" s="51" t="s">
        <v>620</v>
      </c>
      <c r="E185" s="81" t="s">
        <v>471</v>
      </c>
      <c r="F185" s="81" t="s">
        <v>345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6">
      <c r="B186" t="str">
        <f>LocaleTable[[#This Row],['#인덱스제너레이터]]</f>
        <v>Item_PlusDesc_3002</v>
      </c>
      <c r="C186" s="51" t="s">
        <v>719</v>
      </c>
      <c r="D186" s="51" t="s">
        <v>737</v>
      </c>
      <c r="E186" s="81" t="s">
        <v>471</v>
      </c>
      <c r="F186" s="81" t="s">
        <v>345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 ht="18">
      <c r="B187" t="str">
        <f>LocaleTable[[#This Row],['#인덱스제너레이터]]</f>
        <v>Item_PlusDesc_3003</v>
      </c>
      <c r="C187" s="51" t="s">
        <v>900</v>
      </c>
      <c r="D187" s="51" t="s">
        <v>901</v>
      </c>
      <c r="E187" s="81" t="s">
        <v>471</v>
      </c>
      <c r="F187" s="81" t="s">
        <v>345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 ht="18">
      <c r="B188" t="str">
        <f>LocaleTable[[#This Row],['#인덱스제너레이터]]</f>
        <v>Item_PlusDesc_3004</v>
      </c>
      <c r="C188" s="51" t="s">
        <v>370</v>
      </c>
      <c r="D188" s="51" t="s">
        <v>736</v>
      </c>
      <c r="E188" s="81" t="s">
        <v>471</v>
      </c>
      <c r="F188" s="81" t="s">
        <v>345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 ht="18">
      <c r="B189" t="str">
        <f>LocaleTable[[#This Row],['#인덱스제너레이터]]</f>
        <v>Item_PlusDesc_3005</v>
      </c>
      <c r="C189" s="58" t="s">
        <v>877</v>
      </c>
      <c r="D189" s="51" t="s">
        <v>876</v>
      </c>
      <c r="E189" s="81" t="s">
        <v>471</v>
      </c>
      <c r="F189" s="81" t="s">
        <v>345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 ht="18">
      <c r="B190" t="str">
        <f>LocaleTable[[#This Row],['#인덱스제너레이터]]</f>
        <v>Item_PlusDesc_3006</v>
      </c>
      <c r="C190" s="52" t="s">
        <v>1006</v>
      </c>
      <c r="D190" s="51" t="s">
        <v>1007</v>
      </c>
      <c r="E190" s="81" t="s">
        <v>471</v>
      </c>
      <c r="F190" s="81" t="s">
        <v>345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 ht="36">
      <c r="B191" t="str">
        <f>LocaleTable[[#This Row],['#인덱스제너레이터]]</f>
        <v>Item_PlusDesc_3007</v>
      </c>
      <c r="C191" s="52" t="s">
        <v>1045</v>
      </c>
      <c r="D191" s="51" t="s">
        <v>1044</v>
      </c>
      <c r="E191" s="81" t="s">
        <v>471</v>
      </c>
      <c r="F191" s="81" t="s">
        <v>345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 ht="18">
      <c r="B192" t="str">
        <f>LocaleTable[[#This Row],['#인덱스제너레이터]]</f>
        <v>Item_PlusDesc_3008</v>
      </c>
      <c r="C192" s="51" t="s">
        <v>1025</v>
      </c>
      <c r="D192" s="51" t="s">
        <v>1026</v>
      </c>
      <c r="E192" s="81" t="s">
        <v>471</v>
      </c>
      <c r="F192" s="81" t="s">
        <v>345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 ht="18">
      <c r="B193" t="str">
        <f>LocaleTable[[#This Row],['#인덱스제너레이터]]</f>
        <v>Item_PlusDesc_3009</v>
      </c>
      <c r="C193" s="98" t="s">
        <v>1042</v>
      </c>
      <c r="D193" s="51" t="s">
        <v>1043</v>
      </c>
      <c r="E193" s="81" t="s">
        <v>471</v>
      </c>
      <c r="F193" s="81" t="s">
        <v>345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 ht="36">
      <c r="B194" t="str">
        <f>LocaleTable[[#This Row],['#인덱스제너레이터]]</f>
        <v>Item_PlusDesc_3010</v>
      </c>
      <c r="C194" s="98" t="s">
        <v>1051</v>
      </c>
      <c r="D194" s="51" t="s">
        <v>1052</v>
      </c>
      <c r="E194" s="81" t="s">
        <v>471</v>
      </c>
      <c r="F194" s="81" t="s">
        <v>345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6">
      <c r="B195" t="str">
        <f>LocaleTable[[#This Row],['#인덱스제너레이터]]</f>
        <v>Item_PlusDesc_4001</v>
      </c>
      <c r="C195" s="51" t="s">
        <v>720</v>
      </c>
      <c r="D195" s="51" t="s">
        <v>739</v>
      </c>
      <c r="E195" s="81" t="s">
        <v>471</v>
      </c>
      <c r="F195" s="81" t="s">
        <v>345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 ht="18">
      <c r="B196" t="str">
        <f>LocaleTable[[#This Row],['#인덱스제너레이터]]</f>
        <v>Item_PlusDesc_4002</v>
      </c>
      <c r="C196" s="51" t="s">
        <v>292</v>
      </c>
      <c r="D196" s="51" t="s">
        <v>544</v>
      </c>
      <c r="E196" s="81" t="s">
        <v>471</v>
      </c>
      <c r="F196" s="81" t="s">
        <v>345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 ht="18">
      <c r="B197" t="str">
        <f>LocaleTable[[#This Row],['#인덱스제너레이터]]</f>
        <v>Item_PlusDesc_4003</v>
      </c>
      <c r="C197" s="51" t="s">
        <v>373</v>
      </c>
      <c r="D197" s="51" t="s">
        <v>545</v>
      </c>
      <c r="E197" s="81" t="s">
        <v>471</v>
      </c>
      <c r="F197" s="81" t="s">
        <v>345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 ht="18">
      <c r="B198" t="str">
        <f>LocaleTable[[#This Row],['#인덱스제너레이터]]</f>
        <v>Item_PlusDesc_4004</v>
      </c>
      <c r="C198" s="51" t="s">
        <v>1016</v>
      </c>
      <c r="D198" s="51" t="s">
        <v>1017</v>
      </c>
      <c r="E198" s="81" t="s">
        <v>471</v>
      </c>
      <c r="F198" s="81" t="s">
        <v>345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 ht="18">
      <c r="B199" t="str">
        <f>LocaleTable[[#This Row],['#인덱스제너레이터]]</f>
        <v>Item_PlusDesc_4005</v>
      </c>
      <c r="C199" s="51" t="s">
        <v>391</v>
      </c>
      <c r="D199" s="51" t="s">
        <v>741</v>
      </c>
      <c r="E199" s="81" t="s">
        <v>471</v>
      </c>
      <c r="F199" s="81" t="s">
        <v>345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 ht="18">
      <c r="B200" t="str">
        <f>LocaleTable[[#This Row],['#인덱스제너레이터]]</f>
        <v>Item_PlusDesc_4006</v>
      </c>
      <c r="C200" s="51" t="s">
        <v>1014</v>
      </c>
      <c r="D200" s="51" t="s">
        <v>1015</v>
      </c>
      <c r="E200" s="81" t="s">
        <v>471</v>
      </c>
      <c r="F200" s="81" t="s">
        <v>345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 ht="18">
      <c r="B201" t="str">
        <f>LocaleTable[[#This Row],['#인덱스제너레이터]]</f>
        <v>Item_PlusDesc_4007</v>
      </c>
      <c r="C201" s="51" t="s">
        <v>1018</v>
      </c>
      <c r="D201" s="51" t="s">
        <v>1019</v>
      </c>
      <c r="E201" s="81" t="s">
        <v>471</v>
      </c>
      <c r="F201" s="81" t="s">
        <v>345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 ht="18">
      <c r="B202" t="str">
        <f>LocaleTable[[#This Row],['#인덱스제너레이터]]</f>
        <v>Item_PlusDesc_10000</v>
      </c>
      <c r="C202" s="52" t="s">
        <v>912</v>
      </c>
      <c r="D202" s="51" t="s">
        <v>911</v>
      </c>
      <c r="E202" s="81" t="s">
        <v>471</v>
      </c>
      <c r="F202" s="81" t="s">
        <v>345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 ht="18">
      <c r="B203" t="str">
        <f>LocaleTable[[#This Row],['#인덱스제너레이터]]</f>
        <v>Item_PlusDesc_10001</v>
      </c>
      <c r="C203" s="52" t="s">
        <v>908</v>
      </c>
      <c r="D203" s="51" t="s">
        <v>904</v>
      </c>
      <c r="E203" s="81" t="s">
        <v>471</v>
      </c>
      <c r="F203" s="81" t="s">
        <v>345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 ht="18">
      <c r="B204" t="str">
        <f>LocaleTable[[#This Row],['#인덱스제너레이터]]</f>
        <v>Item_PlusDesc_10002</v>
      </c>
      <c r="C204" s="52" t="s">
        <v>909</v>
      </c>
      <c r="D204" s="51" t="s">
        <v>905</v>
      </c>
      <c r="E204" s="81" t="s">
        <v>471</v>
      </c>
      <c r="F204" s="81" t="s">
        <v>345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 ht="18">
      <c r="B205" t="str">
        <f>LocaleTable[[#This Row],['#인덱스제너레이터]]</f>
        <v>Item_PlusDesc_10003</v>
      </c>
      <c r="C205" s="52" t="s">
        <v>460</v>
      </c>
      <c r="D205" s="51" t="s">
        <v>906</v>
      </c>
      <c r="E205" s="81" t="s">
        <v>471</v>
      </c>
      <c r="F205" s="81" t="s">
        <v>345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 ht="18">
      <c r="B206" t="str">
        <f>LocaleTable[[#This Row],['#인덱스제너레이터]]</f>
        <v>Item_PlusDesc_10004</v>
      </c>
      <c r="C206" s="51" t="s">
        <v>913</v>
      </c>
      <c r="D206" s="51" t="s">
        <v>910</v>
      </c>
      <c r="E206" s="81" t="s">
        <v>471</v>
      </c>
      <c r="F206" s="81" t="s">
        <v>345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 ht="18">
      <c r="B207" t="str">
        <f>LocaleTable[[#This Row],['#인덱스제너레이터]]</f>
        <v>Item_PlusDesc_10005</v>
      </c>
      <c r="C207" s="51" t="s">
        <v>461</v>
      </c>
      <c r="D207" s="51" t="s">
        <v>907</v>
      </c>
      <c r="E207" s="81" t="s">
        <v>471</v>
      </c>
      <c r="F207" s="81" t="s">
        <v>345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 ht="18">
      <c r="B208" t="str">
        <f>LocaleTable[[#This Row],['#인덱스제너레이터]]</f>
        <v>Item_MinusDesc_4001</v>
      </c>
      <c r="C208" s="51" t="s">
        <v>367</v>
      </c>
      <c r="D208" s="58" t="s">
        <v>546</v>
      </c>
      <c r="E208" s="81" t="s">
        <v>471</v>
      </c>
      <c r="F208" s="81" t="s">
        <v>346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 ht="18">
      <c r="B209" t="str">
        <f>LocaleTable[[#This Row],['#인덱스제너레이터]]</f>
        <v>Item_MinusDesc_4002</v>
      </c>
      <c r="C209" s="51" t="s">
        <v>146</v>
      </c>
      <c r="D209" s="51" t="s">
        <v>547</v>
      </c>
      <c r="E209" s="81" t="s">
        <v>471</v>
      </c>
      <c r="F209" s="81" t="s">
        <v>346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 ht="18">
      <c r="B210" t="str">
        <f>LocaleTable[[#This Row],['#인덱스제너레이터]]</f>
        <v>Item_MinusDesc_4003</v>
      </c>
      <c r="C210" s="51" t="s">
        <v>735</v>
      </c>
      <c r="D210" s="51" t="s">
        <v>878</v>
      </c>
      <c r="E210" s="81" t="s">
        <v>471</v>
      </c>
      <c r="F210" s="81" t="s">
        <v>346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 ht="18">
      <c r="B211" t="str">
        <f>LocaleTable[[#This Row],['#인덱스제너레이터]]</f>
        <v>Item_MinusDesc_4004</v>
      </c>
      <c r="C211" s="51" t="s">
        <v>834</v>
      </c>
      <c r="D211" s="51" t="s">
        <v>835</v>
      </c>
      <c r="E211" s="81" t="s">
        <v>471</v>
      </c>
      <c r="F211" s="81" t="s">
        <v>346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 ht="18">
      <c r="B212" t="str">
        <f>LocaleTable[[#This Row],['#인덱스제너레이터]]</f>
        <v>Item_MinusDesc_4005</v>
      </c>
      <c r="C212" s="51" t="s">
        <v>831</v>
      </c>
      <c r="D212" s="51" t="s">
        <v>836</v>
      </c>
      <c r="E212" s="81" t="s">
        <v>471</v>
      </c>
      <c r="F212" s="81" t="s">
        <v>346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 ht="18">
      <c r="B213" t="str">
        <f>LocaleTable[[#This Row],['#인덱스제너레이터]]</f>
        <v>Item_MinusDesc_4006</v>
      </c>
      <c r="C213" s="51" t="s">
        <v>1011</v>
      </c>
      <c r="D213" s="51" t="s">
        <v>1012</v>
      </c>
      <c r="E213" s="81" t="s">
        <v>471</v>
      </c>
      <c r="F213" s="81" t="s">
        <v>346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471</v>
      </c>
      <c r="F214" s="81" t="s">
        <v>346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2023-11-16T19:28:19Z</dcterms:modified>
  <cp:version>1200.0100.01</cp:version>
</cp:coreProperties>
</file>