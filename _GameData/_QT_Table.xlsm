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F52C0577-14D7-7644-B770-6E1DAF1F424A}" xr6:coauthVersionLast="47" xr6:coauthVersionMax="47" xr10:uidLastSave="{00000000-0000-0000-0000-000000000000}"/>
  <bookViews>
    <workbookView xWindow="0" yWindow="760" windowWidth="30240" windowHeight="18880" firstSheet="7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Active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4" l="1"/>
  <c r="D3" i="14"/>
  <c r="I9" i="13" a="1"/>
  <c r="I9" i="13" s="1"/>
  <c r="I10" i="13" a="1"/>
  <c r="I10" i="13" s="1"/>
  <c r="I11" i="13" a="1"/>
  <c r="I11" i="13" s="1"/>
  <c r="I12" i="13" a="1"/>
  <c r="I12" i="13" s="1"/>
  <c r="I13" i="13" a="1"/>
  <c r="I13" i="13" s="1"/>
  <c r="I14" i="13" a="1"/>
  <c r="I14" i="13" s="1"/>
  <c r="I15" i="13" a="1"/>
  <c r="I15" i="13" s="1"/>
  <c r="I16" i="13" a="1"/>
  <c r="I16" i="13" s="1"/>
  <c r="I17" i="13" a="1"/>
  <c r="I17" i="13"/>
  <c r="I18" i="13" a="1"/>
  <c r="I18" i="13"/>
  <c r="I19" i="13" a="1"/>
  <c r="I19" i="13" s="1"/>
  <c r="I20" i="13" a="1"/>
  <c r="I20" i="13" s="1"/>
  <c r="I21" i="13" a="1"/>
  <c r="I21" i="13" s="1"/>
  <c r="I22" i="13" a="1"/>
  <c r="I22" i="13"/>
  <c r="I23" i="13" a="1"/>
  <c r="I23" i="13"/>
  <c r="I24" i="13" a="1"/>
  <c r="I24" i="13" s="1"/>
  <c r="K3" i="8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P11" i="3" s="1"/>
  <c r="O10" i="3"/>
  <c r="O9" i="3"/>
  <c r="O8" i="3"/>
  <c r="P10" i="3"/>
  <c r="P8" i="3"/>
  <c r="F12" i="2"/>
  <c r="F21" i="2"/>
  <c r="F20" i="2"/>
  <c r="F19" i="2"/>
  <c r="F18" i="2"/>
  <c r="F17" i="2"/>
  <c r="F16" i="2"/>
  <c r="F15" i="2"/>
  <c r="F14" i="2"/>
  <c r="F13" i="2"/>
  <c r="B22" i="13" a="1"/>
  <c r="B22" i="13" s="1"/>
  <c r="B16" i="13" a="1"/>
  <c r="B16" i="13" s="1"/>
  <c r="B4" i="13" a="1"/>
  <c r="B4" i="13" s="1"/>
  <c r="I3" i="13" a="1"/>
  <c r="I3" i="13" s="1"/>
  <c r="A3" i="16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B23" i="13" a="1"/>
  <c r="B23" i="13" s="1"/>
  <c r="A4" i="16"/>
  <c r="I4" i="13" a="1"/>
  <c r="I4" i="13" s="1"/>
  <c r="B11" i="13" a="1"/>
  <c r="B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D8" i="16" a="1"/>
  <c r="D8" i="16" s="1"/>
  <c r="D9" i="16" a="1"/>
  <c r="D9" i="16" s="1"/>
  <c r="D4" i="16" a="1"/>
  <c r="D4" i="16" s="1"/>
  <c r="B18" i="13" a="1"/>
  <c r="B18" i="13" s="1"/>
  <c r="B24" i="13" a="1"/>
  <c r="B24" i="13" s="1"/>
  <c r="D5" i="16" a="1"/>
  <c r="D5" i="16" s="1"/>
  <c r="D3" i="16" a="1"/>
  <c r="D3" i="16" s="1"/>
  <c r="I11" i="3" l="1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B19" i="13" a="1"/>
  <c r="B19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<sst xmlns="http://schemas.openxmlformats.org/spreadsheetml/2006/main" count="982" uniqueCount="544">
  <si>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</si>
  <si>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</si>
  <si>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</si>
  <si>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</si>
  <si>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</si>
  <si>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</si>
  <si>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</si>
  <si>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</si>
  <si>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</si>
  <si>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</si>
  <si>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</si>
  <si>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</si>
  <si>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</si>
  <si>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</si>
  <si>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</si>
  <si>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</si>
  <si>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</si>
  <si>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</si>
  <si>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</si>
  <si>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</si>
  <si>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</si>
  <si>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</si>
  <si>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</si>
  <si>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</si>
  <si>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</si>
  <si>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</si>
  <si>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</si>
  <si>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</si>
  <si>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</si>
  <si>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</si>
  <si>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</si>
  <si>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</si>
  <si>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</si>
  <si>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</si>
  <si>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</si>
  <si>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</si>
  <si>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</si>
  <si>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</si>
  <si>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</si>
  <si>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</si>
  <si>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</si>
  <si>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</si>
  <si>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</si>
  <si>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</si>
  <si>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</si>
  <si>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</si>
  <si>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</si>
  <si>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</si>
  <si>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</si>
  <si>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</si>
  <si>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</si>
  <si>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</si>
  <si>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</si>
  <si>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</si>
  <si>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</si>
  <si>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</si>
  <si>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</si>
  <si>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</si>
  <si>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</si>
  <si>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</si>
  <si>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</si>
  <si>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</si>
  <si>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</si>
  <si>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</si>
  <si>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</si>
  <si>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</si>
  <si>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</si>
  <si>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</si>
  <si>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</si>
  <si>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</si>
  <si>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</si>
  <si>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</si>
  <si>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</si>
  <si>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</si>
  <si>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</si>
  <si>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</si>
  <si>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</si>
  <si>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</si>
  <si>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</si>
  <si>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</si>
  <si>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</si>
  <si>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</si>
  <si>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</si>
  <si>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</si>
  <si>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</si>
  <si>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</si>
  <si>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</si>
  <si>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</si>
  <si>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</si>
  <si>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</si>
  <si>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</si>
  <si>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</si>
  <si>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</si>
  <si>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</si>
  <si>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</si>
  <si>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</si>
  <si>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</si>
  <si>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</si>
  <si>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</si>
  <si>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</si>
  <si>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</si>
  <si>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</si>
  <si>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</si>
  <si>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</si>
  <si>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</si>
  <si>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</si>
  <si>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</si>
  <si>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</si>
  <si>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</si>
  <si>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</si>
  <si>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</si>
  <si>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</si>
  <si>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</si>
  <si>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</si>
  <si>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</si>
  <si>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</si>
  <si>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</si>
  <si>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</si>
  <si>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</si>
  <si>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</si>
  <si>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</si>
  <si>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</si>
  <si>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</si>
  <si>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</si>
  <si>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</si>
  <si>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</si>
  <si>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</si>
  <si>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</si>
  <si>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</si>
  <si>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</si>
  <si>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</si>
  <si>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</si>
  <si>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</si>
  <si>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</si>
  <si>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</si>
  <si>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</si>
  <si>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</si>
  <si>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</si>
  <si>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</si>
  <si>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</si>
  <si>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</si>
  <si>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</si>
  <si>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</si>
  <si>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</si>
  <si>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</si>
  <si>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</si>
  <si>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</si>
  <si>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</si>
  <si>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</si>
  <si>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</si>
  <si>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</si>
  <si>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</si>
  <si>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</si>
  <si>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</si>
  <si>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</si>
  <si>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</si>
  <si>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</si>
  <si>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</si>
  <si>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</si>
  <si>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</si>
  <si>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</si>
  <si>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</si>
  <si>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</si>
  <si>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</si>
  <si>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</si>
  <si>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</si>
  <si>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</si>
  <si>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</si>
  <si>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</si>
  <si>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</si>
  <si>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</si>
  <si>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</si>
  <si>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</si>
  <si>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</si>
  <si>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</si>
  <si>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</si>
  <si>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</si>
  <si>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</si>
  <si>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</si>
  <si>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</si>
  <si>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</si>
  <si>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</si>
  <si>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</si>
  <si>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</si>
  <si>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</si>
  <si>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</si>
  <si>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</si>
  <si>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</si>
  <si>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</si>
  <si>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</si>
  <si>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</si>
  <si>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</si>
  <si>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</si>
  <si>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</si>
  <si>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</si>
  <si>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</si>
  <si>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</si>
  <si>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</si>
  <si>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</si>
  <si>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</si>
  <si>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</si>
  <si>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</si>
  <si>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</si>
  <si>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</si>
  <si>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</si>
  <si>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</si>
  <si>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</si>
  <si>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</si>
  <si>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</si>
  <si>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</si>
  <si>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</si>
  <si>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</si>
  <si>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</si>
  <si>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</si>
  <si>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</si>
  <si>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</si>
  <si>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</si>
  <si>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</si>
  <si>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</si>
  <si>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</si>
  <si>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</si>
  <si>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</si>
  <si>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</si>
  <si>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</si>
  <si>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</si>
  <si>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</si>
  <si>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</si>
  <si>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</si>
  <si>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</si>
  <si>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</si>
  <si>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</si>
  <si>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</si>
  <si>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</si>
  <si>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</si>
  <si>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</si>
  <si>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</si>
  <si>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</si>
  <si>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</si>
  <si>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</si>
  <si>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</si>
  <si>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</si>
  <si>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</si>
  <si>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</si>
  <si>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</si>
  <si>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</si>
  <si>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</si>
  <si>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</si>
  <si>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</si>
  <si>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</si>
  <si>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</si>
  <si>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</si>
  <si>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</si>
  <si>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</si>
  <si>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</si>
  <si>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</si>
  <si>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</si>
  <si>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</si>
  <si>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</si>
  <si>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</si>
  <si>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</si>
  <si>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</si>
  <si>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</si>
  <si>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</si>
  <si>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</si>
  <si>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</si>
  <si>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</si>
  <si>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</si>
  <si>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</si>
  <si>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</si>
  <si>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</si>
  <si>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</si>
  <si>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</si>
  <si>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</si>
  <si>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</si>
  <si>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</si>
  <si>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</si>
  <si>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</si>
  <si>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</si>
  <si>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</si>
  <si>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</si>
  <si>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</si>
  <si>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</si>
  <si>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</si>
  <si>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</si>
  <si>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</si>
  <si>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</si>
  <si>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</si>
  <si>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</si>
  <si>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</si>
  <si>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</si>
  <si>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</si>
  <si>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</si>
  <si>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</si>
  <si>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</si>
  <si>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</si>
  <si>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</si>
  <si>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</si>
  <si>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</si>
  <si>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</si>
  <si>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</si>
  <si>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</si>
  <si>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</si>
  <si>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</si>
  <si>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</si>
  <si>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</si>
  <si>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</si>
  <si>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</si>
  <si>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</si>
  <si>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</si>
  <si>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</si>
  <si>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</si>
  <si>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</si>
  <si>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</si>
  <si>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</si>
  <si>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</si>
  <si>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</si>
  <si>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</si>
  <si>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</si>
  <si>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</si>
  <si>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</si>
  <si>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</si>
  <si>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</si>
  <si>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</si>
  <si>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</si>
  <si>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</si>
  <si>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</si>
  <si>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</si>
  <si>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</si>
  <si>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</si>
  <si>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</si>
  <si>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</si>
  <si>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</si>
  <si>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</si>
  <si>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</si>
  <si>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</si>
  <si>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</si>
  <si>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</si>
  <si>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</si>
  <si>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</si>
  <si>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</si>
  <si>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</si>
  <si>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</si>
  <si>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</si>
  <si>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</si>
  <si>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</si>
  <si>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</si>
  <si>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</si>
  <si>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</si>
  <si>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</si>
  <si>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</si>
  <si>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</si>
  <si>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</si>
  <si>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</si>
  <si>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</si>
  <si>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</si>
  <si>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</si>
  <si>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</si>
  <si>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</si>
  <si>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</si>
  <si>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</si>
  <si>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</si>
  <si>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</si>
  <si>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</si>
  <si>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</si>
  <si>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</si>
  <si>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</si>
  <si>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</si>
  <si>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</si>
  <si>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</si>
  <si>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</si>
  <si>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</si>
  <si>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</si>
  <si>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</si>
  <si>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</si>
  <si>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</si>
  <si>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</si>
  <si>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</si>
  <si>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</si>
  <si>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</si>
  <si>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</si>
  <si>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</si>
  <si>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</si>
  <si>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</si>
  <si>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</si>
  <si>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</si>
  <si>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</si>
  <si>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</si>
  <si>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</si>
  <si>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</si>
  <si>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</si>
  <si>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</si>
  <si>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</si>
  <si>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</si>
  <si>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</si>
  <si>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</si>
  <si>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</si>
  <si>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</si>
  <si>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</si>
  <si>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</si>
  <si>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</si>
  <si>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</si>
  <si>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</si>
  <si>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</si>
  <si>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</si>
  <si>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</si>
  <si>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</si>
  <si>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</si>
  <si>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</si>
  <si>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</si>
  <si>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</si>
  <si>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</si>
  <si>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</si>
  <si>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</si>
  <si>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</si>
  <si>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</si>
  <si>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</si>
  <si>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</si>
  <si>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</si>
  <si>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</si>
  <si>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</si>
  <si>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</si>
  <si>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</si>
  <si>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</si>
  <si>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</si>
  <si>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</si>
  <si>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</si>
  <si>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</si>
  <si>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</si>
  <si>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</si>
  <si>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</si>
  <si>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</si>
  <si>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</si>
  <si>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</si>
  <si>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</si>
  <si>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</si>
  <si>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</si>
  <si>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</si>
  <si>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</si>
  <si>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</si>
  <si>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</si>
  <si>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</si>
  <si>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</si>
  <si>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</si>
  <si>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</si>
  <si>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</si>
  <si>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</si>
  <si>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</si>
  <si>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</si>
  <si>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</si>
  <si>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</si>
  <si>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</si>
  <si>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</si>
  <si>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</si>
  <si>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</si>
  <si>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</si>
  <si>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</si>
  <si>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</si>
  <si>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</si>
  <si>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</si>
  <si>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</si>
  <si>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</si>
  <si>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</si>
  <si>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</si>
  <si>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</si>
  <si>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</si>
  <si>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</si>
  <si>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</si>
  <si>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</si>
  <si>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</si>
  <si>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</si>
  <si>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</si>
  <si>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</si>
  <si>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</si>
  <si>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</si>
  <si>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</si>
  <si>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</si>
  <si>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</si>
  <si>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</si>
  <si>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</si>
  <si>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</si>
  <si>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</si>
  <si>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</si>
  <si>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</si>
  <si>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</si>
  <si>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</si>
  <si>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</si>
  <si>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</si>
  <si>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</si>
  <si>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</si>
  <si>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</si>
  <si>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</si>
  <si>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</si>
  <si>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</si>
  <si>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</si>
  <si>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</si>
  <si>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</si>
  <si>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</si>
  <si>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</si>
  <si>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</si>
  <si>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</si>
  <si>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</si>
  <si>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</si>
  <si>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</si>
  <si>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</si>
  <si>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</si>
  <si>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</si>
  <si>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</si>
  <si>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</si>
  <si>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</si>
  <si>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</si>
  <si>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</si>
  <si>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</si>
  <si>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</si>
  <si>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</si>
  <si>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</si>
  <si>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</si>
  <si>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</si>
  <si>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</si>
  <si>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Buff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</si>
  <si>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</si>
  <si>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</si>
  <si>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</si>
  <si>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Hit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</si>
  <si>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</si>
  <si>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</si>
  <si>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</si>
  <si>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ActiveEffectType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</si>
  <si>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</si>
  <si>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</si>
  <si>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</si>
  <si>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</si>
  <si>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</si>
  <si>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</si>
  <si>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</si>
  <si>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</si>
  <si>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</si>
  <si>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</si>
  <si>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</si>
  <si>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</si>
  <si>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MaxHP</t>
    <phoneticPr fontId="8" type="noConversion"/>
  </si>
  <si>
    <t>MoveTargetUpdatePeroid</t>
    <phoneticPr fontId="8" type="noConversion"/>
  </si>
  <si>
    <t>ApplyType</t>
    <phoneticPr fontId="8" type="noConversion"/>
  </si>
  <si>
    <t>ApplyId</t>
    <phoneticPr fontId="8" type="noConversion"/>
  </si>
  <si>
    <t>GreaterThan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</si>
</sst>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57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1">
  <autoFilter ref="B2:Q24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3" totalsRowShown="0" headerRowDxfId="14">
  <autoFilter ref="B2:K3" xr:uid="{00000000-0009-0000-0100-000001000000}"/>
  <tableColumns count="10">
    <tableColumn id="1" xr3:uid="{00000000-0010-0000-1000-000001000000}" name="#개발여부" dataDxfId="13"/>
    <tableColumn id="2" xr3:uid="{00000000-0010-0000-1000-000002000000}" name="#이름값" dataDxfId="12"/>
    <tableColumn id="3" xr3:uid="{00000000-0010-0000-1000-000003000000}" name="#Grade" dataDxfId="11"/>
    <tableColumn id="4" xr3:uid="{00000000-0010-0000-1000-000004000000}" name="Index" dataDxfId="10"/>
    <tableColumn id="5" xr3:uid="{00000000-0010-0000-1000-000005000000}" name="ApplyType"/>
    <tableColumn id="6" xr3:uid="{00000000-0010-0000-1000-000006000000}" name="ApplyId"/>
    <tableColumn id="15" xr3:uid="{CF282877-64F5-EF4F-BCC0-55B804336F6A}" name="CoolTime"/>
    <tableColumn id="10" xr3:uid="{00000000-0010-0000-1000-00000A000000}" name="TriggerType"/>
    <tableColumn id="11" xr3:uid="{00000000-0010-0000-1000-00000B000000}" name="Condition"/>
    <tableColumn id="12" xr3:uid="{92D62887-7750-3640-8687-F6CA178F2375}" name="ConditionTarget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" totalsRowShown="0" headerRowDxfId="9">
  <autoFilter ref="B2:F3" xr:uid="{00000000-0009-0000-0100-000001000000}"/>
  <tableColumns count="5">
    <tableColumn id="4" xr3:uid="{DE2DDF71-E208-9D48-B1BD-ADAF1A04A4E7}" name="Index" dataDxfId="8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3" totalsRowShown="0" headerRowDxfId="7">
  <autoFilter ref="B2:F3" xr:uid="{00000000-0009-0000-0100-000001000000}"/>
  <tableColumns count="5">
    <tableColumn id="4" xr3:uid="{9F0C2145-5739-D948-B51C-59C2F70F8333}" name="Index" dataDxfId="6"/>
    <tableColumn id="5" xr3:uid="{68F4A981-62AA-3A4B-BE01-0227C535B866}" name="Active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1" t="s">
        <v>316</v>
      </c>
      <c r="C1" s="42"/>
      <c r="D1" s="42"/>
      <c r="E1" s="42"/>
    </row>
    <row r="2" spans="2:5" s="1" customFormat="1">
      <c r="B2" s="42"/>
      <c r="C2" s="42"/>
      <c r="D2" s="42"/>
      <c r="E2" s="42"/>
    </row>
    <row r="3" spans="2:5" s="1" customFormat="1">
      <c r="B3" s="42"/>
      <c r="C3" s="42"/>
      <c r="D3" s="42"/>
      <c r="E3" s="42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1" t="s">
        <v>203</v>
      </c>
      <c r="C1" s="42"/>
      <c r="D1" s="42"/>
      <c r="E1" s="42"/>
    </row>
    <row r="2" spans="2:12" s="1" customFormat="1">
      <c r="B2" s="42"/>
      <c r="C2" s="42"/>
      <c r="D2" s="42"/>
      <c r="E2" s="42"/>
    </row>
    <row r="3" spans="2:12" s="1" customFormat="1">
      <c r="B3" s="42"/>
      <c r="C3" s="42"/>
      <c r="D3" s="42"/>
      <c r="E3" s="42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478</v>
      </c>
      <c r="C10" s="2"/>
      <c r="D10" s="2"/>
      <c r="I10" s="2" t="s">
        <v>479</v>
      </c>
      <c r="J10" s="2"/>
      <c r="K10" s="2"/>
    </row>
    <row r="11" spans="2:12">
      <c r="B11" s="14" t="s">
        <v>476</v>
      </c>
      <c r="C11" s="14" t="s">
        <v>477</v>
      </c>
      <c r="D11" s="14" t="s">
        <v>474</v>
      </c>
      <c r="E11" s="14" t="s">
        <v>475</v>
      </c>
      <c r="F11" s="14" t="s">
        <v>480</v>
      </c>
      <c r="I11" s="14" t="s">
        <v>481</v>
      </c>
      <c r="J11" s="14" t="s">
        <v>477</v>
      </c>
      <c r="K11" s="14" t="s">
        <v>474</v>
      </c>
      <c r="L11" s="14" t="s">
        <v>475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482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483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484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484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1" t="s">
        <v>294</v>
      </c>
      <c r="C1" s="42"/>
      <c r="D1" s="42"/>
      <c r="E1" s="42"/>
      <c r="F1" s="42"/>
    </row>
    <row r="2" spans="1:21" s="1" customFormat="1">
      <c r="B2" s="42"/>
      <c r="C2" s="42"/>
      <c r="D2" s="42"/>
      <c r="E2" s="42"/>
      <c r="F2" s="42"/>
    </row>
    <row r="3" spans="1:21" s="1" customFormat="1">
      <c r="B3" s="42"/>
      <c r="C3" s="42"/>
      <c r="D3" s="42"/>
      <c r="E3" s="42"/>
      <c r="F3" s="42"/>
    </row>
    <row r="5" spans="1:21">
      <c r="B5" s="2" t="s">
        <v>106</v>
      </c>
      <c r="G5" s="2" t="s">
        <v>217</v>
      </c>
      <c r="H5" s="2"/>
      <c r="R5" s="2" t="s">
        <v>113</v>
      </c>
    </row>
    <row r="6" spans="1:21">
      <c r="B6" t="s">
        <v>52</v>
      </c>
      <c r="C6" t="s">
        <v>145</v>
      </c>
      <c r="D6" t="s">
        <v>59</v>
      </c>
      <c r="E6" t="s">
        <v>335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298</v>
      </c>
      <c r="O6" t="s">
        <v>333</v>
      </c>
      <c r="P6" t="s">
        <v>296</v>
      </c>
      <c r="R6" t="s">
        <v>105</v>
      </c>
      <c r="S6" s="14" t="s">
        <v>485</v>
      </c>
    </row>
    <row r="7" spans="1:21" ht="18">
      <c r="A7" s="13"/>
      <c r="B7" s="11" t="s">
        <v>186</v>
      </c>
      <c r="C7" s="13" t="s">
        <v>33</v>
      </c>
      <c r="D7" t="s">
        <v>138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240</v>
      </c>
      <c r="D8" t="s">
        <v>147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240</v>
      </c>
      <c r="D9" t="s">
        <v>149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270</v>
      </c>
      <c r="S9" s="2"/>
      <c r="T9" s="2"/>
    </row>
    <row r="10" spans="1:21" ht="18">
      <c r="A10" s="11"/>
      <c r="B10" s="11" t="s">
        <v>196</v>
      </c>
      <c r="C10" s="11" t="s">
        <v>240</v>
      </c>
      <c r="D10" t="s">
        <v>330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282</v>
      </c>
      <c r="C11" s="11" t="s">
        <v>240</v>
      </c>
      <c r="D11" t="s">
        <v>144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170</v>
      </c>
      <c r="C12" s="11" t="s">
        <v>226</v>
      </c>
      <c r="D12" t="s">
        <v>148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320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292</v>
      </c>
    </row>
    <row r="15" spans="1:21" ht="18">
      <c r="A15" s="11"/>
      <c r="B15" s="11" t="s">
        <v>220</v>
      </c>
      <c r="C15" s="11" t="s">
        <v>22</v>
      </c>
      <c r="D15" t="s">
        <v>234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188</v>
      </c>
      <c r="C16" s="11" t="s">
        <v>22</v>
      </c>
      <c r="D16" t="s">
        <v>245</v>
      </c>
      <c r="E16" s="10">
        <v>40</v>
      </c>
    </row>
    <row r="17" spans="1:5" ht="18">
      <c r="A17" s="11"/>
      <c r="B17" s="11" t="s">
        <v>321</v>
      </c>
      <c r="C17" s="11" t="s">
        <v>22</v>
      </c>
      <c r="D17" t="s">
        <v>139</v>
      </c>
      <c r="E17">
        <f>50/0.3</f>
        <v>166.66666666666669</v>
      </c>
    </row>
    <row r="18" spans="1:5" ht="18">
      <c r="A18" s="11"/>
      <c r="B18" s="11" t="s">
        <v>342</v>
      </c>
      <c r="C18" s="11" t="s">
        <v>22</v>
      </c>
      <c r="D18" t="s">
        <v>332</v>
      </c>
      <c r="E18" s="12">
        <f>30/-0.2</f>
        <v>-150</v>
      </c>
    </row>
    <row r="19" spans="1:5" ht="18">
      <c r="A19" s="11"/>
      <c r="B19" s="11" t="s">
        <v>210</v>
      </c>
      <c r="C19" s="11" t="s">
        <v>22</v>
      </c>
      <c r="D19" t="s">
        <v>233</v>
      </c>
      <c r="E19">
        <f>50/100</f>
        <v>0.5</v>
      </c>
    </row>
    <row r="20" spans="1:5" ht="18">
      <c r="A20" s="11"/>
      <c r="B20" s="11" t="s">
        <v>242</v>
      </c>
      <c r="C20" s="11" t="s">
        <v>22</v>
      </c>
      <c r="D20" t="s">
        <v>236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260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252</v>
      </c>
      <c r="E22">
        <f>30/1/2</f>
        <v>15</v>
      </c>
    </row>
    <row r="23" spans="1:5" ht="18">
      <c r="A23" s="11"/>
      <c r="B23" s="11" t="s">
        <v>224</v>
      </c>
      <c r="C23" s="11" t="s">
        <v>22</v>
      </c>
      <c r="D23" t="s">
        <v>328</v>
      </c>
      <c r="E23">
        <f>50/25</f>
        <v>2</v>
      </c>
    </row>
    <row r="24" spans="1:5" ht="18">
      <c r="A24" s="11"/>
      <c r="B24" s="11" t="s">
        <v>232</v>
      </c>
      <c r="C24" s="11" t="s">
        <v>22</v>
      </c>
      <c r="D24" t="s">
        <v>329</v>
      </c>
      <c r="E24">
        <f>50/25</f>
        <v>2</v>
      </c>
    </row>
    <row r="25" spans="1:5" ht="18">
      <c r="A25" s="11"/>
      <c r="B25" s="11" t="s">
        <v>251</v>
      </c>
      <c r="C25" s="11" t="s">
        <v>22</v>
      </c>
      <c r="D25" t="s">
        <v>347</v>
      </c>
      <c r="E25">
        <v>2</v>
      </c>
    </row>
    <row r="26" spans="1:5" ht="18">
      <c r="A26" s="11"/>
      <c r="B26" s="11" t="s">
        <v>273</v>
      </c>
      <c r="C26" s="11" t="s">
        <v>22</v>
      </c>
      <c r="D26" t="s">
        <v>348</v>
      </c>
      <c r="E26">
        <v>2</v>
      </c>
    </row>
    <row r="27" spans="1:5" ht="18">
      <c r="A27" s="11"/>
      <c r="B27" s="11" t="s">
        <v>194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146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283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374</v>
      </c>
      <c r="E30">
        <v>50</v>
      </c>
    </row>
    <row r="31" spans="1:5" ht="18">
      <c r="A31" s="11"/>
      <c r="B31" s="11" t="s">
        <v>281</v>
      </c>
      <c r="C31" s="11" t="s">
        <v>58</v>
      </c>
      <c r="D31" s="11" t="s">
        <v>181</v>
      </c>
      <c r="E31">
        <v>50</v>
      </c>
    </row>
    <row r="32" spans="1:5" ht="18">
      <c r="A32" s="11"/>
      <c r="B32" s="11" t="s">
        <v>193</v>
      </c>
      <c r="C32" s="11" t="s">
        <v>58</v>
      </c>
      <c r="D32" s="11" t="s">
        <v>227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183</v>
      </c>
      <c r="C3">
        <v>5</v>
      </c>
      <c r="D3" s="4" t="s">
        <v>207</v>
      </c>
    </row>
    <row r="4" spans="1:4">
      <c r="A4">
        <v>2</v>
      </c>
      <c r="B4" s="4" t="s">
        <v>249</v>
      </c>
      <c r="C4">
        <v>5</v>
      </c>
      <c r="D4" s="4" t="s">
        <v>182</v>
      </c>
    </row>
    <row r="5" spans="1:4">
      <c r="A5">
        <v>3</v>
      </c>
      <c r="B5" s="4" t="s">
        <v>274</v>
      </c>
      <c r="C5">
        <v>20</v>
      </c>
      <c r="D5" s="4" t="s">
        <v>8</v>
      </c>
    </row>
    <row r="6" spans="1:4">
      <c r="A6">
        <v>4</v>
      </c>
      <c r="B6" s="4" t="s">
        <v>276</v>
      </c>
      <c r="C6">
        <v>0.5</v>
      </c>
      <c r="D6" s="4" t="s">
        <v>198</v>
      </c>
    </row>
    <row r="7" spans="1:4">
      <c r="A7">
        <v>5</v>
      </c>
      <c r="B7" s="4" t="s">
        <v>324</v>
      </c>
      <c r="C7">
        <v>50</v>
      </c>
      <c r="D7" s="4" t="s">
        <v>373</v>
      </c>
    </row>
    <row r="8" spans="1:4">
      <c r="A8">
        <v>6</v>
      </c>
      <c r="B8" s="4" t="s">
        <v>327</v>
      </c>
      <c r="C8">
        <v>1</v>
      </c>
      <c r="D8" s="4" t="s">
        <v>171</v>
      </c>
    </row>
    <row r="9" spans="1:4">
      <c r="A9">
        <v>7</v>
      </c>
      <c r="B9" s="4" t="s">
        <v>372</v>
      </c>
      <c r="C9">
        <v>10</v>
      </c>
      <c r="D9" s="4" t="s">
        <v>370</v>
      </c>
    </row>
    <row r="10" spans="1:4">
      <c r="A10">
        <v>8</v>
      </c>
      <c r="B10" s="4" t="s">
        <v>27</v>
      </c>
      <c r="C10">
        <v>5</v>
      </c>
      <c r="D10" s="4" t="s">
        <v>167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155</v>
      </c>
      <c r="L1" t="s">
        <v>155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152</v>
      </c>
      <c r="E2" t="s">
        <v>290</v>
      </c>
      <c r="F2" t="s">
        <v>2</v>
      </c>
      <c r="G2" t="s">
        <v>29</v>
      </c>
      <c r="H2" t="s">
        <v>14</v>
      </c>
      <c r="I2" t="s">
        <v>199</v>
      </c>
      <c r="J2" t="s">
        <v>12</v>
      </c>
      <c r="K2" t="s">
        <v>28</v>
      </c>
      <c r="L2" t="s">
        <v>230</v>
      </c>
      <c r="M2" t="s">
        <v>286</v>
      </c>
      <c r="N2" t="s">
        <v>196</v>
      </c>
      <c r="O2" t="s">
        <v>282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opLeftCell="U1" zoomScaleNormal="75" zoomScaleSheetLayoutView="100" workbookViewId="0">
      <selection activeCell="E28" sqref="E28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28.83203125" bestFit="1" customWidth="1"/>
    <col min="27" max="27" width="17" customWidth="1"/>
    <col min="28" max="28" width="26.6640625" bestFit="1" customWidth="1"/>
    <col min="29" max="29" width="25" bestFit="1" customWidth="1"/>
    <col min="30" max="31" width="26.1640625" bestFit="1" customWidth="1"/>
    <col min="32" max="32" width="26" bestFit="1" customWidth="1"/>
    <col min="33" max="33" width="27.1640625" bestFit="1" customWidth="1"/>
  </cols>
  <sheetData>
    <row r="1" spans="2:33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F1" s="10" t="s">
        <v>168</v>
      </c>
    </row>
    <row r="2" spans="2:33">
      <c r="B2" t="s">
        <v>76</v>
      </c>
      <c r="C2" s="5" t="s">
        <v>43</v>
      </c>
      <c r="D2" s="7" t="s">
        <v>204</v>
      </c>
      <c r="E2" s="6" t="s">
        <v>211</v>
      </c>
      <c r="F2" s="6" t="s">
        <v>323</v>
      </c>
      <c r="G2" s="7" t="s">
        <v>20</v>
      </c>
      <c r="H2" s="8" t="s">
        <v>220</v>
      </c>
      <c r="I2" s="8" t="s">
        <v>223</v>
      </c>
      <c r="J2" s="8" t="s">
        <v>320</v>
      </c>
      <c r="K2" s="8" t="s">
        <v>17</v>
      </c>
      <c r="L2" s="8" t="s">
        <v>342</v>
      </c>
      <c r="M2" s="8" t="s">
        <v>188</v>
      </c>
      <c r="N2" s="8" t="s">
        <v>210</v>
      </c>
      <c r="O2" s="8" t="s">
        <v>242</v>
      </c>
      <c r="P2" s="8" t="s">
        <v>24</v>
      </c>
      <c r="Q2" s="8" t="s">
        <v>30</v>
      </c>
      <c r="R2" s="8" t="s">
        <v>31</v>
      </c>
      <c r="S2" s="9" t="s">
        <v>224</v>
      </c>
      <c r="T2" s="9" t="s">
        <v>232</v>
      </c>
      <c r="U2" s="9" t="s">
        <v>251</v>
      </c>
      <c r="V2" s="9" t="s">
        <v>273</v>
      </c>
      <c r="W2" s="9" t="s">
        <v>510</v>
      </c>
      <c r="X2" s="35" t="s">
        <v>511</v>
      </c>
      <c r="Y2" s="1" t="s">
        <v>321</v>
      </c>
      <c r="Z2" s="1" t="s">
        <v>376</v>
      </c>
      <c r="AA2" s="5" t="s">
        <v>336</v>
      </c>
      <c r="AB2" s="5" t="s">
        <v>225</v>
      </c>
      <c r="AC2" s="5" t="s">
        <v>248</v>
      </c>
      <c r="AD2" s="5" t="s">
        <v>228</v>
      </c>
      <c r="AE2" s="5" t="s">
        <v>247</v>
      </c>
      <c r="AF2" s="5" t="s">
        <v>239</v>
      </c>
      <c r="AG2" s="5" t="s">
        <v>26</v>
      </c>
    </row>
    <row r="3" spans="2:33">
      <c r="B3">
        <v>200</v>
      </c>
      <c r="C3" s="4" t="s">
        <v>297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216</v>
      </c>
      <c r="E2" s="29" t="s">
        <v>206</v>
      </c>
      <c r="F2" s="29" t="s">
        <v>291</v>
      </c>
      <c r="G2" t="s">
        <v>15</v>
      </c>
      <c r="H2" t="s">
        <v>309</v>
      </c>
      <c r="I2" t="s">
        <v>214</v>
      </c>
      <c r="J2" t="s">
        <v>212</v>
      </c>
      <c r="K2" t="s">
        <v>295</v>
      </c>
      <c r="L2" t="s">
        <v>208</v>
      </c>
      <c r="M2" t="s">
        <v>215</v>
      </c>
      <c r="N2" s="5" t="s">
        <v>132</v>
      </c>
      <c r="O2" s="5" t="s">
        <v>140</v>
      </c>
      <c r="P2" s="5" t="s">
        <v>141</v>
      </c>
      <c r="Q2" s="5" t="s">
        <v>142</v>
      </c>
      <c r="R2" s="5" t="s">
        <v>143</v>
      </c>
      <c r="S2" s="5" t="s">
        <v>135</v>
      </c>
    </row>
    <row r="3" spans="2:19">
      <c r="B3">
        <v>800</v>
      </c>
      <c r="C3" s="18" t="s">
        <v>488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489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490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509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508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505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507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301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310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I2" sqref="I2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535</v>
      </c>
      <c r="D1" s="14" t="s">
        <v>414</v>
      </c>
      <c r="E1" t="s">
        <v>46</v>
      </c>
      <c r="F1" t="s">
        <v>101</v>
      </c>
      <c r="G1" t="s">
        <v>126</v>
      </c>
      <c r="H1" t="s">
        <v>46</v>
      </c>
      <c r="I1" t="s">
        <v>101</v>
      </c>
      <c r="J1" t="s">
        <v>101</v>
      </c>
      <c r="K1" s="21" t="s">
        <v>514</v>
      </c>
      <c r="L1" t="s">
        <v>101</v>
      </c>
      <c r="M1" t="s">
        <v>126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534</v>
      </c>
      <c r="D2" s="17" t="s">
        <v>414</v>
      </c>
      <c r="E2" t="s">
        <v>130</v>
      </c>
      <c r="F2" s="21" t="s">
        <v>504</v>
      </c>
      <c r="G2" t="s">
        <v>303</v>
      </c>
      <c r="H2" t="s">
        <v>305</v>
      </c>
      <c r="I2" s="21" t="s">
        <v>540</v>
      </c>
      <c r="J2" t="s">
        <v>2</v>
      </c>
      <c r="K2" s="21" t="s">
        <v>515</v>
      </c>
      <c r="L2" t="s">
        <v>202</v>
      </c>
      <c r="M2" t="s">
        <v>197</v>
      </c>
      <c r="N2" t="s">
        <v>200</v>
      </c>
      <c r="O2" t="s">
        <v>302</v>
      </c>
      <c r="P2" t="s">
        <v>209</v>
      </c>
      <c r="Q2" t="s">
        <v>308</v>
      </c>
      <c r="R2" t="s">
        <v>306</v>
      </c>
      <c r="S2" t="s">
        <v>11</v>
      </c>
      <c r="T2" t="s">
        <v>311</v>
      </c>
      <c r="U2" s="5" t="s">
        <v>313</v>
      </c>
      <c r="V2" s="5" t="s">
        <v>331</v>
      </c>
    </row>
    <row r="3" spans="2:22">
      <c r="B3">
        <v>500</v>
      </c>
      <c r="C3" s="4" t="s">
        <v>40</v>
      </c>
      <c r="D3" s="18" t="s">
        <v>415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532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449</v>
      </c>
      <c r="D4" s="18" t="s">
        <v>417</v>
      </c>
      <c r="E4">
        <f>표14[적 기준 체력]*EnemyGameData[[#This Row],['#기준 적 체력 비율]]</f>
        <v>80</v>
      </c>
      <c r="F4">
        <v>10</v>
      </c>
      <c r="G4" t="s">
        <v>312</v>
      </c>
      <c r="H4">
        <v>6</v>
      </c>
      <c r="I4">
        <v>2</v>
      </c>
      <c r="J4">
        <v>2</v>
      </c>
      <c r="K4">
        <v>25</v>
      </c>
      <c r="L4">
        <v>1.8</v>
      </c>
      <c r="M4" t="s">
        <v>218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533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339</v>
      </c>
      <c r="D5" s="18" t="s">
        <v>420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125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533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246</v>
      </c>
      <c r="D6" s="18" t="s">
        <v>439</v>
      </c>
      <c r="E6">
        <f>표14[적 기준 체력]*EnemyGameData[[#This Row],['#기준 적 체력 비율]]</f>
        <v>80</v>
      </c>
      <c r="F6">
        <v>10</v>
      </c>
      <c r="G6" t="s">
        <v>312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125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533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237</v>
      </c>
      <c r="D7" s="26" t="s">
        <v>447</v>
      </c>
      <c r="E7" s="25">
        <f>표14[적 기준 체력]*EnemyGameData[[#This Row],['#기준 적 체력 비율]]</f>
        <v>80</v>
      </c>
      <c r="F7">
        <v>10</v>
      </c>
      <c r="G7" s="25" t="s">
        <v>312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125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533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238</v>
      </c>
      <c r="D8" s="26" t="s">
        <v>447</v>
      </c>
      <c r="E8" s="25">
        <f>표14[적 기준 체력]*EnemyGameData[[#This Row],['#기준 적 체력 비율]]</f>
        <v>100</v>
      </c>
      <c r="F8">
        <v>10</v>
      </c>
      <c r="G8" s="25" t="s">
        <v>312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125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533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241</v>
      </c>
      <c r="D9" s="18" t="s">
        <v>445</v>
      </c>
      <c r="E9">
        <f>표14[적 기준 체력]*EnemyGameData[[#This Row],['#기준 적 체력 비율]]</f>
        <v>100</v>
      </c>
      <c r="F9">
        <v>10</v>
      </c>
      <c r="G9" t="s">
        <v>312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125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533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363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125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451</v>
      </c>
      <c r="D11" s="18" t="s">
        <v>450</v>
      </c>
      <c r="E11">
        <f>표14[적 기준 체력]*EnemyGameData[[#This Row],['#기준 적 체력 비율]]</f>
        <v>80</v>
      </c>
      <c r="F11">
        <v>10</v>
      </c>
      <c r="G11" t="s">
        <v>312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218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533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443</v>
      </c>
      <c r="D12" s="18" t="s">
        <v>416</v>
      </c>
      <c r="E12">
        <f>표14[적 기준 체력]*EnemyGameData[[#This Row],['#기준 적 체력 비율]]</f>
        <v>140</v>
      </c>
      <c r="F12">
        <v>10</v>
      </c>
      <c r="G12" t="s">
        <v>312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218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533</v>
      </c>
      <c r="U12">
        <v>1.4</v>
      </c>
      <c r="V12">
        <v>7</v>
      </c>
    </row>
    <row r="13" spans="2:22">
      <c r="B13" s="37">
        <v>551</v>
      </c>
      <c r="C13" s="38" t="s">
        <v>441</v>
      </c>
      <c r="D13" s="38" t="s">
        <v>421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125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533</v>
      </c>
      <c r="U13" s="37">
        <v>1.6</v>
      </c>
      <c r="V13" s="37">
        <v>7</v>
      </c>
    </row>
    <row r="14" spans="2:22">
      <c r="B14">
        <v>552</v>
      </c>
      <c r="C14" s="18" t="s">
        <v>442</v>
      </c>
      <c r="D14" s="18" t="s">
        <v>440</v>
      </c>
      <c r="E14">
        <f>표14[적 기준 체력]*EnemyGameData[[#This Row],['#기준 적 체력 비율]]</f>
        <v>140</v>
      </c>
      <c r="F14">
        <v>10</v>
      </c>
      <c r="G14" t="s">
        <v>312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125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533</v>
      </c>
      <c r="U14">
        <v>1.4</v>
      </c>
      <c r="V14">
        <v>7</v>
      </c>
    </row>
    <row r="15" spans="2:22">
      <c r="B15">
        <v>553</v>
      </c>
      <c r="C15" s="19" t="s">
        <v>446</v>
      </c>
      <c r="D15" s="18" t="s">
        <v>444</v>
      </c>
      <c r="E15">
        <f>표14[적 기준 체력]*EnemyGameData[[#This Row],['#기준 적 체력 비율]]</f>
        <v>160</v>
      </c>
      <c r="F15">
        <v>10</v>
      </c>
      <c r="G15" t="s">
        <v>312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125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533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448</v>
      </c>
      <c r="D16" s="26" t="s">
        <v>447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532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126</v>
      </c>
      <c r="F1" t="s">
        <v>101</v>
      </c>
      <c r="G1" t="s">
        <v>101</v>
      </c>
      <c r="H1" s="14" t="s">
        <v>414</v>
      </c>
      <c r="I1" s="14" t="s">
        <v>414</v>
      </c>
    </row>
    <row r="2" spans="2:9">
      <c r="B2" t="s">
        <v>76</v>
      </c>
      <c r="C2" s="5" t="s">
        <v>43</v>
      </c>
      <c r="D2" t="s">
        <v>318</v>
      </c>
      <c r="E2" t="s">
        <v>128</v>
      </c>
      <c r="F2" t="s">
        <v>317</v>
      </c>
      <c r="G2" t="s">
        <v>314</v>
      </c>
      <c r="H2" s="14" t="s">
        <v>414</v>
      </c>
      <c r="I2" s="14" t="s">
        <v>473</v>
      </c>
    </row>
    <row r="3" spans="2:9">
      <c r="B3">
        <v>600</v>
      </c>
      <c r="C3" s="20" t="s">
        <v>465</v>
      </c>
      <c r="D3">
        <v>700</v>
      </c>
      <c r="E3" t="s">
        <v>154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422</v>
      </c>
      <c r="D4">
        <v>702</v>
      </c>
      <c r="E4" t="s">
        <v>150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422</v>
      </c>
      <c r="D5">
        <v>706</v>
      </c>
      <c r="E5" t="s">
        <v>150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422</v>
      </c>
      <c r="D6">
        <v>712</v>
      </c>
      <c r="E6" t="s">
        <v>150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422</v>
      </c>
      <c r="D7">
        <v>709</v>
      </c>
      <c r="E7" t="s">
        <v>150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422</v>
      </c>
      <c r="D8">
        <v>711</v>
      </c>
      <c r="E8" t="s">
        <v>150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422</v>
      </c>
      <c r="D9">
        <v>708</v>
      </c>
      <c r="E9" t="s">
        <v>150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422</v>
      </c>
      <c r="D10">
        <v>718</v>
      </c>
      <c r="E10" t="s">
        <v>150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422</v>
      </c>
      <c r="D11">
        <v>710</v>
      </c>
      <c r="E11" t="s">
        <v>150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422</v>
      </c>
      <c r="D12">
        <v>703</v>
      </c>
      <c r="E12" t="s">
        <v>150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461</v>
      </c>
      <c r="D13">
        <v>719</v>
      </c>
      <c r="E13" t="s">
        <v>150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156</v>
      </c>
      <c r="D14">
        <v>720</v>
      </c>
      <c r="E14" t="s">
        <v>150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469</v>
      </c>
      <c r="D15">
        <v>721</v>
      </c>
      <c r="E15" t="s">
        <v>150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469</v>
      </c>
      <c r="D16">
        <v>722</v>
      </c>
      <c r="E16" t="s">
        <v>150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469</v>
      </c>
      <c r="D17">
        <v>723</v>
      </c>
      <c r="E17" t="s">
        <v>150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460</v>
      </c>
      <c r="D18">
        <v>724</v>
      </c>
      <c r="E18" t="s">
        <v>150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344</v>
      </c>
      <c r="D19">
        <v>724</v>
      </c>
      <c r="E19" t="s">
        <v>150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344</v>
      </c>
      <c r="D20">
        <v>724</v>
      </c>
      <c r="E20" t="s">
        <v>150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344</v>
      </c>
      <c r="D21">
        <v>724</v>
      </c>
      <c r="E21" t="s">
        <v>150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459</v>
      </c>
      <c r="D22">
        <v>701</v>
      </c>
      <c r="E22" t="s">
        <v>154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466</v>
      </c>
      <c r="D23">
        <v>725</v>
      </c>
      <c r="E23" t="s">
        <v>154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467</v>
      </c>
      <c r="D24">
        <v>725</v>
      </c>
      <c r="E24" t="s">
        <v>154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468</v>
      </c>
      <c r="D25">
        <v>725</v>
      </c>
      <c r="E25" t="s">
        <v>154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495</v>
      </c>
      <c r="D26">
        <v>716</v>
      </c>
      <c r="E26" t="s">
        <v>150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495</v>
      </c>
      <c r="D27">
        <v>718</v>
      </c>
      <c r="E27" t="s">
        <v>150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495</v>
      </c>
      <c r="D28">
        <v>708</v>
      </c>
      <c r="E28" t="s">
        <v>150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495</v>
      </c>
      <c r="D29">
        <v>712</v>
      </c>
      <c r="E29" t="s">
        <v>150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495</v>
      </c>
      <c r="D30">
        <v>708</v>
      </c>
      <c r="E30" t="s">
        <v>150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495</v>
      </c>
      <c r="D31">
        <v>711</v>
      </c>
      <c r="E31" t="s">
        <v>150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495</v>
      </c>
      <c r="D32">
        <v>713</v>
      </c>
      <c r="E32" t="s">
        <v>150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495</v>
      </c>
      <c r="D33">
        <v>713</v>
      </c>
      <c r="E33" t="s">
        <v>150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495</v>
      </c>
      <c r="D34">
        <v>705</v>
      </c>
      <c r="E34" t="s">
        <v>150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495</v>
      </c>
      <c r="D35">
        <v>706</v>
      </c>
      <c r="E35" t="s">
        <v>150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495</v>
      </c>
      <c r="D36">
        <v>711</v>
      </c>
      <c r="E36" t="s">
        <v>150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495</v>
      </c>
      <c r="D37">
        <v>712</v>
      </c>
      <c r="E37" t="s">
        <v>150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495</v>
      </c>
      <c r="D38">
        <v>708</v>
      </c>
      <c r="E38" t="s">
        <v>150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495</v>
      </c>
      <c r="D39">
        <v>702</v>
      </c>
      <c r="E39" t="s">
        <v>150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495</v>
      </c>
      <c r="D40">
        <v>708</v>
      </c>
      <c r="E40" t="s">
        <v>150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495</v>
      </c>
      <c r="D41">
        <v>717</v>
      </c>
      <c r="E41" t="s">
        <v>150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470</v>
      </c>
      <c r="D42">
        <v>726</v>
      </c>
      <c r="E42" t="s">
        <v>150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471</v>
      </c>
      <c r="D43">
        <v>726</v>
      </c>
      <c r="E43" t="s">
        <v>150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472</v>
      </c>
      <c r="D44">
        <v>726</v>
      </c>
      <c r="E44" t="s">
        <v>150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454</v>
      </c>
      <c r="D45">
        <v>700</v>
      </c>
      <c r="E45" t="s">
        <v>150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454</v>
      </c>
      <c r="D46">
        <v>701</v>
      </c>
      <c r="E46" t="s">
        <v>150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454</v>
      </c>
      <c r="D47">
        <v>700</v>
      </c>
      <c r="E47" t="s">
        <v>150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454</v>
      </c>
      <c r="D48">
        <v>701</v>
      </c>
      <c r="E48" t="s">
        <v>150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454</v>
      </c>
      <c r="D49">
        <v>700</v>
      </c>
      <c r="E49" t="s">
        <v>150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454</v>
      </c>
      <c r="D50">
        <v>701</v>
      </c>
      <c r="E50" t="s">
        <v>150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454</v>
      </c>
      <c r="D51">
        <v>700</v>
      </c>
      <c r="E51" t="s">
        <v>150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454</v>
      </c>
      <c r="D52">
        <v>701</v>
      </c>
      <c r="E52" t="s">
        <v>150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454</v>
      </c>
      <c r="D53">
        <v>700</v>
      </c>
      <c r="E53" t="s">
        <v>150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454</v>
      </c>
      <c r="D54">
        <v>701</v>
      </c>
      <c r="E54" t="s">
        <v>150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454</v>
      </c>
      <c r="D55">
        <v>700</v>
      </c>
      <c r="E55" t="s">
        <v>150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454</v>
      </c>
      <c r="D56">
        <v>727</v>
      </c>
      <c r="E56" t="s">
        <v>150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455</v>
      </c>
      <c r="D57">
        <v>725</v>
      </c>
      <c r="E57" s="21" t="s">
        <v>452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455</v>
      </c>
      <c r="D58">
        <v>725</v>
      </c>
      <c r="E58" s="21" t="s">
        <v>452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456</v>
      </c>
      <c r="D59">
        <v>999</v>
      </c>
      <c r="E59" s="21" t="s">
        <v>453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126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319</v>
      </c>
      <c r="E2" t="s">
        <v>11</v>
      </c>
      <c r="F2" t="s">
        <v>219</v>
      </c>
      <c r="G2" t="s">
        <v>322</v>
      </c>
    </row>
    <row r="3" spans="2:7">
      <c r="B3">
        <v>700</v>
      </c>
      <c r="C3" s="4" t="s">
        <v>337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337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337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337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229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229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229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229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425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426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427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428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429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430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431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432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433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434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435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423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436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424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437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438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462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231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231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231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231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231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231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231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231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235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235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235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235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235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235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235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235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419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419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418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418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418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418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418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418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338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513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513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512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512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512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512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512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512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513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513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512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512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512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512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512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512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457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133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334</v>
      </c>
      <c r="E2" t="s">
        <v>170</v>
      </c>
      <c r="F2" t="s">
        <v>304</v>
      </c>
      <c r="G2" t="s">
        <v>311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369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368</v>
      </c>
    </row>
    <row r="5" spans="2:7">
      <c r="B5">
        <v>501</v>
      </c>
      <c r="C5" s="4" t="s">
        <v>153</v>
      </c>
      <c r="D5" s="3" t="b">
        <v>0</v>
      </c>
      <c r="E5">
        <v>1</v>
      </c>
      <c r="F5">
        <v>60</v>
      </c>
      <c r="G5" t="s">
        <v>368</v>
      </c>
    </row>
    <row r="6" spans="2:7">
      <c r="B6">
        <v>400</v>
      </c>
      <c r="C6" s="4" t="s">
        <v>134</v>
      </c>
      <c r="D6" s="3" t="b">
        <v>0</v>
      </c>
      <c r="E6">
        <v>0.25</v>
      </c>
      <c r="F6">
        <v>25</v>
      </c>
      <c r="G6" t="s">
        <v>368</v>
      </c>
    </row>
    <row r="7" spans="2:7">
      <c r="B7">
        <v>401</v>
      </c>
      <c r="C7" s="4" t="s">
        <v>346</v>
      </c>
      <c r="D7" s="3" t="b">
        <v>1</v>
      </c>
      <c r="E7">
        <v>0.25</v>
      </c>
      <c r="F7">
        <v>25</v>
      </c>
      <c r="G7" t="s">
        <v>368</v>
      </c>
    </row>
    <row r="8" spans="2:7">
      <c r="B8">
        <v>402</v>
      </c>
      <c r="C8" s="4" t="s">
        <v>131</v>
      </c>
      <c r="D8" s="3" t="b">
        <v>0</v>
      </c>
      <c r="E8">
        <v>0.4</v>
      </c>
      <c r="F8">
        <v>25</v>
      </c>
      <c r="G8" t="s">
        <v>368</v>
      </c>
    </row>
    <row r="9" spans="2:7">
      <c r="B9">
        <v>403</v>
      </c>
      <c r="C9" s="18" t="s">
        <v>463</v>
      </c>
      <c r="D9" s="3" t="b">
        <v>0</v>
      </c>
      <c r="E9">
        <v>0.8</v>
      </c>
      <c r="F9">
        <v>25</v>
      </c>
      <c r="G9" t="s">
        <v>368</v>
      </c>
    </row>
    <row r="10" spans="2:7">
      <c r="B10">
        <v>404</v>
      </c>
      <c r="C10" s="18" t="s">
        <v>464</v>
      </c>
      <c r="D10" s="3" t="b">
        <v>1</v>
      </c>
      <c r="E10">
        <v>0.8</v>
      </c>
      <c r="F10">
        <v>25</v>
      </c>
      <c r="G10" t="s">
        <v>368</v>
      </c>
    </row>
    <row r="11" spans="2:7">
      <c r="B11">
        <v>999</v>
      </c>
      <c r="C11" s="23" t="s">
        <v>458</v>
      </c>
      <c r="D11" t="b">
        <v>1</v>
      </c>
      <c r="E11">
        <v>1</v>
      </c>
      <c r="F11">
        <v>25</v>
      </c>
      <c r="G11" s="21" t="s">
        <v>503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I19" sqref="I19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165</v>
      </c>
      <c r="E2" t="s">
        <v>284</v>
      </c>
      <c r="F2" t="s">
        <v>89</v>
      </c>
      <c r="G2" t="s">
        <v>93</v>
      </c>
      <c r="H2" t="s">
        <v>285</v>
      </c>
      <c r="I2" t="s">
        <v>16</v>
      </c>
      <c r="J2" t="s">
        <v>195</v>
      </c>
      <c r="K2" s="5" t="s">
        <v>358</v>
      </c>
      <c r="L2" s="1" t="s">
        <v>49</v>
      </c>
      <c r="M2" s="1" t="s">
        <v>396</v>
      </c>
      <c r="N2" s="1" t="s">
        <v>397</v>
      </c>
      <c r="O2" s="1" t="s">
        <v>398</v>
      </c>
      <c r="P2" s="28" t="s">
        <v>496</v>
      </c>
      <c r="Q2" s="28" t="s">
        <v>487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343</v>
      </c>
      <c r="D8" s="14" t="s">
        <v>400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258</v>
      </c>
      <c r="K8" s="4" t="str">
        <f>MID(ItemTable[[#This Row],[ItemIconPath]],FIND("icon",ItemTable[[#This Row],[ItemIconPath]]),999)</f>
        <v>icon/item/item_02.png</v>
      </c>
      <c r="L8" s="16" t="s">
        <v>383</v>
      </c>
      <c r="M8" s="15" t="s">
        <v>359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160</v>
      </c>
      <c r="D9" t="s">
        <v>401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261</v>
      </c>
      <c r="K9" s="4" t="str">
        <f>MID(ItemTable[[#This Row],[ItemIconPath]],FIND("icon",ItemTable[[#This Row],[ItemIconPath]]),999)</f>
        <v>icon/item/item_04.png</v>
      </c>
      <c r="L9" s="16" t="s">
        <v>399</v>
      </c>
      <c r="M9" s="15" t="s">
        <v>366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163</v>
      </c>
      <c r="D10" t="s">
        <v>402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255</v>
      </c>
      <c r="K10" s="4" t="str">
        <f>MID(ItemTable[[#This Row],[ItemIconPath]],FIND("icon",ItemTable[[#This Row],[ItemIconPath]]),999)</f>
        <v>icon/item/item_05.png</v>
      </c>
      <c r="L10" s="16" t="s">
        <v>381</v>
      </c>
      <c r="M10" s="15" t="s">
        <v>355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162</v>
      </c>
      <c r="D11" t="s">
        <v>403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253</v>
      </c>
      <c r="K11" s="4" t="str">
        <f>MID(ItemTable[[#This Row],[ItemIconPath]],FIND("icon",ItemTable[[#This Row],[ItemIconPath]]),999)</f>
        <v>icon/item/item_07.png</v>
      </c>
      <c r="L11" s="16" t="s">
        <v>382</v>
      </c>
      <c r="M11" s="15" t="s">
        <v>354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158</v>
      </c>
      <c r="D12" s="30" t="s">
        <v>516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256</v>
      </c>
      <c r="K12" s="4" t="str">
        <f>MID(ItemTable[[#This Row],[ItemIconPath]],FIND("icon",ItemTable[[#This Row],[ItemIconPath]]),999)</f>
        <v>icon/item/item_11.png</v>
      </c>
      <c r="L12" s="16" t="s">
        <v>499</v>
      </c>
      <c r="M12" s="16" t="s">
        <v>491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164</v>
      </c>
      <c r="D13" t="s">
        <v>404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257</v>
      </c>
      <c r="K13" s="4" t="str">
        <f>MID(ItemTable[[#This Row],[ItemIconPath]],FIND("icon",ItemTable[[#This Row],[ItemIconPath]]),999)</f>
        <v>icon/item/item_15.png</v>
      </c>
      <c r="L13" s="16" t="s">
        <v>395</v>
      </c>
      <c r="M13" s="15" t="s">
        <v>352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501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259</v>
      </c>
      <c r="K14" s="4" t="str">
        <f>MID(ItemTable[[#This Row],[ItemIconPath]],FIND("icon",ItemTable[[#This Row],[ItemIconPath]]),999)</f>
        <v>icon/item/item_17.png</v>
      </c>
      <c r="L14" s="16" t="s">
        <v>412</v>
      </c>
      <c r="M14" s="16" t="s">
        <v>492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500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384</v>
      </c>
      <c r="D15" t="s">
        <v>413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262</v>
      </c>
      <c r="K15" s="4" t="str">
        <f>MID(ItemTable[[#This Row],[ItemIconPath]],FIND("icon",ItemTable[[#This Row],[ItemIconPath]]),999)</f>
        <v>icon/item/item_12.png</v>
      </c>
      <c r="L15" s="16" t="s">
        <v>411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494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264</v>
      </c>
      <c r="K16" s="4" t="str">
        <f>MID(ItemTable[[#This Row],[ItemIconPath]],FIND("icon",ItemTable[[#This Row],[ItemIconPath]]),999)</f>
        <v>icon/item/item_09.png</v>
      </c>
      <c r="L16" s="16" t="s">
        <v>394</v>
      </c>
      <c r="M16" s="16" t="s">
        <v>493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340</v>
      </c>
      <c r="D17" t="s">
        <v>405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265</v>
      </c>
      <c r="K17" s="4" t="str">
        <f>MID(ItemTable[[#This Row],[ItemIconPath]],FIND("icon",ItemTable[[#This Row],[ItemIconPath]]),999)</f>
        <v>icon/item/item_10.png</v>
      </c>
      <c r="L17" s="16" t="s">
        <v>385</v>
      </c>
      <c r="M17" s="15" t="s">
        <v>351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357</v>
      </c>
      <c r="D18" t="s">
        <v>406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266</v>
      </c>
      <c r="K18" s="4" t="str">
        <f>MID(ItemTable[[#This Row],[ItemIconPath]],FIND("icon",ItemTable[[#This Row],[ItemIconPath]]),999)</f>
        <v>icon/item/item_16.png</v>
      </c>
      <c r="L18" s="16" t="s">
        <v>389</v>
      </c>
      <c r="M18" s="15" t="s">
        <v>353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166</v>
      </c>
      <c r="D19" t="s">
        <v>407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268</v>
      </c>
      <c r="K19" s="4" t="str">
        <f>MID(ItemTable[[#This Row],[ItemIconPath]],FIND("icon",ItemTable[[#This Row],[ItemIconPath]]),999)</f>
        <v>icon/item/item_03.png</v>
      </c>
      <c r="L19" s="16" t="s">
        <v>386</v>
      </c>
      <c r="M19" s="16" t="s">
        <v>390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161</v>
      </c>
      <c r="D20" t="s">
        <v>408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277</v>
      </c>
      <c r="K20" s="4" t="str">
        <f>MID(ItemTable[[#This Row],[ItemIconPath]],FIND("icon",ItemTable[[#This Row],[ItemIconPath]]),999)</f>
        <v>icon/item/item_06.png</v>
      </c>
      <c r="L20" s="16" t="s">
        <v>393</v>
      </c>
      <c r="M20" s="15" t="s">
        <v>365</v>
      </c>
      <c r="N20" s="15" t="s">
        <v>361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157</v>
      </c>
      <c r="D21" s="14" t="s">
        <v>517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280</v>
      </c>
      <c r="K21" s="4" t="str">
        <f>MID(ItemTable[[#This Row],[ItemIconPath]],FIND("icon",ItemTable[[#This Row],[ItemIconPath]]),999)</f>
        <v>icon/item/item_08.png</v>
      </c>
      <c r="L21" s="16" t="s">
        <v>387</v>
      </c>
      <c r="M21" s="15" t="s">
        <v>360</v>
      </c>
      <c r="N21" s="15" t="s">
        <v>362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349</v>
      </c>
      <c r="D22" t="s">
        <v>497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278</v>
      </c>
      <c r="K22" s="4" t="str">
        <f>MID(ItemTable[[#This Row],[ItemIconPath]],FIND("icon",ItemTable[[#This Row],[ItemIconPath]]),999)</f>
        <v>icon/item/item_14.png</v>
      </c>
      <c r="L22" s="16" t="s">
        <v>392</v>
      </c>
      <c r="M22" s="16" t="s">
        <v>486</v>
      </c>
      <c r="N22" s="15" t="s">
        <v>244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498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341</v>
      </c>
      <c r="D23" t="s">
        <v>409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279</v>
      </c>
      <c r="K23" s="4" t="str">
        <f>MID(ItemTable[[#This Row],[ItemIconPath]],FIND("icon",ItemTable[[#This Row],[ItemIconPath]]),999)</f>
        <v>icon/item/item_01.png</v>
      </c>
      <c r="L23" s="16" t="s">
        <v>388</v>
      </c>
      <c r="M23" s="15" t="s">
        <v>356</v>
      </c>
      <c r="N23" s="15" t="s">
        <v>364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502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263</v>
      </c>
      <c r="K24" s="4" t="str">
        <f>MID(ItemTable[[#This Row],[ItemIconPath]],FIND("icon",ItemTable[[#This Row],[ItemIconPath]]),999)</f>
        <v>icon/item/item_13.png</v>
      </c>
      <c r="L24" s="16" t="s">
        <v>410</v>
      </c>
      <c r="M24" s="16" t="s">
        <v>391</v>
      </c>
      <c r="N24" s="15" t="s">
        <v>367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6" spans="2:17">
      <c r="I26" s="14"/>
    </row>
    <row r="27" spans="2:17">
      <c r="I27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"/>
  <sheetViews>
    <sheetView tabSelected="1" topLeftCell="B1" zoomScale="129" zoomScaleNormal="129" zoomScaleSheetLayoutView="100" workbookViewId="0">
      <selection activeCell="I8" sqref="I8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22.5" customWidth="1"/>
    <col min="9" max="9" width="21.6640625" bestFit="1" customWidth="1"/>
    <col min="10" max="10" width="22.83203125" bestFit="1" customWidth="1"/>
    <col min="11" max="11" width="17.83203125" customWidth="1"/>
  </cols>
  <sheetData>
    <row r="1" spans="2:11">
      <c r="E1" t="s">
        <v>46</v>
      </c>
      <c r="F1" t="s">
        <v>126</v>
      </c>
      <c r="G1" s="21" t="s">
        <v>514</v>
      </c>
      <c r="H1" s="21" t="s">
        <v>519</v>
      </c>
      <c r="I1" t="s">
        <v>126</v>
      </c>
      <c r="J1" t="s">
        <v>126</v>
      </c>
      <c r="K1" s="21" t="s">
        <v>519</v>
      </c>
    </row>
    <row r="2" spans="2:11">
      <c r="B2" s="5" t="s">
        <v>124</v>
      </c>
      <c r="C2" s="5" t="s">
        <v>127</v>
      </c>
      <c r="D2" s="5" t="s">
        <v>129</v>
      </c>
      <c r="E2" t="s">
        <v>76</v>
      </c>
      <c r="F2" s="21" t="s">
        <v>541</v>
      </c>
      <c r="G2" s="21" t="s">
        <v>542</v>
      </c>
      <c r="H2" s="21" t="s">
        <v>520</v>
      </c>
      <c r="I2" s="21" t="s">
        <v>521</v>
      </c>
      <c r="J2" s="21" t="s">
        <v>523</v>
      </c>
      <c r="K2" s="39" t="s">
        <v>524</v>
      </c>
    </row>
    <row r="3" spans="2:11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 s="21">
        <v>7000</v>
      </c>
      <c r="F3" s="21" t="s">
        <v>518</v>
      </c>
      <c r="G3" s="11">
        <v>7000</v>
      </c>
      <c r="H3">
        <v>0.7</v>
      </c>
      <c r="I3" s="21" t="s">
        <v>522</v>
      </c>
      <c r="J3" s="21" t="s">
        <v>543</v>
      </c>
      <c r="K3">
        <v>0.5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"/>
  <sheetViews>
    <sheetView zoomScale="129" zoomScaleNormal="129" zoomScaleSheetLayoutView="100" workbookViewId="0">
      <selection activeCell="F8" sqref="F8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1.1640625" customWidth="1"/>
    <col min="5" max="5" width="22" customWidth="1"/>
    <col min="6" max="6" width="18.33203125" customWidth="1"/>
  </cols>
  <sheetData>
    <row r="1" spans="2:6">
      <c r="B1" t="s">
        <v>46</v>
      </c>
      <c r="C1" t="s">
        <v>126</v>
      </c>
      <c r="D1" s="21" t="s">
        <v>535</v>
      </c>
      <c r="E1" s="21" t="s">
        <v>537</v>
      </c>
      <c r="F1" s="21" t="s">
        <v>530</v>
      </c>
    </row>
    <row r="2" spans="2:6">
      <c r="B2" t="s">
        <v>76</v>
      </c>
      <c r="C2" s="21" t="s">
        <v>525</v>
      </c>
      <c r="D2" s="21" t="s">
        <v>536</v>
      </c>
      <c r="E2" s="1" t="s">
        <v>13</v>
      </c>
      <c r="F2" s="39" t="s">
        <v>538</v>
      </c>
    </row>
    <row r="3" spans="2:6">
      <c r="B3" s="21">
        <v>7000</v>
      </c>
      <c r="C3" s="21" t="s">
        <v>539</v>
      </c>
      <c r="D3" s="11">
        <v>2</v>
      </c>
      <c r="E3" t="s">
        <v>350</v>
      </c>
      <c r="F3">
        <v>3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3"/>
  <sheetViews>
    <sheetView zoomScale="129" zoomScaleNormal="129" zoomScaleSheetLayoutView="100" workbookViewId="0">
      <selection activeCell="D6" sqref="D6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126</v>
      </c>
      <c r="D1" s="21" t="s">
        <v>519</v>
      </c>
      <c r="E1" s="21" t="s">
        <v>530</v>
      </c>
      <c r="F1" s="21" t="s">
        <v>530</v>
      </c>
    </row>
    <row r="2" spans="2:6">
      <c r="B2" t="s">
        <v>76</v>
      </c>
      <c r="C2" s="21" t="s">
        <v>526</v>
      </c>
      <c r="D2" s="21" t="s">
        <v>527</v>
      </c>
      <c r="E2" s="39" t="s">
        <v>528</v>
      </c>
      <c r="F2" s="39" t="s">
        <v>529</v>
      </c>
    </row>
    <row r="3" spans="2:6">
      <c r="B3" s="21">
        <v>7000</v>
      </c>
      <c r="C3" s="21" t="s">
        <v>531</v>
      </c>
      <c r="D3" s="11">
        <v>0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221</v>
      </c>
      <c r="F2" t="s">
        <v>222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325</v>
      </c>
      <c r="E3" t="s">
        <v>57</v>
      </c>
      <c r="F3" t="s">
        <v>250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300</v>
      </c>
      <c r="F4" t="s">
        <v>377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325</v>
      </c>
      <c r="E5" t="s">
        <v>57</v>
      </c>
      <c r="F5" t="s">
        <v>375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299</v>
      </c>
      <c r="E6" t="s">
        <v>201</v>
      </c>
      <c r="F6" t="s">
        <v>184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326</v>
      </c>
      <c r="E7" t="s">
        <v>307</v>
      </c>
      <c r="F7" t="s">
        <v>379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325</v>
      </c>
      <c r="E8" t="s">
        <v>57</v>
      </c>
      <c r="F8" t="s">
        <v>378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326</v>
      </c>
      <c r="E9" t="s">
        <v>307</v>
      </c>
      <c r="F9" t="s">
        <v>272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289</v>
      </c>
      <c r="C2" t="s">
        <v>287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136</v>
      </c>
      <c r="C9" t="s">
        <v>137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315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288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293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192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173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371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191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380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190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187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185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205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189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175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178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213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176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180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179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169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174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172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177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ActiveEffectGameData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2023-07-23T06:45:42Z</dcterms:modified>
  <cp:version>1200.0100.01</cp:version>
</cp:coreProperties>
</file>