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B09F56ED-A01F-4338-9F99-B02CDC6D34ED}" xr6:coauthVersionLast="47" xr6:coauthVersionMax="47" xr10:uidLastSave="{00000000-0000-0000-0000-000000000000}"/>
  <bookViews>
    <workbookView xWindow="-120" yWindow="-120" windowWidth="29040" windowHeight="15840" firstSheet="14" activeTab="17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6" l="1"/>
  <c r="B30" i="16"/>
  <c r="B38" i="16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" i="13"/>
  <c r="O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5" i="16"/>
  <c r="B5" i="16" s="1"/>
  <c r="I3" i="16"/>
  <c r="B3" i="16" s="1"/>
  <c r="I4" i="16"/>
  <c r="B4" i="16" s="1"/>
  <c r="I6" i="16"/>
  <c r="B6" i="16" s="1"/>
  <c r="I14" i="16"/>
  <c r="B14" i="16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M32" i="13"/>
  <c r="M33" i="13"/>
  <c r="M27" i="13"/>
  <c r="K27" i="13" a="1"/>
  <c r="K27" i="13" s="1"/>
  <c r="I27" i="13" a="1"/>
  <c r="I27" i="13" s="1"/>
  <c r="M26" i="13"/>
  <c r="K26" i="13" a="1"/>
  <c r="K26" i="13" s="1"/>
  <c r="I26" i="13" a="1"/>
  <c r="I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M20" i="13"/>
  <c r="I20" i="13" a="1"/>
  <c r="I20" i="13" s="1"/>
  <c r="P12" i="13" l="1"/>
  <c r="P13" i="13"/>
  <c r="P19" i="13"/>
  <c r="P11" i="13"/>
  <c r="P21" i="13"/>
  <c r="P18" i="13"/>
  <c r="P10" i="13"/>
  <c r="P17" i="13"/>
  <c r="P9" i="13"/>
  <c r="Q13" i="13"/>
  <c r="P16" i="13"/>
  <c r="P8" i="13"/>
  <c r="P15" i="13"/>
  <c r="P22" i="13"/>
  <c r="P14" i="13"/>
  <c r="P20" i="13"/>
  <c r="P29" i="13"/>
  <c r="Q20" i="13"/>
  <c r="Q12" i="13"/>
  <c r="Q11" i="13"/>
  <c r="P27" i="13"/>
  <c r="Q18" i="13"/>
  <c r="Q10" i="13"/>
  <c r="Q19" i="13"/>
  <c r="P26" i="13"/>
  <c r="Q17" i="13"/>
  <c r="Q9" i="13"/>
  <c r="P28" i="13"/>
  <c r="P33" i="13"/>
  <c r="P25" i="13"/>
  <c r="Q16" i="13"/>
  <c r="Q8" i="13"/>
  <c r="P32" i="13"/>
  <c r="P24" i="13"/>
  <c r="Q15" i="13"/>
  <c r="P31" i="13"/>
  <c r="P23" i="13"/>
  <c r="Q22" i="13"/>
  <c r="Q14" i="13"/>
  <c r="P30" i="13"/>
  <c r="Q21" i="13"/>
  <c r="S7" i="13"/>
  <c r="S15" i="13"/>
  <c r="S23" i="13"/>
  <c r="S31" i="13"/>
  <c r="R8" i="13"/>
  <c r="R16" i="13"/>
  <c r="R24" i="13"/>
  <c r="R32" i="13"/>
  <c r="Q25" i="13"/>
  <c r="Q33" i="13"/>
  <c r="S8" i="13"/>
  <c r="S16" i="13"/>
  <c r="S24" i="13"/>
  <c r="S32" i="13"/>
  <c r="R9" i="13"/>
  <c r="R17" i="13"/>
  <c r="R25" i="13"/>
  <c r="R33" i="13"/>
  <c r="Q26" i="13"/>
  <c r="P4" i="13"/>
  <c r="Q30" i="13"/>
  <c r="S9" i="13"/>
  <c r="S17" i="13"/>
  <c r="S25" i="13"/>
  <c r="S33" i="13"/>
  <c r="R10" i="13"/>
  <c r="R18" i="13"/>
  <c r="R26" i="13"/>
  <c r="Q3" i="13"/>
  <c r="Q27" i="13"/>
  <c r="P5" i="13"/>
  <c r="S12" i="13"/>
  <c r="S20" i="13"/>
  <c r="S28" i="13"/>
  <c r="R5" i="13"/>
  <c r="R13" i="13"/>
  <c r="Q6" i="13"/>
  <c r="S10" i="13"/>
  <c r="S18" i="13"/>
  <c r="S26" i="13"/>
  <c r="R3" i="13"/>
  <c r="R11" i="13"/>
  <c r="R19" i="13"/>
  <c r="R27" i="13"/>
  <c r="Q4" i="13"/>
  <c r="Q28" i="13"/>
  <c r="P6" i="13"/>
  <c r="R21" i="13"/>
  <c r="S3" i="13"/>
  <c r="S11" i="13"/>
  <c r="S19" i="13"/>
  <c r="S27" i="13"/>
  <c r="R4" i="13"/>
  <c r="R12" i="13"/>
  <c r="R20" i="13"/>
  <c r="R28" i="13"/>
  <c r="Q5" i="13"/>
  <c r="Q29" i="13"/>
  <c r="P7" i="13"/>
  <c r="S4" i="13"/>
  <c r="R29" i="13"/>
  <c r="S5" i="13"/>
  <c r="S13" i="13"/>
  <c r="S21" i="13"/>
  <c r="S29" i="13"/>
  <c r="R6" i="13"/>
  <c r="R14" i="13"/>
  <c r="R22" i="13"/>
  <c r="R30" i="13"/>
  <c r="Q7" i="13"/>
  <c r="Q23" i="13"/>
  <c r="Q31" i="13"/>
  <c r="P3" i="13"/>
  <c r="S6" i="13"/>
  <c r="S14" i="13"/>
  <c r="S22" i="13"/>
  <c r="S30" i="13"/>
  <c r="R7" i="13"/>
  <c r="R15" i="13"/>
  <c r="R23" i="13"/>
  <c r="R31" i="13"/>
  <c r="Q24" i="13"/>
  <c r="Q32" i="13"/>
  <c r="H22" i="19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B9" i="13" l="1" a="1"/>
  <c r="B9" i="13" s="1"/>
  <c r="B15" i="13" a="1"/>
  <c r="B15" i="13" s="1"/>
  <c r="B16" i="13" s="1" a="1"/>
  <c r="B16" i="13" s="1"/>
  <c r="G35" i="2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4" i="13" a="1"/>
  <c r="B4" i="13" s="1"/>
  <c r="K3" i="13" a="1"/>
  <c r="K3" i="13" s="1"/>
  <c r="P7" i="3"/>
  <c r="B6" i="13" a="1"/>
  <c r="B6" i="13" s="1"/>
  <c r="K5" i="13" a="1"/>
  <c r="K5" i="13" s="1"/>
  <c r="K8" i="13" a="1"/>
  <c r="K8" i="13" s="1"/>
  <c r="K9" i="13" l="1" a="1"/>
  <c r="K9" i="13" s="1"/>
  <c r="B10" i="13" a="1"/>
  <c r="B10" i="13" s="1"/>
  <c r="B11" i="13" s="1" a="1"/>
  <c r="B11" i="13" s="1"/>
  <c r="K16" i="13" a="1"/>
  <c r="K16" i="13" s="1"/>
  <c r="K15" i="13" a="1"/>
  <c r="K15" i="13" s="1"/>
  <c r="M13" i="2"/>
  <c r="M14" i="2"/>
  <c r="L14" i="2"/>
  <c r="L15" i="2"/>
  <c r="L13" i="2"/>
  <c r="S7" i="3"/>
  <c r="B7" i="13" a="1"/>
  <c r="B7" i="13" s="1"/>
  <c r="K6" i="13" a="1"/>
  <c r="K6" i="13" s="1"/>
  <c r="B17" i="13" a="1"/>
  <c r="B17" i="13" s="1"/>
  <c r="K24" i="13" a="1"/>
  <c r="K24" i="13" s="1"/>
  <c r="K4" i="13" a="1"/>
  <c r="K4" i="13" s="1"/>
  <c r="K11" i="13" l="1" a="1"/>
  <c r="K11" i="13" s="1"/>
  <c r="K10" i="13" a="1"/>
  <c r="K10" i="13" s="1"/>
  <c r="K17" i="13" a="1"/>
  <c r="K17" i="13" s="1"/>
  <c r="M16" i="2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K7" i="13" a="1"/>
  <c r="K7" i="13" s="1"/>
  <c r="B12" i="13" a="1"/>
  <c r="B12" i="13" s="1"/>
  <c r="B18" i="13" a="1"/>
  <c r="B18" i="13" s="1"/>
  <c r="K25" i="13" a="1"/>
  <c r="K25" i="13" s="1"/>
  <c r="K18" i="13" l="1" a="1"/>
  <c r="K18" i="13" s="1"/>
  <c r="K12" i="13" a="1"/>
  <c r="K12" i="13" s="1"/>
  <c r="B7" i="14" s="1"/>
  <c r="B7" i="19" s="1"/>
  <c r="C4" i="14"/>
  <c r="M18" i="2"/>
  <c r="B5" i="14"/>
  <c r="B5" i="19" s="1"/>
  <c r="B6" i="14"/>
  <c r="B6" i="19" s="1"/>
  <c r="C5" i="14"/>
  <c r="B3" i="14"/>
  <c r="B3" i="19" s="1"/>
  <c r="B4" i="14"/>
  <c r="B4" i="19" s="1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B13" i="13" a="1"/>
  <c r="B13" i="13" s="1"/>
  <c r="B19" i="13" a="1"/>
  <c r="B19" i="13" s="1"/>
  <c r="C7" i="14" l="1"/>
  <c r="B20" i="13" a="1"/>
  <c r="B20" i="13" s="1"/>
  <c r="K20" i="13" s="1" a="1"/>
  <c r="K20" i="13" s="1"/>
  <c r="K13" i="13" a="1"/>
  <c r="K13" i="13" s="1"/>
  <c r="B9" i="14" s="1"/>
  <c r="B9" i="19" s="1"/>
  <c r="K19" i="13" a="1"/>
  <c r="K19" i="13" s="1"/>
  <c r="C14" i="14" s="1"/>
  <c r="B13" i="14"/>
  <c r="B12" i="19" s="1"/>
  <c r="B8" i="14"/>
  <c r="C11" i="14" l="1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<sst xmlns="http://schemas.openxmlformats.org/spreadsheetml/2006/main" count="1486" uniqueCount="722">
  <si>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</si>
  <si>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</si>
  <si>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</si>
  <si>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</si>
  <si>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</si>
  <si>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</si>
  <si>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</si>
  <si>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</si>
  <si>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</si>
  <si>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</si>
  <si>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</si>
  <si>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</si>
  <si>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</si>
  <si>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</si>
  <si>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</si>
  <si>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</si>
  <si>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</si>
  <si>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</si>
  <si>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</si>
  <si>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</si>
  <si>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</si>
  <si>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</si>
  <si>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</si>
  <si>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</si>
  <si>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</si>
  <si>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</si>
  <si>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</si>
  <si>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</si>
  <si>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</si>
  <si>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</si>
  <si>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</si>
  <si>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</si>
  <si>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</si>
  <si>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</si>
  <si>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</si>
  <si>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</si>
  <si>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</si>
  <si>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</si>
  <si>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</si>
  <si>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</si>
  <si>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</si>
  <si>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</si>
  <si>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</si>
  <si>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</si>
  <si>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</si>
  <si>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</si>
  <si>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</si>
  <si>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</si>
  <si>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</si>
  <si>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</si>
  <si>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</si>
  <si>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</si>
  <si>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</si>
  <si>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</si>
  <si>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</si>
  <si>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</si>
  <si>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</si>
  <si>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</si>
  <si>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</si>
  <si>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</si>
  <si>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</si>
  <si>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</si>
  <si>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</si>
  <si>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</si>
  <si>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</si>
  <si>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</si>
  <si>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</si>
  <si>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</si>
  <si>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</si>
  <si>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</si>
  <si>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</si>
  <si>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</si>
  <si>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</si>
  <si>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</si>
  <si>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</si>
  <si>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</si>
  <si>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</si>
  <si>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</si>
  <si>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</si>
  <si>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</si>
  <si>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</si>
  <si>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</si>
  <si>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</si>
  <si>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</si>
  <si>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</si>
  <si>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</si>
  <si>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</si>
  <si>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</si>
  <si>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</si>
  <si>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</si>
  <si>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</si>
  <si>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</si>
  <si>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</si>
  <si>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</si>
  <si>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</si>
  <si>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</si>
  <si>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</si>
  <si>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</si>
  <si>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</si>
  <si>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</si>
  <si>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</si>
  <si>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</si>
  <si>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</si>
  <si>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</si>
  <si>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</si>
  <si>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</si>
  <si>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</si>
  <si>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</si>
  <si>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</si>
  <si>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</si>
  <si>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</si>
  <si>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</si>
  <si>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</si>
  <si>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</si>
  <si>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</si>
  <si>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</si>
  <si>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</si>
  <si>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</si>
  <si>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</si>
  <si>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</si>
  <si>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</si>
  <si>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</si>
  <si>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</si>
  <si>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</si>
  <si>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</si>
  <si>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</si>
  <si>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</si>
  <si>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</si>
  <si>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</si>
  <si>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</si>
  <si>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</si>
  <si>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</si>
  <si>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</si>
  <si>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</si>
  <si>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</si>
  <si>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</si>
  <si>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</si>
  <si>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</si>
  <si>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</si>
  <si>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</si>
  <si>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</si>
  <si>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</si>
  <si>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</si>
  <si>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</si>
  <si>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</si>
  <si>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</si>
  <si>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</si>
  <si>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</si>
  <si>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</si>
  <si>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</si>
  <si>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</si>
  <si>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</si>
  <si>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</si>
  <si>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</si>
  <si>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</si>
  <si>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</si>
  <si>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</si>
  <si>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</si>
  <si>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</si>
  <si>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</si>
  <si>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</si>
  <si>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</si>
  <si>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</si>
  <si>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</si>
  <si>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</si>
  <si>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</si>
  <si>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</si>
  <si>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</si>
  <si>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</si>
  <si>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</si>
  <si>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</si>
  <si>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</si>
  <si>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</si>
  <si>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</si>
  <si>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</si>
  <si>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</si>
  <si>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</si>
  <si>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</si>
  <si>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</si>
  <si>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</si>
  <si>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</si>
  <si>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</si>
  <si>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</si>
  <si>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</si>
  <si>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</si>
  <si>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</si>
  <si>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</si>
  <si>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</si>
  <si>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</si>
  <si>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</si>
  <si>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</si>
  <si>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</si>
  <si>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</si>
  <si>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</si>
  <si>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</si>
  <si>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</si>
  <si>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</si>
  <si>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</si>
  <si>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</si>
  <si>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</si>
  <si>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</si>
  <si>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</si>
  <si>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</si>
  <si>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</si>
  <si>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</si>
  <si>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</si>
  <si>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</si>
  <si>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</si>
  <si>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</si>
  <si>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</si>
  <si>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</si>
  <si>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</si>
  <si>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</si>
  <si>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</si>
  <si>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</si>
  <si>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</si>
  <si>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</si>
  <si>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</si>
  <si>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</si>
  <si>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</si>
  <si>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</si>
  <si>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</si>
  <si>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</si>
  <si>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</si>
  <si>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</si>
  <si>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</si>
  <si>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</si>
  <si>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</si>
  <si>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</si>
  <si>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</si>
  <si>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</si>
  <si>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</si>
  <si>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</si>
  <si>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</si>
  <si>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</si>
  <si>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</si>
  <si>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</si>
  <si>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</si>
  <si>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</si>
  <si>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</si>
  <si>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</si>
  <si>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</si>
  <si>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</si>
  <si>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</si>
  <si>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</si>
  <si>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</si>
  <si>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</si>
  <si>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</si>
  <si>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</si>
  <si>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</si>
  <si>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#자료 위치 변환기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</si>
  <si>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</si>
  <si>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</si>
  <si>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</si>
  <si>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</si>
  <si>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</si>
  <si>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</si>
  <si>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</si>
  <si>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</si>
  <si>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</si>
  <si>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</si>
  <si>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</si>
  <si>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</si>
  <si>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</si>
  <si>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</si>
  <si>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</si>
  <si>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</si>
  <si>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</si>
  <si>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</si>
  <si>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</si>
  <si>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</si>
  <si>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대나무 향을 머금은 흰 밥이\n까만 김을 만나 완성된 환상적인 조합.</t>
    <phoneticPr fontId="7" type="noConversion"/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</si>
  <si>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</si>
  <si>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</si>
  <si>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</si>
  <si>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</si>
  <si>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</si>
  <si>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</si>
  <si>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</si>
  <si>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</si>
  <si>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</si>
  <si>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</si>
  <si>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</si>
  <si>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</si>
  <si>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</si>
  <si>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</si>
  <si>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</si>
  <si>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</si>
  <si>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</si>
  <si>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</si>
  <si>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</si>
  <si>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</si>
  <si>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</si>
  <si>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</si>
  <si>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</si>
  <si>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</si>
  <si>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</si>
  <si>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</si>
  <si>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</si>
  <si>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</si>
  <si>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</si>
  <si>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</si>
  <si>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</si>
  <si>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</si>
  <si>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</si>
  <si>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</si>
  <si>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</si>
  <si>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</si>
  <si>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</si>
  <si>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</si>
  <si>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</si>
  <si>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</si>
  <si>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</si>
  <si>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</si>
  <si>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</si>
  <si>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</si>
  <si>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</si>
  <si>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</si>
  <si>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</si>
  <si>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</si>
  <si>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</si>
  <si>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</si>
  <si>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</si>
  <si>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</si>
  <si>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</si>
  <si>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</si>
  <si>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</si>
  <si>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</si>
  <si>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</si>
  <si>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</si>
  <si>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</si>
  <si>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</si>
  <si>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</si>
  <si>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</si>
  <si>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</si>
  <si>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</si>
  <si>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</si>
  <si>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</si>
  <si>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</si>
  <si>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</si>
  <si>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</si>
  <si>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flow_기관총난사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</si>
  <si>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</si>
  <si>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</si>
  <si>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</si>
  <si>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</si>
  <si>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</si>
  <si>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</si>
  <si>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</si>
  <si>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</si>
  <si>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</si>
  <si>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</si>
  <si>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</si>
  <si>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</si>
  <si>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</si>
  <si>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</si>
  <si>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</si>
  <si>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</si>
  <si>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</si>
  <si>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</si>
  <si>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5" type="noConversion"/>
  </si>
  <si>
    <t>Param3</t>
    <phoneticPr fontId="15" type="noConversion"/>
  </si>
  <si>
    <t>float</t>
    <phoneticPr fontId="15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</si>
  <si>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</si>
  <si>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</si>
  <si>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</si>
  <si>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</si>
  <si>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</si>
  <si>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</si>
  <si>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5" type="noConversion"/>
  </si>
  <si>
    <t>Duration</t>
    <phoneticPr fontId="15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</si>
  <si>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</si>
  <si>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</si>
  <si>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</si>
  <si>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</si>
  <si>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</si>
  <si>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</si>
  <si>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</si>
  <si>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5" type="noConversion"/>
  </si>
  <si>
    <t>TimeScale</t>
    <phoneticPr fontId="15" type="noConversion"/>
  </si>
  <si>
    <t>OnActiveKey</t>
    <phoneticPr fontId="7" type="noConversion"/>
  </si>
  <si>
    <t>AfterIdleSec</t>
    <phoneticPr fontId="7" type="noConversion"/>
  </si>
  <si>
    <t>ChargeTime</t>
    <phoneticPr fontId="15" type="noConversion"/>
  </si>
  <si>
    <t>EffectType</t>
    <phoneticPr fontId="7" type="noConversion"/>
  </si>
  <si>
    <t>Absorb</t>
    <phoneticPr fontId="15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</si>
  <si>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</si>
  <si>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</si>
  <si>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</si>
  <si>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</si>
  <si>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5" type="noConversion"/>
  </si>
  <si>
    <t>OnSwing</t>
    <phoneticPr fontId="7" type="noConversion"/>
  </si>
  <si>
    <t>Shoot</t>
    <phoneticPr fontId="15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</si>
  <si>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</si>
  <si>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</si>
  <si>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</si>
  <si>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</si>
  <si>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#Param1설명</t>
    <phoneticPr fontId="15" type="noConversion"/>
  </si>
  <si>
    <t>#Param2설명</t>
  </si>
  <si>
    <t>#Param3설명</t>
    <phoneticPr fontId="15" type="noConversion"/>
  </si>
  <si>
    <t>시간 배율</t>
    <phoneticPr fontId="15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</si>
  <si>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</si>
  <si>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</si>
  <si>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</si>
  <si>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</si>
  <si>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</si>
  <si>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</si>
  <si>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5" type="noConversion"/>
  </si>
  <si>
    <t>케르베로스 아이템 효과</t>
    <phoneticPr fontId="7" type="noConversion"/>
  </si>
  <si>
    <t>케르베로스 아이템 투사체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</si>
  <si>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</si>
  <si>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</si>
  <si>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</si>
  <si>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5" type="noConversion"/>
  </si>
  <si>
    <t>골드획득량 +50%</t>
    <phoneticPr fontId="7" type="noConversion"/>
  </si>
  <si>
    <t>초소형 블랙홀</t>
    <phoneticPr fontId="7" type="noConversion"/>
  </si>
  <si>
    <t>앞만 보고 살아가는 당신에게 추천합니다.\n데일리룩으로 안성맞춤.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</si>
  <si>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</si>
  <si>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</si>
  <si>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</si>
  <si>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</si>
  <si>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</si>
  <si>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5" type="noConversion"/>
  </si>
  <si>
    <t>OnParry</t>
    <phoneticPr fontId="7" type="noConversion"/>
  </si>
  <si>
    <t>공 충돌횟수 +3</t>
    <phoneticPr fontId="7" type="noConversion"/>
  </si>
  <si>
    <t>OnSwingHit</t>
    <phoneticPr fontId="7" type="noConversion"/>
  </si>
  <si>
    <t>SwingCooldown</t>
    <phoneticPr fontId="15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</si>
  <si>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</si>
  <si>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</si>
  <si>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</si>
  <si>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</si>
  <si>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</si>
  <si>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</si>
  <si>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</si>
  <si>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</si>
  <si>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</si>
  <si>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</si>
  <si>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</si>
  <si>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</si>
  <si>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</si>
  <si>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</si>
  <si>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</si>
  <si>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</si>
  <si>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</si>
  <si>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</si>
  <si>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</si>
  <si>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</si>
  <si>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</si>
  <si>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</si>
  <si>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5" type="noConversion"/>
  </si>
  <si>
    <t>타격 시마다 4초간\n공격속도 +15%\n(효과는 중첩될 수 있습니다.)</t>
    <phoneticPr fontId="7" type="noConversion"/>
  </si>
  <si>
    <t>ChargeBounceCount</t>
    <phoneticPr fontId="15" type="noConversion"/>
  </si>
  <si>
    <t>배트에 달아놓으면 휘두를 때\n짤랑짤랑 소리가 납니다.</t>
    <phoneticPr fontId="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</si>
  <si>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</si>
  <si>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</si>
  <si>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</si>
  <si>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5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</si>
  <si>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</si>
  <si>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</si>
  <si>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5" type="noConversion"/>
  </si>
  <si>
    <t>Prefabs/ItemProjectile2.prefab</t>
    <phoneticPr fontId="7" type="noConversion"/>
  </si>
  <si>
    <t>HP</t>
    <phoneticPr fontId="15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</si>
  <si>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</si>
  <si>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</si>
  <si>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</si>
  <si>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</si>
  <si>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</si>
  <si>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</si>
  <si>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</si>
  <si>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</si>
  <si>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</si>
  <si>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</si>
  <si>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</si>
  <si>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</si>
  <si>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</si>
  <si>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</si>
  <si>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</si>
  <si>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</si>
  <si>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</si>
  <si>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</si>
  <si>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</si>
  <si>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</si>
  <si>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</si>
  <si>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</si>
  <si>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</si>
  <si>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</si>
  <si>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</si>
  <si>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</si>
  <si>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5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</si>
  <si>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</si>
  <si>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</si>
  <si>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</si>
  <si>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</si>
  <si>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</si>
  <si>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5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</si>
  <si>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</si>
  <si>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</si>
  <si>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</si>
  <si>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</si>
  <si>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</si>
  <si>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</si>
  <si>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</si>
  <si>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5" type="noConversion"/>
  </si>
  <si>
    <t>회피쿨타임 +50%</t>
    <phoneticPr fontId="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</si>
  <si>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</si>
  <si>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</si>
  <si>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5" type="noConversion"/>
  </si>
  <si>
    <t>2023-09-24 변경사항이 존재하는 것들은 빨간색으로 표기함.</t>
    <phoneticPr fontId="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</si>
  <si>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</si>
  <si>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</si>
  <si>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</si>
  <si>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SplashRectangle</t>
    <phoneticPr fontId="15" type="noConversion"/>
  </si>
  <si>
    <t>피해량</t>
    <phoneticPr fontId="15" type="noConversion"/>
  </si>
  <si>
    <t>폭</t>
    <phoneticPr fontId="15" type="noConversion"/>
  </si>
  <si>
    <t>길이</t>
    <phoneticPr fontId="15" type="noConversion"/>
  </si>
  <si>
    <t>#10004</t>
    <phoneticPr fontId="7" type="noConversion"/>
  </si>
  <si>
    <t>OnDamage</t>
    <phoneticPr fontId="7" type="noConversion"/>
  </si>
  <si>
    <t>#10004</t>
    <phoneticPr fontId="15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</si>
  <si>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</si>
  <si>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</si>
  <si>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5" type="noConversion"/>
  </si>
  <si>
    <t>SwingCentralAngle</t>
    <phoneticPr fontId="7" type="noConversion"/>
  </si>
  <si>
    <t>AddGold</t>
    <phoneticPr fontId="15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</si>
  <si>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</si>
  <si>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</si>
  <si>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</si>
  <si>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</si>
  <si>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</si>
  <si>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</si>
  <si>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</si>
  <si>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</si>
  <si>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</si>
  <si>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</si>
  <si>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</si>
  <si>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</si>
  <si>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</si>
  <si>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</si>
  <si>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</si>
  <si>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</si>
  <si>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</si>
  <si>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</si>
  <si>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</si>
  <si>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</si>
  <si>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</si>
  <si>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</si>
  <si>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</si>
  <si>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</si>
  <si>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</si>
  <si>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</si>
  <si>
    <t>Addition</t>
    <phoneticPr fontId="15" type="noConversion"/>
  </si>
  <si>
    <t>커서 방향으로 돌진합니다.\n(쿨타임 8초)</t>
    <phoneticPr fontId="7" type="noConversion"/>
  </si>
  <si>
    <t>10초간 공격범위 +100%\n(쿨타임 18초)</t>
    <phoneticPr fontId="7" type="noConversion"/>
  </si>
  <si>
    <t>주변 투사체를 흡수하여 발사합니다.\n(쿨타임 10초)</t>
    <phoneticPr fontId="7" type="noConversion"/>
  </si>
  <si>
    <t>공격범위 +50%</t>
    <phoneticPr fontId="7" type="noConversion"/>
  </si>
  <si>
    <t>공격속도 -20%, 공격 시 골드 -1</t>
    <phoneticPr fontId="7" type="noConversion"/>
  </si>
  <si>
    <t>사이버웨어</t>
    <phoneticPr fontId="7" type="noConversion"/>
  </si>
  <si>
    <t>기초적인 임플란트입니다.\/마구 사용하다간 사이버 미치광이가 될 수 있습니다.</t>
    <phoneticPr fontId="7" type="noConversion"/>
  </si>
  <si>
    <t>6초간 주변 시간이 느려집니다.\n(쿨타임 12초)</t>
    <phoneticPr fontId="7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</si>
  <si>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</si>
  <si>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</si>
  <si>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</si>
  <si>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</si>
  <si>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</si>
  <si>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</si>
  <si>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</si>
  <si>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</si>
  <si>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</si>
  <si>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</si>
  <si>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</si>
  <si>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</si>
  <si>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</si>
  <si>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7" type="noConversion"/>
  </si>
  <si>
    <t>#카멜</t>
    <phoneticPr fontId="7" type="noConversion"/>
  </si>
  <si>
    <t>Red Hobbyhorse</t>
  </si>
  <si>
    <t>Red Hobbyhorse</t>
    <phoneticPr fontId="7" type="noConversion"/>
  </si>
  <si>
    <t>Rice_Ball</t>
    <phoneticPr fontId="7" type="noConversion"/>
  </si>
  <si>
    <t>The Boobytrap</t>
  </si>
  <si>
    <t>The Boobytrap</t>
    <phoneticPr fontId="7" type="noConversion"/>
  </si>
  <si>
    <t>Stone Mask</t>
  </si>
  <si>
    <t>Stone Mask</t>
    <phoneticPr fontId="7" type="noConversion"/>
  </si>
  <si>
    <t>a fierce piggy bank</t>
    <phoneticPr fontId="7" type="noConversion"/>
  </si>
  <si>
    <t>Something in the Holy Grail</t>
    <phoneticPr fontId="7" type="noConversion"/>
  </si>
  <si>
    <t>Kerberos pitcher</t>
    <phoneticPr fontId="7" type="noConversion"/>
  </si>
  <si>
    <t>Praise the sun</t>
    <phoneticPr fontId="7" type="noConversion"/>
  </si>
  <si>
    <t>Dodge cat</t>
    <phoneticPr fontId="7" type="noConversion"/>
  </si>
  <si>
    <t>ultra-small black hole</t>
    <phoneticPr fontId="7" type="noConversion"/>
  </si>
  <si>
    <t>Ruyi Jingu Bat</t>
  </si>
  <si>
    <t>Ruyi Jingu Bat</t>
    <phoneticPr fontId="7" type="noConversion"/>
  </si>
  <si>
    <t>Item</t>
    <phoneticPr fontId="7" type="noConversion"/>
  </si>
  <si>
    <t>#컴포넌트1</t>
    <phoneticPr fontId="7" type="noConversion"/>
  </si>
  <si>
    <t>#컴포넌트2</t>
    <phoneticPr fontId="7" type="noConversion"/>
  </si>
  <si>
    <t>#컴포넌트3</t>
    <phoneticPr fontId="7" type="noConversion"/>
  </si>
  <si>
    <t>#컴포넌트4</t>
    <phoneticPr fontId="7" type="noConversion"/>
  </si>
  <si>
    <t>Desc</t>
    <phoneticPr fontId="7" type="noConversion"/>
  </si>
  <si>
    <t>UI</t>
    <phoneticPr fontId="7" type="noConversion"/>
  </si>
  <si>
    <t>Map</t>
  </si>
  <si>
    <t>Map</t>
    <phoneticPr fontId="7" type="noConversion"/>
  </si>
  <si>
    <t>Stat</t>
    <phoneticPr fontId="7" type="noConversion"/>
  </si>
  <si>
    <t>AtkDmg</t>
  </si>
  <si>
    <t>AtkDmg</t>
    <phoneticPr fontId="7" type="noConversion"/>
  </si>
  <si>
    <t>ChargeSpd</t>
  </si>
  <si>
    <t>ChargeSpd</t>
    <phoneticPr fontId="7" type="noConversion"/>
  </si>
  <si>
    <t>AtkLength</t>
  </si>
  <si>
    <t>AtkLength</t>
    <phoneticPr fontId="7" type="noConversion"/>
  </si>
  <si>
    <t>GoldGain</t>
    <phoneticPr fontId="7" type="noConversion"/>
  </si>
  <si>
    <t>AtkSpd</t>
  </si>
  <si>
    <t>AtkSpd</t>
    <phoneticPr fontId="7" type="noConversion"/>
  </si>
  <si>
    <t>MoveSpd</t>
  </si>
  <si>
    <t>MoveSpd</t>
    <phoneticPr fontId="7" type="noConversion"/>
  </si>
  <si>
    <t>지도</t>
    <phoneticPr fontId="7" type="noConversion"/>
  </si>
  <si>
    <t>피해량</t>
    <phoneticPr fontId="7" type="noConversion"/>
  </si>
  <si>
    <t>공격속도</t>
    <phoneticPr fontId="7" type="noConversion"/>
  </si>
  <si>
    <t>공격범위</t>
    <phoneticPr fontId="7" type="noConversion"/>
  </si>
  <si>
    <t>이동속도</t>
    <phoneticPr fontId="7" type="noConversion"/>
  </si>
  <si>
    <t>차징속도</t>
    <phoneticPr fontId="7" type="noConversion"/>
  </si>
  <si>
    <t>골드 획득량</t>
    <phoneticPr fontId="7" type="noConversion"/>
  </si>
  <si>
    <t>Start</t>
  </si>
  <si>
    <t>Start</t>
    <phoneticPr fontId="7" type="noConversion"/>
  </si>
  <si>
    <t>Tutorial</t>
  </si>
  <si>
    <t>Tutorial</t>
    <phoneticPr fontId="7" type="noConversion"/>
  </si>
  <si>
    <t>Button</t>
    <phoneticPr fontId="7" type="noConversion"/>
  </si>
  <si>
    <t>Exit</t>
  </si>
  <si>
    <t>Exit</t>
    <phoneticPr fontId="7" type="noConversion"/>
  </si>
  <si>
    <t>게임시작</t>
    <phoneticPr fontId="7" type="noConversion"/>
  </si>
  <si>
    <t>튜토리얼</t>
    <phoneticPr fontId="7" type="noConversion"/>
  </si>
  <si>
    <t>게임종료</t>
    <phoneticPr fontId="7" type="noConversion"/>
  </si>
  <si>
    <t>Tap</t>
    <phoneticPr fontId="7" type="noConversion"/>
  </si>
  <si>
    <t>Subtitle</t>
  </si>
  <si>
    <t>Title</t>
    <phoneticPr fontId="7" type="noConversion"/>
  </si>
  <si>
    <t>아이템</t>
    <phoneticPr fontId="7" type="noConversion"/>
  </si>
  <si>
    <t>ItemInfo</t>
  </si>
  <si>
    <t>ItemInfo</t>
    <phoneticPr fontId="7" type="noConversion"/>
  </si>
  <si>
    <t>Ranking</t>
  </si>
  <si>
    <t>Ranking</t>
    <phoneticPr fontId="7" type="noConversion"/>
  </si>
  <si>
    <t>랭크확인</t>
    <phoneticPr fontId="7" type="noConversion"/>
  </si>
  <si>
    <t>#인덱스제너레이터</t>
    <phoneticPr fontId="7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</si>
  <si>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</si>
  <si>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</si>
  <si>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</si>
  <si>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</si>
  <si>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</si>
  <si>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</si>
  <si>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</si>
  <si>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</si>
  <si>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</si>
  <si>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</si>
  <si>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</si>
  <si>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</si>
  <si>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7" type="noConversion"/>
  </si>
  <si>
    <t>Someone's Diary</t>
    <phoneticPr fontId="7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</si>
  <si>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7" type="noConversion"/>
  </si>
  <si>
    <t>#NameString</t>
    <phoneticPr fontId="7" type="noConversion"/>
  </si>
  <si>
    <t>#DescString</t>
    <phoneticPr fontId="7" type="noConversion"/>
  </si>
  <si>
    <t>#PlusDescString</t>
    <phoneticPr fontId="7" type="noConversion"/>
  </si>
  <si>
    <t>#MinusDescString</t>
    <phoneticPr fontId="7" type="noConversion"/>
  </si>
  <si>
    <t>#스텟값</t>
    <phoneticPr fontId="15" type="noConversion"/>
  </si>
  <si>
    <t>#부호</t>
    <phoneticPr fontId="15" type="noConversion"/>
  </si>
  <si>
    <t>#결과값</t>
    <phoneticPr fontId="15" type="noConversion"/>
  </si>
  <si>
    <t>When you hang it on the bat, it makes a jingle when you swing it.</t>
    <phoneticPr fontId="7" type="noConversion"/>
  </si>
  <si>
    <t>It's a new trend here.</t>
  </si>
  <si>
    <t>Do not use it on anything other than a bat.
contains 0.0006% QT extract
contains 0.1% QT scent</t>
    <phoneticPr fontId="7" type="noConversion"/>
  </si>
  <si>
    <t>If you believe in this horse's cute expression and go out for a walk, you may end up running a marathon.</t>
  </si>
  <si>
    <t>A fantastic combination of bamboo-scented white rice with black seaweed.</t>
  </si>
  <si>
    <t>데빌불, 숨겨진 악성을 펼쳐줘요.\n불티나게 팔리고 있는 음료입니다.</t>
    <phoneticPr fontId="7" type="noConversion"/>
  </si>
  <si>
    <t>Devil Bull, gives you wheels
It's a drink that's sell like hotcakes.</t>
    <phoneticPr fontId="7" type="noConversion"/>
  </si>
  <si>
    <t>It's a relic that's gone from ancient times.
It was an anti-personnel mine by the Danish army.</t>
    <phoneticPr fontId="7" type="noConversion"/>
  </si>
  <si>
    <t>You can see a sharp point inside the mask.
Probably... It's not dangerous, is it?</t>
    <phoneticPr fontId="7" type="noConversion"/>
  </si>
  <si>
    <t>It's a piggy bank with an ego.
It smells like gold!</t>
    <phoneticPr fontId="7" type="noConversion"/>
  </si>
  <si>
    <t>It's the Holy Grail. Wait, I think there's something moving inside.</t>
    <phoneticPr fontId="7" type="noConversion"/>
  </si>
  <si>
    <t>It's a rare candy that only makes it into one out of every million bags.</t>
    <phoneticPr fontId="7" type="noConversion"/>
  </si>
  <si>
    <t>They are dogs who like balls. No, there's only one?</t>
  </si>
  <si>
    <t>It's a powerful sweetness that will melt your whole body. Be careful not to get sticky!</t>
  </si>
  <si>
    <t>It's a candle that keeps crying for some reason. I don't want to touch it.</t>
  </si>
  <si>
    <t>Grilled tree frog</t>
    <phoneticPr fontId="7" type="noConversion"/>
  </si>
  <si>
    <t>Grilled Tree frog</t>
    <phoneticPr fontId="7" type="noConversion"/>
  </si>
  <si>
    <t>StringKey</t>
    <phoneticPr fontId="7" type="noConversion"/>
  </si>
  <si>
    <t>Don't judge the taste by the appearance of the food.
This food contains an important message of treating all foods equally.</t>
    <phoneticPr fontId="7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</si>
  <si>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</si>
  <si>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</si>
  <si>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Dodge Dodge Dodge~
It's the cat that always dodges.</t>
    <phoneticPr fontId="7" type="noConversion"/>
  </si>
  <si>
    <t>The Adult Card</t>
    <phoneticPr fontId="7" type="noConversion"/>
  </si>
  <si>
    <t>it is a power obtained for the price of life and time</t>
  </si>
  <si>
    <t>How many holes are there in a doughnut? At least this doughnut has infinite holes.</t>
  </si>
  <si>
    <t>We are not responsible for any damage caused by use in public.</t>
  </si>
  <si>
    <t>icon/item/Passive_Item/item_02.png</t>
    <phoneticPr fontId="7" type="noConversion"/>
  </si>
  <si>
    <t>It's a hat where it all started. 'Gotta catch ém all'</t>
    <phoneticPr fontId="7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</si>
  <si>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</si>
  <si>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</si>
  <si>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</si>
  <si>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</si>
  <si>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</si>
  <si>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</si>
  <si>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For each empty heart, increases Attack Power by 15%.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</si>
  <si>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</si>
  <si>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</si>
  <si>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</si>
  <si>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</si>
  <si>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</si>
  <si>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</si>
  <si>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</si>
  <si>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</si>
  <si>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</si>
  <si>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</si>
  <si>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</si>
  <si>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</si>
  <si>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</si>
  <si>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</si>
  <si>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</si>
  <si>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</si>
  <si>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</si>
  <si>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</si>
  <si>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</si>
  <si>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</si>
  <si>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</si>
  <si>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</si>
  <si>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</si>
  <si>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</si>
  <si>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</si>
  <si>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Recommended for the forward-thinker in your life.\nPerfect for daily wear.</t>
  </si>
  <si>
    <t>Excalibat. the Bat of Promised Victory</t>
    <phoneticPr fontId="7" type="noConversion"/>
  </si>
  <si>
    <t>This bat can be increased at will!</t>
  </si>
  <si>
    <t>player's shot pierces through the enemy.</t>
    <phoneticPr fontId="7" type="noConversion"/>
  </si>
  <si>
    <t>it was rudimentary implant. If you use too much Cyberware, you might lose yourself.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</si>
</sst>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10" fillId="7" borderId="0" xfId="0" applyFont="1" applyFill="1">
      <alignment vertical="center"/>
    </xf>
    <xf numFmtId="0" fontId="11" fillId="7" borderId="0" xfId="0" applyFont="1" applyFill="1">
      <alignment vertical="center"/>
    </xf>
    <xf numFmtId="0" fontId="0" fillId="7" borderId="0" xfId="0" applyFill="1">
      <alignment vertical="center"/>
    </xf>
    <xf numFmtId="0" fontId="12" fillId="0" borderId="0" xfId="0" applyFont="1">
      <alignment vertical="center"/>
    </xf>
    <xf numFmtId="0" fontId="12" fillId="4" borderId="0" xfId="0" applyFont="1" applyFill="1">
      <alignment vertical="center"/>
    </xf>
    <xf numFmtId="0" fontId="12" fillId="7" borderId="0" xfId="0" applyFont="1" applyFill="1">
      <alignment vertical="center"/>
    </xf>
    <xf numFmtId="0" fontId="10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3" fillId="0" borderId="0" xfId="0" applyFont="1">
      <alignment vertical="center"/>
    </xf>
    <xf numFmtId="0" fontId="13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4" fillId="7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3" borderId="0" xfId="0" applyFont="1" applyFill="1">
      <alignment vertical="center"/>
    </xf>
    <xf numFmtId="0" fontId="0" fillId="8" borderId="0" xfId="0" applyFill="1">
      <alignment vertical="center"/>
    </xf>
    <xf numFmtId="0" fontId="11" fillId="5" borderId="0" xfId="0" applyFont="1" applyFill="1">
      <alignment vertical="center"/>
    </xf>
    <xf numFmtId="0" fontId="11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11" fillId="6" borderId="0" xfId="0" applyFont="1" applyFill="1">
      <alignment vertical="center"/>
    </xf>
    <xf numFmtId="0" fontId="21" fillId="0" borderId="0" xfId="0" applyFont="1">
      <alignment vertical="center"/>
    </xf>
    <xf numFmtId="0" fontId="21" fillId="4" borderId="0" xfId="0" applyFont="1" applyFill="1">
      <alignment vertical="center"/>
    </xf>
    <xf numFmtId="0" fontId="11" fillId="4" borderId="0" xfId="0" applyFont="1" applyFill="1">
      <alignment vertical="center"/>
    </xf>
    <xf numFmtId="0" fontId="20" fillId="0" borderId="0" xfId="0" applyFont="1">
      <alignment vertical="center"/>
    </xf>
    <xf numFmtId="0" fontId="10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1" fillId="7" borderId="0" xfId="0" applyFont="1" applyFill="1">
      <alignment vertical="center"/>
    </xf>
    <xf numFmtId="0" fontId="21" fillId="8" borderId="0" xfId="0" applyFont="1" applyFill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>
      <alignment vertical="center"/>
    </xf>
    <xf numFmtId="0" fontId="24" fillId="7" borderId="0" xfId="0" applyFont="1" applyFill="1">
      <alignment vertical="center"/>
    </xf>
    <xf numFmtId="0" fontId="23" fillId="0" borderId="0" xfId="0" applyFont="1">
      <alignment vertical="center"/>
    </xf>
    <xf numFmtId="0" fontId="21" fillId="0" borderId="0" xfId="0" applyFont="1" applyAlignment="1">
      <alignment vertical="center" wrapText="1"/>
    </xf>
    <xf numFmtId="0" fontId="21" fillId="7" borderId="0" xfId="0" applyFont="1" applyFill="1" applyAlignment="1">
      <alignment vertical="center" wrapText="1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0" fillId="0" borderId="0" xfId="0" quotePrefix="1" applyFont="1" applyAlignment="1">
      <alignment vertical="center" wrapText="1"/>
    </xf>
    <xf numFmtId="0" fontId="22" fillId="7" borderId="0" xfId="0" applyFont="1" applyFill="1">
      <alignment vertical="center"/>
    </xf>
    <xf numFmtId="0" fontId="20" fillId="7" borderId="0" xfId="0" applyFont="1" applyFill="1">
      <alignment vertical="center"/>
    </xf>
    <xf numFmtId="0" fontId="26" fillId="0" borderId="0" xfId="0" applyFont="1">
      <alignment vertical="center"/>
    </xf>
    <xf numFmtId="0" fontId="26" fillId="3" borderId="0" xfId="0" applyFont="1" applyFill="1">
      <alignment vertical="center"/>
    </xf>
    <xf numFmtId="0" fontId="26" fillId="2" borderId="0" xfId="0" applyFont="1" applyFill="1">
      <alignment vertical="center"/>
    </xf>
    <xf numFmtId="0" fontId="25" fillId="7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2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25"/>
      <tableStyleElement type="headerRow" dxfId="124"/>
      <tableStyleElement type="totalRow" dxfId="123"/>
      <tableStyleElement type="firstColumn" dxfId="122"/>
      <tableStyleElement type="lastColumn" dxfId="121"/>
      <tableStyleElement type="firstRowStripe" dxfId="120"/>
      <tableStyleElement type="firstColumnStripe" dxfId="119"/>
    </tableStyle>
    <tableStyle name="Light Style 1 - Accent 1" table="0" count="7" xr9:uid="{00000000-0011-0000-FFFF-FFFF01000000}">
      <tableStyleElement type="wholeTable" dxfId="118"/>
      <tableStyleElement type="headerRow" dxfId="117"/>
      <tableStyleElement type="totalRow" dxfId="116"/>
      <tableStyleElement type="firstColumn" dxfId="115"/>
      <tableStyleElement type="lastColumn" dxfId="114"/>
      <tableStyleElement type="firstRowStripe" dxfId="113"/>
      <tableStyleElement type="firstColumnStripe" dxfId="112"/>
    </tableStyle>
    <tableStyle name="표 스타일 1" pivot="0" count="4" xr9:uid="{00000000-0011-0000-FFFF-FFFF02000000}">
      <tableStyleElement type="wholeTable" dxfId="111"/>
      <tableStyleElement type="headerRow" dxfId="110"/>
      <tableStyleElement type="firstRowStripe" dxfId="109"/>
      <tableStyleElement type="secondRowStripe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0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106">
  <autoFilter ref="B12:G42" xr:uid="{00000000-0009-0000-0100-00000B000000}"/>
  <tableColumns count="6">
    <tableColumn id="11" xr3:uid="{00000000-0010-0000-0100-00000B000000}" name="층" dataDxfId="10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4"/>
    <tableColumn id="6" xr3:uid="{00000000-0010-0000-0100-000006000000}" name="평균획득골드" totalsRowFunction="average" dataDxfId="10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101" totalsRowDxfId="10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9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9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7" dataDxfId="96">
  <autoFilter ref="B6:E32" xr:uid="{00000000-0009-0000-0100-000008000000}"/>
  <tableColumns count="4">
    <tableColumn id="1" xr3:uid="{00000000-0010-0000-0400-000001000000}" name="스텟" dataDxfId="95"/>
    <tableColumn id="2" xr3:uid="{00000000-0010-0000-0400-000002000000}" name="참조 테이블" dataDxfId="94"/>
    <tableColumn id="3" xr3:uid="{00000000-0010-0000-0400-000003000000}" name="설명" dataDxfId="93"/>
    <tableColumn id="4" xr3:uid="{00000000-0010-0000-0400-000004000000}" name="Value 1당 가치" dataDxfId="9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9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9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8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88"/>
    <tableColumn id="4" xr3:uid="{00000000-0010-0000-0700-000004000000}" name="획득 무기"/>
    <tableColumn id="5" xr3:uid="{00000000-0010-0000-0700-000005000000}" name="획득 골드" dataDxfId="87">
      <calculatedColumnFormula array="1">밸런스시트[[#This Row],[방 개수]]*표10[방 평균 골드]</calculatedColumnFormula>
    </tableColumn>
    <tableColumn id="6" xr3:uid="{00000000-0010-0000-0700-000006000000}" name="적 체력" dataDxfId="8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85">
      <calculatedColumnFormula array="1">CharacterAtkTable['#던진공 차징1 튕겨내기 DPS]</calculatedColumnFormula>
    </tableColumn>
    <tableColumn id="10" xr3:uid="{00000000-0010-0000-0700-00000A000000}" name="예상 전투 시간" dataDxfId="8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8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8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80"/>
    <tableColumn id="3" xr3:uid="{00000000-0010-0000-0900-000003000000}" name="value"/>
    <tableColumn id="4" xr3:uid="{00000000-0010-0000-0900-000004000000}" name="#설명" dataDxfId="7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7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75"/>
    <tableColumn id="7" xr3:uid="{00000000-0010-0000-0B00-000007000000}" name="SwingCooldown" dataDxfId="7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1"/>
    <tableColumn id="14" xr3:uid="{00000000-0010-0000-0C00-00000E000000}" name="#드랍테이블2" dataDxfId="70"/>
    <tableColumn id="15" xr3:uid="{00000000-0010-0000-0C00-00000F000000}" name="#드랍테이블3" dataDxfId="69"/>
    <tableColumn id="16" xr3:uid="{00000000-0010-0000-0C00-000010000000}" name="#드랍테이블4" dataDxfId="68"/>
    <tableColumn id="17" xr3:uid="{00000000-0010-0000-0C00-000011000000}" name="#드랍테이블5" dataDxfId="67"/>
    <tableColumn id="18" xr3:uid="{00000000-0010-0000-0C00-000012000000}" name="#드랍테이블6" dataDxfId="6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3"/>
    <tableColumn id="19" xr3:uid="{00000000-0010-0000-0E00-000013000000}" name="#" dataDxfId="6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6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0"/>
    <tableColumn id="17" xr3:uid="{00000000-0010-0000-0E00-000011000000}" name="#기준 적 체력 비율"/>
    <tableColumn id="18" xr3:uid="{00000000-0010-0000-0E00-000012000000}" name="#평균 드랍 골드" dataDxfId="5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58"/>
    <tableColumn id="3" xr3:uid="{00000000-0010-0000-0F00-000003000000}" name="ShootDataId" dataDxfId="5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1" dataDxfId="50">
  <autoFilter ref="B2:S33" xr:uid="{00000000-0009-0000-0100-000004000000}"/>
  <tableColumns count="18">
    <tableColumn id="1" xr3:uid="{00000000-0010-0000-1200-000001000000}" name="Index" dataDxfId="49"/>
    <tableColumn id="2" xr3:uid="{00000000-0010-0000-1200-000002000000}" name="Name" dataDxfId="48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47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46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45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44"/>
    <tableColumn id="5" xr3:uid="{00000000-0010-0000-1200-000005000000}" name="Value" dataDxfId="43"/>
    <tableColumn id="6" xr3:uid="{00000000-0010-0000-1200-000006000000}" name="CostHp" dataDxfId="42"/>
    <tableColumn id="7" xr3:uid="{00000000-0010-0000-1200-000007000000}" name="CostGold" dataDxfId="41"/>
    <tableColumn id="8" xr3:uid="{00000000-0010-0000-1200-000008000000}" name="ItemEffectDataId" dataDxfId="40"/>
    <tableColumn id="9" xr3:uid="{00000000-0010-0000-1200-000009000000}" name="ItemIconPath" dataDxfId="39"/>
    <tableColumn id="10" xr3:uid="{00000000-0010-0000-1200-00000A000000}" name="#자료 위치 변환기" dataDxfId="38"/>
    <tableColumn id="14" xr3:uid="{829A0395-49A4-44F6-B211-44D70A03413C}" name="#번역본" dataDxfId="37"/>
    <tableColumn id="15" xr3:uid="{9EE43C0B-06A2-4BC2-BB29-E39DC0E0339C}" name="#카멜" dataDxfId="36">
      <calculatedColumnFormula>SUBSTITUTE(PROPER(ItemTable[[#This Row],['#번역본]])," "," ")</calculatedColumnFormula>
    </tableColumn>
    <tableColumn id="11" xr3:uid="{00000000-0010-0000-1200-00000B000000}" name="#NameString" dataDxfId="35">
      <calculatedColumnFormula>INDEX(LocaleTable[LocaleKR],MATCH(ItemTable[[#This Row],[Name]],LocaleTable[StringKey],0))</calculatedColumnFormula>
    </tableColumn>
    <tableColumn id="16" xr3:uid="{BD981A3F-409D-4C64-B49F-2D8E2500BA62}" name="#DescString" dataDxfId="34">
      <calculatedColumnFormula>INDEX(LocaleTable[LocaleKR],MATCH(ItemTable[[#This Row],[Desc]],LocaleTable[StringKey],0))</calculatedColumnFormula>
    </tableColumn>
    <tableColumn id="17" xr3:uid="{1B500542-CB1F-4E31-BC77-415A06C9F656}" name="#PlusDescString" dataDxfId="33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32">
      <calculatedColumnFormula>INDEX(LocaleTable[LocaleKR],MATCH(ItemTable[[#This Row],[MinusDesc]],LocaleTable[StringKey],0))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1">
  <autoFilter ref="B2:K32" xr:uid="{00000000-0009-0000-0100-000001000000}"/>
  <tableColumns count="10">
    <tableColumn id="2" xr3:uid="{00000000-0010-0000-1300-000002000000}" name="#이름값" dataDxfId="30">
      <calculatedColumnFormula>INDEX(ItemTable[Name],MATCH(ItemEffectTable[[#This Row],[Index]],ItemTable[ItemEffectDataId],0))</calculatedColumnFormula>
    </tableColumn>
    <tableColumn id="3" xr3:uid="{00000000-0010-0000-1300-000003000000}" name="#Grade" dataDxfId="29">
      <calculatedColumnFormula>INDEX(ItemTable[GradeType],MATCH(ItemEffectTable[[#This Row],[Index]],ItemTable[ItemEffectDataId],0))</calculatedColumnFormula>
    </tableColumn>
    <tableColumn id="4" xr3:uid="{00000000-0010-0000-1300-000004000000}" name="Index" dataDxfId="28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7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6">
  <autoFilter ref="B2:J30" xr:uid="{00000000-0009-0000-0100-000016000000}"/>
  <tableColumns count="9">
    <tableColumn id="3" xr3:uid="{E74DAA42-5E4A-4F89-AD3E-565200EEF3AE}" name="#열1" dataDxfId="2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4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3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2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1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99" totalsRowShown="0" headerRowDxfId="9" dataDxfId="8">
  <autoFilter ref="B2:I99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63" t="s">
        <v>215</v>
      </c>
      <c r="C1" s="64"/>
      <c r="D1" s="64"/>
      <c r="E1" s="64"/>
    </row>
    <row r="2" spans="2:5" s="1" customFormat="1">
      <c r="B2" s="64"/>
      <c r="C2" s="64"/>
      <c r="D2" s="64"/>
      <c r="E2" s="64"/>
    </row>
    <row r="3" spans="2:5" s="1" customFormat="1">
      <c r="B3" s="64"/>
      <c r="C3" s="64"/>
      <c r="D3" s="64"/>
      <c r="E3" s="64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63" t="s">
        <v>135</v>
      </c>
      <c r="C1" s="64"/>
      <c r="D1" s="64"/>
      <c r="E1" s="64"/>
    </row>
    <row r="2" spans="2:13" s="1" customFormat="1">
      <c r="B2" s="64"/>
      <c r="C2" s="64"/>
      <c r="D2" s="64"/>
      <c r="E2" s="64"/>
    </row>
    <row r="3" spans="2:13" s="1" customFormat="1">
      <c r="B3" s="64"/>
      <c r="C3" s="64"/>
      <c r="D3" s="64"/>
      <c r="E3" s="64"/>
    </row>
    <row r="5" spans="2:13">
      <c r="B5" s="2" t="s">
        <v>54</v>
      </c>
      <c r="J5" s="2" t="s">
        <v>334</v>
      </c>
      <c r="K5" s="2"/>
    </row>
    <row r="6" spans="2:13">
      <c r="B6" t="s">
        <v>30</v>
      </c>
      <c r="C6" t="s">
        <v>32</v>
      </c>
      <c r="D6" t="s">
        <v>57</v>
      </c>
      <c r="E6" t="s">
        <v>50</v>
      </c>
      <c r="F6" t="s">
        <v>51</v>
      </c>
      <c r="G6" t="s">
        <v>55</v>
      </c>
      <c r="H6" t="s">
        <v>52</v>
      </c>
      <c r="J6" s="12" t="s">
        <v>335</v>
      </c>
      <c r="K6" s="12" t="s">
        <v>332</v>
      </c>
      <c r="L6" s="12" t="s">
        <v>329</v>
      </c>
      <c r="M6" s="12" t="s">
        <v>330</v>
      </c>
    </row>
    <row r="7" spans="2:13">
      <c r="B7" t="s">
        <v>32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336</v>
      </c>
      <c r="K7">
        <v>0</v>
      </c>
      <c r="L7">
        <v>4</v>
      </c>
      <c r="M7">
        <v>7</v>
      </c>
    </row>
    <row r="8" spans="2:13">
      <c r="B8" t="s">
        <v>57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337</v>
      </c>
      <c r="K8">
        <v>0</v>
      </c>
      <c r="L8">
        <v>6</v>
      </c>
      <c r="M8">
        <v>12</v>
      </c>
    </row>
    <row r="9" spans="2:13">
      <c r="J9" t="s">
        <v>338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333</v>
      </c>
      <c r="C11" s="2"/>
      <c r="D11" s="2"/>
      <c r="J11" s="2" t="s">
        <v>430</v>
      </c>
    </row>
    <row r="12" spans="2:13">
      <c r="B12" s="12" t="s">
        <v>429</v>
      </c>
      <c r="C12" s="12" t="s">
        <v>331</v>
      </c>
      <c r="D12" s="12" t="s">
        <v>332</v>
      </c>
      <c r="E12" s="12" t="s">
        <v>329</v>
      </c>
      <c r="F12" s="12" t="s">
        <v>330</v>
      </c>
      <c r="G12" s="12" t="s">
        <v>438</v>
      </c>
      <c r="H12" s="12"/>
      <c r="J12" s="12" t="s">
        <v>429</v>
      </c>
      <c r="K12" s="12" t="s">
        <v>437</v>
      </c>
      <c r="L12" s="12" t="s">
        <v>439</v>
      </c>
      <c r="M12" s="12" t="s">
        <v>440</v>
      </c>
    </row>
    <row r="13" spans="2:13">
      <c r="B13" s="12" t="s">
        <v>432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432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432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434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431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436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431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338</v>
      </c>
      <c r="M16">
        <f>SUBTOTAL(109,표24[층 완료 획득])</f>
        <v>508</v>
      </c>
    </row>
    <row r="17" spans="2:13">
      <c r="B17" s="12" t="s">
        <v>431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431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441</v>
      </c>
      <c r="M18" s="12">
        <f>표24[[#Totals],[층 완료 획득]]/30</f>
        <v>16.933333333333334</v>
      </c>
    </row>
    <row r="19" spans="2:13">
      <c r="B19" s="12" t="s">
        <v>431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442</v>
      </c>
      <c r="M19" s="12">
        <f>표24[[#Totals],[층 완료 획득]]/50</f>
        <v>10.16</v>
      </c>
    </row>
    <row r="20" spans="2:13">
      <c r="B20" s="12" t="s">
        <v>431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431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431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434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434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433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433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433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433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433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433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433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433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436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436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435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435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435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435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435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435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435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435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63" t="s">
        <v>194</v>
      </c>
      <c r="C1" s="64"/>
      <c r="D1" s="64"/>
      <c r="E1" s="64"/>
      <c r="F1" s="64"/>
    </row>
    <row r="2" spans="1:21" s="1" customFormat="1">
      <c r="B2" s="64"/>
      <c r="C2" s="64"/>
      <c r="D2" s="64"/>
      <c r="E2" s="64"/>
      <c r="F2" s="64"/>
    </row>
    <row r="3" spans="1:21" s="1" customFormat="1">
      <c r="B3" s="64"/>
      <c r="C3" s="64"/>
      <c r="D3" s="64"/>
      <c r="E3" s="64"/>
      <c r="F3" s="64"/>
    </row>
    <row r="5" spans="1:21">
      <c r="B5" s="2" t="s">
        <v>61</v>
      </c>
      <c r="G5" s="2" t="s">
        <v>145</v>
      </c>
      <c r="H5" s="2"/>
      <c r="R5" s="2" t="s">
        <v>66</v>
      </c>
    </row>
    <row r="6" spans="1:21">
      <c r="B6" t="s">
        <v>36</v>
      </c>
      <c r="C6" t="s">
        <v>94</v>
      </c>
      <c r="D6" t="s">
        <v>40</v>
      </c>
      <c r="E6" t="s">
        <v>233</v>
      </c>
      <c r="G6" t="s">
        <v>28</v>
      </c>
      <c r="H6" t="s">
        <v>50</v>
      </c>
      <c r="I6" t="s">
        <v>51</v>
      </c>
      <c r="J6" t="s">
        <v>68</v>
      </c>
      <c r="K6" t="s">
        <v>67</v>
      </c>
      <c r="L6" t="s">
        <v>63</v>
      </c>
      <c r="M6" t="s">
        <v>65</v>
      </c>
      <c r="N6" t="s">
        <v>198</v>
      </c>
      <c r="O6" t="s">
        <v>231</v>
      </c>
      <c r="P6" t="s">
        <v>196</v>
      </c>
      <c r="R6" t="s">
        <v>60</v>
      </c>
      <c r="S6" s="12" t="s">
        <v>339</v>
      </c>
    </row>
    <row r="7" spans="1:21">
      <c r="A7" s="11"/>
      <c r="B7" s="9" t="s">
        <v>124</v>
      </c>
      <c r="C7" s="11" t="s">
        <v>21</v>
      </c>
      <c r="D7" t="s">
        <v>87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0</v>
      </c>
      <c r="C8" s="9" t="s">
        <v>167</v>
      </c>
      <c r="D8" t="s">
        <v>96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37</v>
      </c>
      <c r="C9" s="9" t="s">
        <v>167</v>
      </c>
      <c r="D9" t="s">
        <v>98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179</v>
      </c>
      <c r="S9" s="2"/>
      <c r="T9" s="2"/>
    </row>
    <row r="10" spans="1:21">
      <c r="A10" s="9"/>
      <c r="B10" s="9" t="s">
        <v>129</v>
      </c>
      <c r="C10" s="9" t="s">
        <v>167</v>
      </c>
      <c r="D10" t="s">
        <v>228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50</v>
      </c>
      <c r="S10" t="s">
        <v>51</v>
      </c>
      <c r="T10" t="s">
        <v>55</v>
      </c>
      <c r="U10" t="s">
        <v>52</v>
      </c>
    </row>
    <row r="11" spans="1:21">
      <c r="A11" s="9"/>
      <c r="B11" s="9" t="s">
        <v>185</v>
      </c>
      <c r="C11" s="9" t="s">
        <v>167</v>
      </c>
      <c r="D11" t="s">
        <v>93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118</v>
      </c>
      <c r="C12" s="9" t="s">
        <v>153</v>
      </c>
      <c r="D12" t="s">
        <v>97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219</v>
      </c>
      <c r="C13" s="9" t="s">
        <v>10</v>
      </c>
      <c r="D13" t="s">
        <v>20</v>
      </c>
      <c r="E13">
        <f>30/0.46</f>
        <v>65.217391304347828</v>
      </c>
      <c r="R13" s="2" t="s">
        <v>62</v>
      </c>
    </row>
    <row r="14" spans="1:21">
      <c r="A14" s="9"/>
      <c r="B14" s="9" t="s">
        <v>8</v>
      </c>
      <c r="C14" s="9" t="s">
        <v>10</v>
      </c>
      <c r="D14" t="s">
        <v>22</v>
      </c>
      <c r="E14">
        <f>50/360</f>
        <v>0.1388888888888889</v>
      </c>
      <c r="R14" t="s">
        <v>64</v>
      </c>
      <c r="S14" t="s">
        <v>193</v>
      </c>
    </row>
    <row r="15" spans="1:21">
      <c r="A15" s="9"/>
      <c r="B15" s="9" t="s">
        <v>148</v>
      </c>
      <c r="C15" s="9" t="s">
        <v>10</v>
      </c>
      <c r="D15" t="s">
        <v>161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125</v>
      </c>
      <c r="C16" s="9" t="s">
        <v>10</v>
      </c>
      <c r="D16" t="s">
        <v>171</v>
      </c>
      <c r="E16" s="8">
        <v>40</v>
      </c>
    </row>
    <row r="17" spans="1:5">
      <c r="A17" s="9"/>
      <c r="B17" s="9" t="s">
        <v>220</v>
      </c>
      <c r="C17" s="9" t="s">
        <v>10</v>
      </c>
      <c r="D17" t="s">
        <v>88</v>
      </c>
      <c r="E17">
        <f>50/0.3</f>
        <v>166.66666666666669</v>
      </c>
    </row>
    <row r="18" spans="1:5">
      <c r="A18" s="9"/>
      <c r="B18" s="9" t="s">
        <v>239</v>
      </c>
      <c r="C18" s="9" t="s">
        <v>10</v>
      </c>
      <c r="D18" t="s">
        <v>230</v>
      </c>
      <c r="E18" s="10">
        <f>30/-0.2</f>
        <v>-150</v>
      </c>
    </row>
    <row r="19" spans="1:5">
      <c r="A19" s="9"/>
      <c r="B19" s="9" t="s">
        <v>140</v>
      </c>
      <c r="C19" s="9" t="s">
        <v>10</v>
      </c>
      <c r="D19" t="s">
        <v>160</v>
      </c>
      <c r="E19">
        <f>50/100</f>
        <v>0.5</v>
      </c>
    </row>
    <row r="20" spans="1:5">
      <c r="A20" s="9"/>
      <c r="B20" s="9" t="s">
        <v>168</v>
      </c>
      <c r="C20" s="9" t="s">
        <v>10</v>
      </c>
      <c r="D20" t="s">
        <v>163</v>
      </c>
      <c r="E20">
        <f>50/100</f>
        <v>0.5</v>
      </c>
    </row>
    <row r="21" spans="1:5">
      <c r="A21" s="9"/>
      <c r="B21" s="9" t="s">
        <v>12</v>
      </c>
      <c r="C21" s="9" t="s">
        <v>10</v>
      </c>
      <c r="D21" t="s">
        <v>178</v>
      </c>
      <c r="E21">
        <f>30/1/2</f>
        <v>15</v>
      </c>
    </row>
    <row r="22" spans="1:5">
      <c r="A22" s="9"/>
      <c r="B22" s="9" t="s">
        <v>18</v>
      </c>
      <c r="C22" s="9" t="s">
        <v>10</v>
      </c>
      <c r="D22" t="s">
        <v>177</v>
      </c>
      <c r="E22">
        <f>30/1/2</f>
        <v>15</v>
      </c>
    </row>
    <row r="23" spans="1:5">
      <c r="A23" s="9"/>
      <c r="B23" s="9" t="s">
        <v>151</v>
      </c>
      <c r="C23" s="9" t="s">
        <v>10</v>
      </c>
      <c r="D23" t="s">
        <v>226</v>
      </c>
      <c r="E23">
        <f>50/25</f>
        <v>2</v>
      </c>
    </row>
    <row r="24" spans="1:5">
      <c r="A24" s="9"/>
      <c r="B24" s="9" t="s">
        <v>159</v>
      </c>
      <c r="C24" s="9" t="s">
        <v>10</v>
      </c>
      <c r="D24" t="s">
        <v>227</v>
      </c>
      <c r="E24">
        <f>50/25</f>
        <v>2</v>
      </c>
    </row>
    <row r="25" spans="1:5">
      <c r="A25" s="9"/>
      <c r="B25" s="9" t="s">
        <v>176</v>
      </c>
      <c r="C25" s="9" t="s">
        <v>10</v>
      </c>
      <c r="D25" t="s">
        <v>244</v>
      </c>
      <c r="E25">
        <v>2</v>
      </c>
    </row>
    <row r="26" spans="1:5">
      <c r="A26" s="9"/>
      <c r="B26" s="9" t="s">
        <v>181</v>
      </c>
      <c r="C26" s="9" t="s">
        <v>10</v>
      </c>
      <c r="D26" t="s">
        <v>245</v>
      </c>
      <c r="E26">
        <v>2</v>
      </c>
    </row>
    <row r="27" spans="1:5">
      <c r="A27" s="9"/>
      <c r="B27" s="9" t="s">
        <v>127</v>
      </c>
      <c r="C27" s="9" t="s">
        <v>39</v>
      </c>
      <c r="D27" s="9" t="s">
        <v>13</v>
      </c>
      <c r="E27">
        <v>-50</v>
      </c>
    </row>
    <row r="28" spans="1:5">
      <c r="A28" s="9"/>
      <c r="B28" s="9" t="s">
        <v>95</v>
      </c>
      <c r="C28" s="9" t="s">
        <v>39</v>
      </c>
      <c r="D28" s="9" t="s">
        <v>11</v>
      </c>
      <c r="E28">
        <v>-30</v>
      </c>
    </row>
    <row r="29" spans="1:5">
      <c r="A29" s="9"/>
      <c r="B29" s="9" t="s">
        <v>186</v>
      </c>
      <c r="C29" s="9" t="s">
        <v>39</v>
      </c>
      <c r="D29" s="9" t="s">
        <v>9</v>
      </c>
      <c r="E29">
        <v>50</v>
      </c>
    </row>
    <row r="30" spans="1:5">
      <c r="A30" s="9"/>
      <c r="B30" s="9" t="s">
        <v>34</v>
      </c>
      <c r="C30" s="9" t="s">
        <v>39</v>
      </c>
      <c r="D30" s="9" t="s">
        <v>258</v>
      </c>
      <c r="E30">
        <v>50</v>
      </c>
    </row>
    <row r="31" spans="1:5">
      <c r="A31" s="9"/>
      <c r="B31" s="9" t="s">
        <v>184</v>
      </c>
      <c r="C31" s="9" t="s">
        <v>39</v>
      </c>
      <c r="D31" s="9" t="s">
        <v>120</v>
      </c>
      <c r="E31">
        <v>50</v>
      </c>
    </row>
    <row r="32" spans="1:5">
      <c r="A32" s="9"/>
      <c r="B32" s="9" t="s">
        <v>126</v>
      </c>
      <c r="C32" s="9" t="s">
        <v>39</v>
      </c>
      <c r="D32" s="9" t="s">
        <v>154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58</v>
      </c>
      <c r="B1" t="s">
        <v>33</v>
      </c>
      <c r="C1" t="s">
        <v>59</v>
      </c>
      <c r="D1" t="s">
        <v>33</v>
      </c>
    </row>
    <row r="2" spans="1:4">
      <c r="A2" t="s">
        <v>46</v>
      </c>
      <c r="B2" s="5" t="s">
        <v>69</v>
      </c>
      <c r="C2" t="s">
        <v>44</v>
      </c>
      <c r="D2" s="5" t="s">
        <v>29</v>
      </c>
    </row>
    <row r="3" spans="1:4">
      <c r="A3">
        <v>1</v>
      </c>
      <c r="B3" s="4" t="s">
        <v>122</v>
      </c>
      <c r="C3">
        <v>5</v>
      </c>
      <c r="D3" s="4" t="s">
        <v>137</v>
      </c>
    </row>
    <row r="4" spans="1:4">
      <c r="A4">
        <v>2</v>
      </c>
      <c r="B4" s="4" t="s">
        <v>174</v>
      </c>
      <c r="C4">
        <v>5</v>
      </c>
      <c r="D4" s="4" t="s">
        <v>121</v>
      </c>
    </row>
    <row r="5" spans="1:4">
      <c r="A5">
        <v>3</v>
      </c>
      <c r="B5" s="4" t="s">
        <v>182</v>
      </c>
      <c r="C5">
        <v>20</v>
      </c>
      <c r="D5" s="4" t="s">
        <v>1</v>
      </c>
    </row>
    <row r="6" spans="1:4">
      <c r="A6">
        <v>4</v>
      </c>
      <c r="B6" s="4" t="s">
        <v>183</v>
      </c>
      <c r="C6">
        <v>0.5</v>
      </c>
      <c r="D6" s="4" t="s">
        <v>131</v>
      </c>
    </row>
    <row r="7" spans="1:4">
      <c r="A7">
        <v>5</v>
      </c>
      <c r="B7" s="4" t="s">
        <v>222</v>
      </c>
      <c r="C7">
        <v>50</v>
      </c>
      <c r="D7" s="4" t="s">
        <v>257</v>
      </c>
    </row>
    <row r="8" spans="1:4">
      <c r="A8">
        <v>6</v>
      </c>
      <c r="B8" s="4" t="s">
        <v>225</v>
      </c>
      <c r="C8">
        <v>1</v>
      </c>
      <c r="D8" s="4" t="s">
        <v>119</v>
      </c>
    </row>
    <row r="9" spans="1:4">
      <c r="A9">
        <v>7</v>
      </c>
      <c r="B9" s="4" t="s">
        <v>256</v>
      </c>
      <c r="C9">
        <v>10</v>
      </c>
      <c r="D9" s="4" t="s">
        <v>255</v>
      </c>
    </row>
    <row r="10" spans="1:4">
      <c r="A10">
        <v>8</v>
      </c>
      <c r="B10" s="4" t="s">
        <v>15</v>
      </c>
      <c r="C10">
        <v>5</v>
      </c>
      <c r="D10" s="4" t="s">
        <v>116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D4" sqref="D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  <c r="J1" t="s">
        <v>59</v>
      </c>
      <c r="K1" t="s">
        <v>104</v>
      </c>
      <c r="L1" t="s">
        <v>104</v>
      </c>
      <c r="M1" t="s">
        <v>31</v>
      </c>
    </row>
    <row r="2" spans="2:13">
      <c r="B2" t="s">
        <v>46</v>
      </c>
      <c r="C2" s="5" t="s">
        <v>29</v>
      </c>
      <c r="D2" t="s">
        <v>101</v>
      </c>
      <c r="E2" t="s">
        <v>191</v>
      </c>
      <c r="F2" t="s">
        <v>0</v>
      </c>
      <c r="G2" s="12" t="s">
        <v>410</v>
      </c>
      <c r="H2" t="s">
        <v>5</v>
      </c>
      <c r="I2" s="17" t="s">
        <v>387</v>
      </c>
      <c r="J2" t="s">
        <v>3</v>
      </c>
      <c r="K2" t="s">
        <v>16</v>
      </c>
      <c r="L2" t="s">
        <v>157</v>
      </c>
      <c r="M2" t="s">
        <v>185</v>
      </c>
    </row>
    <row r="3" spans="2:13">
      <c r="B3">
        <v>100</v>
      </c>
      <c r="C3" s="4" t="s">
        <v>24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C1" zoomScaleNormal="75" zoomScaleSheetLayoutView="100" workbookViewId="0">
      <selection activeCell="D4" sqref="D4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31</v>
      </c>
      <c r="C1" t="s">
        <v>33</v>
      </c>
      <c r="D1" t="s">
        <v>59</v>
      </c>
      <c r="E1" t="s">
        <v>59</v>
      </c>
      <c r="F1" t="s">
        <v>31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31</v>
      </c>
      <c r="O1" t="s">
        <v>31</v>
      </c>
      <c r="P1" t="s">
        <v>31</v>
      </c>
      <c r="V1" s="8" t="s">
        <v>117</v>
      </c>
    </row>
    <row r="2" spans="2:23">
      <c r="B2" t="s">
        <v>46</v>
      </c>
      <c r="C2" s="5" t="s">
        <v>29</v>
      </c>
      <c r="D2" s="34" t="s">
        <v>388</v>
      </c>
      <c r="E2" s="6" t="s">
        <v>219</v>
      </c>
      <c r="F2" s="38" t="s">
        <v>520</v>
      </c>
      <c r="G2" s="6" t="s">
        <v>239</v>
      </c>
      <c r="H2" s="6" t="s">
        <v>125</v>
      </c>
      <c r="I2" s="34" t="s">
        <v>466</v>
      </c>
      <c r="J2" s="38" t="s">
        <v>457</v>
      </c>
      <c r="K2" s="6" t="s">
        <v>19</v>
      </c>
      <c r="L2" s="7" t="s">
        <v>151</v>
      </c>
      <c r="M2" s="7" t="s">
        <v>159</v>
      </c>
      <c r="N2" s="39" t="s">
        <v>464</v>
      </c>
      <c r="O2" s="29" t="s">
        <v>465</v>
      </c>
      <c r="P2" s="1" t="s">
        <v>220</v>
      </c>
      <c r="Q2" s="5" t="s">
        <v>234</v>
      </c>
      <c r="R2" s="5" t="s">
        <v>152</v>
      </c>
      <c r="S2" s="5" t="s">
        <v>173</v>
      </c>
      <c r="T2" s="5" t="s">
        <v>155</v>
      </c>
      <c r="U2" s="5" t="s">
        <v>172</v>
      </c>
      <c r="V2" s="5" t="s">
        <v>166</v>
      </c>
      <c r="W2" s="5" t="s">
        <v>14</v>
      </c>
    </row>
    <row r="3" spans="2:23">
      <c r="B3">
        <v>200</v>
      </c>
      <c r="C3" s="4" t="s">
        <v>197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50</v>
      </c>
      <c r="S3">
        <f>CharacterAtkTable[[#This Row],[ChargeRigidDmg2]]/(CharacterAtkTable[[#This Row],[SwingCooldown]]+CharacterAtkTable[[#This Row],[ChargeTime]])</f>
        <v>36.36363636363636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31</v>
      </c>
      <c r="C1" t="s">
        <v>33</v>
      </c>
      <c r="D1" t="s">
        <v>31</v>
      </c>
      <c r="E1" t="s">
        <v>59</v>
      </c>
      <c r="F1" t="s">
        <v>59</v>
      </c>
      <c r="G1" t="s">
        <v>59</v>
      </c>
      <c r="H1" t="s">
        <v>31</v>
      </c>
      <c r="I1" t="s">
        <v>31</v>
      </c>
      <c r="J1" t="s">
        <v>31</v>
      </c>
      <c r="K1" t="s">
        <v>31</v>
      </c>
      <c r="L1" t="s">
        <v>31</v>
      </c>
      <c r="M1" t="s">
        <v>31</v>
      </c>
      <c r="N1" t="s">
        <v>33</v>
      </c>
      <c r="O1" t="s">
        <v>33</v>
      </c>
      <c r="P1" t="s">
        <v>33</v>
      </c>
      <c r="Q1" t="s">
        <v>33</v>
      </c>
      <c r="R1" t="s">
        <v>33</v>
      </c>
      <c r="S1" t="s">
        <v>33</v>
      </c>
    </row>
    <row r="2" spans="2:19">
      <c r="B2" t="s">
        <v>46</v>
      </c>
      <c r="C2" s="5" t="s">
        <v>42</v>
      </c>
      <c r="D2" t="s">
        <v>144</v>
      </c>
      <c r="E2" s="24" t="s">
        <v>136</v>
      </c>
      <c r="F2" s="24" t="s">
        <v>192</v>
      </c>
      <c r="G2" t="s">
        <v>6</v>
      </c>
      <c r="H2" t="s">
        <v>209</v>
      </c>
      <c r="I2" t="s">
        <v>142</v>
      </c>
      <c r="J2" t="s">
        <v>141</v>
      </c>
      <c r="K2" t="s">
        <v>195</v>
      </c>
      <c r="L2" t="s">
        <v>138</v>
      </c>
      <c r="M2" t="s">
        <v>143</v>
      </c>
      <c r="N2" s="5" t="s">
        <v>83</v>
      </c>
      <c r="O2" s="5" t="s">
        <v>89</v>
      </c>
      <c r="P2" s="5" t="s">
        <v>90</v>
      </c>
      <c r="Q2" s="5" t="s">
        <v>91</v>
      </c>
      <c r="R2" s="5" t="s">
        <v>92</v>
      </c>
      <c r="S2" s="5" t="s">
        <v>86</v>
      </c>
    </row>
    <row r="3" spans="2:19">
      <c r="B3">
        <v>800</v>
      </c>
      <c r="C3" s="14" t="s">
        <v>432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434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436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31</v>
      </c>
      <c r="C1" t="s">
        <v>33</v>
      </c>
      <c r="D1" t="s">
        <v>59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</row>
    <row r="2" spans="1:11">
      <c r="B2" t="s">
        <v>46</v>
      </c>
      <c r="C2" s="5" t="s">
        <v>27</v>
      </c>
      <c r="D2" t="s">
        <v>50</v>
      </c>
      <c r="E2" t="s">
        <v>51</v>
      </c>
      <c r="F2" t="s">
        <v>55</v>
      </c>
      <c r="G2" s="17" t="s">
        <v>392</v>
      </c>
      <c r="H2" t="s">
        <v>32</v>
      </c>
      <c r="I2" t="s">
        <v>57</v>
      </c>
    </row>
    <row r="3" spans="1:11">
      <c r="B3" s="24">
        <v>9001</v>
      </c>
      <c r="C3" s="26" t="s">
        <v>348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347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344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275</v>
      </c>
      <c r="B6">
        <v>9100</v>
      </c>
      <c r="C6" s="14" t="s">
        <v>345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33</v>
      </c>
      <c r="B7" s="27">
        <v>9101</v>
      </c>
      <c r="C7" s="28" t="s">
        <v>346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33</v>
      </c>
      <c r="B8" s="27">
        <v>9102</v>
      </c>
      <c r="C8" s="28" t="s">
        <v>201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33</v>
      </c>
      <c r="B9" s="27">
        <v>9103</v>
      </c>
      <c r="C9" s="28" t="s">
        <v>74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33</v>
      </c>
      <c r="B10" s="27">
        <v>9104</v>
      </c>
      <c r="C10" s="28" t="s">
        <v>73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33</v>
      </c>
      <c r="B11" s="27">
        <v>9105</v>
      </c>
      <c r="C11" s="28" t="s">
        <v>210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D1" zoomScaleNormal="75" zoomScaleSheetLayoutView="100" workbookViewId="0">
      <selection activeCell="N14" sqref="N14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31</v>
      </c>
      <c r="C1" s="17" t="s">
        <v>367</v>
      </c>
      <c r="D1" s="12" t="s">
        <v>275</v>
      </c>
      <c r="E1" t="s">
        <v>31</v>
      </c>
      <c r="F1" t="s">
        <v>59</v>
      </c>
      <c r="G1" t="s">
        <v>77</v>
      </c>
      <c r="H1" t="s">
        <v>31</v>
      </c>
      <c r="I1" t="s">
        <v>59</v>
      </c>
      <c r="J1" t="s">
        <v>59</v>
      </c>
      <c r="K1" s="17" t="s">
        <v>351</v>
      </c>
      <c r="L1" t="s">
        <v>59</v>
      </c>
      <c r="M1" t="s">
        <v>77</v>
      </c>
      <c r="N1" t="s">
        <v>59</v>
      </c>
      <c r="O1" t="s">
        <v>31</v>
      </c>
      <c r="P1" t="s">
        <v>31</v>
      </c>
      <c r="Q1" t="s">
        <v>31</v>
      </c>
      <c r="R1" t="s">
        <v>31</v>
      </c>
      <c r="S1" t="s">
        <v>31</v>
      </c>
      <c r="T1" t="s">
        <v>58</v>
      </c>
      <c r="U1" t="s">
        <v>33</v>
      </c>
      <c r="V1" t="s">
        <v>33</v>
      </c>
    </row>
    <row r="2" spans="2:22">
      <c r="B2" t="s">
        <v>46</v>
      </c>
      <c r="C2" s="32" t="s">
        <v>366</v>
      </c>
      <c r="D2" s="13" t="s">
        <v>275</v>
      </c>
      <c r="E2" t="s">
        <v>81</v>
      </c>
      <c r="F2" s="17" t="s">
        <v>343</v>
      </c>
      <c r="G2" t="s">
        <v>203</v>
      </c>
      <c r="H2" t="s">
        <v>205</v>
      </c>
      <c r="I2" s="17" t="s">
        <v>371</v>
      </c>
      <c r="J2" t="s">
        <v>0</v>
      </c>
      <c r="K2" s="17" t="s">
        <v>352</v>
      </c>
      <c r="L2" t="s">
        <v>134</v>
      </c>
      <c r="M2" t="s">
        <v>130</v>
      </c>
      <c r="N2" t="s">
        <v>132</v>
      </c>
      <c r="O2" t="s">
        <v>202</v>
      </c>
      <c r="P2" t="s">
        <v>139</v>
      </c>
      <c r="Q2" t="s">
        <v>208</v>
      </c>
      <c r="R2" t="s">
        <v>206</v>
      </c>
      <c r="S2" t="s">
        <v>2</v>
      </c>
      <c r="T2" t="s">
        <v>211</v>
      </c>
      <c r="U2" s="5" t="s">
        <v>213</v>
      </c>
      <c r="V2" s="5" t="s">
        <v>229</v>
      </c>
    </row>
    <row r="3" spans="2:22">
      <c r="B3">
        <v>500</v>
      </c>
      <c r="C3" s="4" t="s">
        <v>26</v>
      </c>
      <c r="D3" s="14" t="s">
        <v>276</v>
      </c>
      <c r="E3">
        <f>표14[적 기준 체력]*EnemyGameData[[#This Row],['#기준 적 체력 비율]]</f>
        <v>20</v>
      </c>
      <c r="F3">
        <v>16</v>
      </c>
      <c r="G3" t="s">
        <v>75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45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364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478</v>
      </c>
      <c r="D4" s="14" t="s">
        <v>278</v>
      </c>
      <c r="E4">
        <f>표14[적 기준 체력]*EnemyGameData[[#This Row],['#기준 적 체력 비율]]</f>
        <v>80</v>
      </c>
      <c r="F4">
        <v>50</v>
      </c>
      <c r="G4" t="s">
        <v>75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381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468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479</v>
      </c>
      <c r="D5" s="14" t="s">
        <v>281</v>
      </c>
      <c r="E5">
        <f>표14[적 기준 체력]*EnemyGameData[[#This Row],['#기준 적 체력 비율]]</f>
        <v>100</v>
      </c>
      <c r="F5">
        <v>16</v>
      </c>
      <c r="G5" t="s">
        <v>75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76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469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480</v>
      </c>
      <c r="D6" s="14" t="s">
        <v>300</v>
      </c>
      <c r="E6">
        <f>표14[적 기준 체력]*EnemyGameData[[#This Row],['#기준 적 체력 비율]]</f>
        <v>80</v>
      </c>
      <c r="F6">
        <v>16</v>
      </c>
      <c r="G6" t="s">
        <v>212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76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470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471</v>
      </c>
      <c r="C7" s="22" t="s">
        <v>164</v>
      </c>
      <c r="D7" s="22" t="s">
        <v>304</v>
      </c>
      <c r="E7" s="21">
        <f>표14[적 기준 체력]*EnemyGameData[[#This Row],['#기준 적 체력 비율]]</f>
        <v>80</v>
      </c>
      <c r="F7">
        <v>16</v>
      </c>
      <c r="G7" s="21" t="s">
        <v>212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76</v>
      </c>
      <c r="N7">
        <f>IF(EnemyGameData[[#This Row],[SpacingRad]]&lt;3,5,EnemyGameData[[#This Row],[SpacingRad]]+1)</f>
        <v>5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365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472</v>
      </c>
      <c r="C8" s="22" t="s">
        <v>165</v>
      </c>
      <c r="D8" s="22" t="s">
        <v>304</v>
      </c>
      <c r="E8" s="21">
        <f>표14[적 기준 체력]*EnemyGameData[[#This Row],['#기준 적 체력 비율]]</f>
        <v>100</v>
      </c>
      <c r="F8">
        <v>16</v>
      </c>
      <c r="G8" s="21" t="s">
        <v>212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76</v>
      </c>
      <c r="N8">
        <f>IF(EnemyGameData[[#This Row],[SpacingRad]]&lt;3,5,EnemyGameData[[#This Row],[SpacingRad]]+1)</f>
        <v>5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365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481</v>
      </c>
      <c r="D9" s="14" t="s">
        <v>303</v>
      </c>
      <c r="E9">
        <f>표14[적 기준 체력]*EnemyGameData[[#This Row],['#기준 적 체력 비율]]</f>
        <v>100</v>
      </c>
      <c r="F9">
        <v>16</v>
      </c>
      <c r="G9" t="s">
        <v>212</v>
      </c>
      <c r="H9">
        <v>4</v>
      </c>
      <c r="I9">
        <v>1.4</v>
      </c>
      <c r="J9">
        <v>2</v>
      </c>
      <c r="K9">
        <v>0</v>
      </c>
      <c r="L9">
        <v>1</v>
      </c>
      <c r="M9" t="s">
        <v>76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473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251</v>
      </c>
      <c r="D10" s="4"/>
      <c r="E10">
        <v>2000</v>
      </c>
      <c r="F10">
        <v>16</v>
      </c>
      <c r="G10" t="s">
        <v>75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76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546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482</v>
      </c>
      <c r="D11" s="14" t="s">
        <v>306</v>
      </c>
      <c r="E11">
        <f>표14[적 기준 체력]*EnemyGameData[[#This Row],['#기준 적 체력 비율]]</f>
        <v>80</v>
      </c>
      <c r="F11">
        <v>50</v>
      </c>
      <c r="G11" t="s">
        <v>212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146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476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483</v>
      </c>
      <c r="D12" s="14" t="s">
        <v>277</v>
      </c>
      <c r="E12">
        <f>표14[적 기준 체력]*EnemyGameData[[#This Row],['#기준 적 체력 비율]]</f>
        <v>140</v>
      </c>
      <c r="F12">
        <v>50</v>
      </c>
      <c r="G12" s="17" t="s">
        <v>463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146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477</v>
      </c>
      <c r="U12">
        <v>1.4</v>
      </c>
      <c r="V12">
        <v>7</v>
      </c>
    </row>
    <row r="13" spans="2:22">
      <c r="B13" s="40">
        <v>551</v>
      </c>
      <c r="C13" s="41" t="s">
        <v>484</v>
      </c>
      <c r="D13" s="41" t="s">
        <v>282</v>
      </c>
      <c r="E13" s="40">
        <f>표14[적 기준 체력]*EnemyGameData[[#This Row],['#기준 적 체력 비율]]</f>
        <v>160</v>
      </c>
      <c r="F13">
        <v>16</v>
      </c>
      <c r="G13" s="40" t="s">
        <v>75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76</v>
      </c>
      <c r="N13">
        <f>IF(EnemyGameData[[#This Row],[SpacingRad]]&lt;3,5,EnemyGameData[[#This Row],[SpacingRad]]+1)</f>
        <v>6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469</v>
      </c>
      <c r="U13" s="40">
        <v>1.6</v>
      </c>
      <c r="V13" s="40">
        <v>7</v>
      </c>
    </row>
    <row r="14" spans="2:22">
      <c r="B14">
        <v>552</v>
      </c>
      <c r="C14" s="14" t="s">
        <v>485</v>
      </c>
      <c r="D14" s="14" t="s">
        <v>301</v>
      </c>
      <c r="E14">
        <f>표14[적 기준 체력]*EnemyGameData[[#This Row],['#기준 적 체력 비율]]</f>
        <v>140</v>
      </c>
      <c r="F14">
        <v>16</v>
      </c>
      <c r="G14" t="s">
        <v>212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76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475</v>
      </c>
      <c r="U14">
        <v>1.4</v>
      </c>
      <c r="V14">
        <v>7</v>
      </c>
    </row>
    <row r="15" spans="2:22">
      <c r="B15">
        <v>553</v>
      </c>
      <c r="C15" s="15" t="s">
        <v>486</v>
      </c>
      <c r="D15" s="14" t="s">
        <v>302</v>
      </c>
      <c r="E15">
        <f>표14[적 기준 체력]*EnemyGameData[[#This Row],['#기준 적 체력 비율]]</f>
        <v>160</v>
      </c>
      <c r="F15">
        <v>16</v>
      </c>
      <c r="G15" t="s">
        <v>212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76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474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467</v>
      </c>
      <c r="C16" s="23" t="s">
        <v>305</v>
      </c>
      <c r="D16" s="22" t="s">
        <v>304</v>
      </c>
      <c r="E16" s="21">
        <f>표14[적 기준 체력]*EnemyGameData[[#This Row],['#기준 적 체력 비율]]</f>
        <v>20</v>
      </c>
      <c r="F16">
        <v>16</v>
      </c>
      <c r="G16" s="21" t="s">
        <v>75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45</v>
      </c>
      <c r="N16">
        <f>IF(EnemyGameData[[#This Row],[SpacingRad]]&lt;3,5,EnemyGameData[[#This Row],[SpacingRad]]+1)</f>
        <v>5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364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31</v>
      </c>
      <c r="C1" t="s">
        <v>33</v>
      </c>
      <c r="D1" t="s">
        <v>31</v>
      </c>
      <c r="E1" t="s">
        <v>77</v>
      </c>
      <c r="F1" t="s">
        <v>59</v>
      </c>
      <c r="G1" t="s">
        <v>59</v>
      </c>
      <c r="H1" s="12" t="s">
        <v>275</v>
      </c>
      <c r="I1" s="12" t="s">
        <v>275</v>
      </c>
    </row>
    <row r="2" spans="2:9">
      <c r="B2" t="s">
        <v>46</v>
      </c>
      <c r="C2" s="5" t="s">
        <v>29</v>
      </c>
      <c r="D2" t="s">
        <v>217</v>
      </c>
      <c r="E2" t="s">
        <v>79</v>
      </c>
      <c r="F2" t="s">
        <v>216</v>
      </c>
      <c r="G2" t="s">
        <v>214</v>
      </c>
      <c r="H2" s="12" t="s">
        <v>275</v>
      </c>
      <c r="I2" s="12" t="s">
        <v>328</v>
      </c>
    </row>
    <row r="3" spans="2:9">
      <c r="B3">
        <v>600</v>
      </c>
      <c r="C3" s="16" t="s">
        <v>320</v>
      </c>
      <c r="D3">
        <v>700</v>
      </c>
      <c r="E3" t="s">
        <v>103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283</v>
      </c>
      <c r="D4">
        <v>702</v>
      </c>
      <c r="E4" t="s">
        <v>99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283</v>
      </c>
      <c r="D5">
        <v>706</v>
      </c>
      <c r="E5" t="s">
        <v>99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283</v>
      </c>
      <c r="D6">
        <v>712</v>
      </c>
      <c r="E6" t="s">
        <v>99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283</v>
      </c>
      <c r="D7">
        <v>709</v>
      </c>
      <c r="E7" t="s">
        <v>99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283</v>
      </c>
      <c r="D8">
        <v>711</v>
      </c>
      <c r="E8" t="s">
        <v>99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283</v>
      </c>
      <c r="D9">
        <v>708</v>
      </c>
      <c r="E9" t="s">
        <v>99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283</v>
      </c>
      <c r="D10">
        <v>718</v>
      </c>
      <c r="E10" t="s">
        <v>99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283</v>
      </c>
      <c r="D11">
        <v>710</v>
      </c>
      <c r="E11" t="s">
        <v>99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283</v>
      </c>
      <c r="D12">
        <v>703</v>
      </c>
      <c r="E12" t="s">
        <v>99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316</v>
      </c>
      <c r="D13">
        <v>719</v>
      </c>
      <c r="E13" t="s">
        <v>99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105</v>
      </c>
      <c r="D14">
        <v>720</v>
      </c>
      <c r="E14" t="s">
        <v>99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324</v>
      </c>
      <c r="D15">
        <v>721</v>
      </c>
      <c r="E15" t="s">
        <v>99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324</v>
      </c>
      <c r="D16">
        <v>722</v>
      </c>
      <c r="E16" t="s">
        <v>99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324</v>
      </c>
      <c r="D17">
        <v>723</v>
      </c>
      <c r="E17" t="s">
        <v>99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315</v>
      </c>
      <c r="D18">
        <v>724</v>
      </c>
      <c r="E18" t="s">
        <v>99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241</v>
      </c>
      <c r="D19">
        <v>724</v>
      </c>
      <c r="E19" t="s">
        <v>99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241</v>
      </c>
      <c r="D20">
        <v>724</v>
      </c>
      <c r="E20" t="s">
        <v>99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241</v>
      </c>
      <c r="D21">
        <v>724</v>
      </c>
      <c r="E21" t="s">
        <v>99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314</v>
      </c>
      <c r="D22">
        <v>701</v>
      </c>
      <c r="E22" t="s">
        <v>103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321</v>
      </c>
      <c r="D23">
        <v>725</v>
      </c>
      <c r="E23" t="s">
        <v>103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322</v>
      </c>
      <c r="D24">
        <v>725</v>
      </c>
      <c r="E24" t="s">
        <v>103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323</v>
      </c>
      <c r="D25">
        <v>725</v>
      </c>
      <c r="E25" t="s">
        <v>103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341</v>
      </c>
      <c r="D26">
        <v>716</v>
      </c>
      <c r="E26" t="s">
        <v>99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341</v>
      </c>
      <c r="D27">
        <v>718</v>
      </c>
      <c r="E27" t="s">
        <v>99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341</v>
      </c>
      <c r="D28">
        <v>708</v>
      </c>
      <c r="E28" t="s">
        <v>99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341</v>
      </c>
      <c r="D29">
        <v>712</v>
      </c>
      <c r="E29" t="s">
        <v>99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341</v>
      </c>
      <c r="D30">
        <v>708</v>
      </c>
      <c r="E30" t="s">
        <v>99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341</v>
      </c>
      <c r="D31">
        <v>711</v>
      </c>
      <c r="E31" t="s">
        <v>99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341</v>
      </c>
      <c r="D32">
        <v>713</v>
      </c>
      <c r="E32" t="s">
        <v>99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341</v>
      </c>
      <c r="D33">
        <v>713</v>
      </c>
      <c r="E33" t="s">
        <v>99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341</v>
      </c>
      <c r="D34">
        <v>705</v>
      </c>
      <c r="E34" t="s">
        <v>99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341</v>
      </c>
      <c r="D35">
        <v>706</v>
      </c>
      <c r="E35" t="s">
        <v>99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341</v>
      </c>
      <c r="D36">
        <v>711</v>
      </c>
      <c r="E36" t="s">
        <v>99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341</v>
      </c>
      <c r="D37">
        <v>712</v>
      </c>
      <c r="E37" t="s">
        <v>99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341</v>
      </c>
      <c r="D38">
        <v>708</v>
      </c>
      <c r="E38" t="s">
        <v>99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341</v>
      </c>
      <c r="D39">
        <v>702</v>
      </c>
      <c r="E39" t="s">
        <v>99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341</v>
      </c>
      <c r="D40">
        <v>708</v>
      </c>
      <c r="E40" t="s">
        <v>99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341</v>
      </c>
      <c r="D41">
        <v>717</v>
      </c>
      <c r="E41" t="s">
        <v>99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325</v>
      </c>
      <c r="D42">
        <v>726</v>
      </c>
      <c r="E42" t="s">
        <v>99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326</v>
      </c>
      <c r="D43">
        <v>726</v>
      </c>
      <c r="E43" t="s">
        <v>99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327</v>
      </c>
      <c r="D44">
        <v>726</v>
      </c>
      <c r="E44" t="s">
        <v>99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309</v>
      </c>
      <c r="D45">
        <v>700</v>
      </c>
      <c r="E45" t="s">
        <v>99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309</v>
      </c>
      <c r="D46">
        <v>701</v>
      </c>
      <c r="E46" t="s">
        <v>99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309</v>
      </c>
      <c r="D47">
        <v>700</v>
      </c>
      <c r="E47" t="s">
        <v>99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309</v>
      </c>
      <c r="D48">
        <v>701</v>
      </c>
      <c r="E48" t="s">
        <v>99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309</v>
      </c>
      <c r="D49">
        <v>700</v>
      </c>
      <c r="E49" t="s">
        <v>99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309</v>
      </c>
      <c r="D50">
        <v>701</v>
      </c>
      <c r="E50" t="s">
        <v>99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309</v>
      </c>
      <c r="D51">
        <v>700</v>
      </c>
      <c r="E51" t="s">
        <v>99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309</v>
      </c>
      <c r="D52">
        <v>701</v>
      </c>
      <c r="E52" t="s">
        <v>99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309</v>
      </c>
      <c r="D53">
        <v>700</v>
      </c>
      <c r="E53" t="s">
        <v>99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309</v>
      </c>
      <c r="D54">
        <v>701</v>
      </c>
      <c r="E54" t="s">
        <v>99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309</v>
      </c>
      <c r="D55">
        <v>700</v>
      </c>
      <c r="E55" t="s">
        <v>99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309</v>
      </c>
      <c r="D56">
        <v>727</v>
      </c>
      <c r="E56" t="s">
        <v>99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310</v>
      </c>
      <c r="D57">
        <v>725</v>
      </c>
      <c r="E57" s="17" t="s">
        <v>307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310</v>
      </c>
      <c r="D58">
        <v>725</v>
      </c>
      <c r="E58" s="17" t="s">
        <v>307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311</v>
      </c>
      <c r="D59">
        <v>999</v>
      </c>
      <c r="E59" s="17" t="s">
        <v>308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31</v>
      </c>
      <c r="C1" t="s">
        <v>33</v>
      </c>
      <c r="D1" t="s">
        <v>77</v>
      </c>
      <c r="E1" t="s">
        <v>31</v>
      </c>
      <c r="F1" t="s">
        <v>31</v>
      </c>
      <c r="G1" t="s">
        <v>31</v>
      </c>
    </row>
    <row r="2" spans="2:7">
      <c r="B2" t="s">
        <v>46</v>
      </c>
      <c r="C2" s="5" t="s">
        <v>29</v>
      </c>
      <c r="D2" t="s">
        <v>218</v>
      </c>
      <c r="E2" t="s">
        <v>2</v>
      </c>
      <c r="F2" t="s">
        <v>147</v>
      </c>
      <c r="G2" t="s">
        <v>221</v>
      </c>
    </row>
    <row r="3" spans="2:7">
      <c r="B3">
        <v>700</v>
      </c>
      <c r="C3" s="4" t="s">
        <v>235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235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235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235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156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156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156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156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100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286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287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288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289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290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291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292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293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294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295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296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284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297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285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298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299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317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158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158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158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158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158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158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158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158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169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169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169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169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169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169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169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169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162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162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162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162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162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162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162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162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280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280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279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279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279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279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279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279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236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350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350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349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349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349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349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349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349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350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350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349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349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349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349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349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349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407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407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407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445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445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445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445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445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445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445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445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497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497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497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497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312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31</v>
      </c>
      <c r="C1" t="s">
        <v>33</v>
      </c>
      <c r="D1" t="s">
        <v>84</v>
      </c>
      <c r="E1" t="s">
        <v>59</v>
      </c>
      <c r="F1" t="s">
        <v>31</v>
      </c>
      <c r="G1" t="s">
        <v>58</v>
      </c>
    </row>
    <row r="2" spans="2:7">
      <c r="B2" t="s">
        <v>46</v>
      </c>
      <c r="C2" s="5" t="s">
        <v>29</v>
      </c>
      <c r="D2" t="s">
        <v>232</v>
      </c>
      <c r="E2" t="s">
        <v>118</v>
      </c>
      <c r="F2" t="s">
        <v>204</v>
      </c>
      <c r="G2" t="s">
        <v>211</v>
      </c>
    </row>
    <row r="3" spans="2:7">
      <c r="B3">
        <v>200</v>
      </c>
      <c r="C3" s="4" t="s">
        <v>25</v>
      </c>
      <c r="D3" t="b">
        <v>1</v>
      </c>
      <c r="E3">
        <v>0.8</v>
      </c>
      <c r="F3">
        <v>25</v>
      </c>
      <c r="G3" t="s">
        <v>254</v>
      </c>
    </row>
    <row r="4" spans="2:7">
      <c r="B4">
        <v>201</v>
      </c>
      <c r="C4" s="12" t="s">
        <v>408</v>
      </c>
      <c r="D4" t="b">
        <v>1</v>
      </c>
      <c r="E4">
        <v>0.8</v>
      </c>
      <c r="F4">
        <v>15</v>
      </c>
      <c r="G4" s="12" t="s">
        <v>447</v>
      </c>
    </row>
    <row r="5" spans="2:7">
      <c r="B5">
        <v>204</v>
      </c>
      <c r="C5" s="12" t="s">
        <v>446</v>
      </c>
      <c r="D5" t="b">
        <v>1</v>
      </c>
      <c r="E5">
        <v>1.5</v>
      </c>
      <c r="F5">
        <v>30</v>
      </c>
      <c r="G5" s="12" t="s">
        <v>459</v>
      </c>
    </row>
    <row r="6" spans="2:7">
      <c r="B6">
        <v>205</v>
      </c>
      <c r="C6" s="12" t="s">
        <v>498</v>
      </c>
      <c r="D6" t="b">
        <v>1</v>
      </c>
      <c r="E6">
        <v>1.2</v>
      </c>
      <c r="F6">
        <v>30</v>
      </c>
      <c r="G6" s="12" t="s">
        <v>459</v>
      </c>
    </row>
    <row r="7" spans="2:7">
      <c r="B7">
        <v>500</v>
      </c>
      <c r="C7" s="4" t="s">
        <v>26</v>
      </c>
      <c r="D7" s="3" t="b">
        <v>0</v>
      </c>
      <c r="E7">
        <v>1</v>
      </c>
      <c r="F7">
        <v>60</v>
      </c>
      <c r="G7" t="s">
        <v>253</v>
      </c>
    </row>
    <row r="8" spans="2:7">
      <c r="B8">
        <v>501</v>
      </c>
      <c r="C8" s="4" t="s">
        <v>102</v>
      </c>
      <c r="D8" s="3" t="b">
        <v>0</v>
      </c>
      <c r="E8">
        <v>1</v>
      </c>
      <c r="F8">
        <v>60</v>
      </c>
      <c r="G8" t="s">
        <v>253</v>
      </c>
    </row>
    <row r="9" spans="2:7">
      <c r="B9">
        <v>400</v>
      </c>
      <c r="C9" s="4" t="s">
        <v>85</v>
      </c>
      <c r="D9" s="3" t="b">
        <v>0</v>
      </c>
      <c r="E9">
        <v>0.25</v>
      </c>
      <c r="F9">
        <v>25</v>
      </c>
      <c r="G9" t="s">
        <v>253</v>
      </c>
    </row>
    <row r="10" spans="2:7">
      <c r="B10">
        <v>401</v>
      </c>
      <c r="C10" s="4" t="s">
        <v>243</v>
      </c>
      <c r="D10" s="3" t="b">
        <v>1</v>
      </c>
      <c r="E10">
        <v>0.25</v>
      </c>
      <c r="F10">
        <v>25</v>
      </c>
      <c r="G10" t="s">
        <v>253</v>
      </c>
    </row>
    <row r="11" spans="2:7">
      <c r="B11">
        <v>402</v>
      </c>
      <c r="C11" s="4" t="s">
        <v>82</v>
      </c>
      <c r="D11" s="3" t="b">
        <v>0</v>
      </c>
      <c r="E11">
        <v>0.4</v>
      </c>
      <c r="F11">
        <v>25</v>
      </c>
      <c r="G11" t="s">
        <v>253</v>
      </c>
    </row>
    <row r="12" spans="2:7">
      <c r="B12">
        <v>403</v>
      </c>
      <c r="C12" s="14" t="s">
        <v>318</v>
      </c>
      <c r="D12" s="3" t="b">
        <v>0</v>
      </c>
      <c r="E12">
        <v>0.8</v>
      </c>
      <c r="F12">
        <v>25</v>
      </c>
      <c r="G12" t="s">
        <v>253</v>
      </c>
    </row>
    <row r="13" spans="2:7">
      <c r="B13">
        <v>404</v>
      </c>
      <c r="C13" s="14" t="s">
        <v>319</v>
      </c>
      <c r="D13" s="3" t="b">
        <v>1</v>
      </c>
      <c r="E13">
        <v>0.8</v>
      </c>
      <c r="F13">
        <v>25</v>
      </c>
      <c r="G13" t="s">
        <v>253</v>
      </c>
    </row>
    <row r="14" spans="2:7">
      <c r="B14">
        <v>999</v>
      </c>
      <c r="C14" s="19" t="s">
        <v>313</v>
      </c>
      <c r="D14" t="b">
        <v>1</v>
      </c>
      <c r="E14">
        <v>1</v>
      </c>
      <c r="F14">
        <v>25</v>
      </c>
      <c r="G14" s="17" t="s">
        <v>342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topLeftCell="A14" zoomScaleNormal="100" zoomScaleSheetLayoutView="100" workbookViewId="0">
      <selection activeCell="B21" sqref="B21:B27"/>
    </sheetView>
  </sheetViews>
  <sheetFormatPr defaultColWidth="8.875" defaultRowHeight="16.5"/>
  <cols>
    <col min="1" max="1" width="8.875" style="43"/>
    <col min="2" max="2" width="8.625" style="43" bestFit="1" customWidth="1"/>
    <col min="3" max="3" width="32.625" style="43" customWidth="1"/>
    <col min="4" max="4" width="35" style="43" customWidth="1"/>
    <col min="5" max="5" width="36.625" style="43" customWidth="1"/>
    <col min="6" max="6" width="34.125" style="43" customWidth="1"/>
    <col min="7" max="7" width="13.375" style="43" bestFit="1" customWidth="1"/>
    <col min="8" max="8" width="18.5" style="43" bestFit="1" customWidth="1"/>
    <col min="9" max="11" width="18.5" style="43" customWidth="1"/>
    <col min="12" max="12" width="35.625" style="43" bestFit="1" customWidth="1"/>
    <col min="13" max="13" width="17.875" style="43" bestFit="1" customWidth="1"/>
    <col min="14" max="14" width="17.875" style="43" customWidth="1"/>
    <col min="15" max="15" width="19.25" style="43" customWidth="1"/>
    <col min="16" max="16" width="31" style="43" customWidth="1"/>
    <col min="17" max="17" width="21.875" style="43" customWidth="1"/>
    <col min="18" max="18" width="20" style="43" customWidth="1"/>
    <col min="19" max="19" width="20.375" style="43" bestFit="1" customWidth="1"/>
    <col min="20" max="16384" width="8.875" style="43"/>
  </cols>
  <sheetData>
    <row r="1" spans="2:19">
      <c r="B1" s="43" t="s">
        <v>506</v>
      </c>
      <c r="G1" s="43" t="s">
        <v>47</v>
      </c>
      <c r="H1" s="43" t="s">
        <v>31</v>
      </c>
      <c r="I1" s="43" t="s">
        <v>31</v>
      </c>
      <c r="J1" s="43" t="s">
        <v>31</v>
      </c>
      <c r="K1" s="43" t="s">
        <v>31</v>
      </c>
      <c r="L1" s="43" t="s">
        <v>58</v>
      </c>
      <c r="M1" s="43" t="s">
        <v>33</v>
      </c>
    </row>
    <row r="2" spans="2:19">
      <c r="B2" s="59" t="s">
        <v>46</v>
      </c>
      <c r="C2" s="59" t="s">
        <v>49</v>
      </c>
      <c r="D2" s="59" t="s">
        <v>114</v>
      </c>
      <c r="E2" s="59" t="s">
        <v>393</v>
      </c>
      <c r="F2" s="59" t="s">
        <v>394</v>
      </c>
      <c r="G2" s="59" t="s">
        <v>187</v>
      </c>
      <c r="H2" s="59" t="s">
        <v>53</v>
      </c>
      <c r="I2" s="59" t="s">
        <v>56</v>
      </c>
      <c r="J2" s="59" t="s">
        <v>188</v>
      </c>
      <c r="K2" s="59" t="s">
        <v>7</v>
      </c>
      <c r="L2" s="59" t="s">
        <v>128</v>
      </c>
      <c r="M2" s="60" t="s">
        <v>250</v>
      </c>
      <c r="N2" s="60" t="s">
        <v>570</v>
      </c>
      <c r="O2" s="60" t="s">
        <v>571</v>
      </c>
      <c r="P2" s="61" t="s">
        <v>650</v>
      </c>
      <c r="Q2" s="61" t="s">
        <v>651</v>
      </c>
      <c r="R2" s="61" t="s">
        <v>652</v>
      </c>
      <c r="S2" s="61" t="s">
        <v>653</v>
      </c>
    </row>
    <row r="3" spans="2:19">
      <c r="B3" s="4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C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3" s="43" t="str">
        <f>IF(ItemTable[[#This Row],[GradeType]]="Cursed",
_xlfn.CONCAT("Item_MinusDesc_",ItemTable[[#This Row],[Index]]),""
)</f>
        <v/>
      </c>
      <c r="G3" s="43" t="s">
        <v>32</v>
      </c>
      <c r="H3" s="43">
        <v>25</v>
      </c>
      <c r="I3" s="43">
        <f>INDEX(아이템가격[],MATCH(MID(ItemTable[[#Headers],[CostHp]],5,10),아이템가격[재화],0),MATCH(ItemTable[[#This Row],[GradeType]],아이템가격[#Headers],0))*ItemTable[[#This Row],[Value]]</f>
        <v>0</v>
      </c>
      <c r="J3" s="43">
        <v>10</v>
      </c>
      <c r="K3" s="43">
        <f t="array" ref="K3">_xlfn.IFS(OR(ItemTable[[#This Row],[GradeType]]="Hp",ItemTable[[#This Row],[GradeType]]="Gold"),0,TRUE,5000+ItemTable[[#This Row],[Index]])</f>
        <v>0</v>
      </c>
      <c r="M3" s="58" t="e">
        <f>MID(ItemTable[[#This Row],[ItemIconPath]],FIND("icon",ItemTable[[#This Row],[ItemIconPath]]),999)</f>
        <v>#VALUE!</v>
      </c>
      <c r="N3" s="58"/>
      <c r="O3" s="58" t="str">
        <f>SUBSTITUTE(PROPER(ItemTable[[#This Row],['#번역본]])," "," ")</f>
        <v/>
      </c>
      <c r="P3" s="58" t="e">
        <f>INDEX(LocaleTable[LocaleKR],MATCH(ItemTable[[#This Row],[Name]],LocaleTable[StringKey],0))</f>
        <v>#N/A</v>
      </c>
      <c r="Q3" s="58" t="e">
        <f>INDEX(LocaleTable[LocaleKR],MATCH(ItemTable[[#This Row],[Desc]],LocaleTable[StringKey],0))</f>
        <v>#N/A</v>
      </c>
      <c r="R3" s="58" t="e">
        <f>INDEX(LocaleTable[LocaleKR],MATCH(ItemTable[[#This Row],[PlusDesc]],LocaleTable[StringKey],0))</f>
        <v>#N/A</v>
      </c>
      <c r="S3" s="58" t="e">
        <f>INDEX(LocaleTable[LocaleKR],MATCH(ItemTable[[#This Row],[MinusDesc]],LocaleTable[StringKey],0))</f>
        <v>#N/A</v>
      </c>
    </row>
    <row r="4" spans="2:19">
      <c r="B4" s="43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C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4" s="43" t="str">
        <f>IF(ItemTable[[#This Row],[GradeType]]="Cursed",
_xlfn.CONCAT("Item_MinusDesc_",ItemTable[[#This Row],[Index]]),""
)</f>
        <v/>
      </c>
      <c r="G4" s="43" t="s">
        <v>32</v>
      </c>
      <c r="H4" s="43">
        <v>50</v>
      </c>
      <c r="I4" s="43">
        <f>INDEX(아이템가격[],MATCH(MID(ItemTable[[#Headers],[CostHp]],5,10),아이템가격[재화],0),MATCH(ItemTable[[#This Row],[GradeType]],아이템가격[#Headers],0))*ItemTable[[#This Row],[Value]]</f>
        <v>0</v>
      </c>
      <c r="J4" s="43">
        <v>20</v>
      </c>
      <c r="K4" s="43">
        <f t="array" ref="K4">_xlfn.IFS(OR(ItemTable[[#This Row],[GradeType]]="Hp",ItemTable[[#This Row],[GradeType]]="Gold"),0,TRUE,5000+ItemTable[[#This Row],[Index]])</f>
        <v>0</v>
      </c>
      <c r="M4" s="58" t="e">
        <f>MID(ItemTable[[#This Row],[ItemIconPath]],FIND("icon",ItemTable[[#This Row],[ItemIconPath]]),999)</f>
        <v>#VALUE!</v>
      </c>
      <c r="N4" s="58"/>
      <c r="O4" s="58" t="str">
        <f>SUBSTITUTE(PROPER(ItemTable[[#This Row],['#번역본]])," "," ")</f>
        <v/>
      </c>
      <c r="P4" s="58" t="e">
        <f>INDEX(LocaleTable[LocaleKR],MATCH(ItemTable[[#This Row],[Name]],LocaleTable[StringKey],0))</f>
        <v>#N/A</v>
      </c>
      <c r="Q4" s="58" t="e">
        <f>INDEX(LocaleTable[LocaleKR],MATCH(ItemTable[[#This Row],[Desc]],LocaleTable[StringKey],0))</f>
        <v>#N/A</v>
      </c>
      <c r="R4" s="58" t="e">
        <f>INDEX(LocaleTable[LocaleKR],MATCH(ItemTable[[#This Row],[PlusDesc]],LocaleTable[StringKey],0))</f>
        <v>#N/A</v>
      </c>
      <c r="S4" s="58" t="e">
        <f>INDEX(LocaleTable[LocaleKR],MATCH(ItemTable[[#This Row],[MinusDesc]],LocaleTable[StringKey],0))</f>
        <v>#N/A</v>
      </c>
    </row>
    <row r="5" spans="2:19">
      <c r="B5" s="43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C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5" s="43" t="str">
        <f>IF(ItemTable[[#This Row],[GradeType]]="Cursed",
_xlfn.CONCAT("Item_MinusDesc_",ItemTable[[#This Row],[Index]]),""
)</f>
        <v/>
      </c>
      <c r="G5" s="43" t="s">
        <v>57</v>
      </c>
      <c r="H5" s="43">
        <v>15</v>
      </c>
      <c r="I5" s="43">
        <v>25</v>
      </c>
      <c r="J5" s="43">
        <f>INDEX(아이템가격[],MATCH(MID(ItemTable[[#Headers],[CostGold]],5,10),아이템가격[재화],0),MATCH(ItemTable[[#This Row],[GradeType]],아이템가격[#Headers],0))*ItemTable[[#This Row],[Value]]</f>
        <v>0</v>
      </c>
      <c r="K5" s="43">
        <f t="array" ref="K5">_xlfn.IFS(OR(ItemTable[[#This Row],[GradeType]]="Hp",ItemTable[[#This Row],[GradeType]]="Gold"),0,TRUE,5000+ItemTable[[#This Row],[Index]])</f>
        <v>0</v>
      </c>
      <c r="L5" s="43" t="s">
        <v>23</v>
      </c>
      <c r="M5" s="58" t="str">
        <f>MID(ItemTable[[#This Row],[ItemIconPath]],FIND("icon",ItemTable[[#This Row],[ItemIconPath]]),999)</f>
        <v>icon/item/coin.png</v>
      </c>
      <c r="N5" s="58"/>
      <c r="O5" s="58" t="str">
        <f>SUBSTITUTE(PROPER(ItemTable[[#This Row],['#번역본]])," "," ")</f>
        <v/>
      </c>
      <c r="P5" s="58" t="e">
        <f>INDEX(LocaleTable[LocaleKR],MATCH(ItemTable[[#This Row],[Name]],LocaleTable[StringKey],0))</f>
        <v>#N/A</v>
      </c>
      <c r="Q5" s="58" t="e">
        <f>INDEX(LocaleTable[LocaleKR],MATCH(ItemTable[[#This Row],[Desc]],LocaleTable[StringKey],0))</f>
        <v>#N/A</v>
      </c>
      <c r="R5" s="58" t="e">
        <f>INDEX(LocaleTable[LocaleKR],MATCH(ItemTable[[#This Row],[PlusDesc]],LocaleTable[StringKey],0))</f>
        <v>#N/A</v>
      </c>
      <c r="S5" s="58" t="e">
        <f>INDEX(LocaleTable[LocaleKR],MATCH(ItemTable[[#This Row],[MinusDesc]],LocaleTable[StringKey],0))</f>
        <v>#N/A</v>
      </c>
    </row>
    <row r="6" spans="2:19">
      <c r="B6" s="43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C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6" s="43" t="str">
        <f>IF(ItemTable[[#This Row],[GradeType]]="Cursed",
_xlfn.CONCAT("Item_MinusDesc_",ItemTable[[#This Row],[Index]]),""
)</f>
        <v/>
      </c>
      <c r="G6" s="43" t="s">
        <v>57</v>
      </c>
      <c r="H6" s="43">
        <v>30</v>
      </c>
      <c r="I6" s="43">
        <v>50</v>
      </c>
      <c r="J6" s="43">
        <f>INDEX(아이템가격[],MATCH(MID(ItemTable[[#Headers],[CostGold]],5,10),아이템가격[재화],0),MATCH(ItemTable[[#This Row],[GradeType]],아이템가격[#Headers],0))*ItemTable[[#This Row],[Value]]</f>
        <v>0</v>
      </c>
      <c r="K6" s="43">
        <f t="array" ref="K6">_xlfn.IFS(OR(ItemTable[[#This Row],[GradeType]]="Hp",ItemTable[[#This Row],[GradeType]]="Gold"),0,TRUE,5000+ItemTable[[#This Row],[Index]])</f>
        <v>0</v>
      </c>
      <c r="L6" s="43" t="s">
        <v>23</v>
      </c>
      <c r="M6" s="58" t="str">
        <f>MID(ItemTable[[#This Row],[ItemIconPath]],FIND("icon",ItemTable[[#This Row],[ItemIconPath]]),999)</f>
        <v>icon/item/coin.png</v>
      </c>
      <c r="N6" s="58"/>
      <c r="O6" s="58" t="str">
        <f>SUBSTITUTE(PROPER(ItemTable[[#This Row],['#번역본]])," "," ")</f>
        <v/>
      </c>
      <c r="P6" s="58" t="e">
        <f>INDEX(LocaleTable[LocaleKR],MATCH(ItemTable[[#This Row],[Name]],LocaleTable[StringKey],0))</f>
        <v>#N/A</v>
      </c>
      <c r="Q6" s="58" t="e">
        <f>INDEX(LocaleTable[LocaleKR],MATCH(ItemTable[[#This Row],[Desc]],LocaleTable[StringKey],0))</f>
        <v>#N/A</v>
      </c>
      <c r="R6" s="58" t="e">
        <f>INDEX(LocaleTable[LocaleKR],MATCH(ItemTable[[#This Row],[PlusDesc]],LocaleTable[StringKey],0))</f>
        <v>#N/A</v>
      </c>
      <c r="S6" s="58" t="e">
        <f>INDEX(LocaleTable[LocaleKR],MATCH(ItemTable[[#This Row],[MinusDesc]],LocaleTable[StringKey],0))</f>
        <v>#N/A</v>
      </c>
    </row>
    <row r="7" spans="2:19">
      <c r="B7" s="43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C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D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E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F7" s="43" t="str">
        <f>IF(ItemTable[[#This Row],[GradeType]]="Cursed",
_xlfn.CONCAT("Item_MinusDesc_",ItemTable[[#This Row],[Index]]),""
)</f>
        <v/>
      </c>
      <c r="G7" s="43" t="s">
        <v>57</v>
      </c>
      <c r="H7" s="43">
        <v>45</v>
      </c>
      <c r="I7" s="43">
        <v>75</v>
      </c>
      <c r="J7" s="43">
        <f>INDEX(아이템가격[],MATCH(MID(ItemTable[[#Headers],[CostGold]],5,10),아이템가격[재화],0),MATCH(ItemTable[[#This Row],[GradeType]],아이템가격[#Headers],0))*ItemTable[[#This Row],[Value]]</f>
        <v>0</v>
      </c>
      <c r="K7" s="43">
        <f t="array" ref="K7">_xlfn.IFS(OR(ItemTable[[#This Row],[GradeType]]="Hp",ItemTable[[#This Row],[GradeType]]="Gold"),0,TRUE,5000+ItemTable[[#This Row],[Index]])</f>
        <v>0</v>
      </c>
      <c r="L7" s="43" t="s">
        <v>23</v>
      </c>
      <c r="M7" s="58" t="str">
        <f>MID(ItemTable[[#This Row],[ItemIconPath]],FIND("icon",ItemTable[[#This Row],[ItemIconPath]]),999)</f>
        <v>icon/item/coin.png</v>
      </c>
      <c r="N7" s="58"/>
      <c r="O7" s="58" t="str">
        <f>SUBSTITUTE(PROPER(ItemTable[[#This Row],['#번역본]])," "," ")</f>
        <v/>
      </c>
      <c r="P7" s="58" t="e">
        <f>INDEX(LocaleTable[LocaleKR],MATCH(ItemTable[[#This Row],[Name]],LocaleTable[StringKey],0))</f>
        <v>#N/A</v>
      </c>
      <c r="Q7" s="58" t="e">
        <f>INDEX(LocaleTable[LocaleKR],MATCH(ItemTable[[#This Row],[Desc]],LocaleTable[StringKey],0))</f>
        <v>#N/A</v>
      </c>
      <c r="R7" s="58" t="e">
        <f>INDEX(LocaleTable[LocaleKR],MATCH(ItemTable[[#This Row],[PlusDesc]],LocaleTable[StringKey],0))</f>
        <v>#N/A</v>
      </c>
      <c r="S7" s="58" t="e">
        <f>INDEX(LocaleTable[LocaleKR],MATCH(ItemTable[[#This Row],[MinusDesc]],LocaleTable[StringKey],0))</f>
        <v>#N/A</v>
      </c>
    </row>
    <row r="8" spans="2:19">
      <c r="B8" s="43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D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E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F8" s="43" t="str">
        <f>IF(ItemTable[[#This Row],[GradeType]]="Cursed",
_xlfn.CONCAT("Item_MinusDesc_",ItemTable[[#This Row],[Index]]),""
)</f>
        <v/>
      </c>
      <c r="G8" s="43" t="s">
        <v>50</v>
      </c>
      <c r="H8" s="43">
        <v>1</v>
      </c>
      <c r="I8" s="43">
        <f t="array" ref="I8">_xlfn.IFS(ItemTable[[#This Row],[GradeType]]="Normal",25,ItemTable[[#This Row],[GradeType]]="Cursed",50,ItemTable[[#This Row],[GradeType]]="Rare",50)</f>
        <v>25</v>
      </c>
      <c r="J8" s="43">
        <v>30</v>
      </c>
      <c r="K8" s="43">
        <f t="array" ref="K8">_xlfn.IFS(OR(ItemTable[[#This Row],[GradeType]]="Hp",ItemTable[[#This Row],[GradeType]]="Gold"),0,TRUE,5000+ItemTable[[#This Row],[Index]])</f>
        <v>7000</v>
      </c>
      <c r="L8" s="43" t="s">
        <v>683</v>
      </c>
      <c r="M8" s="58" t="str">
        <f>MID(ItemTable[[#This Row],[ItemIconPath]],FIND("icon",ItemTable[[#This Row],[ItemIconPath]]),999)</f>
        <v>icon/item/Passive_Item/item_02.png</v>
      </c>
      <c r="N8" s="58" t="s">
        <v>557</v>
      </c>
      <c r="O8" s="58" t="str">
        <f>SUBSTITUTE(PROPER(ItemTable[[#This Row],['#번역본]])," "," ")</f>
        <v>Metal Unicorn Keyring</v>
      </c>
      <c r="P8" s="58" t="str">
        <f>INDEX(LocaleTable[LocaleKR],MATCH(ItemTable[[#This Row],[Name]],LocaleTable[StringKey],0))</f>
        <v>메탈유니콘 키링</v>
      </c>
      <c r="Q8" s="58" t="str">
        <f>INDEX(LocaleTable[LocaleKR],MATCH(ItemTable[[#This Row],[Desc]],LocaleTable[StringKey],0))</f>
        <v>배트에 달아놓으면 휘두를 때\n짤랑짤랑 소리가 납니다.</v>
      </c>
      <c r="R8" s="58" t="str">
        <f>INDEX(LocaleTable[LocaleKR],MATCH(ItemTable[[#This Row],[PlusDesc]],LocaleTable[StringKey],0))</f>
        <v>플레이어의 공이\n적을 관통합니다.</v>
      </c>
      <c r="S8" s="58" t="e">
        <f>INDEX(LocaleTable[LocaleKR],MATCH(ItemTable[[#This Row],[MinusDesc]],LocaleTable[StringKey],0))</f>
        <v>#N/A</v>
      </c>
    </row>
    <row r="9" spans="2:19">
      <c r="B9" s="43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D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E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F9" s="43" t="str">
        <f>IF(ItemTable[[#This Row],[GradeType]]="Cursed",
_xlfn.CONCAT("Item_MinusDesc_",ItemTable[[#This Row],[Index]]),""
)</f>
        <v/>
      </c>
      <c r="G9" s="43" t="s">
        <v>50</v>
      </c>
      <c r="H9" s="43">
        <v>1</v>
      </c>
      <c r="I9" s="43">
        <f t="array" ref="I9">_xlfn.IFS(ItemTable[[#This Row],[GradeType]]="Normal",25,ItemTable[[#This Row],[GradeType]]="Cursed",50,ItemTable[[#This Row],[GradeType]]="Rare",50)</f>
        <v>25</v>
      </c>
      <c r="J9" s="43">
        <v>30</v>
      </c>
      <c r="K9" s="43">
        <f t="array" ref="K9">_xlfn.IFS(OR(ItemTable[[#This Row],[GradeType]]="Hp",ItemTable[[#This Row],[GradeType]]="Gold"),0,TRUE,5000+ItemTable[[#This Row],[Index]])</f>
        <v>7001</v>
      </c>
      <c r="L9" s="43" t="s">
        <v>522</v>
      </c>
      <c r="M9" s="58" t="str">
        <f>MID(ItemTable[[#This Row],[ItemIconPath]],FIND("icon",ItemTable[[#This Row],[ItemIconPath]]),999)</f>
        <v>icon/item/Passive_Item/item_04.png</v>
      </c>
      <c r="N9" s="58" t="s">
        <v>558</v>
      </c>
      <c r="O9" s="58" t="str">
        <f>SUBSTITUTE(PROPER(ItemTable[[#This Row],['#번역본]])," "," ")</f>
        <v>A Champion Hat</v>
      </c>
      <c r="P9" s="58" t="str">
        <f>INDEX(LocaleTable[LocaleKR],MATCH(ItemTable[[#This Row],[Name]],LocaleTable[StringKey],0))</f>
        <v>챔피언 모자</v>
      </c>
      <c r="Q9" s="58" t="str">
        <f>INDEX(LocaleTable[LocaleKR],MATCH(ItemTable[[#This Row],[Desc]],LocaleTable[StringKey],0))</f>
        <v>태초부터 시작되더라도 절망하지 않습니다.\n'자 이제 시작이야'</v>
      </c>
      <c r="R9" s="58" t="str">
        <f>INDEX(LocaleTable[LocaleKR],MATCH(ItemTable[[#This Row],[PlusDesc]],LocaleTable[StringKey],0))</f>
        <v>공격범위 +20%</v>
      </c>
      <c r="S9" s="58" t="e">
        <f>INDEX(LocaleTable[LocaleKR],MATCH(ItemTable[[#This Row],[MinusDesc]],LocaleTable[StringKey],0))</f>
        <v>#N/A</v>
      </c>
    </row>
    <row r="10" spans="2:19">
      <c r="B10" s="43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D1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E1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F10" s="43" t="str">
        <f>IF(ItemTable[[#This Row],[GradeType]]="Cursed",
_xlfn.CONCAT("Item_MinusDesc_",ItemTable[[#This Row],[Index]]),""
)</f>
        <v/>
      </c>
      <c r="G10" s="43" t="s">
        <v>50</v>
      </c>
      <c r="H10" s="43">
        <v>1</v>
      </c>
      <c r="I10" s="43">
        <f t="array" ref="I10">_xlfn.IFS(ItemTable[[#This Row],[GradeType]]="Normal",25,ItemTable[[#This Row],[GradeType]]="Cursed",50,ItemTable[[#This Row],[GradeType]]="Rare",50)</f>
        <v>25</v>
      </c>
      <c r="J10" s="43">
        <v>30</v>
      </c>
      <c r="K10" s="43">
        <f t="array" ref="K10">_xlfn.IFS(OR(ItemTable[[#This Row],[GradeType]]="Hp",ItemTable[[#This Row],[GradeType]]="Gold"),0,TRUE,5000+ItemTable[[#This Row],[Index]])</f>
        <v>7002</v>
      </c>
      <c r="L10" s="43" t="s">
        <v>523</v>
      </c>
      <c r="M10" s="58" t="str">
        <f>MID(ItemTable[[#This Row],[ItemIconPath]],FIND("icon",ItemTable[[#This Row],[ItemIconPath]]),999)</f>
        <v>icon/item/Passive_Item/item_05.png</v>
      </c>
      <c r="N10" s="58" t="s">
        <v>559</v>
      </c>
      <c r="O10" s="58" t="str">
        <f>SUBSTITUTE(PROPER(ItemTable[[#This Row],['#번역본]])," "," ")</f>
        <v>Cool - Dog</v>
      </c>
      <c r="P10" s="58" t="str">
        <f>INDEX(LocaleTable[LocaleKR],MATCH(ItemTable[[#This Row],[Name]],LocaleTable[StringKey],0))</f>
        <v>쿨 - 도그</v>
      </c>
      <c r="Q10" s="58" t="str">
        <f>INDEX(LocaleTable[LocaleKR],MATCH(ItemTable[[#This Row],[Desc]],LocaleTable[StringKey],0))</f>
        <v>얼.죽.아 클럽의 새로운 유행입니다.</v>
      </c>
      <c r="R10" s="58" t="str">
        <f>INDEX(LocaleTable[LocaleKR],MATCH(ItemTable[[#This Row],[PlusDesc]],LocaleTable[StringKey],0))</f>
        <v>차징속도 +20%</v>
      </c>
      <c r="S10" s="58" t="e">
        <f>INDEX(LocaleTable[LocaleKR],MATCH(ItemTable[[#This Row],[MinusDesc]],LocaleTable[StringKey],0))</f>
        <v>#N/A</v>
      </c>
    </row>
    <row r="11" spans="2:19">
      <c r="B11" s="43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D1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E1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F11" s="43" t="str">
        <f>IF(ItemTable[[#This Row],[GradeType]]="Cursed",
_xlfn.CONCAT("Item_MinusDesc_",ItemTable[[#This Row],[Index]]),""
)</f>
        <v/>
      </c>
      <c r="G11" s="43" t="s">
        <v>50</v>
      </c>
      <c r="H11" s="43">
        <v>1</v>
      </c>
      <c r="I11" s="43">
        <f t="array" ref="I11">_xlfn.IFS(ItemTable[[#This Row],[GradeType]]="Normal",25,ItemTable[[#This Row],[GradeType]]="Cursed",50,ItemTable[[#This Row],[GradeType]]="Rare",50)</f>
        <v>25</v>
      </c>
      <c r="J11" s="43">
        <v>30</v>
      </c>
      <c r="K11" s="43">
        <f t="array" ref="K11">_xlfn.IFS(OR(ItemTable[[#This Row],[GradeType]]="Hp",ItemTable[[#This Row],[GradeType]]="Gold"),0,TRUE,5000+ItemTable[[#This Row],[Index]])</f>
        <v>7003</v>
      </c>
      <c r="L11" s="43" t="s">
        <v>524</v>
      </c>
      <c r="M11" s="58" t="str">
        <f>MID(ItemTable[[#This Row],[ItemIconPath]],FIND("icon",ItemTable[[#This Row],[ItemIconPath]]),999)</f>
        <v>icon/item/Passive_Item/item_07.png</v>
      </c>
      <c r="N11" s="58" t="s">
        <v>560</v>
      </c>
      <c r="O11" s="58" t="str">
        <f>SUBSTITUTE(PROPER(ItemTable[[#This Row],['#번역본]])," "," ")</f>
        <v>Qt Powder</v>
      </c>
      <c r="P11" s="58" t="str">
        <f>INDEX(LocaleTable[LocaleKR],MATCH(ItemTable[[#This Row],[Name]],LocaleTable[StringKey],0))</f>
        <v>QT 파우더</v>
      </c>
      <c r="Q11" s="58" t="str">
        <f>INDEX(LocaleTable[LocaleKR],MATCH(ItemTable[[#This Row],[Desc]],LocaleTable[StringKey],0))</f>
        <v>배트 이외의 물건에 사용하지 마시오\nQT추출물 0.0006% 함유\nQT향 0.1%함유</v>
      </c>
      <c r="R11" s="58" t="str">
        <f>INDEX(LocaleTable[LocaleKR],MATCH(ItemTable[[#This Row],[PlusDesc]],LocaleTable[StringKey],0))</f>
        <v>차징 타격 시 5초간\n공격력 +20%</v>
      </c>
      <c r="S11" s="58" t="e">
        <f>INDEX(LocaleTable[LocaleKR],MATCH(ItemTable[[#This Row],[MinusDesc]],LocaleTable[StringKey],0))</f>
        <v>#N/A</v>
      </c>
    </row>
    <row r="12" spans="2:19">
      <c r="B12" s="43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D1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E1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F12" s="43" t="str">
        <f>IF(ItemTable[[#This Row],[GradeType]]="Cursed",
_xlfn.CONCAT("Item_MinusDesc_",ItemTable[[#This Row],[Index]]),""
)</f>
        <v/>
      </c>
      <c r="G12" s="43" t="s">
        <v>50</v>
      </c>
      <c r="H12" s="43">
        <v>1</v>
      </c>
      <c r="I12" s="43">
        <f t="array" ref="I12">_xlfn.IFS(ItemTable[[#This Row],[GradeType]]="Normal",25,ItemTable[[#This Row],[GradeType]]="Cursed",50,ItemTable[[#This Row],[GradeType]]="Rare",50)</f>
        <v>25</v>
      </c>
      <c r="J12" s="43">
        <v>30</v>
      </c>
      <c r="K12" s="43">
        <f t="array" ref="K12">_xlfn.IFS(OR(ItemTable[[#This Row],[GradeType]]="Hp",ItemTable[[#This Row],[GradeType]]="Gold"),0,TRUE,5000+ItemTable[[#This Row],[Index]])</f>
        <v>7004</v>
      </c>
      <c r="L12" s="43" t="s">
        <v>525</v>
      </c>
      <c r="M12" s="58" t="str">
        <f>MID(ItemTable[[#This Row],[ItemIconPath]],FIND("icon",ItemTable[[#This Row],[ItemIconPath]]),999)</f>
        <v>icon/item/Passive_Item/item_11.png</v>
      </c>
      <c r="N12" s="58" t="s">
        <v>573</v>
      </c>
      <c r="O12" s="58" t="str">
        <f>SUBSTITUTE(PROPER(ItemTable[[#This Row],['#번역본]])," "," ")</f>
        <v>Red Hobbyhorse</v>
      </c>
      <c r="P12" s="58" t="str">
        <f>INDEX(LocaleTable[LocaleKR],MATCH(ItemTable[[#This Row],[Name]],LocaleTable[StringKey],0))</f>
        <v>적토목마</v>
      </c>
      <c r="Q12" s="58" t="str">
        <f>INDEX(LocaleTable[LocaleKR],MATCH(ItemTable[[#This Row],[Desc]],LocaleTable[StringKey],0))</f>
        <v>시크한 표정을 믿고 산책에 나갔다가는\n마라톤을 하게 될 수 있습니다.</v>
      </c>
      <c r="R12" s="58" t="str">
        <f>INDEX(LocaleTable[LocaleKR],MATCH(ItemTable[[#This Row],[PlusDesc]],LocaleTable[StringKey],0))</f>
        <v>공격속도 +30%</v>
      </c>
      <c r="S12" s="58" t="e">
        <f>INDEX(LocaleTable[LocaleKR],MATCH(ItemTable[[#This Row],[MinusDesc]],LocaleTable[StringKey],0))</f>
        <v>#N/A</v>
      </c>
    </row>
    <row r="13" spans="2:19">
      <c r="B13" s="4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D1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E1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F13" s="43" t="str">
        <f>IF(ItemTable[[#This Row],[GradeType]]="Cursed",
_xlfn.CONCAT("Item_MinusDesc_",ItemTable[[#This Row],[Index]]),""
)</f>
        <v/>
      </c>
      <c r="G13" s="43" t="s">
        <v>50</v>
      </c>
      <c r="H13" s="43">
        <v>1</v>
      </c>
      <c r="I13" s="43">
        <f t="array" ref="I13">_xlfn.IFS(ItemTable[[#This Row],[GradeType]]="Normal",25,ItemTable[[#This Row],[GradeType]]="Cursed",50,ItemTable[[#This Row],[GradeType]]="Rare",50)</f>
        <v>25</v>
      </c>
      <c r="J13" s="43">
        <v>30</v>
      </c>
      <c r="K13" s="43">
        <f t="array" ref="K13">_xlfn.IFS(OR(ItemTable[[#This Row],[GradeType]]="Hp",ItemTable[[#This Row],[GradeType]]="Gold"),0,TRUE,5000+ItemTable[[#This Row],[Index]])</f>
        <v>7005</v>
      </c>
      <c r="L13" s="43" t="s">
        <v>526</v>
      </c>
      <c r="M13" s="58" t="str">
        <f>MID(ItemTable[[#This Row],[ItemIconPath]],FIND("icon",ItemTable[[#This Row],[ItemIconPath]]),999)</f>
        <v>icon/item/Passive_Item/item_15.png</v>
      </c>
      <c r="N13" s="58" t="s">
        <v>574</v>
      </c>
      <c r="O13" s="58" t="str">
        <f>SUBSTITUTE(PROPER(ItemTable[[#This Row],['#번역본]])," "," ")</f>
        <v>Rice_Ball</v>
      </c>
      <c r="P13" s="58" t="str">
        <f>INDEX(LocaleTable[LocaleKR],MATCH(ItemTable[[#This Row],[Name]],LocaleTable[StringKey],0))</f>
        <v>삼각김곰</v>
      </c>
      <c r="Q13" s="58" t="str">
        <f>INDEX(LocaleTable[LocaleKR],MATCH(ItemTable[[#This Row],[Desc]],LocaleTable[StringKey],0))</f>
        <v>대나무 향을 머금은 흰 밥이\n까만 김을 만나 완성된 환상적인 조합.</v>
      </c>
      <c r="R13" s="58" t="str">
        <f>INDEX(LocaleTable[LocaleKR],MATCH(ItemTable[[#This Row],[PlusDesc]],LocaleTable[StringKey],0))</f>
        <v>최대 체력 +1</v>
      </c>
      <c r="S13" s="58" t="e">
        <f>INDEX(LocaleTable[LocaleKR],MATCH(ItemTable[[#This Row],[MinusDesc]],LocaleTable[StringKey],0))</f>
        <v>#N/A</v>
      </c>
    </row>
    <row r="14" spans="2:19">
      <c r="B14" s="43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D1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E1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F14" s="43" t="str">
        <f>IF(ItemTable[[#This Row],[GradeType]]="Cursed",
_xlfn.CONCAT("Item_MinusDesc_",ItemTable[[#This Row],[Index]]),""
)</f>
        <v/>
      </c>
      <c r="G14" s="43" t="s">
        <v>488</v>
      </c>
      <c r="H14" s="43">
        <v>1</v>
      </c>
      <c r="I14" s="43">
        <f t="array" ref="I14">_xlfn.IFS(ItemTable[[#This Row],[GradeType]]="Normal",25,ItemTable[[#This Row],[GradeType]]="Cursed",50,ItemTable[[#This Row],[GradeType]]="Rare",50)</f>
        <v>50</v>
      </c>
      <c r="J14" s="43">
        <v>50</v>
      </c>
      <c r="K14" s="43">
        <f t="array" ref="K14">_xlfn.IFS(OR(ItemTable[[#This Row],[GradeType]]="Hp",ItemTable[[#This Row],[GradeType]]="Gold"),0,TRUE,5000+ItemTable[[#This Row],[Index]])</f>
        <v>8000</v>
      </c>
      <c r="L14" s="43" t="s">
        <v>527</v>
      </c>
      <c r="M14" s="58" t="str">
        <f>MID(ItemTable[[#This Row],[ItemIconPath]],FIND("icon",ItemTable[[#This Row],[ItemIconPath]]),999)</f>
        <v>icon/item/Passive_Item/item_17.png</v>
      </c>
      <c r="N14" s="58" t="s">
        <v>561</v>
      </c>
      <c r="O14" s="58" t="str">
        <f>SUBSTITUTE(PROPER(ItemTable[[#This Row],['#번역본]])," "," ")</f>
        <v>Devil Bull</v>
      </c>
      <c r="P14" s="58" t="str">
        <f>INDEX(LocaleTable[LocaleKR],MATCH(ItemTable[[#This Row],[Name]],LocaleTable[StringKey],0))</f>
        <v>데빌불</v>
      </c>
      <c r="Q14" s="58" t="str">
        <f>INDEX(LocaleTable[LocaleKR],MATCH(ItemTable[[#This Row],[Desc]],LocaleTable[StringKey],0))</f>
        <v>데빌불, 숨겨진 악성을 펼쳐줘요.\n불티나게 팔리고 있는 음료입니다.</v>
      </c>
      <c r="R14" s="58" t="str">
        <f>INDEX(LocaleTable[LocaleKR],MATCH(ItemTable[[#This Row],[PlusDesc]],LocaleTable[StringKey],0))</f>
        <v>기절한 적을 공격할 때\n4초간 공격력 +30%</v>
      </c>
      <c r="S14" s="58" t="e">
        <f>INDEX(LocaleTable[LocaleKR],MATCH(ItemTable[[#This Row],[MinusDesc]],LocaleTable[StringKey],0))</f>
        <v>#N/A</v>
      </c>
    </row>
    <row r="15" spans="2:19">
      <c r="B15" s="43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D1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E1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F15" s="43" t="str">
        <f>IF(ItemTable[[#This Row],[GradeType]]="Cursed",
_xlfn.CONCAT("Item_MinusDesc_",ItemTable[[#This Row],[Index]]),""
)</f>
        <v/>
      </c>
      <c r="G15" s="43" t="s">
        <v>51</v>
      </c>
      <c r="H15" s="43">
        <v>1</v>
      </c>
      <c r="I15" s="43">
        <f t="array" ref="I15">_xlfn.IFS(ItemTable[[#This Row],[GradeType]]="Normal",25,ItemTable[[#This Row],[GradeType]]="Cursed",50,ItemTable[[#This Row],[GradeType]]="Rare",50)</f>
        <v>50</v>
      </c>
      <c r="J15" s="43">
        <v>50</v>
      </c>
      <c r="K15" s="43">
        <f t="array" ref="K15">_xlfn.IFS(OR(ItemTable[[#This Row],[GradeType]]="Hp",ItemTable[[#This Row],[GradeType]]="Gold"),0,TRUE,5000+ItemTable[[#This Row],[Index]])</f>
        <v>8001</v>
      </c>
      <c r="L15" s="43" t="s">
        <v>528</v>
      </c>
      <c r="M15" s="58" t="str">
        <f>MID(ItemTable[[#This Row],[ItemIconPath]],FIND("icon",ItemTable[[#This Row],[ItemIconPath]]),999)</f>
        <v>icon/item/Passive_Item/item_12.png</v>
      </c>
      <c r="N15" s="58" t="s">
        <v>576</v>
      </c>
      <c r="O15" s="58" t="str">
        <f>SUBSTITUTE(PROPER(ItemTable[[#This Row],['#번역본]])," "," ")</f>
        <v>The Boobytrap</v>
      </c>
      <c r="P15" s="58" t="str">
        <f>INDEX(LocaleTable[LocaleKR],MATCH(ItemTable[[#This Row],[Name]],LocaleTable[StringKey],0))</f>
        <v>대인 지뢰</v>
      </c>
      <c r="Q15" s="58" t="str">
        <f>INDEX(LocaleTable[LocaleKR],MATCH(ItemTable[[#This Row],[Desc]],LocaleTable[StringKey],0))</f>
        <v>고대에 멸종된 것으로 보이는 유물 입니다. 많은 시간이 지났지만 튼튼하고 고통스럽습니다.</v>
      </c>
      <c r="R15" s="58" t="str">
        <f>INDEX(LocaleTable[LocaleKR],MATCH(ItemTable[[#This Row],[PlusDesc]],LocaleTable[StringKey],0))</f>
        <v>빈 하트 1개당 공격력 +15%</v>
      </c>
      <c r="S15" s="58" t="e">
        <f>INDEX(LocaleTable[LocaleKR],MATCH(ItemTable[[#This Row],[MinusDesc]],LocaleTable[StringKey],0))</f>
        <v>#N/A</v>
      </c>
    </row>
    <row r="16" spans="2:19">
      <c r="B16" s="43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D1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E1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F16" s="43" t="str">
        <f>IF(ItemTable[[#This Row],[GradeType]]="Cursed",
_xlfn.CONCAT("Item_MinusDesc_",ItemTable[[#This Row],[Index]]),""
)</f>
        <v/>
      </c>
      <c r="G16" s="43" t="s">
        <v>51</v>
      </c>
      <c r="H16" s="43">
        <v>1</v>
      </c>
      <c r="I16" s="43">
        <f t="array" ref="I16">_xlfn.IFS(ItemTable[[#This Row],[GradeType]]="Normal",25,ItemTable[[#This Row],[GradeType]]="Cursed",50,ItemTable[[#This Row],[GradeType]]="Rare",50)</f>
        <v>50</v>
      </c>
      <c r="J16" s="43">
        <v>50</v>
      </c>
      <c r="K16" s="43">
        <f t="array" ref="K16">_xlfn.IFS(OR(ItemTable[[#This Row],[GradeType]]="Hp",ItemTable[[#This Row],[GradeType]]="Gold"),0,TRUE,5000+ItemTable[[#This Row],[Index]])</f>
        <v>8002</v>
      </c>
      <c r="L16" s="43" t="s">
        <v>529</v>
      </c>
      <c r="M16" s="58" t="str">
        <f>MID(ItemTable[[#This Row],[ItemIconPath]],FIND("icon",ItemTable[[#This Row],[ItemIconPath]]),999)</f>
        <v>icon/item/Passive_Item/item_09.png</v>
      </c>
      <c r="N16" s="58" t="s">
        <v>578</v>
      </c>
      <c r="O16" s="58" t="str">
        <f>SUBSTITUTE(PROPER(ItemTable[[#This Row],['#번역본]])," "," ")</f>
        <v>Stone Mask</v>
      </c>
      <c r="P16" s="58" t="str">
        <f>INDEX(LocaleTable[LocaleKR],MATCH(ItemTable[[#This Row],[Name]],LocaleTable[StringKey],0))</f>
        <v>돌가면</v>
      </c>
      <c r="Q16" s="58" t="str">
        <f>INDEX(LocaleTable[LocaleKR],MATCH(ItemTable[[#This Row],[Desc]],LocaleTable[StringKey],0))</f>
        <v>꽤 무게가 나가는 돌가면.\n안쪽에 숨겨진 침들이 보이는데...\n위험하진 않겠죠?</v>
      </c>
      <c r="R16" s="58" t="str">
        <f>INDEX(LocaleTable[LocaleKR],MATCH(ItemTable[[#This Row],[PlusDesc]],LocaleTable[StringKey],0))</f>
        <v>기절한 적을 공격할 때\n10%확률로 +1 회복</v>
      </c>
      <c r="S16" s="58" t="e">
        <f>INDEX(LocaleTable[LocaleKR],MATCH(ItemTable[[#This Row],[MinusDesc]],LocaleTable[StringKey],0))</f>
        <v>#N/A</v>
      </c>
    </row>
    <row r="17" spans="2:19">
      <c r="B17" s="43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D1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E1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F17" s="43" t="str">
        <f>IF(ItemTable[[#This Row],[GradeType]]="Cursed",
_xlfn.CONCAT("Item_MinusDesc_",ItemTable[[#This Row],[Index]]),""
)</f>
        <v/>
      </c>
      <c r="G17" s="43" t="s">
        <v>51</v>
      </c>
      <c r="H17" s="43">
        <v>1</v>
      </c>
      <c r="I17" s="43">
        <f t="array" ref="I17">_xlfn.IFS(ItemTable[[#This Row],[GradeType]]="Normal",25,ItemTable[[#This Row],[GradeType]]="Cursed",50,ItemTable[[#This Row],[GradeType]]="Rare",50)</f>
        <v>50</v>
      </c>
      <c r="J17" s="43">
        <v>50</v>
      </c>
      <c r="K17" s="43">
        <f t="array" ref="K17">_xlfn.IFS(OR(ItemTable[[#This Row],[GradeType]]="Hp",ItemTable[[#This Row],[GradeType]]="Gold"),0,TRUE,5000+ItemTable[[#This Row],[Index]])</f>
        <v>8003</v>
      </c>
      <c r="L17" s="43" t="s">
        <v>530</v>
      </c>
      <c r="M17" s="58" t="str">
        <f>MID(ItemTable[[#This Row],[ItemIconPath]],FIND("icon",ItemTable[[#This Row],[ItemIconPath]]),999)</f>
        <v>icon/item/Passive_Item/item_10.png</v>
      </c>
      <c r="N17" s="58" t="s">
        <v>579</v>
      </c>
      <c r="O17" s="58" t="str">
        <f>SUBSTITUTE(PROPER(ItemTable[[#This Row],['#번역본]])," "," ")</f>
        <v>A Fierce Piggy Bank</v>
      </c>
      <c r="P17" s="58" t="str">
        <f>INDEX(LocaleTable[LocaleKR],MATCH(ItemTable[[#This Row],[Name]],LocaleTable[StringKey],0))</f>
        <v>사나운 돼지저금통</v>
      </c>
      <c r="Q17" s="58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R17" s="58" t="str">
        <f>INDEX(LocaleTable[LocaleKR],MATCH(ItemTable[[#This Row],[PlusDesc]],LocaleTable[StringKey],0))</f>
        <v>골드획득량 +50%</v>
      </c>
      <c r="S17" s="58" t="e">
        <f>INDEX(LocaleTable[LocaleKR],MATCH(ItemTable[[#This Row],[MinusDesc]],LocaleTable[StringKey],0))</f>
        <v>#N/A</v>
      </c>
    </row>
    <row r="18" spans="2:19">
      <c r="B18" s="43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D1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E1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F18" s="43" t="str">
        <f>IF(ItemTable[[#This Row],[GradeType]]="Cursed",
_xlfn.CONCAT("Item_MinusDesc_",ItemTable[[#This Row],[Index]]),""
)</f>
        <v/>
      </c>
      <c r="G18" s="43" t="s">
        <v>51</v>
      </c>
      <c r="H18" s="43">
        <v>1</v>
      </c>
      <c r="I18" s="43">
        <f t="array" ref="I18">_xlfn.IFS(ItemTable[[#This Row],[GradeType]]="Normal",25,ItemTable[[#This Row],[GradeType]]="Cursed",50,ItemTable[[#This Row],[GradeType]]="Rare",50)</f>
        <v>50</v>
      </c>
      <c r="J18" s="43">
        <v>50</v>
      </c>
      <c r="K18" s="43">
        <f t="array" ref="K18">_xlfn.IFS(OR(ItemTable[[#This Row],[GradeType]]="Hp",ItemTable[[#This Row],[GradeType]]="Gold"),0,TRUE,5000+ItemTable[[#This Row],[Index]])</f>
        <v>8004</v>
      </c>
      <c r="L18" s="43" t="s">
        <v>531</v>
      </c>
      <c r="M18" s="58" t="str">
        <f>MID(ItemTable[[#This Row],[ItemIconPath]],FIND("icon",ItemTable[[#This Row],[ItemIconPath]]),999)</f>
        <v>icon/item/Passive_Item/item_16.png</v>
      </c>
      <c r="N18" s="58" t="s">
        <v>580</v>
      </c>
      <c r="O18" s="58" t="str">
        <f>SUBSTITUTE(PROPER(ItemTable[[#This Row],['#번역본]])," "," ")</f>
        <v>Something In The Holy Grail</v>
      </c>
      <c r="P18" s="58" t="str">
        <f>INDEX(LocaleTable[LocaleKR],MATCH(ItemTable[[#This Row],[Name]],LocaleTable[StringKey],0))</f>
        <v>성배 속 무언가</v>
      </c>
      <c r="Q18" s="58" t="str">
        <f>INDEX(LocaleTable[LocaleKR],MATCH(ItemTable[[#This Row],[Desc]],LocaleTable[StringKey],0))</f>
        <v>종교적인 용도로 보이는 컵입니다.\n잠깐, 방금 조금 움직인 것 같은데요?</v>
      </c>
      <c r="R18" s="58" t="str">
        <f>INDEX(LocaleTable[LocaleKR],MATCH(ItemTable[[#This Row],[PlusDesc]],LocaleTable[StringKey],0))</f>
        <v>공 충돌횟수 +3</v>
      </c>
      <c r="S18" s="58" t="e">
        <f>INDEX(LocaleTable[LocaleKR],MATCH(ItemTable[[#This Row],[MinusDesc]],LocaleTable[StringKey],0))</f>
        <v>#N/A</v>
      </c>
    </row>
    <row r="19" spans="2:19">
      <c r="B19" s="43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D1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E1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F19" s="43" t="str">
        <f>IF(ItemTable[[#This Row],[GradeType]]="Cursed",
_xlfn.CONCAT("Item_MinusDesc_",ItemTable[[#This Row],[Index]]),""
)</f>
        <v/>
      </c>
      <c r="G19" s="43" t="s">
        <v>51</v>
      </c>
      <c r="H19" s="43">
        <v>1</v>
      </c>
      <c r="I19" s="43">
        <f t="array" ref="I19">_xlfn.IFS(ItemTable[[#This Row],[GradeType]]="Normal",25,ItemTable[[#This Row],[GradeType]]="Cursed",50,ItemTable[[#This Row],[GradeType]]="Rare",50)</f>
        <v>50</v>
      </c>
      <c r="J19" s="43">
        <v>50</v>
      </c>
      <c r="K19" s="43">
        <f t="array" ref="K19">_xlfn.IFS(OR(ItemTable[[#This Row],[GradeType]]="Hp",ItemTable[[#This Row],[GradeType]]="Gold"),0,TRUE,5000+ItemTable[[#This Row],[Index]])</f>
        <v>8005</v>
      </c>
      <c r="L19" s="43" t="s">
        <v>532</v>
      </c>
      <c r="M19" s="58" t="str">
        <f>MID(ItemTable[[#This Row],[ItemIconPath]],FIND("icon",ItemTable[[#This Row],[ItemIconPath]]),999)</f>
        <v>icon/item/Passive_Item/item_03.png</v>
      </c>
      <c r="N19" s="58" t="s">
        <v>562</v>
      </c>
      <c r="O19" s="58" t="str">
        <f>SUBSTITUTE(PROPER(ItemTable[[#This Row],['#번역본]])," "," ")</f>
        <v>Strange Candy</v>
      </c>
      <c r="P19" s="58" t="str">
        <f>INDEX(LocaleTable[LocaleKR],MATCH(ItemTable[[#This Row],[Name]],LocaleTable[StringKey],0))</f>
        <v>이상한 사탕</v>
      </c>
      <c r="Q19" s="58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R19" s="58" t="str">
        <f>INDEX(LocaleTable[LocaleKR],MATCH(ItemTable[[#This Row],[PlusDesc]],LocaleTable[StringKey],0))</f>
        <v>최대 체력 +2</v>
      </c>
      <c r="S19" s="58" t="e">
        <f>INDEX(LocaleTable[LocaleKR],MATCH(ItemTable[[#This Row],[MinusDesc]],LocaleTable[StringKey],0))</f>
        <v>#N/A</v>
      </c>
    </row>
    <row r="20" spans="2:19">
      <c r="B20" s="43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D2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E2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F20" s="43" t="str">
        <f>IF(ItemTable[[#This Row],[GradeType]]="Cursed",
_xlfn.CONCAT("Item_MinusDesc_",ItemTable[[#This Row],[Index]]),""
)</f>
        <v/>
      </c>
      <c r="G20" s="43" t="s">
        <v>51</v>
      </c>
      <c r="H20" s="43">
        <v>1</v>
      </c>
      <c r="I20" s="43">
        <f t="array" ref="I20">_xlfn.IFS(ItemTable[[#This Row],[GradeType]]="Normal",25,ItemTable[[#This Row],[GradeType]]="Cursed",50,ItemTable[[#This Row],[GradeType]]="Rare",50)</f>
        <v>50</v>
      </c>
      <c r="J20" s="43">
        <v>50</v>
      </c>
      <c r="K20" s="43">
        <f t="array" ref="K20">_xlfn.IFS(OR(ItemTable[[#This Row],[GradeType]]="Hp",ItemTable[[#This Row],[GradeType]]="Gold"),0,TRUE,5000+ItemTable[[#This Row],[Index]])</f>
        <v>8006</v>
      </c>
      <c r="L20" s="43" t="s">
        <v>533</v>
      </c>
      <c r="M20" s="58" t="str">
        <f>MID(ItemTable[[#This Row],[ItemIconPath]],FIND("icon",ItemTable[[#This Row],[ItemIconPath]]),999)</f>
        <v>icon/item/Passive_Item/item_18.png</v>
      </c>
      <c r="N20" s="58" t="s">
        <v>581</v>
      </c>
      <c r="O20" s="58" t="str">
        <f>SUBSTITUTE(PROPER(ItemTable[[#This Row],['#번역본]])," "," ")</f>
        <v>Kerberos Pitcher</v>
      </c>
      <c r="P20" s="58" t="str">
        <f>INDEX(LocaleTable[LocaleKR],MATCH(ItemTable[[#This Row],[Name]],LocaleTable[StringKey],0))</f>
        <v>투수 케르베로스</v>
      </c>
      <c r="Q20" s="58" t="str">
        <f>INDEX(LocaleTable[LocaleKR],MATCH(ItemTable[[#This Row],[Desc]],LocaleTable[StringKey],0))</f>
        <v>공을 좋아하는 개들입니다.\n자세히보니 한마리였네요…</v>
      </c>
      <c r="R20" s="58" t="str">
        <f>INDEX(LocaleTable[LocaleKR],MATCH(ItemTable[[#This Row],[PlusDesc]],LocaleTable[StringKey],0))</f>
        <v>공격 시 33%확률로 공 3개 발사</v>
      </c>
      <c r="S20" s="58" t="e">
        <f>INDEX(LocaleTable[LocaleKR],MATCH(ItemTable[[#This Row],[MinusDesc]],LocaleTable[StringKey],0))</f>
        <v>#N/A</v>
      </c>
    </row>
    <row r="21" spans="2:19">
      <c r="B21" s="43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D2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E2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F21" s="43" t="str">
        <f>IF(ItemTable[[#This Row],[GradeType]]="Cursed",
_xlfn.CONCAT("Item_MinusDesc_",ItemTable[[#This Row],[Index]]),""
)</f>
        <v>Item_MinusDesc_4000</v>
      </c>
      <c r="G21" s="43" t="s">
        <v>55</v>
      </c>
      <c r="H21" s="43">
        <v>1</v>
      </c>
      <c r="I21" s="43">
        <f t="array" ref="I21">_xlfn.IFS(ItemTable[[#This Row],[GradeType]]="Normal",25,ItemTable[[#This Row],[GradeType]]="Cursed",50,ItemTable[[#This Row],[GradeType]]="Rare",50)</f>
        <v>50</v>
      </c>
      <c r="J21" s="43">
        <v>60</v>
      </c>
      <c r="K21" s="43">
        <f t="array" ref="K21">_xlfn.IFS(OR(ItemTable[[#This Row],[GradeType]]="Hp",ItemTable[[#This Row],[GradeType]]="Gold"),0,TRUE,5000+ItemTable[[#This Row],[Index]])</f>
        <v>9000</v>
      </c>
      <c r="L21" s="43" t="s">
        <v>534</v>
      </c>
      <c r="M21" s="58" t="str">
        <f>MID(ItemTable[[#This Row],[ItemIconPath]],FIND("icon",ItemTable[[#This Row],[ItemIconPath]]),999)</f>
        <v>icon/item/Passive_Item/item_06.png</v>
      </c>
      <c r="N21" s="58" t="s">
        <v>563</v>
      </c>
      <c r="O21" s="58" t="str">
        <f>SUBSTITUTE(PROPER(ItemTable[[#This Row],['#번역본]])," "," ")</f>
        <v>A Bucket Of Cocoa</v>
      </c>
      <c r="P21" s="58" t="str">
        <f>INDEX(LocaleTable[LocaleKR],MATCH(ItemTable[[#This Row],[Name]],LocaleTable[StringKey],0))</f>
        <v>코코아 한통</v>
      </c>
      <c r="Q21" s="58" t="str">
        <f>INDEX(LocaleTable[LocaleKR],MATCH(ItemTable[[#This Row],[Desc]],LocaleTable[StringKey],0))</f>
        <v>온 몸이 녹는 듯 한 강력한 단맛입니다.\n끈적해지지 않게 조심하세요!</v>
      </c>
      <c r="R21" s="58" t="str">
        <f>INDEX(LocaleTable[LocaleKR],MATCH(ItemTable[[#This Row],[PlusDesc]],LocaleTable[StringKey],0))</f>
        <v>일반 공격이\n차징 공격이 됩니다.</v>
      </c>
      <c r="S21" s="58" t="str">
        <f>INDEX(LocaleTable[LocaleKR],MATCH(ItemTable[[#This Row],[MinusDesc]],LocaleTable[StringKey],0))</f>
        <v>공격속도 -20%</v>
      </c>
    </row>
    <row r="22" spans="2:19">
      <c r="B22" s="43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D2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E2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F22" s="43" t="str">
        <f>IF(ItemTable[[#This Row],[GradeType]]="Cursed",
_xlfn.CONCAT("Item_MinusDesc_",ItemTable[[#This Row],[Index]]),""
)</f>
        <v>Item_MinusDesc_4001</v>
      </c>
      <c r="G22" s="43" t="s">
        <v>55</v>
      </c>
      <c r="H22" s="43">
        <v>1</v>
      </c>
      <c r="I22" s="43">
        <f t="array" ref="I22">_xlfn.IFS(ItemTable[[#This Row],[GradeType]]="Normal",25,ItemTable[[#This Row],[GradeType]]="Cursed",50,ItemTable[[#This Row],[GradeType]]="Rare",50)</f>
        <v>50</v>
      </c>
      <c r="J22" s="43">
        <v>60</v>
      </c>
      <c r="K22" s="43">
        <f t="array" ref="K22">_xlfn.IFS(OR(ItemTable[[#This Row],[GradeType]]="Hp",ItemTable[[#This Row],[GradeType]]="Gold"),0,TRUE,5000+ItemTable[[#This Row],[Index]])</f>
        <v>9001</v>
      </c>
      <c r="L22" s="43" t="s">
        <v>535</v>
      </c>
      <c r="M22" s="58" t="str">
        <f>MID(ItemTable[[#This Row],[ItemIconPath]],FIND("icon",ItemTable[[#This Row],[ItemIconPath]]),999)</f>
        <v>icon/item/Passive_Item/item_08.png</v>
      </c>
      <c r="N22" s="58" t="s">
        <v>564</v>
      </c>
      <c r="O22" s="58" t="str">
        <f>SUBSTITUTE(PROPER(ItemTable[[#This Row],['#번역본]])," "," ")</f>
        <v>Sad Canrio</v>
      </c>
      <c r="P22" s="58" t="str">
        <f>INDEX(LocaleTable[LocaleKR],MATCH(ItemTable[[#This Row],[Name]],LocaleTable[StringKey],0))</f>
        <v>슬픈 캔리오</v>
      </c>
      <c r="Q22" s="58" t="str">
        <f>INDEX(LocaleTable[LocaleKR],MATCH(ItemTable[[#This Row],[Desc]],LocaleTable[StringKey],0))</f>
        <v>어째선지 계속해서 울고 있는 양초입니다.\n건드리고 싶지 않네요.</v>
      </c>
      <c r="R22" s="58" t="str">
        <f>INDEX(LocaleTable[LocaleKR],MATCH(ItemTable[[#This Row],[PlusDesc]],LocaleTable[StringKey],0))</f>
        <v>타격 시마다 4초간\n공격속도 +15%\n(효과는 중첩될 수 있습니다.)</v>
      </c>
      <c r="S22" s="58" t="str">
        <f>INDEX(LocaleTable[LocaleKR],MATCH(ItemTable[[#This Row],[MinusDesc]],LocaleTable[StringKey],0))</f>
        <v>공격속도 -30%</v>
      </c>
    </row>
    <row r="23" spans="2:19">
      <c r="B23" s="4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D2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E2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F23" s="43" t="str">
        <f>IF(ItemTable[[#This Row],[GradeType]]="Cursed",
_xlfn.CONCAT("Item_MinusDesc_",ItemTable[[#This Row],[Index]]),""
)</f>
        <v>Item_MinusDesc_4002</v>
      </c>
      <c r="G23" s="43" t="s">
        <v>55</v>
      </c>
      <c r="H23" s="43">
        <v>1</v>
      </c>
      <c r="I23" s="43">
        <f t="array" ref="I23">_xlfn.IFS(ItemTable[[#This Row],[GradeType]]="Normal",25,ItemTable[[#This Row],[GradeType]]="Cursed",50,ItemTable[[#This Row],[GradeType]]="Rare",50)</f>
        <v>50</v>
      </c>
      <c r="J23" s="43">
        <v>60</v>
      </c>
      <c r="K23" s="43">
        <f t="array" ref="K23">_xlfn.IFS(OR(ItemTable[[#This Row],[GradeType]]="Hp",ItemTable[[#This Row],[GradeType]]="Gold"),0,TRUE,5000+ItemTable[[#This Row],[Index]])</f>
        <v>9002</v>
      </c>
      <c r="L23" s="43" t="s">
        <v>536</v>
      </c>
      <c r="M23" s="58" t="str">
        <f>MID(ItemTable[[#This Row],[ItemIconPath]],FIND("icon",ItemTable[[#This Row],[ItemIconPath]]),999)</f>
        <v>icon/item/Passive_Item/item_14.png</v>
      </c>
      <c r="N23" s="58" t="s">
        <v>672</v>
      </c>
      <c r="O23" s="58" t="str">
        <f>SUBSTITUTE(PROPER(ItemTable[[#This Row],['#번역본]])," "," ")</f>
        <v>Grilled Tree Frog</v>
      </c>
      <c r="P23" s="58" t="str">
        <f>INDEX(LocaleTable[LocaleKR],MATCH(ItemTable[[#This Row],[Name]],LocaleTable[StringKey],0))</f>
        <v>청개굴 버섯구이</v>
      </c>
      <c r="Q23" s="58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R23" s="58" t="str">
        <f>INDEX(LocaleTable[LocaleKR],MATCH(ItemTable[[#This Row],[PlusDesc]],LocaleTable[StringKey],0))</f>
        <v>공격력 +100%</v>
      </c>
      <c r="S23" s="58" t="str">
        <f>INDEX(LocaleTable[LocaleKR],MATCH(ItemTable[[#This Row],[MinusDesc]],LocaleTable[StringKey],0))</f>
        <v>공격 방향이 반대가 됩니다.</v>
      </c>
    </row>
    <row r="24" spans="2:19">
      <c r="B24" s="43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D24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E24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F24" s="43" t="str">
        <f>IF(ItemTable[[#This Row],[GradeType]]="Cursed",
_xlfn.CONCAT("Item_MinusDesc_",ItemTable[[#This Row],[Index]]),""
)</f>
        <v>Item_MinusDesc_4003</v>
      </c>
      <c r="G24" s="43" t="s">
        <v>55</v>
      </c>
      <c r="H24" s="43">
        <v>1</v>
      </c>
      <c r="I24" s="43">
        <v>50</v>
      </c>
      <c r="J24" s="43">
        <v>60</v>
      </c>
      <c r="K24" s="43">
        <f t="array" ref="K24">_xlfn.IFS(OR(ItemTable[[#This Row],[GradeType]]="Hp",ItemTable[[#This Row],[GradeType]]="Gold"),0,TRUE,5000+ItemTable[[#This Row],[Index]])</f>
        <v>9003</v>
      </c>
      <c r="L24" s="43" t="s">
        <v>537</v>
      </c>
      <c r="M24" s="58" t="str">
        <f>MID(ItemTable[[#This Row],[ItemIconPath]],FIND("icon",ItemTable[[#This Row],[ItemIconPath]]),999)</f>
        <v>icon/item/Passive_Item/item_01.png</v>
      </c>
      <c r="N24" s="58" t="s">
        <v>565</v>
      </c>
      <c r="O24" s="58" t="str">
        <f>SUBSTITUTE(PROPER(ItemTable[[#This Row],['#번역본]])," "," ")</f>
        <v>Someone'S Diary</v>
      </c>
      <c r="P24" s="58" t="str">
        <f>INDEX(LocaleTable[LocaleKR],MATCH(ItemTable[[#This Row],[Name]],LocaleTable[StringKey],0))</f>
        <v>누군가의 일기장</v>
      </c>
      <c r="Q24" s="58" t="str">
        <f>INDEX(LocaleTable[LocaleKR],MATCH(ItemTable[[#This Row],[Desc]],LocaleTable[StringKey],0))</f>
        <v>낡은 추억들이 느껴집니다.\n3년 전 이 사람은...\n잠깐, 우리가 이걸봐도 괜찮은걸까요?</v>
      </c>
      <c r="R24" s="58" t="str">
        <f>INDEX(LocaleTable[LocaleKR],MATCH(ItemTable[[#This Row],[PlusDesc]],LocaleTable[StringKey],0))</f>
        <v>공격력 +60%</v>
      </c>
      <c r="S24" s="58" t="str">
        <f>INDEX(LocaleTable[LocaleKR],MATCH(ItemTable[[#This Row],[MinusDesc]],LocaleTable[StringKey],0))</f>
        <v>체력 -2</v>
      </c>
    </row>
    <row r="25" spans="2:19">
      <c r="B25" s="43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D25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E25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F25" s="43" t="str">
        <f>IF(ItemTable[[#This Row],[GradeType]]="Cursed",
_xlfn.CONCAT("Item_MinusDesc_",ItemTable[[#This Row],[Index]]),""
)</f>
        <v>Item_MinusDesc_4004</v>
      </c>
      <c r="G25" s="43" t="s">
        <v>55</v>
      </c>
      <c r="H25" s="43">
        <v>1</v>
      </c>
      <c r="I25" s="43">
        <f t="array" ref="I25">_xlfn.IFS(ItemTable[[#This Row],[GradeType]]="Normal",25,ItemTable[[#This Row],[GradeType]]="Cursed",50,ItemTable[[#This Row],[GradeType]]="Rare",50)</f>
        <v>50</v>
      </c>
      <c r="J25" s="43">
        <v>60</v>
      </c>
      <c r="K25" s="43">
        <f t="array" ref="K25">_xlfn.IFS(OR(ItemTable[[#This Row],[GradeType]]="Hp",ItemTable[[#This Row],[GradeType]]="Gold"),0,TRUE,5000+ItemTable[[#This Row],[Index]])</f>
        <v>9004</v>
      </c>
      <c r="L25" s="43" t="s">
        <v>538</v>
      </c>
      <c r="M25" s="58" t="str">
        <f>MID(ItemTable[[#This Row],[ItemIconPath]],FIND("icon",ItemTable[[#This Row],[ItemIconPath]]),999)</f>
        <v>icon/item/Passive_Item/item_13.png</v>
      </c>
      <c r="N25" s="58" t="s">
        <v>582</v>
      </c>
      <c r="O25" s="58" t="str">
        <f>SUBSTITUTE(PROPER(ItemTable[[#This Row],['#번역본]])," "," ")</f>
        <v>Praise The Sun</v>
      </c>
      <c r="P25" s="58" t="str">
        <f>INDEX(LocaleTable[LocaleKR],MATCH(ItemTable[[#This Row],[Name]],LocaleTable[StringKey],0))</f>
        <v>행성 만세</v>
      </c>
      <c r="Q25" s="58" t="str">
        <f>INDEX(LocaleTable[LocaleKR],MATCH(ItemTable[[#This Row],[Desc]],LocaleTable[StringKey],0))</f>
        <v>1. 태양의 방향으로 기립.\n2. 팔을 벌려 Y자로 선다.\n3. 태양을 바라보며 외친다.</v>
      </c>
      <c r="R25" s="58" t="str">
        <f>INDEX(LocaleTable[LocaleKR],MATCH(ItemTable[[#This Row],[PlusDesc]],LocaleTable[StringKey],0))</f>
        <v>피격 시 공 8개 발사</v>
      </c>
      <c r="S25" s="58" t="str">
        <f>INDEX(LocaleTable[LocaleKR],MATCH(ItemTable[[#This Row],[MinusDesc]],LocaleTable[StringKey],0))</f>
        <v>이동속도 -5%</v>
      </c>
    </row>
    <row r="26" spans="2:19">
      <c r="B26" s="43">
        <v>4005</v>
      </c>
      <c r="C26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D26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E26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F26" s="43" t="str">
        <f>IF(ItemTable[[#This Row],[GradeType]]="Cursed",
_xlfn.CONCAT("Item_MinusDesc_",ItemTable[[#This Row],[Index]]),""
)</f>
        <v>Item_MinusDesc_4005</v>
      </c>
      <c r="G26" s="43" t="s">
        <v>55</v>
      </c>
      <c r="H26" s="43">
        <v>1</v>
      </c>
      <c r="I26" s="43">
        <f t="array" ref="I26">_xlfn.IFS(ItemTable[[#This Row],[GradeType]]="Normal",25,ItemTable[[#This Row],[GradeType]]="Cursed",50,ItemTable[[#This Row],[GradeType]]="Rare",50)</f>
        <v>50</v>
      </c>
      <c r="J26" s="43">
        <v>60</v>
      </c>
      <c r="K26" s="43">
        <f t="array" ref="K26">_xlfn.IFS(OR(ItemTable[[#This Row],[GradeType]]="Hp",ItemTable[[#This Row],[GradeType]]="Gold"),0,TRUE,5000+ItemTable[[#This Row],[Index]])</f>
        <v>9005</v>
      </c>
      <c r="L26" s="43" t="s">
        <v>543</v>
      </c>
      <c r="M26" s="58" t="str">
        <f>MID(ItemTable[[#This Row],[ItemIconPath]],FIND("icon",ItemTable[[#This Row],[ItemIconPath]]),999)</f>
        <v>icon/item/Passive_Item/item_20.png</v>
      </c>
      <c r="N26" s="58" t="s">
        <v>583</v>
      </c>
      <c r="O26" s="58" t="str">
        <f>SUBSTITUTE(PROPER(ItemTable[[#This Row],['#번역본]])," "," ")</f>
        <v>Dodge Cat</v>
      </c>
      <c r="P26" s="58" t="str">
        <f>INDEX(LocaleTable[LocaleKR],MATCH(ItemTable[[#This Row],[Name]],LocaleTable[StringKey],0))</f>
        <v>회피 캣</v>
      </c>
      <c r="Q26" s="58" t="str">
        <f>INDEX(LocaleTable[LocaleKR],MATCH(ItemTable[[#This Row],[Desc]],LocaleTable[StringKey],0))</f>
        <v>하지만 이렇게 간단하게 피했습니다.</v>
      </c>
      <c r="R26" s="58" t="str">
        <f>INDEX(LocaleTable[LocaleKR],MATCH(ItemTable[[#This Row],[PlusDesc]],LocaleTable[StringKey],0))</f>
        <v>회피 시 공 4개 발사</v>
      </c>
      <c r="S26" s="58" t="str">
        <f>INDEX(LocaleTable[LocaleKR],MATCH(ItemTable[[#This Row],[MinusDesc]],LocaleTable[StringKey],0))</f>
        <v>회피쿨타임 +50%</v>
      </c>
    </row>
    <row r="27" spans="2:19">
      <c r="B27" s="43">
        <v>4006</v>
      </c>
      <c r="C27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D27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E27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F27" s="43" t="str">
        <f>IF(ItemTable[[#This Row],[GradeType]]="Cursed",
_xlfn.CONCAT("Item_MinusDesc_",ItemTable[[#This Row],[Index]]),""
)</f>
        <v>Item_MinusDesc_4006</v>
      </c>
      <c r="G27" s="43" t="s">
        <v>55</v>
      </c>
      <c r="H27" s="43">
        <v>1</v>
      </c>
      <c r="I27" s="43">
        <f t="array" ref="I27">_xlfn.IFS(ItemTable[[#This Row],[GradeType]]="Normal",25,ItemTable[[#This Row],[GradeType]]="Cursed",50,ItemTable[[#This Row],[GradeType]]="Rare",50)</f>
        <v>50</v>
      </c>
      <c r="J27" s="43">
        <v>60</v>
      </c>
      <c r="K27" s="43">
        <f t="array" ref="K27">_xlfn.IFS(OR(ItemTable[[#This Row],[GradeType]]="Hp",ItemTable[[#This Row],[GradeType]]="Gold"),0,TRUE,5000+ItemTable[[#This Row],[Index]])</f>
        <v>9006</v>
      </c>
      <c r="L27" s="43" t="s">
        <v>544</v>
      </c>
      <c r="M27" s="58" t="str">
        <f>MID(ItemTable[[#This Row],[ItemIconPath]],FIND("icon",ItemTable[[#This Row],[ItemIconPath]]),999)</f>
        <v>icon/item/Passive_Item/item_19.png</v>
      </c>
      <c r="N27" s="58" t="s">
        <v>679</v>
      </c>
      <c r="O27" s="58" t="str">
        <f>SUBSTITUTE(PROPER(ItemTable[[#This Row],['#번역본]])," "," ")</f>
        <v>The Adult Card</v>
      </c>
      <c r="P27" s="58" t="str">
        <f>INDEX(LocaleTable[LocaleKR],MATCH(ItemTable[[#This Row],[Name]],LocaleTable[StringKey],0))</f>
        <v>어른의 카드</v>
      </c>
      <c r="Q27" s="58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R27" s="58" t="str">
        <f>INDEX(LocaleTable[LocaleKR],MATCH(ItemTable[[#This Row],[PlusDesc]],LocaleTable[StringKey],0))</f>
        <v>공격범위 +50%</v>
      </c>
      <c r="S27" s="58" t="str">
        <f>INDEX(LocaleTable[LocaleKR],MATCH(ItemTable[[#This Row],[MinusDesc]],LocaleTable[StringKey],0))</f>
        <v>공격속도 -20%, 공격 시 골드 -1</v>
      </c>
    </row>
    <row r="28" spans="2:19">
      <c r="B28" s="43">
        <v>10000</v>
      </c>
      <c r="C28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D28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E28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F28" s="43" t="str">
        <f>IF(ItemTable[[#This Row],[GradeType]]="Cursed",
_xlfn.CONCAT("Item_MinusDesc_",ItemTable[[#This Row],[Index]]),""
)</f>
        <v/>
      </c>
      <c r="G28" s="43" t="s">
        <v>392</v>
      </c>
      <c r="H28" s="43">
        <v>1</v>
      </c>
      <c r="I28" s="43">
        <v>50</v>
      </c>
      <c r="J28" s="43">
        <v>100</v>
      </c>
      <c r="K28" s="43">
        <v>10000</v>
      </c>
      <c r="L28" s="43" t="s">
        <v>539</v>
      </c>
      <c r="M28" s="58" t="str">
        <f>MID(ItemTable[[#This Row],[ItemIconPath]],FIND("icon",ItemTable[[#This Row],[ItemIconPath]]),999)</f>
        <v>icon/item/Active_item/A_item_02.png</v>
      </c>
      <c r="N28" s="58" t="s">
        <v>566</v>
      </c>
      <c r="O28" s="58" t="str">
        <f>SUBSTITUTE(PROPER(ItemTable[[#This Row],['#번역본]])," "," ")</f>
        <v>Infinity Doughnut</v>
      </c>
      <c r="P28" s="58" t="str">
        <f>INDEX(LocaleTable[LocaleKR],MATCH(ItemTable[[#This Row],[Name]],LocaleTable[StringKey],0))</f>
        <v>인피니티 도넛</v>
      </c>
      <c r="Q28" s="58" t="str">
        <f>INDEX(LocaleTable[LocaleKR],MATCH(ItemTable[[#This Row],[Desc]],LocaleTable[StringKey],0))</f>
        <v>도넛에 구멍은 몇 개일까요? 적어도\n이 도넛은 무한한 구멍을 가졌습니다.</v>
      </c>
      <c r="R28" s="58" t="str">
        <f>INDEX(LocaleTable[LocaleKR],MATCH(ItemTable[[#This Row],[PlusDesc]],LocaleTable[StringKey],0))</f>
        <v>기절한 적에게 순간이동하며 공격합니다.</v>
      </c>
      <c r="S28" s="58" t="e">
        <f>INDEX(LocaleTable[LocaleKR],MATCH(ItemTable[[#This Row],[MinusDesc]],LocaleTable[StringKey],0))</f>
        <v>#N/A</v>
      </c>
    </row>
    <row r="29" spans="2:19">
      <c r="B29" s="43">
        <v>10001</v>
      </c>
      <c r="C29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D29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E29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F29" s="43" t="str">
        <f>IF(ItemTable[[#This Row],[GradeType]]="Cursed",
_xlfn.CONCAT("Item_MinusDesc_",ItemTable[[#This Row],[Index]]),""
)</f>
        <v/>
      </c>
      <c r="G29" s="43" t="s">
        <v>392</v>
      </c>
      <c r="H29" s="43">
        <v>1</v>
      </c>
      <c r="I29" s="43">
        <v>50</v>
      </c>
      <c r="J29" s="43">
        <v>100</v>
      </c>
      <c r="K29" s="43">
        <v>10001</v>
      </c>
      <c r="L29" s="43" t="s">
        <v>540</v>
      </c>
      <c r="M29" s="58" t="str">
        <f>MID(ItemTable[[#This Row],[ItemIconPath]],FIND("icon",ItemTable[[#This Row],[ItemIconPath]]),999)</f>
        <v>icon/item/Active_item/A_item_03.png</v>
      </c>
      <c r="N29" s="58" t="s">
        <v>584</v>
      </c>
      <c r="O29" s="58" t="str">
        <f>SUBSTITUTE(PROPER(ItemTable[[#This Row],['#번역본]])," "," ")</f>
        <v>Ultra-Small Black Hole</v>
      </c>
      <c r="P29" s="58" t="str">
        <f>INDEX(LocaleTable[LocaleKR],MATCH(ItemTable[[#This Row],[Name]],LocaleTable[StringKey],0))</f>
        <v>초소형 블랙홀</v>
      </c>
      <c r="Q29" s="58" t="str">
        <f>INDEX(LocaleTable[LocaleKR],MATCH(ItemTable[[#This Row],[Desc]],LocaleTable[StringKey],0))</f>
        <v>공공장소에서 사용으로 인한\n피해는 책임지지 않습니다.</v>
      </c>
      <c r="R29" s="58" t="str">
        <f>INDEX(LocaleTable[LocaleKR],MATCH(ItemTable[[#This Row],[PlusDesc]],LocaleTable[StringKey],0))</f>
        <v>주변 투사체를 흡수하여 발사합니다.\n(쿨타임 10초)</v>
      </c>
      <c r="S29" s="58" t="e">
        <f>INDEX(LocaleTable[LocaleKR],MATCH(ItemTable[[#This Row],[MinusDesc]],LocaleTable[StringKey],0))</f>
        <v>#N/A</v>
      </c>
    </row>
    <row r="30" spans="2:19">
      <c r="B30" s="43">
        <v>10002</v>
      </c>
      <c r="C30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D30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E30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F30" s="43" t="str">
        <f>IF(ItemTable[[#This Row],[GradeType]]="Cursed",
_xlfn.CONCAT("Item_MinusDesc_",ItemTable[[#This Row],[Index]]),""
)</f>
        <v/>
      </c>
      <c r="G30" s="43" t="s">
        <v>392</v>
      </c>
      <c r="H30" s="43">
        <v>1</v>
      </c>
      <c r="I30" s="43">
        <v>50</v>
      </c>
      <c r="J30" s="43">
        <v>100</v>
      </c>
      <c r="K30" s="43">
        <v>10002</v>
      </c>
      <c r="L30" s="43" t="s">
        <v>541</v>
      </c>
      <c r="M30" s="58" t="str">
        <f>MID(ItemTable[[#This Row],[ItemIconPath]],FIND("icon",ItemTable[[#This Row],[ItemIconPath]]),999)</f>
        <v>icon/item/Active_item/A_item_06.png</v>
      </c>
      <c r="N30" s="58" t="s">
        <v>567</v>
      </c>
      <c r="O30" s="58" t="str">
        <f>SUBSTITUTE(PROPER(ItemTable[[#This Row],['#번역본]])," "," ")</f>
        <v>Cyberware</v>
      </c>
      <c r="P30" s="58" t="str">
        <f>INDEX(LocaleTable[LocaleKR],MATCH(ItemTable[[#This Row],[Name]],LocaleTable[StringKey],0))</f>
        <v>사이버웨어</v>
      </c>
      <c r="Q30" s="58" t="str">
        <f>INDEX(LocaleTable[LocaleKR],MATCH(ItemTable[[#This Row],[Desc]],LocaleTable[StringKey],0))</f>
        <v>기초적인 임플란트입니다.\/마구 사용하다간 사이버 미치광이가 될 수 있습니다.</v>
      </c>
      <c r="R30" s="58" t="str">
        <f>INDEX(LocaleTable[LocaleKR],MATCH(ItemTable[[#This Row],[PlusDesc]],LocaleTable[StringKey],0))</f>
        <v>6초간 주변 시간이 느려집니다.\n(쿨타임 12초)</v>
      </c>
      <c r="S30" s="58" t="e">
        <f>INDEX(LocaleTable[LocaleKR],MATCH(ItemTable[[#This Row],[MinusDesc]],LocaleTable[StringKey],0))</f>
        <v>#N/A</v>
      </c>
    </row>
    <row r="31" spans="2:19">
      <c r="B31" s="43">
        <v>10003</v>
      </c>
      <c r="C31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D31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E31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F31" s="43" t="str">
        <f>IF(ItemTable[[#This Row],[GradeType]]="Cursed",
_xlfn.CONCAT("Item_MinusDesc_",ItemTable[[#This Row],[Index]]),""
)</f>
        <v/>
      </c>
      <c r="G31" s="43" t="s">
        <v>392</v>
      </c>
      <c r="H31" s="43">
        <v>1</v>
      </c>
      <c r="I31" s="43">
        <v>50</v>
      </c>
      <c r="J31" s="43">
        <v>100</v>
      </c>
      <c r="K31" s="43">
        <v>10003</v>
      </c>
      <c r="L31" s="43" t="s">
        <v>542</v>
      </c>
      <c r="M31" s="58" t="str">
        <f>MID(ItemTable[[#This Row],[ItemIconPath]],FIND("icon",ItemTable[[#This Row],[ItemIconPath]]),999)</f>
        <v>icon/item/Active_item/A_item_01.png</v>
      </c>
      <c r="N31" s="58" t="s">
        <v>568</v>
      </c>
      <c r="O31" s="58" t="str">
        <f>SUBSTITUTE(PROPER(ItemTable[[#This Row],['#번역본]])," "," ")</f>
        <v>A Missile Backpack</v>
      </c>
      <c r="P31" s="58" t="str">
        <f>INDEX(LocaleTable[LocaleKR],MATCH(ItemTable[[#This Row],[Name]],LocaleTable[StringKey],0))</f>
        <v>미사일 백팩</v>
      </c>
      <c r="Q31" s="58" t="str">
        <f>INDEX(LocaleTable[LocaleKR],MATCH(ItemTable[[#This Row],[Desc]],LocaleTable[StringKey],0))</f>
        <v>앞만 보고 살아가는 당신에게 추천합니다.\n데일리룩으로 안성맞춤.</v>
      </c>
      <c r="R31" s="58" t="str">
        <f>INDEX(LocaleTable[LocaleKR],MATCH(ItemTable[[#This Row],[PlusDesc]],LocaleTable[StringKey],0))</f>
        <v>커서 방향으로 돌진합니다.\n(쿨타임 8초)</v>
      </c>
      <c r="S31" s="58" t="e">
        <f>INDEX(LocaleTable[LocaleKR],MATCH(ItemTable[[#This Row],[MinusDesc]],LocaleTable[StringKey],0))</f>
        <v>#N/A</v>
      </c>
    </row>
    <row r="32" spans="2:19">
      <c r="B32" s="43" t="s">
        <v>514</v>
      </c>
      <c r="C32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D32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E32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F32" s="43" t="str">
        <f>IF(ItemTable[[#This Row],[GradeType]]="Cursed",
_xlfn.CONCAT("Item_MinusDesc_",ItemTable[[#This Row],[Index]]),""
)</f>
        <v/>
      </c>
      <c r="G32" s="43" t="s">
        <v>392</v>
      </c>
      <c r="H32" s="43">
        <v>1</v>
      </c>
      <c r="I32" s="43">
        <v>50</v>
      </c>
      <c r="J32" s="43">
        <v>100</v>
      </c>
      <c r="K32" s="43">
        <v>10004</v>
      </c>
      <c r="L32" s="43" t="s">
        <v>542</v>
      </c>
      <c r="M32" s="58" t="str">
        <f>MID(ItemTable[[#This Row],[ItemIconPath]],FIND("icon",ItemTable[[#This Row],[ItemIconPath]]),999)</f>
        <v>icon/item/Active_item/A_item_01.png</v>
      </c>
      <c r="N32" s="58" t="s">
        <v>569</v>
      </c>
      <c r="O32" s="58" t="str">
        <f>SUBSTITUTE(PROPER(ItemTable[[#This Row],['#번역본]])," "," ")</f>
        <v>Excalibat</v>
      </c>
      <c r="P32" s="58" t="e">
        <f>INDEX(LocaleTable[LocaleKR],MATCH(ItemTable[[#This Row],[Name]],LocaleTable[StringKey],0))</f>
        <v>#N/A</v>
      </c>
      <c r="Q32" s="58" t="e">
        <f>INDEX(LocaleTable[LocaleKR],MATCH(ItemTable[[#This Row],[Desc]],LocaleTable[StringKey],0))</f>
        <v>#N/A</v>
      </c>
      <c r="R32" s="58" t="e">
        <f>INDEX(LocaleTable[LocaleKR],MATCH(ItemTable[[#This Row],[PlusDesc]],LocaleTable[StringKey],0))</f>
        <v>#N/A</v>
      </c>
      <c r="S32" s="58" t="e">
        <f>INDEX(LocaleTable[LocaleKR],MATCH(ItemTable[[#This Row],[MinusDesc]],LocaleTable[StringKey],0))</f>
        <v>#N/A</v>
      </c>
    </row>
    <row r="33" spans="2:19">
      <c r="B33" s="43">
        <v>10005</v>
      </c>
      <c r="C33" s="43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D33" s="43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E33" s="43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F33" s="43" t="str">
        <f>IF(ItemTable[[#This Row],[GradeType]]="Cursed",
_xlfn.CONCAT("Item_MinusDesc_",ItemTable[[#This Row],[Index]]),""
)</f>
        <v/>
      </c>
      <c r="G33" s="43" t="s">
        <v>392</v>
      </c>
      <c r="H33" s="43">
        <v>1</v>
      </c>
      <c r="I33" s="43">
        <v>50</v>
      </c>
      <c r="J33" s="43">
        <v>100</v>
      </c>
      <c r="K33" s="43">
        <v>10005</v>
      </c>
      <c r="L33" s="43" t="s">
        <v>545</v>
      </c>
      <c r="M33" s="58" t="str">
        <f>MID(ItemTable[[#This Row],[ItemIconPath]],FIND("icon",ItemTable[[#This Row],[ItemIconPath]]),999)</f>
        <v>icon/item/Active_item/A_item_07.png</v>
      </c>
      <c r="N33" s="58" t="s">
        <v>586</v>
      </c>
      <c r="O33" s="58" t="str">
        <f>SUBSTITUTE(PROPER(ItemTable[[#This Row],['#번역본]])," "," ")</f>
        <v>Ruyi Jingu Bat</v>
      </c>
      <c r="P33" s="58" t="str">
        <f>INDEX(LocaleTable[LocaleKR],MATCH(ItemTable[[#This Row],[Name]],LocaleTable[StringKey],0))</f>
        <v>여의배트</v>
      </c>
      <c r="Q33" s="58" t="str">
        <f>INDEX(LocaleTable[LocaleKR],MATCH(ItemTable[[#This Row],[Desc]],LocaleTable[StringKey],0))</f>
        <v>배트를 마음대로 늘릴 수 있습니다!</v>
      </c>
      <c r="R33" s="58" t="str">
        <f>INDEX(LocaleTable[LocaleKR],MATCH(ItemTable[[#This Row],[PlusDesc]],LocaleTable[StringKey],0))</f>
        <v>10초간 공격범위 +100%\n(쿨타임 18초)</v>
      </c>
      <c r="S33" s="58" t="e">
        <f>INDEX(LocaleTable[LocaleKR],MATCH(ItemTable[[#This Row],[MinusDesc]],LocaleTable[StringKey],0))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defaultColWidth="8.875" defaultRowHeight="16.5"/>
  <cols>
    <col min="1" max="1" width="8.875" style="45"/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31</v>
      </c>
      <c r="E1" s="17" t="s">
        <v>351</v>
      </c>
      <c r="F1" s="17" t="s">
        <v>351</v>
      </c>
      <c r="G1" s="17" t="s">
        <v>353</v>
      </c>
      <c r="H1" t="s">
        <v>77</v>
      </c>
      <c r="I1" s="17" t="s">
        <v>367</v>
      </c>
      <c r="J1" t="s">
        <v>77</v>
      </c>
      <c r="K1" s="17" t="s">
        <v>353</v>
      </c>
    </row>
    <row r="2" spans="2:11">
      <c r="B2" s="5" t="s">
        <v>78</v>
      </c>
      <c r="C2" s="5" t="s">
        <v>80</v>
      </c>
      <c r="D2" t="s">
        <v>46</v>
      </c>
      <c r="E2" s="17" t="s">
        <v>376</v>
      </c>
      <c r="F2" s="17" t="s">
        <v>377</v>
      </c>
      <c r="G2" s="17" t="s">
        <v>354</v>
      </c>
      <c r="H2" s="17" t="s">
        <v>355</v>
      </c>
      <c r="I2" s="31" t="s">
        <v>357</v>
      </c>
      <c r="J2" s="17" t="s">
        <v>356</v>
      </c>
      <c r="K2" s="31" t="s">
        <v>372</v>
      </c>
    </row>
    <row r="3" spans="2:11">
      <c r="B3" s="20" t="str">
        <f>INDEX(ItemTable[Name],MATCH(ItemEffectTable[[#This Row],[Index]],ItemTable[ItemEffectDataId],0))</f>
        <v>Item_Name_2000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374</v>
      </c>
      <c r="I3" s="17"/>
      <c r="J3" s="17" t="s">
        <v>373</v>
      </c>
    </row>
    <row r="4" spans="2:11">
      <c r="B4" s="20" t="str">
        <f>INDEX(ItemTable[Name],MATCH(ItemEffectTable[[#This Row],[Index]],ItemTable[ItemEffectDataId],0))</f>
        <v>Item_Name_2001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374</v>
      </c>
      <c r="J4" s="17" t="s">
        <v>373</v>
      </c>
    </row>
    <row r="5" spans="2:11">
      <c r="B5" s="20" t="str">
        <f>INDEX(ItemTable[Name],MATCH(ItemEffectTable[[#This Row],[Index]],ItemTable[ItemEffectDataId],0))</f>
        <v>Item_Name_2002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374</v>
      </c>
      <c r="I5" s="17"/>
      <c r="J5" s="17" t="s">
        <v>373</v>
      </c>
    </row>
    <row r="6" spans="2:11">
      <c r="B6" s="20" t="str">
        <f>INDEX(ItemTable[Name],MATCH(ItemEffectTable[[#This Row],[Index]],ItemTable[ItemEffectDataId],0))</f>
        <v>Item_Name_2003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422</v>
      </c>
      <c r="J6" s="17" t="s">
        <v>373</v>
      </c>
    </row>
    <row r="7" spans="2:11">
      <c r="B7" s="20" t="str">
        <f>INDEX(ItemTable[Name],MATCH(ItemEffectTable[[#This Row],[Index]],ItemTable[ItemEffectDataId],0))</f>
        <v>Item_Name_2004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374</v>
      </c>
      <c r="J7" s="17" t="s">
        <v>373</v>
      </c>
    </row>
    <row r="8" spans="2:11">
      <c r="B8" s="20" t="str">
        <f>INDEX(ItemTable[Name],MATCH(ItemEffectTable[[#This Row],[Index]],ItemTable[ItemEffectDataId],0))</f>
        <v>Item_Name_2005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374</v>
      </c>
      <c r="J8" s="17" t="s">
        <v>373</v>
      </c>
    </row>
    <row r="9" spans="2:11">
      <c r="B9" s="20" t="str">
        <f>INDEX(ItemTable[Name],MATCH(ItemEffectTable[[#This Row],[Index]],ItemTable[ItemEffectDataId],0))</f>
        <v>Item_Name_3000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403</v>
      </c>
      <c r="J9" s="17" t="s">
        <v>373</v>
      </c>
    </row>
    <row r="10" spans="2:11">
      <c r="B10" s="20" t="str">
        <f>INDEX(ItemTable[Name],MATCH(ItemEffectTable[[#This Row],[Index]],ItemTable[ItemEffectDataId],0))</f>
        <v>Item_Name_3001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489</v>
      </c>
      <c r="J10" s="17" t="s">
        <v>373</v>
      </c>
    </row>
    <row r="11" spans="2:11">
      <c r="B11" s="20" t="str">
        <f>INDEX(ItemTable[Name],MATCH(ItemEffectTable[[#This Row],[Index]],ItemTable[ItemEffectDataId],0))</f>
        <v>Item_Name_3002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403</v>
      </c>
      <c r="J11" s="17" t="s">
        <v>492</v>
      </c>
      <c r="K11">
        <v>1000</v>
      </c>
    </row>
    <row r="12" spans="2:11">
      <c r="B12" s="20" t="str">
        <f>INDEX(ItemTable[Name],MATCH(ItemEffectTable[[#This Row],[Index]],ItemTable[ItemEffectDataId],0))</f>
        <v>Item_Name_3003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374</v>
      </c>
      <c r="J12" s="17" t="s">
        <v>373</v>
      </c>
    </row>
    <row r="13" spans="2:11">
      <c r="B13" s="20" t="str">
        <f>INDEX(ItemTable[Name],MATCH(ItemEffectTable[[#This Row],[Index]],ItemTable[ItemEffectDataId],0))</f>
        <v>Item_Name_3004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374</v>
      </c>
      <c r="J13" s="17" t="s">
        <v>373</v>
      </c>
    </row>
    <row r="14" spans="2:11">
      <c r="B14" s="20" t="str">
        <f>INDEX(ItemTable[Name],MATCH(ItemEffectTable[[#This Row],[Index]],ItemTable[ItemEffectDataId],0))</f>
        <v>Item_Name_3005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374</v>
      </c>
      <c r="J14" s="17" t="s">
        <v>373</v>
      </c>
    </row>
    <row r="15" spans="2:11">
      <c r="B15" s="20" t="str">
        <f>INDEX(ItemTable[Name],MATCH(ItemEffectTable[[#This Row],[Index]],ItemTable[ItemEffectDataId],0))</f>
        <v>Item_Name_3006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390</v>
      </c>
      <c r="J15" s="17" t="s">
        <v>492</v>
      </c>
      <c r="K15">
        <v>3333</v>
      </c>
    </row>
    <row r="16" spans="2:11">
      <c r="B16" s="20" t="str">
        <f>INDEX(ItemTable[Name],MATCH(ItemEffectTable[[#This Row],[Index]],ItemTable[ItemEffectDataId],0))</f>
        <v>Item_Name_4000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374</v>
      </c>
      <c r="J16" s="17" t="s">
        <v>373</v>
      </c>
    </row>
    <row r="17" spans="2:11">
      <c r="B17" s="20" t="str">
        <f>INDEX(ItemTable[Name],MATCH(ItemEffectTable[[#This Row],[Index]],ItemTable[ItemEffectDataId],0))</f>
        <v>Item_Name_4001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424</v>
      </c>
      <c r="J17" s="17" t="s">
        <v>373</v>
      </c>
    </row>
    <row r="18" spans="2:11">
      <c r="B18" s="20" t="str">
        <f>INDEX(ItemTable[Name],MATCH(ItemEffectTable[[#This Row],[Index]],ItemTable[ItemEffectDataId],0))</f>
        <v>Item_Name_4001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374</v>
      </c>
      <c r="J18" s="17" t="s">
        <v>373</v>
      </c>
    </row>
    <row r="19" spans="2:11">
      <c r="B19" s="20" t="str">
        <f>INDEX(ItemTable[Name],MATCH(ItemEffectTable[[#This Row],[Index]],ItemTable[ItemEffectDataId],0))</f>
        <v>Item_Name_4002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374</v>
      </c>
      <c r="J19" s="17" t="s">
        <v>373</v>
      </c>
    </row>
    <row r="20" spans="2:11">
      <c r="B20" s="20" t="str">
        <f>INDEX(ItemTable[Name],MATCH(ItemEffectTable[[#This Row],[Index]],ItemTable[ItemEffectDataId],0))</f>
        <v>Item_Name_4003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374</v>
      </c>
      <c r="J20" s="17" t="s">
        <v>373</v>
      </c>
    </row>
    <row r="21" spans="2:11">
      <c r="B21" s="20" t="str">
        <f>INDEX(ItemTable[Name],MATCH(ItemEffectTable[[#This Row],[Index]],ItemTable[ItemEffectDataId],0))</f>
        <v>Item_Name_4004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515</v>
      </c>
      <c r="J21" s="17" t="s">
        <v>373</v>
      </c>
    </row>
    <row r="22" spans="2:11">
      <c r="B22" s="20" t="str">
        <f>INDEX(ItemTable[Name],MATCH(ItemEffectTable[[#This Row],[Index]],ItemTable[ItemEffectDataId],0))</f>
        <v>Item_Name_4004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374</v>
      </c>
      <c r="J22" s="17" t="s">
        <v>373</v>
      </c>
    </row>
    <row r="23" spans="2:11">
      <c r="B23" s="20" t="str">
        <f>INDEX(ItemTable[Name],MATCH(ItemEffectTable[[#This Row],[Index]],ItemTable[ItemEffectDataId],0))</f>
        <v>Item_Name_4005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453</v>
      </c>
      <c r="J23" s="17" t="s">
        <v>373</v>
      </c>
    </row>
    <row r="24" spans="2:11">
      <c r="B24" s="20" t="str">
        <f>INDEX(ItemTable[Name],MATCH(ItemEffectTable[[#This Row],[Index]],ItemTable[ItemEffectDataId],0))</f>
        <v>Item_Name_4005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374</v>
      </c>
      <c r="J24" s="17" t="s">
        <v>373</v>
      </c>
    </row>
    <row r="25" spans="2:11">
      <c r="B25" s="20" t="str">
        <f>INDEX(ItemTable[Name],MATCH(ItemEffectTable[[#This Row],[Index]],ItemTable[ItemEffectDataId],0))</f>
        <v>Item_Name_4006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374</v>
      </c>
      <c r="I25" s="40"/>
      <c r="J25" s="17" t="s">
        <v>373</v>
      </c>
      <c r="K25" s="40"/>
    </row>
    <row r="26" spans="2:11">
      <c r="B26" s="46" t="str">
        <f>INDEX(ItemTable[Name],MATCH(ItemEffectTable[[#This Row],[Index]],ItemTable[ItemEffectDataId],0))</f>
        <v>Item_Name_4006</v>
      </c>
      <c r="C26" s="47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390</v>
      </c>
      <c r="I26" s="40"/>
      <c r="J26" s="17" t="s">
        <v>373</v>
      </c>
      <c r="K26" s="40"/>
    </row>
    <row r="27" spans="2:11">
      <c r="B27" s="20" t="str">
        <f>INDEX(ItemTable[Name],MATCH(ItemEffectTable[[#This Row],[Index]],ItemTable[ItemEffectDataId],0))</f>
        <v>Item_Name_10000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380</v>
      </c>
      <c r="I27" s="17"/>
      <c r="J27" s="17" t="s">
        <v>373</v>
      </c>
    </row>
    <row r="28" spans="2:11">
      <c r="B28" s="20" t="str">
        <f>INDEX(ItemTable[Name],MATCH(ItemEffectTable[[#This Row],[Index]],ItemTable[ItemEffectDataId],0))</f>
        <v>Item_Name_10001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380</v>
      </c>
      <c r="I28" s="17" t="s">
        <v>386</v>
      </c>
      <c r="J28" s="17" t="s">
        <v>385</v>
      </c>
      <c r="K28" s="12">
        <v>6</v>
      </c>
    </row>
    <row r="29" spans="2:11">
      <c r="B29" s="20" t="str">
        <f>INDEX(ItemTable[Name],MATCH(ItemEffectTable[[#This Row],[Index]],ItemTable[ItemEffectDataId],0))</f>
        <v>Item_Name_10002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380</v>
      </c>
      <c r="J29" s="17" t="s">
        <v>373</v>
      </c>
    </row>
    <row r="30" spans="2:11">
      <c r="B30" s="20" t="str">
        <f>INDEX(ItemTable[Name],MATCH(ItemEffectTable[[#This Row],[Index]],ItemTable[ItemEffectDataId],0))</f>
        <v>Item_Name_10003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380</v>
      </c>
      <c r="J30" s="17" t="s">
        <v>373</v>
      </c>
    </row>
    <row r="31" spans="2:11">
      <c r="B31" s="20" t="str">
        <f>INDEX(ItemTable[Name],MATCH(ItemEffectTable[[#This Row],[Index]],ItemTable[ItemEffectDataId],0))</f>
        <v>Item_Name_#10004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380</v>
      </c>
      <c r="J31" s="17" t="s">
        <v>373</v>
      </c>
    </row>
    <row r="32" spans="2:11">
      <c r="B32" s="20" t="str">
        <f>INDEX(ItemTable[Name],MATCH(ItemEffectTable[[#This Row],[Index]],ItemTable[ItemEffectDataId],0))</f>
        <v>Item_Name_10005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380</v>
      </c>
      <c r="J32" s="17" t="s">
        <v>373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7" sqref="H7"/>
    </sheetView>
  </sheetViews>
  <sheetFormatPr defaultColWidth="8.875" defaultRowHeight="16.5"/>
  <cols>
    <col min="2" max="2" width="17.125" customWidth="1"/>
    <col min="3" max="3" width="8.625" customWidth="1"/>
    <col min="4" max="4" width="21.125" bestFit="1" customWidth="1"/>
    <col min="5" max="5" width="23" customWidth="1"/>
    <col min="6" max="6" width="22" customWidth="1"/>
    <col min="7" max="7" width="13.5" customWidth="1"/>
    <col min="8" max="8" width="27.25" customWidth="1"/>
    <col min="9" max="9" width="21.625" customWidth="1"/>
    <col min="10" max="10" width="6" customWidth="1"/>
  </cols>
  <sheetData>
    <row r="1" spans="2:12">
      <c r="B1" t="s">
        <v>31</v>
      </c>
      <c r="C1" t="s">
        <v>31</v>
      </c>
      <c r="D1" t="s">
        <v>77</v>
      </c>
      <c r="E1" s="17" t="s">
        <v>367</v>
      </c>
      <c r="F1" s="17" t="s">
        <v>369</v>
      </c>
      <c r="G1" s="17" t="s">
        <v>362</v>
      </c>
      <c r="H1" s="17"/>
      <c r="I1" s="17"/>
    </row>
    <row r="2" spans="2:12">
      <c r="B2" s="37" t="s">
        <v>493</v>
      </c>
      <c r="C2" t="s">
        <v>46</v>
      </c>
      <c r="D2" s="17" t="s">
        <v>358</v>
      </c>
      <c r="E2" s="17" t="s">
        <v>368</v>
      </c>
      <c r="F2" s="1" t="s">
        <v>4</v>
      </c>
      <c r="G2" s="31" t="s">
        <v>370</v>
      </c>
      <c r="H2" s="37" t="s">
        <v>656</v>
      </c>
      <c r="I2" s="35" t="s">
        <v>654</v>
      </c>
      <c r="J2" s="35" t="s">
        <v>655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Item_Name_2000</v>
      </c>
      <c r="C3">
        <v>7000</v>
      </c>
      <c r="D3" s="17" t="s">
        <v>125</v>
      </c>
      <c r="E3" s="17">
        <v>1</v>
      </c>
      <c r="F3" s="12" t="s">
        <v>455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>
      <c r="B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Item_Name_2001</v>
      </c>
      <c r="C4" s="43">
        <v>7001</v>
      </c>
      <c r="D4" s="54" t="s">
        <v>219</v>
      </c>
      <c r="E4" s="54">
        <v>0.5</v>
      </c>
      <c r="F4" s="43" t="s">
        <v>548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58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Item_Name_2002</v>
      </c>
      <c r="C5" s="43">
        <v>7002</v>
      </c>
      <c r="D5" s="43" t="s">
        <v>382</v>
      </c>
      <c r="E5" s="54">
        <v>0.5</v>
      </c>
      <c r="F5" s="43" t="s">
        <v>247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58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>
      <c r="B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Item_Name_2003</v>
      </c>
      <c r="C6" s="43">
        <v>7003</v>
      </c>
      <c r="D6" s="54" t="s">
        <v>421</v>
      </c>
      <c r="E6" s="43">
        <v>0.2</v>
      </c>
      <c r="F6" s="43" t="s">
        <v>375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58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>
      <c r="B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Item_Name_2004</v>
      </c>
      <c r="C7" s="43">
        <v>7004</v>
      </c>
      <c r="D7" s="54" t="s">
        <v>148</v>
      </c>
      <c r="E7" s="43">
        <v>0.7</v>
      </c>
      <c r="F7" s="43" t="s">
        <v>247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58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>
      <c r="B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Item_Name_2005</v>
      </c>
      <c r="C8" s="43">
        <v>7005</v>
      </c>
      <c r="D8" s="54" t="s">
        <v>37</v>
      </c>
      <c r="E8" s="43">
        <v>25</v>
      </c>
      <c r="F8" s="43" t="s">
        <v>375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58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>
      <c r="B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Item_Name_3000</v>
      </c>
      <c r="C9" s="43">
        <v>8000</v>
      </c>
      <c r="D9" s="54" t="s">
        <v>220</v>
      </c>
      <c r="E9" s="43">
        <v>0.4</v>
      </c>
      <c r="F9" s="43" t="s">
        <v>375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2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>
      <c r="B10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Item_Name_3001</v>
      </c>
      <c r="C10" s="43">
        <v>8001</v>
      </c>
      <c r="D10" s="54" t="s">
        <v>220</v>
      </c>
      <c r="E10" s="43" t="s">
        <v>443</v>
      </c>
      <c r="F10" s="43" t="s">
        <v>375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58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Item_Name_3003</v>
      </c>
      <c r="C11" s="43">
        <v>8003</v>
      </c>
      <c r="D11" s="43" t="s">
        <v>185</v>
      </c>
      <c r="E11" s="43">
        <v>0.5</v>
      </c>
      <c r="F11" s="43" t="s">
        <v>375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58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>
      <c r="B12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Item_Name_3004</v>
      </c>
      <c r="C12" s="43">
        <v>8004</v>
      </c>
      <c r="D12" s="54" t="s">
        <v>450</v>
      </c>
      <c r="E12" s="43">
        <v>3</v>
      </c>
      <c r="F12" s="43" t="s">
        <v>375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58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>
      <c r="B13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Item_Name_3005</v>
      </c>
      <c r="C13" s="43">
        <v>8005</v>
      </c>
      <c r="D13" s="54" t="s">
        <v>460</v>
      </c>
      <c r="E13" s="43">
        <v>50</v>
      </c>
      <c r="F13" s="43" t="s">
        <v>375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58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>
      <c r="B14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4" s="43">
        <v>9000</v>
      </c>
      <c r="D14" s="54" t="s">
        <v>148</v>
      </c>
      <c r="E14" s="43">
        <v>1.2</v>
      </c>
      <c r="F14" s="43" t="s">
        <v>247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58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>
      <c r="B15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Item_Name_4000</v>
      </c>
      <c r="C15" s="43">
        <v>9000</v>
      </c>
      <c r="D15" s="54" t="s">
        <v>239</v>
      </c>
      <c r="E15" s="43">
        <v>0</v>
      </c>
      <c r="F15" s="43" t="s">
        <v>247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58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>
      <c r="B16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6" s="43">
        <v>9001</v>
      </c>
      <c r="D16" s="54" t="s">
        <v>425</v>
      </c>
      <c r="E16" s="43">
        <v>0.85</v>
      </c>
      <c r="F16" s="43" t="s">
        <v>247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58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>
      <c r="B17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Item_Name_4001</v>
      </c>
      <c r="C17" s="43">
        <v>9101</v>
      </c>
      <c r="D17" s="54" t="s">
        <v>425</v>
      </c>
      <c r="E17" s="43">
        <v>1.3</v>
      </c>
      <c r="F17" s="43" t="s">
        <v>247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58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Item_Name_4002</v>
      </c>
      <c r="C18" s="43">
        <v>9002</v>
      </c>
      <c r="D18" s="43" t="s">
        <v>220</v>
      </c>
      <c r="E18" s="43">
        <v>1</v>
      </c>
      <c r="F18" s="43" t="s">
        <v>375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58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>
      <c r="B19" s="58" t="str">
        <f>IFERROR(INDEX(ItemEffectTable['#이름값],MATCH(ItemEffectTable23[[#This Row],[Index]],ItemEffectTable[Index],0)),INDEX(ItemEffectTable['#이름값],MATCH(ItemEffectTable23[[#This Row],[Index]],ItemEffectTable[ApplyBuffId],0)))</f>
        <v>Item_Name_4003</v>
      </c>
      <c r="C19" s="43">
        <v>9003</v>
      </c>
      <c r="D19" s="54" t="s">
        <v>421</v>
      </c>
      <c r="E19" s="43">
        <v>0.6</v>
      </c>
      <c r="F19" s="43" t="s">
        <v>375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58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Item_Name_4004</v>
      </c>
      <c r="C20" s="17">
        <v>9104</v>
      </c>
      <c r="D20" s="12" t="s">
        <v>501</v>
      </c>
      <c r="E20">
        <v>0.95</v>
      </c>
      <c r="F20" s="12" t="s">
        <v>448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Item_Name_4005</v>
      </c>
      <c r="C21" s="17">
        <v>9105</v>
      </c>
      <c r="D21" s="12" t="s">
        <v>458</v>
      </c>
      <c r="E21">
        <v>1.5</v>
      </c>
      <c r="F21" s="12" t="s">
        <v>448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2" s="17">
        <v>9106</v>
      </c>
      <c r="D22" s="9" t="s">
        <v>219</v>
      </c>
      <c r="E22">
        <v>1.75</v>
      </c>
      <c r="F22" s="12" t="s">
        <v>548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Item_Name_4006</v>
      </c>
      <c r="C23" s="17">
        <v>9106</v>
      </c>
      <c r="D23" s="9" t="s">
        <v>148</v>
      </c>
      <c r="E23">
        <v>1.2</v>
      </c>
      <c r="F23" t="s">
        <v>247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4">
        <v>10002</v>
      </c>
      <c r="D24" t="s">
        <v>0</v>
      </c>
      <c r="E24">
        <v>2</v>
      </c>
      <c r="F24" t="s">
        <v>247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5">
        <v>10002</v>
      </c>
      <c r="D25" t="s">
        <v>16</v>
      </c>
      <c r="E25">
        <v>0.8</v>
      </c>
      <c r="F25" t="s">
        <v>247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6">
        <v>10002</v>
      </c>
      <c r="D26" t="s">
        <v>157</v>
      </c>
      <c r="E26">
        <v>2</v>
      </c>
      <c r="F26" t="s">
        <v>247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7">
        <v>10002</v>
      </c>
      <c r="D27" t="s">
        <v>148</v>
      </c>
      <c r="E27">
        <v>0.5</v>
      </c>
      <c r="F27" t="s">
        <v>247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Item_Name_10002</v>
      </c>
      <c r="C28">
        <v>10002</v>
      </c>
      <c r="D28" t="s">
        <v>17</v>
      </c>
      <c r="E28">
        <v>2</v>
      </c>
      <c r="F28" t="s">
        <v>247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Item_Name_#10004</v>
      </c>
      <c r="C29">
        <v>10004</v>
      </c>
      <c r="D29" t="s">
        <v>0</v>
      </c>
      <c r="E29">
        <v>0.5</v>
      </c>
      <c r="F29" t="s">
        <v>247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Item_Name_10005</v>
      </c>
      <c r="C30">
        <v>10005</v>
      </c>
      <c r="D30" s="12" t="s">
        <v>519</v>
      </c>
      <c r="E30">
        <v>2.5</v>
      </c>
      <c r="F30" s="12" t="s">
        <v>548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75" defaultRowHeight="16.5"/>
  <cols>
    <col min="1" max="1" width="8.875" style="44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31</v>
      </c>
      <c r="D1" t="s">
        <v>77</v>
      </c>
      <c r="E1" s="17" t="s">
        <v>353</v>
      </c>
      <c r="F1" s="17"/>
      <c r="G1" s="17" t="s">
        <v>362</v>
      </c>
      <c r="H1" s="17"/>
      <c r="I1" s="17" t="s">
        <v>362</v>
      </c>
      <c r="J1" s="17"/>
      <c r="K1" s="17" t="s">
        <v>362</v>
      </c>
    </row>
    <row r="2" spans="1:12">
      <c r="B2" t="s">
        <v>46</v>
      </c>
      <c r="C2" s="37" t="s">
        <v>406</v>
      </c>
      <c r="D2" s="17" t="s">
        <v>383</v>
      </c>
      <c r="E2" s="17" t="s">
        <v>359</v>
      </c>
      <c r="F2" s="35" t="s">
        <v>396</v>
      </c>
      <c r="G2" s="31" t="s">
        <v>360</v>
      </c>
      <c r="H2" s="35" t="s">
        <v>397</v>
      </c>
      <c r="I2" s="31" t="s">
        <v>361</v>
      </c>
      <c r="J2" s="35" t="s">
        <v>398</v>
      </c>
      <c r="K2" s="31" t="s">
        <v>412</v>
      </c>
      <c r="L2" s="35" t="s">
        <v>411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Item_Name_2005</v>
      </c>
      <c r="D3" s="17" t="s">
        <v>487</v>
      </c>
      <c r="E3">
        <v>25</v>
      </c>
      <c r="F3" s="15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Item_Name_3002</v>
      </c>
      <c r="D4" s="17" t="s">
        <v>487</v>
      </c>
      <c r="E4">
        <v>25</v>
      </c>
      <c r="F4" s="15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Item_Name_3005</v>
      </c>
      <c r="D5" s="17" t="s">
        <v>487</v>
      </c>
      <c r="E5">
        <v>50</v>
      </c>
      <c r="F5" s="15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Item_Name_3006</v>
      </c>
      <c r="D6" s="17" t="s">
        <v>391</v>
      </c>
      <c r="E6">
        <v>800</v>
      </c>
      <c r="F6" s="15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Item_Name_4004</v>
      </c>
      <c r="D7" s="17" t="s">
        <v>391</v>
      </c>
      <c r="E7">
        <v>804</v>
      </c>
      <c r="F7" s="15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Item_Name_4005</v>
      </c>
      <c r="D8" s="17" t="s">
        <v>391</v>
      </c>
      <c r="E8">
        <v>805</v>
      </c>
      <c r="F8" s="15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Item_Name_4002</v>
      </c>
      <c r="D9" s="17" t="s">
        <v>378</v>
      </c>
      <c r="E9" s="9"/>
      <c r="F9" s="15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Item_Name_4003</v>
      </c>
      <c r="D10" s="17" t="s">
        <v>487</v>
      </c>
      <c r="E10" s="9">
        <v>-50</v>
      </c>
      <c r="F10" s="15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6"/>
      <c r="J10" s="20"/>
      <c r="L10" s="20"/>
    </row>
    <row r="11" spans="1:12" s="49" customFormat="1">
      <c r="A11" s="48"/>
      <c r="B11" s="49">
        <v>9006</v>
      </c>
      <c r="C11" s="50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Item_Name_4006</v>
      </c>
      <c r="D11" s="51" t="s">
        <v>521</v>
      </c>
      <c r="E11" s="52">
        <v>-1</v>
      </c>
      <c r="F11" s="15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3"/>
      <c r="J11" s="50"/>
      <c r="L11" s="5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Item_Name_10000</v>
      </c>
      <c r="D12" s="17" t="s">
        <v>363</v>
      </c>
      <c r="E12" s="9">
        <v>8</v>
      </c>
      <c r="F12" s="15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Item_Name_10001</v>
      </c>
      <c r="D13" s="17" t="s">
        <v>384</v>
      </c>
      <c r="E13">
        <v>6</v>
      </c>
      <c r="F13" s="15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Item_Name_10002</v>
      </c>
      <c r="D14" s="17" t="s">
        <v>379</v>
      </c>
      <c r="E14">
        <v>0.5</v>
      </c>
      <c r="F14" s="15" t="s">
        <v>399</v>
      </c>
      <c r="G14">
        <v>3</v>
      </c>
      <c r="H14" s="15" t="s">
        <v>505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Item_Name_10003</v>
      </c>
      <c r="D15" s="17" t="s">
        <v>389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5"/>
      <c r="B16" s="21" t="s">
        <v>516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510</v>
      </c>
      <c r="E16" s="21">
        <v>70</v>
      </c>
      <c r="F16" s="23" t="s">
        <v>511</v>
      </c>
      <c r="G16" s="21">
        <v>5</v>
      </c>
      <c r="H16" s="23" t="s">
        <v>512</v>
      </c>
      <c r="I16" s="21">
        <v>18</v>
      </c>
      <c r="J16" s="23" t="s">
        <v>513</v>
      </c>
      <c r="K16" s="21"/>
      <c r="L16" s="23"/>
    </row>
  </sheetData>
  <phoneticPr fontId="15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35</v>
      </c>
      <c r="C1" t="s">
        <v>33</v>
      </c>
      <c r="D1" t="s">
        <v>33</v>
      </c>
      <c r="E1" t="s">
        <v>48</v>
      </c>
      <c r="F1" t="s">
        <v>47</v>
      </c>
    </row>
    <row r="2" spans="2:6">
      <c r="B2" t="s">
        <v>46</v>
      </c>
      <c r="C2" s="5" t="s">
        <v>70</v>
      </c>
      <c r="D2" s="5" t="s">
        <v>71</v>
      </c>
      <c r="E2" t="s">
        <v>149</v>
      </c>
      <c r="F2" t="s">
        <v>150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223</v>
      </c>
      <c r="E3" t="s">
        <v>38</v>
      </c>
      <c r="F3" t="s">
        <v>175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72</v>
      </c>
      <c r="E4" t="s">
        <v>200</v>
      </c>
      <c r="F4" t="s">
        <v>260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223</v>
      </c>
      <c r="E5" t="s">
        <v>38</v>
      </c>
      <c r="F5" t="s">
        <v>259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199</v>
      </c>
      <c r="E6" t="s">
        <v>133</v>
      </c>
      <c r="F6" t="s">
        <v>123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224</v>
      </c>
      <c r="E7" t="s">
        <v>207</v>
      </c>
      <c r="F7" t="s">
        <v>262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223</v>
      </c>
      <c r="E8" t="s">
        <v>38</v>
      </c>
      <c r="F8" t="s">
        <v>261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224</v>
      </c>
      <c r="E9" t="s">
        <v>207</v>
      </c>
      <c r="F9" t="s">
        <v>180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99"/>
  <sheetViews>
    <sheetView tabSelected="1" topLeftCell="A52" zoomScaleNormal="100" zoomScaleSheetLayoutView="100" workbookViewId="0">
      <selection activeCell="D63" sqref="D63"/>
    </sheetView>
  </sheetViews>
  <sheetFormatPr defaultColWidth="8.875" defaultRowHeight="16.5"/>
  <cols>
    <col min="1" max="1" width="7.5" customWidth="1"/>
    <col min="2" max="2" width="32.75" customWidth="1"/>
    <col min="3" max="3" width="65" style="9" customWidth="1"/>
    <col min="4" max="4" width="62.25" customWidth="1"/>
    <col min="5" max="5" width="13.75" customWidth="1"/>
    <col min="6" max="8" width="12.375" bestFit="1" customWidth="1"/>
    <col min="9" max="9" width="34.25" customWidth="1"/>
  </cols>
  <sheetData>
    <row r="1" spans="2:9">
      <c r="B1" t="s">
        <v>35</v>
      </c>
      <c r="C1" s="9" t="s">
        <v>47</v>
      </c>
      <c r="D1" t="s">
        <v>47</v>
      </c>
      <c r="E1" t="s">
        <v>275</v>
      </c>
      <c r="F1" t="s">
        <v>275</v>
      </c>
      <c r="G1" t="s">
        <v>275</v>
      </c>
      <c r="H1" t="s">
        <v>275</v>
      </c>
      <c r="I1" t="s">
        <v>275</v>
      </c>
    </row>
    <row r="2" spans="2:9">
      <c r="B2" s="12" t="s">
        <v>674</v>
      </c>
      <c r="C2" s="9" t="s">
        <v>190</v>
      </c>
      <c r="D2" t="s">
        <v>189</v>
      </c>
      <c r="E2" s="37" t="s">
        <v>588</v>
      </c>
      <c r="F2" s="37" t="s">
        <v>589</v>
      </c>
      <c r="G2" s="37" t="s">
        <v>590</v>
      </c>
      <c r="H2" s="37" t="s">
        <v>591</v>
      </c>
      <c r="I2" s="37" t="s">
        <v>634</v>
      </c>
    </row>
    <row r="3" spans="2:9">
      <c r="B3" t="str">
        <f>LocaleTable[[#This Row],['#인덱스제너레이터]]</f>
        <v>UI_Title_Button_Start</v>
      </c>
      <c r="C3" s="54" t="s">
        <v>622</v>
      </c>
      <c r="D3" s="43" t="s">
        <v>615</v>
      </c>
      <c r="E3" s="15" t="s">
        <v>593</v>
      </c>
      <c r="F3" s="15" t="s">
        <v>627</v>
      </c>
      <c r="G3" s="15" t="s">
        <v>619</v>
      </c>
      <c r="H3" s="15" t="s">
        <v>616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4" t="s">
        <v>623</v>
      </c>
      <c r="D4" s="43" t="s">
        <v>617</v>
      </c>
      <c r="E4" s="15" t="s">
        <v>593</v>
      </c>
      <c r="F4" s="15" t="s">
        <v>627</v>
      </c>
      <c r="G4" s="15" t="s">
        <v>619</v>
      </c>
      <c r="H4" s="15" t="s">
        <v>618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UI_Title_Button_Ranking</v>
      </c>
      <c r="C5" s="54" t="s">
        <v>633</v>
      </c>
      <c r="D5" s="43" t="s">
        <v>631</v>
      </c>
      <c r="E5" s="15" t="s">
        <v>593</v>
      </c>
      <c r="F5" s="15" t="s">
        <v>627</v>
      </c>
      <c r="G5" s="15" t="s">
        <v>619</v>
      </c>
      <c r="H5" s="15" t="s">
        <v>632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>
      <c r="B6" t="str">
        <f>LocaleTable[[#This Row],['#인덱스제너레이터]]</f>
        <v>UI_Title_Button_Exit</v>
      </c>
      <c r="C6" s="54" t="s">
        <v>624</v>
      </c>
      <c r="D6" s="43" t="s">
        <v>620</v>
      </c>
      <c r="E6" s="15" t="s">
        <v>593</v>
      </c>
      <c r="F6" s="15" t="s">
        <v>627</v>
      </c>
      <c r="G6" s="57" t="s">
        <v>619</v>
      </c>
      <c r="H6" s="15" t="s">
        <v>621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>
      <c r="B7" t="str">
        <f>LocaleTable[[#This Row],['#인덱스제너레이터]]</f>
        <v>UI_Tap_Subtitle_ItemInfo</v>
      </c>
      <c r="C7" s="54" t="s">
        <v>628</v>
      </c>
      <c r="D7" s="43" t="s">
        <v>629</v>
      </c>
      <c r="E7" s="15" t="s">
        <v>593</v>
      </c>
      <c r="F7" s="15" t="s">
        <v>625</v>
      </c>
      <c r="G7" s="15" t="s">
        <v>626</v>
      </c>
      <c r="H7" s="15" t="s">
        <v>630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>
      <c r="B8" t="str">
        <f>LocaleTable[[#This Row],['#인덱스제너레이터]]</f>
        <v>UI_Tap_Subtitle_Map</v>
      </c>
      <c r="C8" s="54" t="s">
        <v>608</v>
      </c>
      <c r="D8" s="43" t="s">
        <v>594</v>
      </c>
      <c r="E8" s="15" t="s">
        <v>593</v>
      </c>
      <c r="F8" s="15" t="s">
        <v>625</v>
      </c>
      <c r="G8" s="15" t="s">
        <v>626</v>
      </c>
      <c r="H8" s="15" t="s">
        <v>595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>
      <c r="B9" t="str">
        <f>LocaleTable[[#This Row],['#인덱스제너레이터]]</f>
        <v>UI_Tap_Stat_AtkDmg</v>
      </c>
      <c r="C9" s="54" t="s">
        <v>609</v>
      </c>
      <c r="D9" s="43" t="s">
        <v>597</v>
      </c>
      <c r="E9" s="20" t="s">
        <v>593</v>
      </c>
      <c r="F9" s="15" t="s">
        <v>625</v>
      </c>
      <c r="G9" s="20" t="s">
        <v>596</v>
      </c>
      <c r="H9" s="15" t="s">
        <v>598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>
      <c r="B10" t="str">
        <f>LocaleTable[[#This Row],['#인덱스제너레이터]]</f>
        <v>UI_Tap_Stat_AtkSpd</v>
      </c>
      <c r="C10" s="54" t="s">
        <v>610</v>
      </c>
      <c r="D10" s="43" t="s">
        <v>604</v>
      </c>
      <c r="E10" s="20" t="s">
        <v>593</v>
      </c>
      <c r="F10" s="15" t="s">
        <v>625</v>
      </c>
      <c r="G10" s="20" t="s">
        <v>596</v>
      </c>
      <c r="H10" s="15" t="s">
        <v>605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>
      <c r="B11" t="str">
        <f>LocaleTable[[#This Row],['#인덱스제너레이터]]</f>
        <v>UI_Tap_Stat_AtkLength</v>
      </c>
      <c r="C11" s="54" t="s">
        <v>611</v>
      </c>
      <c r="D11" s="43" t="s">
        <v>601</v>
      </c>
      <c r="E11" s="15" t="s">
        <v>593</v>
      </c>
      <c r="F11" s="15" t="s">
        <v>625</v>
      </c>
      <c r="G11" s="15" t="s">
        <v>596</v>
      </c>
      <c r="H11" s="15" t="s">
        <v>602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>
      <c r="B12" t="str">
        <f>LocaleTable[[#This Row],['#인덱스제너레이터]]</f>
        <v>UI_Tap_Stat_ChargeSpd</v>
      </c>
      <c r="C12" s="54" t="s">
        <v>613</v>
      </c>
      <c r="D12" s="43" t="s">
        <v>599</v>
      </c>
      <c r="E12" s="15" t="s">
        <v>593</v>
      </c>
      <c r="F12" s="15" t="s">
        <v>625</v>
      </c>
      <c r="G12" s="15" t="s">
        <v>596</v>
      </c>
      <c r="H12" s="15" t="s">
        <v>600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>
      <c r="B13" t="str">
        <f>LocaleTable[[#This Row],['#인덱스제너레이터]]</f>
        <v>UI_Tap_Stat_MoveSpd</v>
      </c>
      <c r="C13" s="54" t="s">
        <v>612</v>
      </c>
      <c r="D13" s="43" t="s">
        <v>606</v>
      </c>
      <c r="E13" s="15" t="s">
        <v>593</v>
      </c>
      <c r="F13" s="15" t="s">
        <v>625</v>
      </c>
      <c r="G13" s="15" t="s">
        <v>596</v>
      </c>
      <c r="H13" s="15" t="s">
        <v>607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>
      <c r="B14" t="str">
        <f>LocaleTable[[#This Row],['#인덱스제너레이터]]</f>
        <v>UI_Tap_Stat_GoldGain</v>
      </c>
      <c r="C14" s="54" t="s">
        <v>614</v>
      </c>
      <c r="D14" s="43" t="s">
        <v>185</v>
      </c>
      <c r="E14" s="15" t="s">
        <v>593</v>
      </c>
      <c r="F14" s="15" t="s">
        <v>625</v>
      </c>
      <c r="G14" s="15" t="s">
        <v>596</v>
      </c>
      <c r="H14" s="15" t="s">
        <v>603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>
      <c r="B15" t="str">
        <f>LocaleTable[[#This Row],['#인덱스제너레이터]]</f>
        <v>Item_Name_2000</v>
      </c>
      <c r="C15" s="54" t="s">
        <v>240</v>
      </c>
      <c r="D15" s="43" t="s">
        <v>557</v>
      </c>
      <c r="E15" s="15" t="s">
        <v>587</v>
      </c>
      <c r="F15" s="15" t="s">
        <v>366</v>
      </c>
      <c r="G15" s="20">
        <v>2000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6" spans="2:9">
      <c r="B16" t="str">
        <f>LocaleTable[[#This Row],['#인덱스제너레이터]]</f>
        <v>Item_Name_2001</v>
      </c>
      <c r="C16" s="54" t="s">
        <v>109</v>
      </c>
      <c r="D16" s="43" t="s">
        <v>635</v>
      </c>
      <c r="E16" s="15" t="s">
        <v>587</v>
      </c>
      <c r="F16" s="15" t="s">
        <v>366</v>
      </c>
      <c r="G16" s="20">
        <v>2001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7" spans="2:9">
      <c r="B17" t="str">
        <f>LocaleTable[[#This Row],['#인덱스제너레이터]]</f>
        <v>Item_Name_2002</v>
      </c>
      <c r="C17" s="54" t="s">
        <v>112</v>
      </c>
      <c r="D17" s="43" t="s">
        <v>559</v>
      </c>
      <c r="E17" s="15" t="s">
        <v>587</v>
      </c>
      <c r="F17" s="15" t="s">
        <v>366</v>
      </c>
      <c r="G17" s="20">
        <v>2002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8" spans="2:9">
      <c r="B18" t="str">
        <f>LocaleTable[[#This Row],['#인덱스제너레이터]]</f>
        <v>Item_Name_2003</v>
      </c>
      <c r="C18" s="54" t="s">
        <v>111</v>
      </c>
      <c r="D18" s="43" t="s">
        <v>636</v>
      </c>
      <c r="E18" s="15" t="s">
        <v>587</v>
      </c>
      <c r="F18" s="15" t="s">
        <v>366</v>
      </c>
      <c r="G18" s="20">
        <v>2003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9" spans="2:9">
      <c r="B19" t="str">
        <f>LocaleTable[[#This Row],['#인덱스제너레이터]]</f>
        <v>Item_Name_2004</v>
      </c>
      <c r="C19" s="54" t="s">
        <v>107</v>
      </c>
      <c r="D19" s="43" t="s">
        <v>572</v>
      </c>
      <c r="E19" s="15" t="s">
        <v>587</v>
      </c>
      <c r="F19" s="15" t="s">
        <v>366</v>
      </c>
      <c r="G19" s="20">
        <v>2004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20" spans="2:9">
      <c r="B20" t="str">
        <f>LocaleTable[[#This Row],['#인덱스제너레이터]]</f>
        <v>Item_Name_2005</v>
      </c>
      <c r="C20" s="54" t="s">
        <v>113</v>
      </c>
      <c r="D20" s="43" t="s">
        <v>647</v>
      </c>
      <c r="E20" s="15" t="s">
        <v>587</v>
      </c>
      <c r="F20" s="15" t="s">
        <v>366</v>
      </c>
      <c r="G20" s="20">
        <v>2005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21" spans="2:9">
      <c r="B21" t="str">
        <f>LocaleTable[[#This Row],['#인덱스제너레이터]]</f>
        <v>Item_Name_3000</v>
      </c>
      <c r="C21" s="54" t="s">
        <v>41</v>
      </c>
      <c r="D21" s="43" t="s">
        <v>561</v>
      </c>
      <c r="E21" s="15" t="s">
        <v>587</v>
      </c>
      <c r="F21" s="15" t="s">
        <v>366</v>
      </c>
      <c r="G21" s="20">
        <v>3000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22" spans="2:9">
      <c r="B22" t="str">
        <f>LocaleTable[[#This Row],['#인덱스제너레이터]]</f>
        <v>Item_Name_3001</v>
      </c>
      <c r="C22" s="54" t="s">
        <v>265</v>
      </c>
      <c r="D22" s="43" t="s">
        <v>575</v>
      </c>
      <c r="E22" s="15" t="s">
        <v>587</v>
      </c>
      <c r="F22" s="15" t="s">
        <v>366</v>
      </c>
      <c r="G22" s="20">
        <v>3001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23" spans="2:9">
      <c r="B23" t="str">
        <f>LocaleTable[[#This Row],['#인덱스제너레이터]]</f>
        <v>Item_Name_3002</v>
      </c>
      <c r="C23" s="54" t="s">
        <v>43</v>
      </c>
      <c r="D23" s="43" t="s">
        <v>577</v>
      </c>
      <c r="E23" s="15" t="s">
        <v>587</v>
      </c>
      <c r="F23" s="15" t="s">
        <v>366</v>
      </c>
      <c r="G23" s="20">
        <v>3002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24" spans="2:9">
      <c r="B24" t="str">
        <f>LocaleTable[[#This Row],['#인덱스제너레이터]]</f>
        <v>Item_Name_3003</v>
      </c>
      <c r="C24" s="54" t="s">
        <v>237</v>
      </c>
      <c r="D24" s="43" t="s">
        <v>637</v>
      </c>
      <c r="E24" s="15" t="s">
        <v>587</v>
      </c>
      <c r="F24" s="15" t="s">
        <v>366</v>
      </c>
      <c r="G24" s="20">
        <v>3003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25" spans="2:9">
      <c r="B25" t="str">
        <f>LocaleTable[[#This Row],['#인덱스제너레이터]]</f>
        <v>Item_Name_3004</v>
      </c>
      <c r="C25" s="54" t="s">
        <v>249</v>
      </c>
      <c r="D25" s="43" t="s">
        <v>638</v>
      </c>
      <c r="E25" s="15" t="s">
        <v>587</v>
      </c>
      <c r="F25" s="15" t="s">
        <v>366</v>
      </c>
      <c r="G25" s="20">
        <v>3004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26" spans="2:9">
      <c r="B26" t="str">
        <f>LocaleTable[[#This Row],['#인덱스제너레이터]]</f>
        <v>Item_Name_3005</v>
      </c>
      <c r="C26" s="54" t="s">
        <v>115</v>
      </c>
      <c r="D26" s="43" t="s">
        <v>639</v>
      </c>
      <c r="E26" s="15" t="s">
        <v>587</v>
      </c>
      <c r="F26" s="15" t="s">
        <v>366</v>
      </c>
      <c r="G26" s="20">
        <v>3005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27" spans="2:9">
      <c r="B27" t="str">
        <f>LocaleTable[[#This Row],['#인덱스제너레이터]]</f>
        <v>Item_Name_3006</v>
      </c>
      <c r="C27" s="55" t="s">
        <v>404</v>
      </c>
      <c r="D27" s="43" t="s">
        <v>640</v>
      </c>
      <c r="E27" s="15" t="s">
        <v>587</v>
      </c>
      <c r="F27" s="15" t="s">
        <v>366</v>
      </c>
      <c r="G27" s="20">
        <v>3006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28" spans="2:9">
      <c r="B28" t="str">
        <f>LocaleTable[[#This Row],['#인덱스제너레이터]]</f>
        <v>Item_Name_4000</v>
      </c>
      <c r="C28" s="54" t="s">
        <v>110</v>
      </c>
      <c r="D28" s="43" t="s">
        <v>641</v>
      </c>
      <c r="E28" s="15" t="s">
        <v>587</v>
      </c>
      <c r="F28" s="15" t="s">
        <v>366</v>
      </c>
      <c r="G28" s="20">
        <v>4000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29" spans="2:9">
      <c r="B29" t="str">
        <f>LocaleTable[[#This Row],['#인덱스제너레이터]]</f>
        <v>Item_Name_4001</v>
      </c>
      <c r="C29" s="54" t="s">
        <v>106</v>
      </c>
      <c r="D29" s="43" t="s">
        <v>564</v>
      </c>
      <c r="E29" s="15" t="s">
        <v>587</v>
      </c>
      <c r="F29" s="15" t="s">
        <v>366</v>
      </c>
      <c r="G29" s="20">
        <v>4001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30" spans="2:9">
      <c r="B30" t="str">
        <f>LocaleTable[[#This Row],['#인덱스제너레이터]]</f>
        <v>Item_Name_4002</v>
      </c>
      <c r="C30" s="54" t="s">
        <v>246</v>
      </c>
      <c r="D30" s="43" t="s">
        <v>673</v>
      </c>
      <c r="E30" s="15" t="s">
        <v>587</v>
      </c>
      <c r="F30" s="15" t="s">
        <v>366</v>
      </c>
      <c r="G30" s="20">
        <v>4002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31" spans="2:9">
      <c r="B31" t="str">
        <f>LocaleTable[[#This Row],['#인덱스제너레이터]]</f>
        <v>Item_Name_4003</v>
      </c>
      <c r="C31" s="54" t="s">
        <v>238</v>
      </c>
      <c r="D31" s="43" t="s">
        <v>648</v>
      </c>
      <c r="E31" s="15" t="s">
        <v>587</v>
      </c>
      <c r="F31" s="15" t="s">
        <v>366</v>
      </c>
      <c r="G31" s="20">
        <v>4003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32" spans="2:9">
      <c r="B32" t="str">
        <f>LocaleTable[[#This Row],['#인덱스제너레이터]]</f>
        <v>Item_Name_4004</v>
      </c>
      <c r="C32" s="54" t="s">
        <v>409</v>
      </c>
      <c r="D32" s="43" t="s">
        <v>642</v>
      </c>
      <c r="E32" s="15" t="s">
        <v>587</v>
      </c>
      <c r="F32" s="15" t="s">
        <v>366</v>
      </c>
      <c r="G32" s="20">
        <v>4004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33" spans="2:9">
      <c r="B33" t="str">
        <f>LocaleTable[[#This Row],['#인덱스제너레이터]]</f>
        <v>Item_Name_4005</v>
      </c>
      <c r="C33" s="54" t="s">
        <v>498</v>
      </c>
      <c r="D33" s="43" t="s">
        <v>643</v>
      </c>
      <c r="E33" s="15" t="s">
        <v>587</v>
      </c>
      <c r="F33" s="15" t="s">
        <v>366</v>
      </c>
      <c r="G33" s="20">
        <v>4005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34" spans="2:9">
      <c r="B34" t="str">
        <f>LocaleTable[[#This Row],['#인덱스제너레이터]]</f>
        <v>Item_Name_4006</v>
      </c>
      <c r="C34" s="54" t="s">
        <v>503</v>
      </c>
      <c r="D34" s="43" t="s">
        <v>679</v>
      </c>
      <c r="E34" s="15" t="s">
        <v>587</v>
      </c>
      <c r="F34" s="15" t="s">
        <v>366</v>
      </c>
      <c r="G34" s="20">
        <v>4006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35" spans="2:9">
      <c r="B35" t="str">
        <f>LocaleTable[[#This Row],['#인덱스제너레이터]]</f>
        <v>Item_Name_10000</v>
      </c>
      <c r="C35" s="54" t="s">
        <v>400</v>
      </c>
      <c r="D35" s="43" t="s">
        <v>644</v>
      </c>
      <c r="E35" s="15" t="s">
        <v>587</v>
      </c>
      <c r="F35" s="15" t="s">
        <v>366</v>
      </c>
      <c r="G35" s="20">
        <v>10000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36" spans="2:9">
      <c r="B36" t="str">
        <f>LocaleTable[[#This Row],['#인덱스제너레이터]]</f>
        <v>Item_Name_10001</v>
      </c>
      <c r="C36" s="55" t="s">
        <v>414</v>
      </c>
      <c r="D36" s="43" t="s">
        <v>645</v>
      </c>
      <c r="E36" s="15" t="s">
        <v>587</v>
      </c>
      <c r="F36" s="15" t="s">
        <v>366</v>
      </c>
      <c r="G36" s="20">
        <v>10001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37" spans="2:9">
      <c r="B37" t="str">
        <f>LocaleTable[[#This Row],['#인덱스제너레이터]]</f>
        <v>Item_Name_10002</v>
      </c>
      <c r="C37" s="55" t="s">
        <v>554</v>
      </c>
      <c r="D37" s="43" t="s">
        <v>567</v>
      </c>
      <c r="E37" s="15" t="s">
        <v>587</v>
      </c>
      <c r="F37" s="15" t="s">
        <v>366</v>
      </c>
      <c r="G37" s="20">
        <v>10002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38" spans="2:9">
      <c r="B38" t="str">
        <f>LocaleTable[[#This Row],['#인덱스제너레이터]]</f>
        <v>Item_Name_10003</v>
      </c>
      <c r="C38" s="55" t="s">
        <v>402</v>
      </c>
      <c r="D38" s="43" t="s">
        <v>646</v>
      </c>
      <c r="E38" s="15" t="s">
        <v>587</v>
      </c>
      <c r="F38" s="15" t="s">
        <v>366</v>
      </c>
      <c r="G38" s="20">
        <v>10003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39" spans="2:9">
      <c r="B39" t="str">
        <f>LocaleTable[[#This Row],['#인덱스제너레이터]]</f>
        <v>Item_Name_10004</v>
      </c>
      <c r="C39" s="54" t="s">
        <v>507</v>
      </c>
      <c r="D39" s="43" t="s">
        <v>569</v>
      </c>
      <c r="E39" s="15" t="s">
        <v>587</v>
      </c>
      <c r="F39" s="15" t="s">
        <v>366</v>
      </c>
      <c r="G39" s="20">
        <v>10004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40" spans="2:9">
      <c r="B40" t="str">
        <f>LocaleTable[[#This Row],['#인덱스제너레이터]]</f>
        <v>Item_Name_10005</v>
      </c>
      <c r="C40" s="54" t="s">
        <v>517</v>
      </c>
      <c r="D40" s="43" t="s">
        <v>585</v>
      </c>
      <c r="E40" s="15" t="s">
        <v>587</v>
      </c>
      <c r="F40" s="15" t="s">
        <v>366</v>
      </c>
      <c r="G40" s="20">
        <v>10005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41" spans="2:9">
      <c r="B41" t="str">
        <f>LocaleTable[[#This Row],['#인덱스제너레이터]]</f>
        <v>Item_Desc_2000</v>
      </c>
      <c r="C41" s="54" t="s">
        <v>451</v>
      </c>
      <c r="D41" s="43" t="s">
        <v>657</v>
      </c>
      <c r="E41" s="15" t="s">
        <v>587</v>
      </c>
      <c r="F41" s="15" t="s">
        <v>592</v>
      </c>
      <c r="G41" s="20">
        <v>2000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42" spans="2:9">
      <c r="B42" t="str">
        <f>LocaleTable[[#This Row],['#인덱스제너레이터]]</f>
        <v>Item_Desc_2001</v>
      </c>
      <c r="C42" s="55" t="s">
        <v>272</v>
      </c>
      <c r="D42" s="43" t="s">
        <v>684</v>
      </c>
      <c r="E42" s="15" t="s">
        <v>587</v>
      </c>
      <c r="F42" s="15" t="s">
        <v>592</v>
      </c>
      <c r="G42" s="20">
        <v>2001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43" spans="2:9">
      <c r="B43" t="str">
        <f>LocaleTable[[#This Row],['#인덱스제너레이터]]</f>
        <v>Item_Desc_2002</v>
      </c>
      <c r="C43" s="55" t="s">
        <v>263</v>
      </c>
      <c r="D43" s="43" t="s">
        <v>658</v>
      </c>
      <c r="E43" s="15" t="s">
        <v>587</v>
      </c>
      <c r="F43" s="15" t="s">
        <v>592</v>
      </c>
      <c r="G43" s="20">
        <v>2002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44" spans="2:9" ht="49.5">
      <c r="B44" t="str">
        <f>LocaleTable[[#This Row],['#인덱스제너레이터]]</f>
        <v>Item_Desc_2003</v>
      </c>
      <c r="C44" s="54" t="s">
        <v>264</v>
      </c>
      <c r="D44" s="54" t="s">
        <v>659</v>
      </c>
      <c r="E44" s="15" t="s">
        <v>587</v>
      </c>
      <c r="F44" s="15" t="s">
        <v>592</v>
      </c>
      <c r="G44" s="20">
        <v>2003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45" spans="2:9">
      <c r="B45" t="str">
        <f>LocaleTable[[#This Row],['#인덱스제너레이터]]</f>
        <v>Item_Desc_2004</v>
      </c>
      <c r="C45" s="56" t="s">
        <v>416</v>
      </c>
      <c r="D45" s="43" t="s">
        <v>660</v>
      </c>
      <c r="E45" s="15" t="s">
        <v>587</v>
      </c>
      <c r="F45" s="15" t="s">
        <v>592</v>
      </c>
      <c r="G45" s="20">
        <v>2004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46" spans="2:9">
      <c r="B46" t="str">
        <f>LocaleTable[[#This Row],['#인덱스제너레이터]]</f>
        <v>Item_Desc_2005</v>
      </c>
      <c r="C46" s="54" t="s">
        <v>271</v>
      </c>
      <c r="D46" s="43" t="s">
        <v>661</v>
      </c>
      <c r="E46" s="15" t="s">
        <v>587</v>
      </c>
      <c r="F46" s="15" t="s">
        <v>592</v>
      </c>
      <c r="G46" s="20">
        <v>2005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47" spans="2:9" ht="33">
      <c r="B47" t="str">
        <f>LocaleTable[[#This Row],['#인덱스제너레이터]]</f>
        <v>Item_Desc_3000</v>
      </c>
      <c r="C47" s="56" t="s">
        <v>662</v>
      </c>
      <c r="D47" s="54" t="s">
        <v>663</v>
      </c>
      <c r="E47" s="15" t="s">
        <v>587</v>
      </c>
      <c r="F47" s="15" t="s">
        <v>592</v>
      </c>
      <c r="G47" s="20">
        <v>3000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48" spans="2:9" ht="33">
      <c r="B48" t="str">
        <f>LocaleTable[[#This Row],['#인덱스제너레이터]]</f>
        <v>Item_Desc_3001</v>
      </c>
      <c r="C48" s="55" t="s">
        <v>274</v>
      </c>
      <c r="D48" s="54" t="s">
        <v>664</v>
      </c>
      <c r="E48" s="15" t="s">
        <v>587</v>
      </c>
      <c r="F48" s="15" t="s">
        <v>592</v>
      </c>
      <c r="G48" s="20">
        <v>3001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49" spans="2:9" ht="33">
      <c r="B49" t="str">
        <f>LocaleTable[[#This Row],['#인덱스제너레이터]]</f>
        <v>Item_Desc_3002</v>
      </c>
      <c r="C49" s="55" t="s">
        <v>417</v>
      </c>
      <c r="D49" s="54" t="s">
        <v>665</v>
      </c>
      <c r="E49" s="15" t="s">
        <v>587</v>
      </c>
      <c r="F49" s="15" t="s">
        <v>592</v>
      </c>
      <c r="G49" s="20">
        <v>3002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50" spans="2:9" ht="33">
      <c r="B50" t="str">
        <f>LocaleTable[[#This Row],['#인덱스제너레이터]]</f>
        <v>Item_Desc_3003</v>
      </c>
      <c r="C50" s="55" t="s">
        <v>266</v>
      </c>
      <c r="D50" s="54" t="s">
        <v>666</v>
      </c>
      <c r="E50" s="15" t="s">
        <v>587</v>
      </c>
      <c r="F50" s="15" t="s">
        <v>592</v>
      </c>
      <c r="G50" s="20">
        <v>3003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51" spans="2:9">
      <c r="B51" t="str">
        <f>LocaleTable[[#This Row],['#인덱스제너레이터]]</f>
        <v>Item_Desc_3004</v>
      </c>
      <c r="C51" s="55" t="s">
        <v>268</v>
      </c>
      <c r="D51" s="43" t="s">
        <v>667</v>
      </c>
      <c r="E51" s="15" t="s">
        <v>587</v>
      </c>
      <c r="F51" s="15" t="s">
        <v>592</v>
      </c>
      <c r="G51" s="20">
        <v>3004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52" spans="2:9">
      <c r="B52" t="str">
        <f>LocaleTable[[#This Row],['#인덱스제너레이터]]</f>
        <v>Item_Desc_3005</v>
      </c>
      <c r="C52" s="55" t="s">
        <v>649</v>
      </c>
      <c r="D52" s="43" t="s">
        <v>668</v>
      </c>
      <c r="E52" s="15" t="s">
        <v>587</v>
      </c>
      <c r="F52" s="15" t="s">
        <v>592</v>
      </c>
      <c r="G52" s="20">
        <v>3005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53" spans="2:9">
      <c r="B53" t="str">
        <f>LocaleTable[[#This Row],['#인덱스제너레이터]]</f>
        <v>Item_Desc_3006</v>
      </c>
      <c r="C53" s="55" t="s">
        <v>405</v>
      </c>
      <c r="D53" s="43" t="s">
        <v>669</v>
      </c>
      <c r="E53" s="15" t="s">
        <v>587</v>
      </c>
      <c r="F53" s="15" t="s">
        <v>592</v>
      </c>
      <c r="G53" s="20">
        <v>3006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54" spans="2:9">
      <c r="B54" t="str">
        <f>LocaleTable[[#This Row],['#인덱스제너레이터]]</f>
        <v>Item_Desc_4000</v>
      </c>
      <c r="C54" s="54" t="s">
        <v>270</v>
      </c>
      <c r="D54" s="43" t="s">
        <v>670</v>
      </c>
      <c r="E54" s="15" t="s">
        <v>587</v>
      </c>
      <c r="F54" s="15" t="s">
        <v>592</v>
      </c>
      <c r="G54" s="20">
        <v>4000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55" spans="2:9">
      <c r="B55" t="str">
        <f>LocaleTable[[#This Row],['#인덱스제너레이터]]</f>
        <v>Item_Desc_4001</v>
      </c>
      <c r="C55" s="54" t="s">
        <v>420</v>
      </c>
      <c r="D55" s="43" t="s">
        <v>671</v>
      </c>
      <c r="E55" s="15" t="s">
        <v>587</v>
      </c>
      <c r="F55" s="15" t="s">
        <v>592</v>
      </c>
      <c r="G55" s="20">
        <v>4001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56" spans="2:9" ht="33">
      <c r="B56" t="str">
        <f>LocaleTable[[#This Row],['#인덱스제너레이터]]</f>
        <v>Item_Desc_4002</v>
      </c>
      <c r="C56" s="55" t="s">
        <v>269</v>
      </c>
      <c r="D56" s="54" t="s">
        <v>675</v>
      </c>
      <c r="E56" s="15" t="s">
        <v>587</v>
      </c>
      <c r="F56" s="15" t="s">
        <v>592</v>
      </c>
      <c r="G56" s="20">
        <v>4002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57" spans="2:9" ht="33">
      <c r="B57" t="str">
        <f>LocaleTable[[#This Row],['#인덱스제너레이터]]</f>
        <v>Item_Desc_4003</v>
      </c>
      <c r="C57" s="54" t="s">
        <v>267</v>
      </c>
      <c r="D57" s="43" t="s">
        <v>677</v>
      </c>
      <c r="E57" s="15" t="s">
        <v>587</v>
      </c>
      <c r="F57" s="15" t="s">
        <v>592</v>
      </c>
      <c r="G57" s="20">
        <v>4003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58" spans="2:9" ht="33">
      <c r="B58" t="str">
        <f>LocaleTable[[#This Row],['#인덱스제너레이터]]</f>
        <v>Item_Desc_4004</v>
      </c>
      <c r="C58" s="54" t="s">
        <v>273</v>
      </c>
      <c r="D58" s="43" t="s">
        <v>676</v>
      </c>
      <c r="E58" s="15" t="s">
        <v>587</v>
      </c>
      <c r="F58" s="15" t="s">
        <v>592</v>
      </c>
      <c r="G58" s="20">
        <v>4004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59" spans="2:9" ht="33">
      <c r="B59" t="str">
        <f>LocaleTable[[#This Row],['#인덱스제너레이터]]</f>
        <v>Item_Desc_4005</v>
      </c>
      <c r="C59" s="54" t="s">
        <v>499</v>
      </c>
      <c r="D59" s="54" t="s">
        <v>678</v>
      </c>
      <c r="E59" s="15" t="s">
        <v>587</v>
      </c>
      <c r="F59" s="15" t="s">
        <v>592</v>
      </c>
      <c r="G59" s="20">
        <v>4005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60" spans="2:9" ht="33">
      <c r="B60" t="str">
        <f>LocaleTable[[#This Row],['#인덱스제너레이터]]</f>
        <v>Item_Desc_4006</v>
      </c>
      <c r="C60" s="54" t="s">
        <v>504</v>
      </c>
      <c r="D60" s="43" t="s">
        <v>680</v>
      </c>
      <c r="E60" s="15" t="s">
        <v>587</v>
      </c>
      <c r="F60" s="15" t="s">
        <v>592</v>
      </c>
      <c r="G60" s="20">
        <v>4006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61" spans="2:9">
      <c r="B61" t="str">
        <f>LocaleTable[[#This Row],['#인덱스제너레이터]]</f>
        <v>Item_Desc_10000</v>
      </c>
      <c r="C61" s="54" t="s">
        <v>428</v>
      </c>
      <c r="D61" s="43" t="s">
        <v>681</v>
      </c>
      <c r="E61" s="15" t="s">
        <v>587</v>
      </c>
      <c r="F61" s="15" t="s">
        <v>592</v>
      </c>
      <c r="G61" s="20">
        <v>10000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62" spans="2:9">
      <c r="B62" t="str">
        <f>LocaleTable[[#This Row],['#인덱스제너레이터]]</f>
        <v>Item_Desc_10001</v>
      </c>
      <c r="C62" s="55" t="s">
        <v>418</v>
      </c>
      <c r="D62" s="43" t="s">
        <v>682</v>
      </c>
      <c r="E62" s="15" t="s">
        <v>587</v>
      </c>
      <c r="F62" s="15" t="s">
        <v>592</v>
      </c>
      <c r="G62" s="20">
        <v>10001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63" spans="2:9" ht="33">
      <c r="B63" t="str">
        <f>LocaleTable[[#This Row],['#인덱스제너레이터]]</f>
        <v>Item_Desc_10002</v>
      </c>
      <c r="C63" s="55" t="s">
        <v>555</v>
      </c>
      <c r="D63" s="56" t="s">
        <v>721</v>
      </c>
      <c r="E63" s="15" t="s">
        <v>587</v>
      </c>
      <c r="F63" s="15" t="s">
        <v>592</v>
      </c>
      <c r="G63" s="20">
        <v>10002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64" spans="2:9">
      <c r="B64" t="str">
        <f>LocaleTable[[#This Row],['#인덱스제너레이터]]</f>
        <v>Item_Desc_10003</v>
      </c>
      <c r="C64" s="55" t="s">
        <v>415</v>
      </c>
      <c r="D64" s="43" t="s">
        <v>717</v>
      </c>
      <c r="E64" s="15" t="s">
        <v>587</v>
      </c>
      <c r="F64" s="15" t="s">
        <v>592</v>
      </c>
      <c r="G64" s="20">
        <v>10003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65" spans="2:9">
      <c r="B65" t="str">
        <f>LocaleTable[[#This Row],['#인덱스제너레이터]]</f>
        <v>Item_Desc_10004</v>
      </c>
      <c r="C65" s="54" t="s">
        <v>508</v>
      </c>
      <c r="D65" s="43" t="s">
        <v>718</v>
      </c>
      <c r="E65" s="15" t="s">
        <v>587</v>
      </c>
      <c r="F65" s="15" t="s">
        <v>592</v>
      </c>
      <c r="G65" s="20">
        <v>10004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66" spans="2:9">
      <c r="B66" t="str">
        <f>LocaleTable[[#This Row],['#인덱스제너레이터]]</f>
        <v>Item_Desc_10005</v>
      </c>
      <c r="C66" s="54" t="s">
        <v>518</v>
      </c>
      <c r="D66" s="43" t="s">
        <v>719</v>
      </c>
      <c r="E66" s="15" t="s">
        <v>587</v>
      </c>
      <c r="F66" s="15" t="s">
        <v>592</v>
      </c>
      <c r="G66" s="20">
        <v>10005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67" spans="2:9">
      <c r="B67" t="str">
        <f>LocaleTable[[#This Row],['#인덱스제너레이터]]</f>
        <v>Item_PlusDesc_2000</v>
      </c>
      <c r="C67" s="55" t="s">
        <v>456</v>
      </c>
      <c r="D67" s="43" t="s">
        <v>720</v>
      </c>
      <c r="E67" s="15" t="s">
        <v>587</v>
      </c>
      <c r="F67" s="15" t="s">
        <v>393</v>
      </c>
      <c r="G67" s="20">
        <v>2000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68" spans="2:9">
      <c r="B68" t="str">
        <f>LocaleTable[[#This Row],['#인덱스제너레이터]]</f>
        <v>Item_PlusDesc_2001</v>
      </c>
      <c r="C68" s="54" t="s">
        <v>252</v>
      </c>
      <c r="D68" s="43" t="s">
        <v>685</v>
      </c>
      <c r="E68" s="15" t="s">
        <v>587</v>
      </c>
      <c r="F68" s="15" t="s">
        <v>393</v>
      </c>
      <c r="G68" s="20">
        <v>2001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69" spans="2:9">
      <c r="B69" t="str">
        <f>LocaleTable[[#This Row],['#인덱스제너레이터]]</f>
        <v>Item_PlusDesc_2002</v>
      </c>
      <c r="C69" s="54" t="s">
        <v>248</v>
      </c>
      <c r="D69" s="43" t="s">
        <v>686</v>
      </c>
      <c r="E69" s="15" t="s">
        <v>587</v>
      </c>
      <c r="F69" s="15" t="s">
        <v>393</v>
      </c>
      <c r="G69" s="20">
        <v>2002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70" spans="2:9">
      <c r="B70" t="str">
        <f>LocaleTable[[#This Row],['#인덱스제너레이터]]</f>
        <v>Item_PlusDesc_2003</v>
      </c>
      <c r="C70" s="54" t="s">
        <v>452</v>
      </c>
      <c r="D70" s="43" t="s">
        <v>687</v>
      </c>
      <c r="E70" s="15" t="s">
        <v>587</v>
      </c>
      <c r="F70" s="15" t="s">
        <v>393</v>
      </c>
      <c r="G70" s="20">
        <v>2003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71" spans="2:9">
      <c r="B71" t="str">
        <f>LocaleTable[[#This Row],['#인덱스제너레이터]]</f>
        <v>Item_PlusDesc_2004</v>
      </c>
      <c r="C71" s="54" t="s">
        <v>395</v>
      </c>
      <c r="D71" s="43" t="s">
        <v>688</v>
      </c>
      <c r="E71" s="15" t="s">
        <v>587</v>
      </c>
      <c r="F71" s="15" t="s">
        <v>393</v>
      </c>
      <c r="G71" s="20">
        <v>2004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72" spans="2:9">
      <c r="B72" t="str">
        <f>LocaleTable[[#This Row],['#인덱스제너레이터]]</f>
        <v>Item_PlusDesc_2005</v>
      </c>
      <c r="C72" s="54" t="s">
        <v>490</v>
      </c>
      <c r="D72" s="43" t="s">
        <v>689</v>
      </c>
      <c r="E72" s="15" t="s">
        <v>587</v>
      </c>
      <c r="F72" s="15" t="s">
        <v>393</v>
      </c>
      <c r="G72" s="20">
        <v>2005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73" spans="2:9">
      <c r="B73" t="str">
        <f>LocaleTable[[#This Row],['#인덱스제너레이터]]</f>
        <v>Item_PlusDesc_3000</v>
      </c>
      <c r="C73" s="56" t="s">
        <v>494</v>
      </c>
      <c r="D73" s="43" t="s">
        <v>690</v>
      </c>
      <c r="E73" s="15" t="s">
        <v>587</v>
      </c>
      <c r="F73" s="15" t="s">
        <v>393</v>
      </c>
      <c r="G73" s="20">
        <v>3000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74" spans="2:9">
      <c r="B74" t="str">
        <f>LocaleTable[[#This Row],['#인덱스제너레이터]]</f>
        <v>Item_PlusDesc_3001</v>
      </c>
      <c r="C74" s="54" t="s">
        <v>444</v>
      </c>
      <c r="D74" s="43" t="s">
        <v>691</v>
      </c>
      <c r="E74" s="15" t="s">
        <v>587</v>
      </c>
      <c r="F74" s="15" t="s">
        <v>393</v>
      </c>
      <c r="G74" s="20">
        <v>3001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75" spans="2:9">
      <c r="B75" t="str">
        <f>LocaleTable[[#This Row],['#인덱스제너레이터]]</f>
        <v>Item_PlusDesc_3002</v>
      </c>
      <c r="C75" s="54" t="s">
        <v>496</v>
      </c>
      <c r="D75" s="43" t="s">
        <v>692</v>
      </c>
      <c r="E75" s="15" t="s">
        <v>587</v>
      </c>
      <c r="F75" s="15" t="s">
        <v>393</v>
      </c>
      <c r="G75" s="20">
        <v>3002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76" spans="2:9">
      <c r="B76" t="str">
        <f>LocaleTable[[#This Row],['#인덱스제너레이터]]</f>
        <v>Item_PlusDesc_3003</v>
      </c>
      <c r="C76" s="54" t="s">
        <v>413</v>
      </c>
      <c r="D76" s="43" t="s">
        <v>693</v>
      </c>
      <c r="E76" s="15" t="s">
        <v>587</v>
      </c>
      <c r="F76" s="15" t="s">
        <v>393</v>
      </c>
      <c r="G76" s="20">
        <v>3003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77" spans="2:9">
      <c r="B77" t="str">
        <f>LocaleTable[[#This Row],['#인덱스제너레이터]]</f>
        <v>Item_PlusDesc_3004</v>
      </c>
      <c r="C77" s="54" t="s">
        <v>423</v>
      </c>
      <c r="D77" s="43" t="s">
        <v>694</v>
      </c>
      <c r="E77" s="15" t="s">
        <v>587</v>
      </c>
      <c r="F77" s="15" t="s">
        <v>393</v>
      </c>
      <c r="G77" s="20">
        <v>3004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78" spans="2:9">
      <c r="B78" t="str">
        <f>LocaleTable[[#This Row],['#인덱스제너레이터]]</f>
        <v>Item_PlusDesc_3005</v>
      </c>
      <c r="C78" s="54" t="s">
        <v>491</v>
      </c>
      <c r="D78" s="43" t="s">
        <v>695</v>
      </c>
      <c r="E78" s="15" t="s">
        <v>587</v>
      </c>
      <c r="F78" s="15" t="s">
        <v>393</v>
      </c>
      <c r="G78" s="20">
        <v>3005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79" spans="2:9">
      <c r="B79" t="str">
        <f>LocaleTable[[#This Row],['#인덱스제너레이터]]</f>
        <v>Item_PlusDesc_3006</v>
      </c>
      <c r="C79" s="55" t="s">
        <v>495</v>
      </c>
      <c r="D79" s="43" t="s">
        <v>696</v>
      </c>
      <c r="E79" s="15" t="s">
        <v>587</v>
      </c>
      <c r="F79" s="15" t="s">
        <v>393</v>
      </c>
      <c r="G79" s="20">
        <v>3006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80" spans="2:9">
      <c r="B80" t="str">
        <f>LocaleTable[[#This Row],['#인덱스제너레이터]]</f>
        <v>Item_PlusDesc_4000</v>
      </c>
      <c r="C80" s="54" t="s">
        <v>462</v>
      </c>
      <c r="D80" s="43" t="s">
        <v>697</v>
      </c>
      <c r="E80" s="15" t="s">
        <v>587</v>
      </c>
      <c r="F80" s="15" t="s">
        <v>393</v>
      </c>
      <c r="G80" s="20">
        <v>4000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81" spans="2:9">
      <c r="B81" t="str">
        <f>LocaleTable[[#This Row],['#인덱스제너레이터]]</f>
        <v>Item_PlusDesc_4001</v>
      </c>
      <c r="C81" s="54" t="s">
        <v>449</v>
      </c>
      <c r="D81" s="43" t="s">
        <v>698</v>
      </c>
      <c r="E81" s="15" t="s">
        <v>587</v>
      </c>
      <c r="F81" s="15" t="s">
        <v>393</v>
      </c>
      <c r="G81" s="20">
        <v>4001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82" spans="2:9">
      <c r="B82" t="str">
        <f>LocaleTable[[#This Row],['#인덱스제너레이터]]</f>
        <v>Item_PlusDesc_4002</v>
      </c>
      <c r="C82" s="54" t="s">
        <v>340</v>
      </c>
      <c r="D82" s="43" t="s">
        <v>699</v>
      </c>
      <c r="E82" s="15" t="s">
        <v>587</v>
      </c>
      <c r="F82" s="15" t="s">
        <v>393</v>
      </c>
      <c r="G82" s="20">
        <v>4002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83" spans="2:9">
      <c r="B83" t="str">
        <f>LocaleTable[[#This Row],['#인덱스제너레이터]]</f>
        <v>Item_PlusDesc_4003</v>
      </c>
      <c r="C83" s="54" t="s">
        <v>427</v>
      </c>
      <c r="D83" s="43" t="s">
        <v>700</v>
      </c>
      <c r="E83" s="15" t="s">
        <v>587</v>
      </c>
      <c r="F83" s="15" t="s">
        <v>393</v>
      </c>
      <c r="G83" s="20">
        <v>4003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84" spans="2:9">
      <c r="B84" t="str">
        <f>LocaleTable[[#This Row],['#인덱스제너레이터]]</f>
        <v>Item_PlusDesc_4004</v>
      </c>
      <c r="C84" s="54" t="s">
        <v>500</v>
      </c>
      <c r="D84" s="43" t="s">
        <v>701</v>
      </c>
      <c r="E84" s="15" t="s">
        <v>587</v>
      </c>
      <c r="F84" s="15" t="s">
        <v>393</v>
      </c>
      <c r="G84" s="20">
        <v>4004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85" spans="2:9">
      <c r="B85" t="str">
        <f>LocaleTable[[#This Row],['#인덱스제너레이터]]</f>
        <v>Item_PlusDesc_4005</v>
      </c>
      <c r="C85" s="54" t="s">
        <v>454</v>
      </c>
      <c r="D85" s="43" t="s">
        <v>702</v>
      </c>
      <c r="E85" s="15" t="s">
        <v>587</v>
      </c>
      <c r="F85" s="15" t="s">
        <v>393</v>
      </c>
      <c r="G85" s="20">
        <v>4005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86" spans="2:9">
      <c r="B86" t="str">
        <f>LocaleTable[[#This Row],['#인덱스제너레이터]]</f>
        <v>Item_PlusDesc_4006</v>
      </c>
      <c r="C86" s="54" t="s">
        <v>552</v>
      </c>
      <c r="D86" s="43" t="s">
        <v>703</v>
      </c>
      <c r="E86" s="15" t="s">
        <v>587</v>
      </c>
      <c r="F86" s="15" t="s">
        <v>393</v>
      </c>
      <c r="G86" s="20">
        <v>4006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87" spans="2:9">
      <c r="B87" t="str">
        <f>LocaleTable[[#This Row],['#인덱스제너레이터]]</f>
        <v>Item_PlusDesc_10000</v>
      </c>
      <c r="C87" s="55" t="s">
        <v>401</v>
      </c>
      <c r="D87" s="43" t="s">
        <v>704</v>
      </c>
      <c r="E87" s="15" t="s">
        <v>587</v>
      </c>
      <c r="F87" s="15" t="s">
        <v>393</v>
      </c>
      <c r="G87" s="20">
        <v>10000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88" spans="2:9">
      <c r="B88" t="str">
        <f>LocaleTable[[#This Row],['#인덱스제너레이터]]</f>
        <v>Item_PlusDesc_10001</v>
      </c>
      <c r="C88" s="55" t="s">
        <v>551</v>
      </c>
      <c r="D88" s="43" t="s">
        <v>705</v>
      </c>
      <c r="E88" s="15" t="s">
        <v>587</v>
      </c>
      <c r="F88" s="15" t="s">
        <v>393</v>
      </c>
      <c r="G88" s="20">
        <v>10001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89" spans="2:9">
      <c r="B89" t="str">
        <f>LocaleTable[[#This Row],['#인덱스제너레이터]]</f>
        <v>Item_PlusDesc_10002</v>
      </c>
      <c r="C89" s="55" t="s">
        <v>556</v>
      </c>
      <c r="D89" s="43" t="s">
        <v>706</v>
      </c>
      <c r="E89" s="15" t="s">
        <v>587</v>
      </c>
      <c r="F89" s="15" t="s">
        <v>393</v>
      </c>
      <c r="G89" s="20">
        <v>10002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90" spans="2:9">
      <c r="B90" t="str">
        <f>LocaleTable[[#This Row],['#인덱스제너레이터]]</f>
        <v>Item_PlusDesc_10003</v>
      </c>
      <c r="C90" s="55" t="s">
        <v>549</v>
      </c>
      <c r="D90" s="43" t="s">
        <v>707</v>
      </c>
      <c r="E90" s="15" t="s">
        <v>587</v>
      </c>
      <c r="F90" s="15" t="s">
        <v>393</v>
      </c>
      <c r="G90" s="20">
        <v>10003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91" spans="2:9">
      <c r="B91" t="str">
        <f>LocaleTable[[#This Row],['#인덱스제너레이터]]</f>
        <v>Item_PlusDesc_10004</v>
      </c>
      <c r="C91" s="54" t="s">
        <v>509</v>
      </c>
      <c r="D91" s="43" t="s">
        <v>708</v>
      </c>
      <c r="E91" s="15" t="s">
        <v>587</v>
      </c>
      <c r="F91" s="15" t="s">
        <v>393</v>
      </c>
      <c r="G91" s="20">
        <v>10004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92" spans="2:9">
      <c r="B92" t="str">
        <f>LocaleTable[[#This Row],['#인덱스제너레이터]]</f>
        <v>Item_PlusDesc_10005</v>
      </c>
      <c r="C92" s="54" t="s">
        <v>550</v>
      </c>
      <c r="D92" s="43" t="s">
        <v>709</v>
      </c>
      <c r="E92" s="15" t="s">
        <v>587</v>
      </c>
      <c r="F92" s="15" t="s">
        <v>393</v>
      </c>
      <c r="G92" s="20">
        <v>10005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93" spans="2:9">
      <c r="B93" t="str">
        <f>LocaleTable[[#This Row],['#인덱스제너레이터]]</f>
        <v>Item_MinusDesc_4000</v>
      </c>
      <c r="C93" s="54" t="s">
        <v>461</v>
      </c>
      <c r="D93" s="12" t="s">
        <v>710</v>
      </c>
      <c r="E93" s="15" t="s">
        <v>587</v>
      </c>
      <c r="F93" s="15" t="s">
        <v>394</v>
      </c>
      <c r="G93" s="20">
        <v>4000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94" spans="2:9">
      <c r="B94" t="str">
        <f>LocaleTable[[#This Row],['#인덱스제너레이터]]</f>
        <v>Item_MinusDesc_4001</v>
      </c>
      <c r="C94" s="54" t="s">
        <v>419</v>
      </c>
      <c r="D94" s="12" t="s">
        <v>711</v>
      </c>
      <c r="E94" s="15" t="s">
        <v>587</v>
      </c>
      <c r="F94" s="15" t="s">
        <v>394</v>
      </c>
      <c r="G94" s="20">
        <v>4001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95" spans="2:9">
      <c r="B95" t="str">
        <f>LocaleTable[[#This Row],['#인덱스제너레이터]]</f>
        <v>Item_MinusDesc_4002</v>
      </c>
      <c r="C95" s="54" t="s">
        <v>170</v>
      </c>
      <c r="D95" s="43" t="s">
        <v>712</v>
      </c>
      <c r="E95" s="15" t="s">
        <v>587</v>
      </c>
      <c r="F95" s="15" t="s">
        <v>394</v>
      </c>
      <c r="G95" s="20">
        <v>4002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96" spans="2:9">
      <c r="B96" t="str">
        <f>LocaleTable[[#This Row],['#인덱스제너레이터]]</f>
        <v>Item_MinusDesc_4003</v>
      </c>
      <c r="C96" s="54" t="s">
        <v>426</v>
      </c>
      <c r="D96" s="43" t="s">
        <v>713</v>
      </c>
      <c r="E96" s="15" t="s">
        <v>587</v>
      </c>
      <c r="F96" s="15" t="s">
        <v>394</v>
      </c>
      <c r="G96" s="20">
        <v>4003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97" spans="2:9">
      <c r="B97" t="str">
        <f>LocaleTable[[#This Row],['#인덱스제너레이터]]</f>
        <v>Item_MinusDesc_4004</v>
      </c>
      <c r="C97" s="54" t="s">
        <v>547</v>
      </c>
      <c r="D97" s="43" t="s">
        <v>714</v>
      </c>
      <c r="E97" s="15" t="s">
        <v>587</v>
      </c>
      <c r="F97" s="15" t="s">
        <v>394</v>
      </c>
      <c r="G97" s="20">
        <v>4004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98" spans="2:9">
      <c r="B98" t="str">
        <f>LocaleTable[[#This Row],['#인덱스제너레이터]]</f>
        <v>Item_MinusDesc_4005</v>
      </c>
      <c r="C98" s="54" t="s">
        <v>502</v>
      </c>
      <c r="D98" s="43" t="s">
        <v>715</v>
      </c>
      <c r="E98" s="15" t="s">
        <v>587</v>
      </c>
      <c r="F98" s="15" t="s">
        <v>394</v>
      </c>
      <c r="G98" s="20">
        <v>4005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99" spans="2:9">
      <c r="B99" t="str">
        <f>LocaleTable[[#This Row],['#인덱스제너레이터]]</f>
        <v>Item_MinusDesc_4006</v>
      </c>
      <c r="C99" s="54" t="s">
        <v>553</v>
      </c>
      <c r="D99" s="43" t="s">
        <v>716</v>
      </c>
      <c r="E99" s="15" t="s">
        <v>587</v>
      </c>
      <c r="F99" s="15" t="s">
        <v>394</v>
      </c>
      <c r="G99" s="20">
        <v>4006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2023-10-11T16:51:15Z</dcterms:modified>
  <cp:version>1200.0100.01</cp:version>
</cp:coreProperties>
</file>