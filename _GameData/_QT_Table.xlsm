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95098576-4C20-4F12-A0EE-B908514AC922}" xr6:coauthVersionLast="47" xr6:coauthVersionMax="47" xr10:uidLastSave="{00000000-0000-0000-0000-000000000000}"/>
  <bookViews>
    <workbookView xWindow="-28920" yWindow="-195" windowWidth="29040" windowHeight="15840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0" l="1" a="1"/>
  <c r="F8" i="20" s="1"/>
  <c r="C8" i="20"/>
  <c r="N8" i="20"/>
  <c r="M8" i="20" s="1"/>
  <c r="S19" i="14"/>
  <c r="N19" i="14"/>
  <c r="Q19" i="14" s="1"/>
  <c r="M19" i="14"/>
  <c r="P19" i="14" s="1"/>
  <c r="L19" i="14"/>
  <c r="O19" i="14" s="1"/>
  <c r="R19" i="14" s="1"/>
  <c r="C19" i="14"/>
  <c r="B19" i="14"/>
  <c r="S18" i="14"/>
  <c r="N18" i="14"/>
  <c r="Q18" i="14" s="1"/>
  <c r="M18" i="14"/>
  <c r="P18" i="14" s="1"/>
  <c r="L18" i="14"/>
  <c r="O18" i="14" s="1"/>
  <c r="C18" i="14"/>
  <c r="B18" i="14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B15" i="19"/>
  <c r="C15" i="19"/>
  <c r="I15" i="19" a="1"/>
  <c r="I15" i="19" s="1"/>
  <c r="J15" i="19" s="1" a="1"/>
  <c r="J15" i="19" s="1"/>
  <c r="L15" i="19" s="1"/>
  <c r="N15" i="19"/>
  <c r="T15" i="19" a="1"/>
  <c r="T15" i="19" s="1"/>
  <c r="B14" i="19"/>
  <c r="C14" i="19"/>
  <c r="I14" i="19" a="1"/>
  <c r="I14" i="19" s="1"/>
  <c r="J14" i="19" s="1" a="1"/>
  <c r="J14" i="19" s="1"/>
  <c r="L14" i="19" s="1"/>
  <c r="N14" i="19"/>
  <c r="T14" i="19" a="1"/>
  <c r="T14" i="19" s="1"/>
  <c r="B16" i="14"/>
  <c r="C7" i="20" s="1"/>
  <c r="C16" i="14"/>
  <c r="L16" i="14"/>
  <c r="O16" i="14" s="1"/>
  <c r="M16" i="14"/>
  <c r="P16" i="14" s="1"/>
  <c r="N16" i="14"/>
  <c r="Q16" i="14" s="1"/>
  <c r="S16" i="14"/>
  <c r="J21" i="13" a="1"/>
  <c r="J21" i="13" s="1"/>
  <c r="L21" i="13" a="1"/>
  <c r="L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B21" i="13" a="1"/>
  <c r="B21" i="13" s="1"/>
  <c r="O21" i="13"/>
  <c r="C32" i="19"/>
  <c r="I32" i="19" a="1"/>
  <c r="I32" i="19" s="1"/>
  <c r="J32" i="19" s="1" a="1"/>
  <c r="J32" i="19" s="1"/>
  <c r="L32" i="19" s="1"/>
  <c r="N32" i="19"/>
  <c r="I71" i="10"/>
  <c r="I70" i="10"/>
  <c r="I69" i="10"/>
  <c r="I68" i="10"/>
  <c r="I67" i="10"/>
  <c r="I66" i="10"/>
  <c r="I65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18" i="9"/>
  <c r="N16" i="9"/>
  <c r="N17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20" i="14"/>
  <c r="L21" i="14"/>
  <c r="L22" i="14"/>
  <c r="L23" i="14"/>
  <c r="L24" i="14"/>
  <c r="L25" i="14"/>
  <c r="L26" i="14"/>
  <c r="L27" i="14"/>
  <c r="L28" i="14"/>
  <c r="R28" i="14" s="1"/>
  <c r="M24" i="19" s="1"/>
  <c r="O24" i="19" s="1"/>
  <c r="L29" i="14"/>
  <c r="L30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9" i="14" l="1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B17" i="14"/>
  <c r="C17" i="14"/>
  <c r="P10" i="14"/>
  <c r="M12" i="20"/>
  <c r="M3" i="20"/>
  <c r="M4" i="20"/>
  <c r="M5" i="20"/>
  <c r="O32" i="14"/>
  <c r="R32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20" i="14"/>
  <c r="L34" i="19"/>
  <c r="O30" i="14"/>
  <c r="O14" i="14"/>
  <c r="Q10" i="14"/>
  <c r="K10" i="19" a="1"/>
  <c r="K10" i="19" s="1"/>
  <c r="L10" i="19" s="1"/>
  <c r="P24" i="19"/>
  <c r="P11" i="19"/>
  <c r="R26" i="14"/>
  <c r="M23" i="19" s="1"/>
  <c r="O23" i="19" s="1"/>
  <c r="R8" i="14"/>
  <c r="M8" i="19" s="1"/>
  <c r="O8" i="19" s="1"/>
  <c r="R24" i="14"/>
  <c r="R22" i="14"/>
  <c r="M19" i="19" s="1"/>
  <c r="O19" i="19" s="1"/>
  <c r="M26" i="19"/>
  <c r="O26" i="19" s="1"/>
  <c r="R10" i="14"/>
  <c r="M10" i="19" s="1"/>
  <c r="O10" i="19" s="1"/>
  <c r="R30" i="14"/>
  <c r="R14" i="14"/>
  <c r="R23" i="14"/>
  <c r="M20" i="19" s="1"/>
  <c r="O20" i="19" s="1"/>
  <c r="R7" i="14"/>
  <c r="M7" i="19" s="1"/>
  <c r="O7" i="19" s="1"/>
  <c r="P7" i="19" s="1"/>
  <c r="R5" i="14"/>
  <c r="M5" i="19" s="1"/>
  <c r="O5" i="19" s="1"/>
  <c r="R20" i="14"/>
  <c r="R4" i="14"/>
  <c r="M4" i="19" s="1"/>
  <c r="O4" i="19" s="1"/>
  <c r="R3" i="14"/>
  <c r="M3" i="19" s="1"/>
  <c r="O3" i="19" s="1"/>
  <c r="P3" i="19" s="1"/>
  <c r="O34" i="14"/>
  <c r="R34" i="14" s="1"/>
  <c r="O26" i="14"/>
  <c r="O22" i="14"/>
  <c r="O10" i="14"/>
  <c r="O6" i="14"/>
  <c r="R6" i="14" s="1"/>
  <c r="M6" i="19" s="1"/>
  <c r="O6" i="19" s="1"/>
  <c r="O33" i="14"/>
  <c r="R33" i="14" s="1"/>
  <c r="M32" i="19" s="1"/>
  <c r="O32" i="19" s="1"/>
  <c r="P32" i="19" s="1"/>
  <c r="O29" i="14"/>
  <c r="O25" i="14"/>
  <c r="R25" i="14" s="1"/>
  <c r="O21" i="14"/>
  <c r="O13" i="14"/>
  <c r="O9" i="14"/>
  <c r="R9" i="14" s="1"/>
  <c r="M9" i="19" s="1"/>
  <c r="O9" i="19" s="1"/>
  <c r="O5" i="14"/>
  <c r="O36" i="14"/>
  <c r="O28" i="14"/>
  <c r="O24" i="14"/>
  <c r="O12" i="14"/>
  <c r="O8" i="14"/>
  <c r="O35" i="14"/>
  <c r="O31" i="14"/>
  <c r="R31" i="14" s="1"/>
  <c r="O27" i="14"/>
  <c r="R27" i="14" s="1"/>
  <c r="O23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O28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2" i="13"/>
  <c r="O23" i="13"/>
  <c r="O24" i="13"/>
  <c r="O25" i="13"/>
  <c r="O26" i="13"/>
  <c r="O27" i="13"/>
  <c r="O29" i="13"/>
  <c r="O30" i="13"/>
  <c r="O31" i="13"/>
  <c r="O32" i="13"/>
  <c r="O33" i="13"/>
  <c r="O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8" i="13" a="1"/>
  <c r="L28" i="13" s="1"/>
  <c r="J28" i="13" a="1"/>
  <c r="J28" i="13" s="1"/>
  <c r="L27" i="13" a="1"/>
  <c r="L27" i="13" s="1"/>
  <c r="J27" i="13" a="1"/>
  <c r="J27" i="13" s="1"/>
  <c r="M9" i="2"/>
  <c r="L9" i="2"/>
  <c r="E5" i="9"/>
  <c r="K7" i="8"/>
  <c r="K8" i="8"/>
  <c r="K9" i="8"/>
  <c r="K10" i="8"/>
  <c r="K11" i="8"/>
  <c r="K3" i="8"/>
  <c r="K6" i="8"/>
  <c r="K5" i="8"/>
  <c r="K4" i="8"/>
  <c r="J20" i="13" a="1"/>
  <c r="J20" i="13" s="1"/>
  <c r="P25" i="19" l="1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6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6" i="14"/>
  <c r="M34" i="19" s="1"/>
  <c r="O34" i="19" s="1"/>
  <c r="P34" i="19" s="1"/>
  <c r="R35" i="14"/>
  <c r="M33" i="19" s="1"/>
  <c r="O33" i="19" s="1"/>
  <c r="R21" i="14"/>
  <c r="M18" i="19" s="1"/>
  <c r="O18" i="19" s="1"/>
  <c r="P18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6" i="13" a="1"/>
  <c r="J26" i="13" s="1"/>
  <c r="J24" i="13" a="1"/>
  <c r="J24" i="13" s="1"/>
  <c r="J23" i="13" a="1"/>
  <c r="J23" i="13" s="1"/>
  <c r="J22" i="13" a="1"/>
  <c r="J22" i="13" s="1"/>
  <c r="L23" i="13" a="1"/>
  <c r="L23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2" i="13" a="1"/>
  <c r="L22" i="13" s="1"/>
  <c r="L14" i="13" a="1"/>
  <c r="L14" i="13" s="1"/>
  <c r="L24" i="13" a="1"/>
  <c r="L24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5" i="13" a="1"/>
  <c r="L25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6" i="13" a="1"/>
  <c r="L26" i="13" s="1"/>
  <c r="B5" i="14" l="1"/>
  <c r="B5" i="19" s="1"/>
  <c r="B4" i="14"/>
  <c r="B4" i="19" s="1"/>
  <c r="T3" i="19" a="1"/>
  <c r="T3" i="19" s="1"/>
  <c r="L11" i="13" a="1"/>
  <c r="L11" i="13" s="1"/>
  <c r="C6" i="14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L18" i="13" a="1"/>
  <c r="L18" i="13" s="1"/>
  <c r="L12" i="13" a="1"/>
  <c r="L12" i="13" s="1"/>
  <c r="C4" i="14"/>
  <c r="P13" i="2"/>
  <c r="C5" i="14"/>
  <c r="C3" i="14"/>
  <c r="B13" i="13" a="1"/>
  <c r="B13" i="13" s="1"/>
  <c r="B19" i="13" a="1"/>
  <c r="B19" i="13" s="1"/>
  <c r="B7" i="14" l="1"/>
  <c r="B7" i="19" s="1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L13" i="13" a="1"/>
  <c r="L13" i="13" s="1"/>
  <c r="B10" i="14" s="1"/>
  <c r="L19" i="13" a="1"/>
  <c r="L19" i="13" s="1"/>
  <c r="C14" i="14" l="1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0" i="19"/>
  <c r="L20" i="13" a="1"/>
  <c r="L20" i="13" s="1"/>
  <c r="T32" i="19" s="1" a="1"/>
  <c r="T32" i="19" s="1"/>
  <c r="C11" i="14"/>
  <c r="C13" i="14"/>
  <c r="C9" i="14"/>
  <c r="C12" i="14"/>
  <c r="C8" i="14"/>
  <c r="C10" i="14"/>
  <c r="B34" i="14" l="1"/>
  <c r="B20" i="14"/>
  <c r="B16" i="19" s="1"/>
  <c r="B23" i="14"/>
  <c r="C11" i="20" s="1"/>
  <c r="B30" i="14"/>
  <c r="B25" i="14"/>
  <c r="B28" i="14"/>
  <c r="B24" i="19" s="1"/>
  <c r="B15" i="14"/>
  <c r="H66" i="10"/>
  <c r="H71" i="10"/>
  <c r="H68" i="10"/>
  <c r="H67" i="10"/>
  <c r="H69" i="10"/>
  <c r="H64" i="10"/>
  <c r="H65" i="10"/>
  <c r="H70" i="10"/>
  <c r="H63" i="10"/>
  <c r="C184" i="11"/>
  <c r="H62" i="10"/>
  <c r="H61" i="10"/>
  <c r="H59" i="10"/>
  <c r="H60" i="10"/>
  <c r="T19" i="19" a="1"/>
  <c r="T19" i="19" s="1"/>
  <c r="B32" i="14"/>
  <c r="C15" i="20" s="1"/>
  <c r="B14" i="14"/>
  <c r="B13" i="19" s="1"/>
  <c r="B33" i="14"/>
  <c r="B32" i="19" s="1"/>
  <c r="B24" i="14"/>
  <c r="B21" i="14"/>
  <c r="B18" i="19" s="1"/>
  <c r="B35" i="14"/>
  <c r="B33" i="19" s="1"/>
  <c r="B26" i="14"/>
  <c r="B36" i="14"/>
  <c r="B34" i="19" s="1"/>
  <c r="B22" i="14"/>
  <c r="B19" i="19" s="1"/>
  <c r="B31" i="14"/>
  <c r="C14" i="20" s="1"/>
  <c r="B29" i="14"/>
  <c r="B26" i="19" s="1"/>
  <c r="B27" i="14"/>
  <c r="C10" i="20" s="1"/>
  <c r="T25" i="19" a="1"/>
  <c r="T25" i="19" s="1"/>
  <c r="T17" i="19" a="1"/>
  <c r="T17" i="19" s="1"/>
  <c r="T33" i="19" a="1"/>
  <c r="T33" i="19" s="1"/>
  <c r="T22" i="19" a="1"/>
  <c r="T22" i="19" s="1"/>
  <c r="T28" i="19" a="1"/>
  <c r="T28" i="19" s="1"/>
  <c r="T20" i="19" a="1"/>
  <c r="T20" i="19" s="1"/>
  <c r="T24" i="19" a="1"/>
  <c r="T24" i="19" s="1"/>
  <c r="T30" i="19" a="1"/>
  <c r="T30" i="19" s="1"/>
  <c r="T27" i="19" a="1"/>
  <c r="T27" i="19" s="1"/>
  <c r="T29" i="19" a="1"/>
  <c r="T29" i="19" s="1"/>
  <c r="T18" i="19" a="1"/>
  <c r="T18" i="19" s="1"/>
  <c r="T31" i="19" a="1"/>
  <c r="T31" i="19" s="1"/>
  <c r="T23" i="19" a="1"/>
  <c r="T23" i="19" s="1"/>
  <c r="T26" i="19" a="1"/>
  <c r="T26" i="19" s="1"/>
  <c r="T34" i="19" a="1"/>
  <c r="T34" i="19" s="1"/>
  <c r="T21" i="19" a="1"/>
  <c r="T21" i="19" s="1"/>
  <c r="T16" i="19" a="1"/>
  <c r="T16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9" i="20"/>
  <c r="C26" i="14"/>
  <c r="C28" i="14"/>
  <c r="C29" i="14"/>
  <c r="C27" i="14"/>
  <c r="C31" i="14"/>
  <c r="B23" i="19"/>
  <c r="C36" i="14"/>
  <c r="C17" i="20"/>
  <c r="B11" i="19"/>
  <c r="C33" i="14"/>
  <c r="C23" i="14"/>
  <c r="C15" i="14"/>
  <c r="C30" i="14"/>
  <c r="C20" i="14"/>
  <c r="C25" i="14"/>
  <c r="C32" i="14"/>
  <c r="C34" i="14"/>
  <c r="C24" i="14"/>
  <c r="C22" i="14"/>
  <c r="C21" i="14"/>
  <c r="C35" i="14"/>
  <c r="C19" i="20"/>
  <c r="B29" i="19" l="1"/>
  <c r="B17" i="19"/>
  <c r="B22" i="19"/>
  <c r="B21" i="19"/>
  <c r="C13" i="20"/>
  <c r="B25" i="19"/>
  <c r="C5" i="20"/>
  <c r="C6" i="20"/>
  <c r="C12" i="20"/>
  <c r="C16" i="20"/>
  <c r="B27" i="19"/>
  <c r="B28" i="19"/>
  <c r="B31" i="19"/>
  <c r="B30" i="19"/>
  <c r="B20" i="19"/>
  <c r="B8" i="19" l="1"/>
  <c r="Q15" i="19" s="1"/>
  <c r="C3" i="20"/>
  <c r="R32" i="19" l="1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<sst xmlns="http://schemas.openxmlformats.org/spreadsheetml/2006/main" count="2018" uniqueCount="990">
  <si>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</si>
  <si>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</si>
  <si>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</si>
  <si>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</si>
  <si>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</si>
  <si>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</si>
  <si>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</si>
  <si>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</si>
  <si>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</si>
  <si>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</si>
  <si>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</si>
  <si>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</si>
  <si>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</si>
  <si>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</si>
  <si>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</si>
  <si>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</si>
  <si>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</si>
  <si>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</si>
  <si>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</si>
  <si>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</si>
  <si>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</si>
  <si>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</si>
  <si>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</si>
  <si>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</si>
  <si>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</si>
  <si>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</si>
  <si>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</si>
  <si>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</si>
  <si>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</si>
  <si>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</si>
  <si>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</si>
  <si>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</si>
  <si>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</si>
  <si>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</si>
  <si>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</si>
  <si>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</si>
  <si>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</si>
  <si>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</si>
  <si>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</si>
  <si>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</si>
  <si>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</si>
  <si>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</si>
  <si>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</si>
  <si>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</si>
  <si>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</si>
  <si>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</si>
  <si>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</si>
  <si>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</si>
  <si>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</si>
  <si>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</si>
  <si>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</si>
  <si>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</si>
  <si>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</si>
  <si>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</si>
  <si>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</si>
  <si>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</si>
  <si>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</si>
  <si>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</si>
  <si>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</si>
  <si>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</si>
  <si>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</si>
  <si>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</si>
  <si>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</si>
  <si>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</si>
  <si>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</si>
  <si>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</si>
  <si>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</si>
  <si>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</si>
  <si>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</si>
  <si>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</si>
  <si>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</si>
  <si>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</si>
  <si>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</si>
  <si>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</si>
  <si>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</si>
  <si>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</si>
  <si>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</si>
  <si>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</si>
  <si>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</si>
  <si>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</si>
  <si>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</si>
  <si>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</si>
  <si>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</si>
  <si>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</si>
  <si>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</si>
  <si>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</si>
  <si>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</si>
  <si>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</si>
  <si>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</si>
  <si>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</si>
  <si>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</si>
  <si>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</si>
  <si>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</si>
  <si>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</si>
  <si>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</si>
  <si>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</si>
  <si>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</si>
  <si>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</si>
  <si>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</si>
  <si>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</si>
  <si>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</si>
  <si>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</si>
  <si>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</si>
  <si>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</si>
  <si>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</si>
  <si>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</si>
  <si>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</si>
  <si>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</si>
  <si>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</si>
  <si>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</si>
  <si>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</si>
  <si>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</si>
  <si>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</si>
  <si>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</si>
  <si>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</si>
  <si>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</si>
  <si>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</si>
  <si>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</si>
  <si>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</si>
  <si>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</si>
  <si>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</si>
  <si>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</si>
  <si>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</si>
  <si>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</si>
  <si>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</si>
  <si>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</si>
  <si>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</si>
  <si>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</si>
  <si>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</si>
  <si>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</si>
  <si>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</si>
  <si>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</si>
  <si>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</si>
  <si>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</si>
  <si>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</si>
  <si>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</si>
  <si>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</si>
  <si>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</si>
  <si>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</si>
  <si>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</si>
  <si>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</si>
  <si>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</si>
  <si>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</si>
  <si>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</si>
  <si>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</si>
  <si>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</si>
  <si>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</si>
  <si>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</si>
  <si>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</si>
  <si>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</si>
  <si>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</si>
  <si>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</si>
  <si>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</si>
  <si>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</si>
  <si>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</si>
  <si>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</si>
  <si>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</si>
  <si>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</si>
  <si>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</si>
  <si>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</si>
  <si>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</si>
  <si>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</si>
  <si>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</si>
  <si>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</si>
  <si>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</si>
  <si>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</si>
  <si>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</si>
  <si>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</si>
  <si>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</si>
  <si>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</si>
  <si>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</si>
  <si>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</si>
  <si>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</si>
  <si>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</si>
  <si>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</si>
  <si>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</si>
  <si>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</si>
  <si>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</si>
  <si>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</si>
  <si>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</si>
  <si>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</si>
  <si>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</si>
  <si>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</si>
  <si>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</si>
  <si>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</si>
  <si>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</si>
  <si>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</si>
  <si>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</si>
  <si>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</si>
  <si>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</si>
  <si>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</si>
  <si>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</si>
  <si>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</si>
  <si>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</si>
  <si>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</si>
  <si>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</si>
  <si>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</si>
  <si>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</si>
  <si>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</si>
  <si>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</si>
  <si>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</si>
  <si>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</si>
  <si>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</si>
  <si>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</si>
  <si>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</si>
  <si>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</si>
  <si>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</si>
  <si>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</si>
  <si>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</si>
  <si>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</si>
  <si>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</si>
  <si>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</si>
  <si>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</si>
  <si>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</si>
  <si>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</si>
  <si>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</si>
  <si>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</si>
  <si>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</si>
  <si>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</si>
  <si>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</si>
  <si>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</si>
  <si>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</si>
  <si>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</si>
  <si>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</si>
  <si>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</si>
  <si>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</si>
  <si>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</si>
  <si>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</si>
  <si>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</si>
  <si>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</si>
  <si>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</si>
  <si>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</si>
  <si>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</si>
  <si>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</si>
  <si>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</si>
  <si>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</si>
  <si>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</si>
  <si>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</si>
  <si>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</si>
  <si>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</si>
  <si>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</si>
  <si>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</si>
  <si>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</si>
  <si>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</si>
  <si>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</si>
  <si>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</si>
  <si>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</si>
  <si>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</si>
  <si>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</si>
  <si>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</si>
  <si>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</si>
  <si>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</si>
  <si>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</si>
  <si>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</si>
  <si>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</si>
  <si>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</si>
  <si>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</si>
  <si>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</si>
  <si>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</si>
  <si>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</si>
  <si>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</si>
  <si>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</si>
  <si>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</si>
  <si>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</si>
  <si>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</si>
  <si>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</si>
  <si>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</si>
  <si>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</si>
  <si>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</si>
  <si>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</si>
  <si>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</si>
  <si>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</si>
  <si>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</si>
  <si>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</si>
  <si>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</si>
  <si>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</si>
  <si>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</si>
  <si>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</si>
  <si>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</si>
  <si>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</si>
  <si>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</si>
  <si>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</si>
  <si>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</si>
  <si>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</si>
  <si>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</si>
  <si>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</si>
  <si>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</si>
  <si>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</si>
  <si>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</si>
  <si>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</si>
  <si>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</si>
  <si>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</si>
  <si>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</si>
  <si>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</si>
  <si>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</si>
  <si>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</si>
  <si>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</si>
  <si>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</si>
  <si>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</si>
  <si>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</si>
  <si>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</si>
  <si>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</si>
  <si>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</si>
  <si>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</si>
  <si>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</si>
  <si>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</si>
  <si>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</si>
  <si>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</si>
  <si>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</si>
  <si>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</si>
  <si>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</si>
  <si>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</si>
  <si>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</si>
  <si>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</si>
  <si>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</si>
  <si>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</si>
  <si>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</si>
  <si>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</si>
  <si>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</si>
  <si>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</si>
  <si>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</si>
  <si>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</si>
  <si>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</si>
  <si>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</si>
  <si>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</si>
  <si>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</si>
  <si>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</si>
  <si>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</si>
  <si>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</si>
  <si>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</si>
  <si>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</si>
  <si>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</si>
  <si>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</si>
  <si>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</si>
  <si>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</si>
  <si>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</si>
  <si>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</si>
  <si>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</si>
  <si>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</si>
  <si>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</si>
  <si>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</si>
  <si>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</si>
  <si>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</si>
  <si>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</si>
  <si>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</si>
  <si>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</si>
  <si>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</si>
  <si>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</si>
  <si>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</si>
  <si>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</si>
  <si>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</si>
  <si>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</si>
  <si>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</si>
  <si>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</si>
  <si>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</si>
  <si>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</si>
  <si>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</si>
  <si>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</si>
  <si>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</si>
  <si>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</si>
  <si>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</si>
  <si>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</si>
  <si>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</si>
  <si>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</si>
  <si>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</si>
  <si>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</si>
  <si>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</si>
  <si>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</si>
  <si>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</si>
  <si>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</si>
  <si>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</si>
  <si>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</si>
  <si>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</si>
  <si>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</si>
  <si>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</si>
  <si>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</si>
  <si>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</si>
  <si>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</si>
  <si>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</si>
  <si>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</si>
  <si>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</si>
  <si>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</si>
  <si>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</si>
  <si>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</si>
  <si>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</si>
  <si>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</si>
  <si>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</si>
  <si>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</si>
  <si>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</si>
  <si>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</si>
  <si>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</si>
  <si>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</si>
  <si>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</si>
  <si>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</si>
  <si>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</si>
  <si>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</si>
  <si>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</si>
  <si>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</si>
  <si>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</si>
  <si>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</si>
  <si>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</si>
  <si>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</si>
  <si>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</si>
  <si>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</si>
  <si>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</si>
  <si>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</si>
  <si>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</si>
  <si>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</si>
  <si>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</si>
  <si>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</si>
  <si>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</si>
  <si>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</si>
  <si>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</si>
  <si>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</si>
  <si>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</si>
  <si>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</si>
  <si>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</si>
  <si>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</si>
  <si>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</si>
  <si>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</si>
  <si>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</si>
  <si>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</si>
  <si>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</si>
  <si>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</si>
  <si>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</si>
  <si>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</si>
  <si>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</si>
  <si>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</si>
  <si>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</si>
  <si>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</si>
  <si>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</si>
  <si>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</si>
  <si>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</si>
  <si>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</si>
  <si>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</si>
  <si>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</si>
  <si>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</si>
  <si>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</si>
  <si>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</si>
  <si>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</si>
  <si>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</si>
  <si>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</si>
  <si>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</si>
  <si>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</si>
  <si>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</si>
  <si>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</si>
  <si>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</si>
  <si>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</si>
  <si>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</si>
  <si>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</si>
  <si>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</si>
  <si>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</si>
  <si>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</si>
  <si>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</si>
  <si>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</si>
  <si>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</si>
  <si>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</si>
  <si>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</si>
  <si>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</si>
  <si>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</si>
  <si>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</si>
  <si>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</si>
  <si>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</si>
  <si>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</si>
  <si>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</si>
  <si>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</si>
  <si>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</si>
  <si>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</si>
  <si>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</si>
  <si>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</si>
  <si>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</si>
  <si>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</si>
  <si>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</si>
  <si>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</si>
  <si>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</si>
  <si>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</si>
  <si>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</si>
  <si>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</si>
  <si>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</si>
  <si>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</si>
  <si>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</si>
  <si>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</si>
  <si>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</si>
  <si>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</si>
  <si>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</si>
  <si>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</si>
  <si>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</si>
  <si>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</si>
  <si>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</si>
  <si>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</si>
  <si>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</si>
  <si>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</si>
  <si>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</si>
  <si>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</si>
  <si>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</si>
  <si>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</si>
  <si>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</si>
  <si>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</si>
  <si>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</si>
  <si>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</si>
  <si>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</si>
  <si>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</si>
  <si>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</si>
  <si>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</si>
  <si>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</si>
  <si>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</si>
  <si>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</si>
  <si>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</si>
  <si>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</si>
  <si>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</si>
  <si>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</si>
  <si>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</si>
  <si>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</si>
  <si>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</si>
  <si>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</si>
  <si>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</si>
  <si>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</si>
  <si>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</si>
  <si>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</si>
  <si>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</si>
  <si>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</si>
  <si>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</si>
  <si>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</si>
  <si>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</si>
  <si>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</si>
  <si>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</si>
  <si>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</si>
  <si>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</si>
  <si>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</si>
  <si>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</si>
  <si>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</si>
  <si>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</si>
  <si>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</si>
  <si>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</si>
  <si>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</si>
  <si>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</si>
  <si>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</si>
  <si>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</si>
  <si>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</si>
  <si>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</si>
  <si>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</si>
  <si>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</si>
  <si>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</si>
  <si>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</si>
  <si>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</si>
  <si>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</si>
  <si>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</si>
  <si>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</si>
  <si>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</si>
  <si>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</si>
  <si>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</si>
  <si>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</si>
  <si>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</si>
  <si>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</si>
  <si>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</si>
  <si>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</si>
  <si>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</si>
  <si>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</si>
  <si>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</si>
  <si>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</si>
  <si>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</si>
  <si>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</si>
  <si>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</si>
  <si>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</si>
  <si>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</si>
  <si>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</si>
  <si>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</si>
  <si>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</si>
  <si>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</si>
  <si>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</si>
  <si>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</si>
  <si>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</si>
  <si>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</si>
  <si>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</si>
  <si>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</si>
  <si>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</si>
  <si>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</si>
  <si>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</si>
  <si>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</si>
  <si>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</si>
  <si>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</si>
  <si>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</si>
  <si>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</si>
  <si>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</si>
  <si>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</si>
  <si>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</si>
  <si>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</si>
  <si>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</si>
  <si>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</si>
  <si>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</si>
  <si>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</si>
  <si>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</si>
  <si>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</si>
  <si>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</si>
  <si>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</si>
  <si>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</si>
  <si>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</si>
  <si>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</si>
  <si>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</si>
  <si>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</si>
  <si>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</si>
  <si>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</si>
  <si>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</si>
  <si>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</si>
  <si>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</si>
  <si>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</si>
  <si>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</si>
  <si>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</si>
  <si>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</si>
  <si>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</si>
  <si>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</si>
  <si>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</si>
  <si>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</si>
  <si>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</si>
  <si>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</si>
  <si>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</si>
  <si>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</si>
  <si>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</si>
  <si>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</si>
  <si>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</si>
  <si>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</si>
  <si>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</si>
  <si>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</si>
  <si>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</si>
  <si>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</si>
  <si>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</si>
  <si>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</si>
  <si>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</si>
  <si>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</si>
  <si>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</si>
  <si>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</si>
  <si>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</si>
  <si>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</si>
  <si>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</si>
  <si>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</si>
  <si>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</si>
  <si>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</si>
  <si>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</si>
  <si>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</si>
  <si>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</si>
  <si>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</si>
  <si>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</si>
  <si>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</si>
  <si>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</si>
  <si>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</si>
  <si>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</si>
  <si>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</si>
  <si>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</si>
  <si>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</si>
  <si>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</si>
  <si>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</si>
  <si>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</si>
  <si>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</si>
  <si>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</si>
  <si>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</si>
  <si>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</si>
  <si>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</si>
  <si>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</si>
  <si>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</si>
  <si>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</si>
  <si>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</si>
  <si>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</si>
  <si>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</si>
  <si>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</si>
  <si>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</si>
  <si>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</si>
  <si>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</si>
  <si>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</si>
  <si>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</si>
  <si>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</si>
  <si>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</si>
  <si>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</si>
  <si>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</si>
  <si>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</si>
  <si>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</si>
  <si>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</si>
  <si>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</si>
  <si>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</si>
  <si>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</si>
  <si>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</si>
  <si>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</si>
  <si>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</si>
  <si>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</si>
  <si>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</si>
  <si>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</si>
  <si>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</si>
  <si>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</si>
  <si>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</si>
  <si>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</si>
  <si>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</si>
  <si>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</si>
  <si>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</si>
  <si>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</si>
  <si>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</si>
  <si>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</si>
  <si>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</si>
  <si>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</si>
  <si>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</si>
  <si>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</si>
  <si>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</si>
  <si>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</si>
  <si>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</si>
  <si>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</si>
  <si>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</si>
  <si>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</si>
  <si>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</si>
  <si>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</si>
  <si>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</si>
  <si>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</si>
  <si>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</si>
  <si>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</si>
  <si>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</si>
  <si>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</si>
  <si>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</si>
  <si>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</si>
  <si>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</si>
  <si>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</si>
  <si>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</si>
  <si>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</si>
  <si>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</si>
  <si>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</si>
  <si>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</si>
  <si>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</si>
  <si>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</si>
  <si>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</si>
  <si>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</si>
  <si>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</si>
  <si>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</si>
  <si>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</si>
  <si>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</si>
  <si>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</si>
  <si>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</si>
  <si>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</si>
  <si>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</si>
  <si>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</si>
  <si>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</si>
  <si>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</si>
  <si>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</si>
  <si>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</si>
  <si>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</si>
  <si>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</si>
  <si>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</si>
  <si>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</si>
  <si>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</si>
  <si>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</si>
  <si>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</si>
  <si>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</si>
  <si>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</si>
  <si>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</si>
  <si>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</si>
  <si>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</si>
  <si>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</si>
  <si>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</si>
  <si>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</si>
  <si>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</si>
  <si>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</si>
  <si>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</si>
  <si>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</si>
  <si>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</si>
  <si>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</si>
  <si>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</si>
  <si>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</si>
  <si>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</si>
  <si>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</si>
  <si>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</si>
  <si>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</si>
  <si>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</si>
  <si>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</si>
  <si>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</si>
  <si>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</si>
  <si>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</si>
  <si>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</si>
  <si>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</si>
  <si>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</si>
  <si>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</si>
  <si>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</si>
  <si>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</si>
  <si>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</si>
  <si>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</si>
  <si>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</si>
  <si>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</si>
  <si>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</si>
  <si>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</si>
  <si>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</si>
  <si>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</si>
  <si>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</si>
  <si>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</si>
  <si>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</si>
  <si>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</si>
  <si>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</si>
  <si>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</si>
  <si>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</si>
  <si>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</si>
  <si>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</si>
  <si>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</si>
  <si>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</si>
  <si>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</si>
  <si>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</si>
  <si>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</si>
  <si>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</si>
  <si>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</si>
  <si>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</si>
  <si>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</si>
  <si>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</si>
  <si>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</si>
  <si>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</si>
  <si>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</si>
  <si>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</si>
  <si>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</si>
  <si>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</si>
  <si>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</si>
  <si>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</si>
  <si>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</si>
  <si>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</si>
  <si>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</si>
  <si>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</si>
  <si>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</si>
  <si>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</si>
  <si>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</si>
  <si>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</si>
  <si>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</si>
  <si>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</si>
  <si>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</si>
  <si>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</si>
  <si>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</si>
  <si>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</si>
  <si>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</si>
  <si>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</si>
  <si>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</si>
  <si>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</si>
  <si>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</si>
  <si>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</si>
  <si>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</si>
  <si>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</si>
  <si>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</si>
  <si>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</si>
  <si>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</si>
  <si>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</si>
  <si>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</si>
  <si>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</si>
  <si>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</si>
  <si>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</si>
  <si>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</si>
  <si>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</si>
  <si>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</si>
  <si>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</si>
  <si>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</si>
  <si>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</si>
  <si>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</si>
  <si>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</si>
  <si>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</si>
  <si>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</si>
  <si>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</si>
  <si>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</si>
  <si>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</si>
  <si>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</si>
  <si>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</si>
  <si>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</si>
  <si>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</si>
  <si>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</si>
  <si>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</si>
  <si>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</si>
  <si>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</si>
  <si>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</si>
  <si>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</si>
  <si>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</si>
  <si>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</si>
  <si>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</si>
  <si>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</si>
  <si>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</si>
  <si>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</si>
  <si>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</si>
  <si>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</si>
  <si>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</si>
  <si>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</si>
  <si>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</si>
  <si>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</si>
  <si>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</si>
  <si>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</si>
  <si>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</si>
  <si>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</si>
  <si>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</si>
  <si>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</si>
  <si>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</si>
  <si>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</si>
  <si>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</si>
  <si>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</si>
  <si>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</si>
  <si>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</si>
  <si>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</si>
  <si>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</si>
  <si>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</si>
  <si>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</si>
  <si>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</si>
  <si>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</si>
  <si>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</si>
  <si>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</si>
  <si>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</si>
  <si>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</si>
  <si>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</si>
  <si>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</si>
  <si>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</si>
  <si>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</si>
  <si>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</si>
  <si>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</si>
  <si>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</si>
  <si>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</si>
  <si>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</si>
  <si>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</si>
  <si>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</si>
  <si>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</si>
  <si>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</si>
  <si>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</si>
  <si>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</si>
  <si>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</si>
  <si>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</si>
  <si>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</si>
  <si>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</si>
  <si>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</si>
  <si>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</si>
  <si>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</si>
  <si>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</si>
  <si>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</si>
  <si>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</si>
  <si>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</si>
  <si>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</si>
  <si>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</si>
  <si>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</si>
  <si>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</si>
  <si>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</si>
  <si>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</si>
  <si>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</si>
  <si>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</si>
  <si>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</si>
  <si>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</si>
  <si>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</si>
  <si>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</si>
  <si>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</si>
  <si>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</si>
  <si>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</si>
  <si>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</si>
  <si>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</si>
  <si>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</si>
  <si>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</si>
  <si>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</si>
  <si>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</si>
  <si>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</si>
  <si>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</si>
  <si>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</si>
  <si>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</si>
  <si>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</si>
  <si>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</si>
  <si>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</si>
  <si>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</si>
  <si>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</si>
  <si>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</si>
  <si>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</si>
  <si>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</si>
  <si>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</si>
  <si>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</si>
  <si>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</si>
  <si>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</si>
  <si>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</si>
  <si>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</si>
  <si>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</si>
  <si>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</si>
  <si>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</si>
  <si>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</si>
  <si>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</si>
  <si>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</si>
  <si>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</si>
  <si>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</si>
  <si>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</si>
  <si>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</si>
  <si>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</si>
  <si>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</si>
  <si>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</si>
  <si>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</si>
  <si>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</si>
  <si>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</si>
  <si>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</si>
  <si>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테스트a</t>
    <phoneticPr fontId="6" type="noConversion"/>
  </si>
  <si>
    <t>Stack</t>
    <phoneticPr fontId="6" type="noConversion"/>
  </si>
  <si>
    <t>…</t>
    <phoneticPr fontId="6" type="noConversion"/>
  </si>
  <si>
    <t>Equal</t>
    <phoneticPr fontId="6" type="noConversion"/>
  </si>
  <si>
    <t>OnClearRoom</t>
    <phoneticPr fontId="6" type="noConversion"/>
  </si>
  <si>
    <t>최대체력 - 1칸\n획득 후 6개의 방을 클리어할 경우 최대체력 +2칸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</si>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</sst>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10" borderId="0" xfId="0" applyFont="1" applyFill="1">
      <alignment vertical="center"/>
    </xf>
    <xf numFmtId="0" fontId="3" fillId="11" borderId="0" xfId="0" applyFont="1" applyFill="1" applyAlignment="1">
      <alignment horizontal="right" vertical="center"/>
    </xf>
    <xf numFmtId="0" fontId="0" fillId="11" borderId="0" xfId="0" applyFill="1">
      <alignment vertical="center"/>
    </xf>
    <xf numFmtId="0" fontId="8" fillId="11" borderId="0" xfId="0" applyFont="1" applyFill="1">
      <alignment vertical="center"/>
    </xf>
    <xf numFmtId="0" fontId="1" fillId="11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2"/>
      <tableStyleElement type="headerRow" dxfId="171"/>
      <tableStyleElement type="totalRow" dxfId="170"/>
      <tableStyleElement type="firstColumn" dxfId="169"/>
      <tableStyleElement type="lastColumn" dxfId="168"/>
      <tableStyleElement type="firstRowStripe" dxfId="167"/>
      <tableStyleElement type="firstColumnStripe" dxfId="166"/>
    </tableStyle>
    <tableStyle name="Light Style 1 - Accent 1" table="0" count="7" xr9:uid="{00000000-0011-0000-FFFF-FFFF01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firstColumnStripe" dxfId="159"/>
    </tableStyle>
    <tableStyle name="표 스타일 1" pivot="0" count="4" xr9:uid="{00000000-0011-0000-FFFF-FFFF02000000}">
      <tableStyleElement type="wholeTable" dxfId="158"/>
      <tableStyleElement type="headerRow" dxfId="157"/>
      <tableStyleElement type="firstRowStripe" dxfId="156"/>
      <tableStyleElement type="secondRowStripe" dxfId="155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3">
  <autoFilter ref="B12:G42" xr:uid="{00000000-0009-0000-0100-00000B000000}"/>
  <tableColumns count="6">
    <tableColumn id="11" xr3:uid="{00000000-0010-0000-0100-00000B000000}" name="층" dataDxfId="15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1"/>
    <tableColumn id="6" xr3:uid="{00000000-0010-0000-0100-000006000000}" name="평균획득골드" totalsRowFunction="average" dataDxfId="15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8" totalsRowDxfId="147"/>
    <tableColumn id="2" xr3:uid="{00000000-0010-0000-0300-000002000000}" name="개수" dataDxfId="14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2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0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8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36" dataDxfId="135">
  <autoFilter ref="B11:F42" xr:uid="{00000000-0009-0000-0100-000008000000}"/>
  <tableColumns count="5">
    <tableColumn id="1" xr3:uid="{00000000-0010-0000-0400-000001000000}" name="스텟" dataDxfId="134"/>
    <tableColumn id="2" xr3:uid="{00000000-0010-0000-0400-000002000000}" name="참조 테이블" dataDxfId="133"/>
    <tableColumn id="3" xr3:uid="{00000000-0010-0000-0400-000003000000}" name="설명" dataDxfId="132"/>
    <tableColumn id="4" xr3:uid="{00000000-0010-0000-0400-000004000000}" name="Value 1당 가치" dataDxfId="131"/>
    <tableColumn id="5" xr3:uid="{E80FF9E0-4D51-4BB5-9D04-891CF4119D93}" name="OP계수" dataDxfId="13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9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8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7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6">
      <calculatedColumnFormula array="1">표27[최종 DPS]</calculatedColumnFormula>
    </tableColumn>
    <tableColumn id="10" xr3:uid="{00000000-0010-0000-0700-00000A000000}" name="예상 전투 시간" dataDxfId="12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4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2">
  <autoFilter ref="H12:L13" xr:uid="{1A39BDA6-5227-4F3A-BB7B-457C71991C01}"/>
  <tableColumns count="5">
    <tableColumn id="1" xr3:uid="{C2200712-B727-4558-990C-91912E8DE66E}" name="직접 공격 DPS" dataDxfId="121">
      <calculatedColumnFormula array="1">CharacterAtkTable[ChargeRigidDmg1]/CharacterAtkTable[SwingCooldown]</calculatedColumnFormula>
    </tableColumn>
    <tableColumn id="2" xr3:uid="{7A94433E-C49F-40C3-8DEB-869FEDCBFEBA}" name="직접 차징 DPS" dataDxfId="120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9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8">
      <calculatedColumnFormula array="1">CharacterAtkTable[EnemyProjectileDmg]*표26[적에게 튕김 기댓값]</calculatedColumnFormula>
    </tableColumn>
    <tableColumn id="5" xr3:uid="{B8F641EE-C92E-4085-9FC5-1D7A1E85838D}" name="차징공격 DPS" dataDxfId="11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6"/>
    <tableColumn id="2" xr3:uid="{7BC54428-2097-4B23-ACAC-4CF6F55435E4}" name="최종 DPS" dataDxfId="115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3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2" dataDxfId="111">
  <autoFilter ref="B45:F54" xr:uid="{52C1D108-3D49-4B42-B815-0005AC0F8DFB}"/>
  <tableColumns count="5">
    <tableColumn id="1" xr3:uid="{97C44805-9CD2-45EA-B5DF-D65CFA5C28DC}" name="트리거" dataDxfId="110"/>
    <tableColumn id="2" xr3:uid="{0CB69347-3D8F-4363-BA6F-16EF9B4A762D}" name="발동 여부" dataDxfId="109"/>
    <tableColumn id="3" xr3:uid="{176A61E6-C094-47E3-8CBF-78EA6EEA3FB7}" name="발동에 걸리는 시간" dataDxfId="108"/>
    <tableColumn id="4" xr3:uid="{C9DEDF42-6084-4BE1-AED3-7B9E6FA248C1}" name="발동율" dataDxfId="107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5">
  <autoFilter ref="B57:F66" xr:uid="{5DE4A78B-5308-430C-BFB3-A3DED3312CD7}"/>
  <tableColumns count="5">
    <tableColumn id="1" xr3:uid="{D8664B31-C1C5-4F94-9493-0E923670269C}" name="특수 이펙트 명칭" dataDxfId="104"/>
    <tableColumn id="2" xr3:uid="{75D26A2C-66A5-4D4E-8467-00AB4551DB09}" name="열1" dataDxfId="103"/>
    <tableColumn id="3" xr3:uid="{C016E32B-6A25-4781-91D0-3F1F049AB241}" name="설명" dataDxfId="102"/>
    <tableColumn id="4" xr3:uid="{87B4D8C0-06AC-4B77-972D-B4F0F00820E7}" name="1당 가치" dataDxfId="101">
      <calculatedColumnFormula>E14</calculatedColumnFormula>
    </tableColumn>
    <tableColumn id="5" xr3:uid="{B8215913-9E5B-4616-A7FB-EBC3ED6C83CC}" name="OP계수" dataDxfId="10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8"/>
    <tableColumn id="3" xr3:uid="{00000000-0010-0000-0900-000003000000}" name="value"/>
    <tableColumn id="4" xr3:uid="{00000000-0010-0000-0900-000004000000}" name="#설명" dataDxfId="9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4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3"/>
    <tableColumn id="7" xr3:uid="{00000000-0010-0000-0B00-000007000000}" name="SwingCooldown" dataDxfId="92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1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71" totalsRowShown="0">
  <autoFilter ref="B2:I71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203" totalsRowShown="0">
  <autoFilter ref="B2:G203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0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4" totalsRowShown="0" headerRowDxfId="68" dataDxfId="67">
  <autoFilter ref="B2:O34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52">
  <autoFilter ref="B2:S36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39">
  <autoFilter ref="B2:U34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2">
  <autoFilter ref="B2:N19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82" t="s">
        <v>186</v>
      </c>
      <c r="C1" s="83"/>
      <c r="D1" s="83"/>
      <c r="E1" s="83"/>
    </row>
    <row r="2" spans="2:5" s="1" customFormat="1">
      <c r="B2" s="83"/>
      <c r="C2" s="83"/>
      <c r="D2" s="83"/>
      <c r="E2" s="83"/>
    </row>
    <row r="3" spans="2:5" s="1" customFormat="1">
      <c r="B3" s="83"/>
      <c r="C3" s="83"/>
      <c r="D3" s="83"/>
      <c r="E3" s="83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82" t="s">
        <v>119</v>
      </c>
      <c r="C1" s="83"/>
      <c r="D1" s="83"/>
      <c r="E1" s="83"/>
    </row>
    <row r="2" spans="2:18" s="1" customFormat="1">
      <c r="B2" s="83"/>
      <c r="C2" s="83"/>
      <c r="D2" s="83"/>
      <c r="E2" s="83"/>
    </row>
    <row r="3" spans="2:18" s="1" customFormat="1">
      <c r="B3" s="83"/>
      <c r="C3" s="83"/>
      <c r="D3" s="83"/>
      <c r="E3" s="83"/>
    </row>
    <row r="5" spans="2:18">
      <c r="B5" s="2" t="s">
        <v>47</v>
      </c>
      <c r="J5" s="2" t="s">
        <v>293</v>
      </c>
      <c r="K5" s="2"/>
      <c r="O5" s="31" t="s">
        <v>618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596</v>
      </c>
      <c r="K6" s="11" t="s">
        <v>292</v>
      </c>
      <c r="L6" s="11" t="s">
        <v>289</v>
      </c>
      <c r="M6" s="11" t="s">
        <v>290</v>
      </c>
      <c r="O6" s="16" t="s">
        <v>384</v>
      </c>
      <c r="P6" s="16" t="s">
        <v>292</v>
      </c>
      <c r="Q6" s="16" t="s">
        <v>289</v>
      </c>
      <c r="R6" s="16" t="s">
        <v>290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294</v>
      </c>
      <c r="K7">
        <v>0</v>
      </c>
      <c r="L7">
        <v>4</v>
      </c>
      <c r="M7">
        <v>7</v>
      </c>
      <c r="O7" s="16" t="s">
        <v>386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295</v>
      </c>
      <c r="K8">
        <v>0</v>
      </c>
      <c r="L8">
        <v>6</v>
      </c>
      <c r="M8">
        <v>12</v>
      </c>
      <c r="O8" s="16" t="s">
        <v>387</v>
      </c>
      <c r="P8">
        <v>20</v>
      </c>
      <c r="Q8">
        <v>80</v>
      </c>
      <c r="R8">
        <v>150</v>
      </c>
    </row>
    <row r="9" spans="2:18">
      <c r="J9" t="s">
        <v>296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389</v>
      </c>
      <c r="P9">
        <v>20</v>
      </c>
      <c r="Q9">
        <v>80</v>
      </c>
      <c r="R9">
        <v>150</v>
      </c>
    </row>
    <row r="11" spans="2:18">
      <c r="B11" s="2" t="s">
        <v>611</v>
      </c>
      <c r="C11" s="2"/>
      <c r="D11" s="2"/>
      <c r="J11" s="2" t="s">
        <v>385</v>
      </c>
    </row>
    <row r="12" spans="2:18">
      <c r="B12" s="11" t="s">
        <v>384</v>
      </c>
      <c r="C12" s="11" t="s">
        <v>291</v>
      </c>
      <c r="D12" s="11" t="s">
        <v>292</v>
      </c>
      <c r="E12" s="11" t="s">
        <v>289</v>
      </c>
      <c r="F12" s="11" t="s">
        <v>290</v>
      </c>
      <c r="G12" s="11" t="s">
        <v>391</v>
      </c>
      <c r="H12" s="16"/>
      <c r="J12" s="11" t="s">
        <v>384</v>
      </c>
      <c r="K12" s="11" t="s">
        <v>390</v>
      </c>
      <c r="L12" s="11" t="s">
        <v>594</v>
      </c>
      <c r="M12" s="11" t="s">
        <v>595</v>
      </c>
    </row>
    <row r="13" spans="2:18">
      <c r="B13" s="11" t="s">
        <v>386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392</v>
      </c>
      <c r="P13" s="11">
        <f>FloorInfo[[#Totals],[층 완료 획득 골드]]/30</f>
        <v>19.716666666666665</v>
      </c>
    </row>
    <row r="14" spans="2:18">
      <c r="B14" s="11" t="s">
        <v>387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393</v>
      </c>
      <c r="P14" s="11">
        <f>FloorInfo[[#Totals],[층 완료 획득 골드]]/50</f>
        <v>11.83</v>
      </c>
    </row>
    <row r="15" spans="2:18">
      <c r="B15" s="11" t="s">
        <v>388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609</v>
      </c>
      <c r="K18" s="5"/>
    </row>
    <row r="19" spans="2:17">
      <c r="B19" s="11"/>
      <c r="J19" s="16" t="s">
        <v>384</v>
      </c>
      <c r="K19" s="16" t="s">
        <v>614</v>
      </c>
      <c r="L19" s="16" t="s">
        <v>613</v>
      </c>
      <c r="M19" s="16" t="s">
        <v>615</v>
      </c>
      <c r="N19" s="16" t="s">
        <v>612</v>
      </c>
      <c r="O19" s="16" t="s">
        <v>616</v>
      </c>
      <c r="P19" s="16" t="s">
        <v>617</v>
      </c>
      <c r="Q19" s="16" t="s">
        <v>610</v>
      </c>
    </row>
    <row r="20" spans="2:17">
      <c r="B20" s="11"/>
      <c r="J20" s="16" t="s">
        <v>386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2" t="s">
        <v>166</v>
      </c>
      <c r="C1" s="83"/>
      <c r="D1" s="83"/>
      <c r="E1" s="83"/>
      <c r="F1" s="83"/>
      <c r="G1" s="83"/>
    </row>
    <row r="2" spans="1:17" s="1" customFormat="1">
      <c r="B2" s="83"/>
      <c r="C2" s="83"/>
      <c r="D2" s="83"/>
      <c r="E2" s="83"/>
      <c r="F2" s="83"/>
      <c r="G2" s="83"/>
    </row>
    <row r="3" spans="1:17" s="1" customFormat="1">
      <c r="B3" s="83"/>
      <c r="C3" s="83"/>
      <c r="D3" s="83"/>
      <c r="E3" s="83"/>
      <c r="F3" s="83"/>
      <c r="G3" s="83"/>
    </row>
    <row r="5" spans="1:17">
      <c r="B5" s="2" t="s">
        <v>673</v>
      </c>
      <c r="C5" s="8" t="s">
        <v>674</v>
      </c>
      <c r="H5" s="2" t="s">
        <v>619</v>
      </c>
      <c r="N5" s="2" t="s">
        <v>57</v>
      </c>
    </row>
    <row r="6" spans="1:17">
      <c r="B6" s="11" t="s">
        <v>682</v>
      </c>
      <c r="C6" s="11" t="s">
        <v>683</v>
      </c>
      <c r="D6" s="11" t="s">
        <v>756</v>
      </c>
      <c r="H6" t="s">
        <v>22</v>
      </c>
      <c r="I6" t="s">
        <v>201</v>
      </c>
      <c r="J6" t="s">
        <v>168</v>
      </c>
      <c r="N6" t="s">
        <v>53</v>
      </c>
      <c r="O6" s="11" t="s">
        <v>297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153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684</v>
      </c>
    </row>
    <row r="11" spans="1:17">
      <c r="A11" s="9"/>
      <c r="B11" t="s">
        <v>29</v>
      </c>
      <c r="C11" t="s">
        <v>82</v>
      </c>
      <c r="D11" t="s">
        <v>33</v>
      </c>
      <c r="E11" t="s">
        <v>203</v>
      </c>
      <c r="F11" s="11" t="s">
        <v>671</v>
      </c>
      <c r="H11" s="61" t="s">
        <v>593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110</v>
      </c>
      <c r="C12" s="10" t="s">
        <v>16</v>
      </c>
      <c r="D12" t="s">
        <v>75</v>
      </c>
      <c r="E12" s="19">
        <v>0</v>
      </c>
      <c r="F12" s="66">
        <v>0</v>
      </c>
      <c r="H12" s="11" t="s">
        <v>665</v>
      </c>
      <c r="I12" s="11" t="s">
        <v>666</v>
      </c>
      <c r="J12" s="11" t="s">
        <v>667</v>
      </c>
      <c r="K12" t="s">
        <v>659</v>
      </c>
      <c r="L12" t="s">
        <v>660</v>
      </c>
    </row>
    <row r="13" spans="1:17">
      <c r="A13" s="9"/>
      <c r="B13" s="9" t="s">
        <v>0</v>
      </c>
      <c r="C13" s="9" t="s">
        <v>145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145</v>
      </c>
      <c r="D14" t="s">
        <v>86</v>
      </c>
      <c r="E14" s="19">
        <v>0</v>
      </c>
      <c r="F14" s="66">
        <v>0</v>
      </c>
      <c r="N14" t="s">
        <v>56</v>
      </c>
      <c r="O14" t="s">
        <v>165</v>
      </c>
    </row>
    <row r="15" spans="1:17">
      <c r="A15" s="9"/>
      <c r="B15" s="62" t="s">
        <v>113</v>
      </c>
      <c r="C15" s="62" t="s">
        <v>145</v>
      </c>
      <c r="D15" s="20" t="s">
        <v>199</v>
      </c>
      <c r="E15" s="22">
        <f>50/3</f>
        <v>16.666666666666668</v>
      </c>
      <c r="F15" s="66">
        <v>0</v>
      </c>
      <c r="H15" s="11" t="s">
        <v>790</v>
      </c>
      <c r="I15" t="s">
        <v>661</v>
      </c>
      <c r="J15" t="s">
        <v>662</v>
      </c>
      <c r="N15">
        <v>100</v>
      </c>
      <c r="O15">
        <v>0.2</v>
      </c>
    </row>
    <row r="16" spans="1:17">
      <c r="A16" s="9"/>
      <c r="B16" s="9" t="s">
        <v>158</v>
      </c>
      <c r="C16" s="9" t="s">
        <v>145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345</v>
      </c>
      <c r="C17" s="9" t="s">
        <v>145</v>
      </c>
      <c r="D17" s="11" t="s">
        <v>648</v>
      </c>
      <c r="E17" s="14">
        <f>50/0.8</f>
        <v>62.5</v>
      </c>
      <c r="F17" s="66">
        <v>0</v>
      </c>
    </row>
    <row r="18" spans="1:15">
      <c r="A18" s="9"/>
      <c r="B18" s="63" t="s">
        <v>650</v>
      </c>
      <c r="C18" s="9" t="s">
        <v>145</v>
      </c>
      <c r="D18" s="11" t="s">
        <v>651</v>
      </c>
      <c r="E18" s="19">
        <v>100</v>
      </c>
      <c r="F18" s="66">
        <v>0</v>
      </c>
      <c r="H18" t="s">
        <v>663</v>
      </c>
      <c r="I18" t="s">
        <v>664</v>
      </c>
      <c r="J18" s="11" t="s">
        <v>672</v>
      </c>
    </row>
    <row r="19" spans="1:15">
      <c r="A19" s="9"/>
      <c r="B19" t="s">
        <v>137</v>
      </c>
      <c r="C19" s="9" t="s">
        <v>135</v>
      </c>
      <c r="D19" s="11" t="s">
        <v>652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105</v>
      </c>
      <c r="C20" s="9" t="s">
        <v>135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191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190</v>
      </c>
      <c r="C22" s="9" t="s">
        <v>9</v>
      </c>
      <c r="D22" s="11" t="s">
        <v>670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669</v>
      </c>
      <c r="E23" s="19">
        <f>50/360</f>
        <v>0.1388888888888889</v>
      </c>
      <c r="F23" s="66">
        <v>0</v>
      </c>
    </row>
    <row r="24" spans="1:15">
      <c r="A24" s="9"/>
      <c r="B24" s="9" t="s">
        <v>131</v>
      </c>
      <c r="C24" s="9" t="s">
        <v>9</v>
      </c>
      <c r="D24" s="11" t="s">
        <v>668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969</v>
      </c>
      <c r="C25" s="9" t="s">
        <v>9</v>
      </c>
      <c r="D25" s="16" t="s">
        <v>973</v>
      </c>
      <c r="E25" s="19">
        <v>50</v>
      </c>
      <c r="F25" s="66">
        <v>0</v>
      </c>
    </row>
    <row r="26" spans="1:15">
      <c r="A26" s="9"/>
      <c r="B26" s="76" t="s">
        <v>970</v>
      </c>
      <c r="C26" s="9" t="s">
        <v>9</v>
      </c>
      <c r="D26" s="16" t="s">
        <v>972</v>
      </c>
      <c r="E26" s="19">
        <v>30</v>
      </c>
      <c r="F26" s="66">
        <v>0</v>
      </c>
    </row>
    <row r="27" spans="1:15">
      <c r="A27" s="9"/>
      <c r="B27" s="76" t="s">
        <v>966</v>
      </c>
      <c r="C27" s="9" t="s">
        <v>9</v>
      </c>
      <c r="D27" s="16" t="s">
        <v>971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208</v>
      </c>
      <c r="C28" s="9" t="s">
        <v>9</v>
      </c>
      <c r="D28" s="11" t="s">
        <v>653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367</v>
      </c>
      <c r="C29" s="9" t="s">
        <v>9</v>
      </c>
      <c r="D29" s="11" t="s">
        <v>654</v>
      </c>
      <c r="E29" s="65">
        <f>30/-0.08</f>
        <v>-375</v>
      </c>
      <c r="F29" s="66">
        <v>0</v>
      </c>
    </row>
    <row r="30" spans="1:15">
      <c r="A30" s="9"/>
      <c r="B30" s="9" t="s">
        <v>124</v>
      </c>
      <c r="C30" s="9" t="s">
        <v>9</v>
      </c>
      <c r="D30" t="s">
        <v>140</v>
      </c>
      <c r="E30" s="19">
        <f>50/100</f>
        <v>0.5</v>
      </c>
      <c r="F30" s="66">
        <v>0</v>
      </c>
    </row>
    <row r="31" spans="1:15">
      <c r="A31" s="9"/>
      <c r="B31" s="9" t="s">
        <v>146</v>
      </c>
      <c r="C31" s="9" t="s">
        <v>9</v>
      </c>
      <c r="D31" t="s">
        <v>142</v>
      </c>
      <c r="E31" s="19">
        <f>50/100</f>
        <v>0.5</v>
      </c>
      <c r="F31" s="66">
        <v>0</v>
      </c>
    </row>
    <row r="32" spans="1:15">
      <c r="A32" s="9"/>
      <c r="B32" s="53" t="s">
        <v>398</v>
      </c>
      <c r="C32" s="9" t="s">
        <v>9</v>
      </c>
      <c r="D32" t="s">
        <v>152</v>
      </c>
      <c r="E32" s="19">
        <f>30/1/2</f>
        <v>15</v>
      </c>
      <c r="F32" s="66">
        <v>0</v>
      </c>
    </row>
    <row r="33" spans="1:6">
      <c r="A33" s="9"/>
      <c r="B33" s="9" t="s">
        <v>134</v>
      </c>
      <c r="C33" s="9" t="s">
        <v>9</v>
      </c>
      <c r="D33" t="s">
        <v>197</v>
      </c>
      <c r="E33" s="19">
        <f>50/25</f>
        <v>2</v>
      </c>
      <c r="F33" s="66">
        <v>0</v>
      </c>
    </row>
    <row r="34" spans="1:6">
      <c r="A34" s="9"/>
      <c r="B34" s="9" t="s">
        <v>139</v>
      </c>
      <c r="C34" s="9" t="s">
        <v>9</v>
      </c>
      <c r="D34" t="s">
        <v>198</v>
      </c>
      <c r="E34" s="19">
        <f>50/25</f>
        <v>2</v>
      </c>
      <c r="F34" s="66">
        <v>0</v>
      </c>
    </row>
    <row r="35" spans="1:6">
      <c r="A35" s="9"/>
      <c r="B35" s="9" t="s">
        <v>151</v>
      </c>
      <c r="C35" s="9" t="s">
        <v>9</v>
      </c>
      <c r="D35" t="s">
        <v>213</v>
      </c>
      <c r="E35" s="19">
        <v>2</v>
      </c>
      <c r="F35" s="66">
        <v>0</v>
      </c>
    </row>
    <row r="36" spans="1:6">
      <c r="A36" s="9"/>
      <c r="B36" s="9" t="s">
        <v>155</v>
      </c>
      <c r="C36" s="9" t="s">
        <v>9</v>
      </c>
      <c r="D36" t="s">
        <v>214</v>
      </c>
      <c r="E36" s="19">
        <v>2</v>
      </c>
      <c r="F36" s="66">
        <v>0</v>
      </c>
    </row>
    <row r="37" spans="1:6">
      <c r="B37" s="9" t="s">
        <v>111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745</v>
      </c>
    </row>
    <row r="45" spans="1:6">
      <c r="B45" s="11" t="s">
        <v>755</v>
      </c>
      <c r="C45" s="11" t="s">
        <v>757</v>
      </c>
      <c r="D45" s="11" t="s">
        <v>758</v>
      </c>
      <c r="E45" s="11" t="s">
        <v>745</v>
      </c>
      <c r="F45" s="11" t="s">
        <v>671</v>
      </c>
    </row>
    <row r="46" spans="1:6">
      <c r="B46" s="9" t="s">
        <v>746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747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748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749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750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751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752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753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754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745</v>
      </c>
    </row>
    <row r="57" spans="2:6">
      <c r="B57" s="11" t="s">
        <v>772</v>
      </c>
      <c r="C57" t="s">
        <v>774</v>
      </c>
      <c r="D57" s="11" t="s">
        <v>775</v>
      </c>
      <c r="E57" s="11" t="s">
        <v>773</v>
      </c>
      <c r="F57" s="11" t="s">
        <v>671</v>
      </c>
    </row>
    <row r="58" spans="2:6">
      <c r="B58" s="16" t="s">
        <v>434</v>
      </c>
      <c r="E58" s="19" cm="1">
        <f t="array" ref="E58">밸런스시트31[체력 상승량]</f>
        <v>1.2</v>
      </c>
    </row>
    <row r="59" spans="2:6">
      <c r="B59" s="16" t="s">
        <v>349</v>
      </c>
      <c r="E59" s="19"/>
    </row>
    <row r="60" spans="2:6">
      <c r="B60" s="16" t="s">
        <v>336</v>
      </c>
      <c r="E60" s="19"/>
    </row>
    <row r="61" spans="2:6">
      <c r="B61" s="48" t="s">
        <v>460</v>
      </c>
      <c r="E61" s="57">
        <v>1</v>
      </c>
    </row>
    <row r="62" spans="2:6">
      <c r="B62" s="16" t="s">
        <v>321</v>
      </c>
      <c r="E62" s="19"/>
    </row>
    <row r="63" spans="2:6">
      <c r="B63" s="16" t="s">
        <v>342</v>
      </c>
      <c r="E63" s="19"/>
    </row>
    <row r="64" spans="2:6">
      <c r="B64" s="16" t="s">
        <v>337</v>
      </c>
      <c r="E64" s="19"/>
    </row>
    <row r="65" spans="2:5">
      <c r="B65" s="16" t="s">
        <v>347</v>
      </c>
      <c r="E65" s="19"/>
    </row>
    <row r="66" spans="2:5">
      <c r="B66" s="20" t="s">
        <v>449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108</v>
      </c>
      <c r="C3">
        <v>5</v>
      </c>
      <c r="D3" s="4" t="s">
        <v>121</v>
      </c>
    </row>
    <row r="4" spans="1:4">
      <c r="A4">
        <v>2</v>
      </c>
      <c r="B4" s="4" t="s">
        <v>149</v>
      </c>
      <c r="C4">
        <v>5</v>
      </c>
      <c r="D4" s="4" t="s">
        <v>107</v>
      </c>
    </row>
    <row r="5" spans="1:4">
      <c r="A5">
        <v>3</v>
      </c>
      <c r="B5" s="4" t="s">
        <v>156</v>
      </c>
      <c r="C5">
        <v>20</v>
      </c>
      <c r="D5" s="4" t="s">
        <v>1</v>
      </c>
    </row>
    <row r="6" spans="1:4">
      <c r="A6">
        <v>4</v>
      </c>
      <c r="B6" s="4" t="s">
        <v>157</v>
      </c>
      <c r="C6">
        <v>0.5</v>
      </c>
      <c r="D6" s="4" t="s">
        <v>115</v>
      </c>
    </row>
    <row r="7" spans="1:4">
      <c r="A7">
        <v>5</v>
      </c>
      <c r="B7" s="4" t="s">
        <v>193</v>
      </c>
      <c r="C7">
        <v>50</v>
      </c>
      <c r="D7" s="4" t="s">
        <v>222</v>
      </c>
    </row>
    <row r="8" spans="1:4">
      <c r="A8">
        <v>6</v>
      </c>
      <c r="B8" s="4" t="s">
        <v>196</v>
      </c>
      <c r="C8">
        <v>1</v>
      </c>
      <c r="D8" s="4" t="s">
        <v>106</v>
      </c>
    </row>
    <row r="9" spans="1:4">
      <c r="A9">
        <v>7</v>
      </c>
      <c r="B9" s="4" t="s">
        <v>221</v>
      </c>
      <c r="C9">
        <v>10</v>
      </c>
      <c r="D9" s="4" t="s">
        <v>220</v>
      </c>
    </row>
    <row r="10" spans="1:4">
      <c r="A10">
        <v>8</v>
      </c>
      <c r="B10" s="4" t="s">
        <v>12</v>
      </c>
      <c r="C10">
        <v>5</v>
      </c>
      <c r="D10" s="4" t="s">
        <v>104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163</v>
      </c>
      <c r="F2" t="s">
        <v>0</v>
      </c>
      <c r="G2" s="11" t="s">
        <v>367</v>
      </c>
      <c r="H2" t="s">
        <v>5</v>
      </c>
      <c r="I2" s="16" t="s">
        <v>345</v>
      </c>
      <c r="J2" t="s">
        <v>3</v>
      </c>
      <c r="K2" t="s">
        <v>13</v>
      </c>
      <c r="L2" t="s">
        <v>137</v>
      </c>
      <c r="M2" t="s">
        <v>158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22.125" customWidth="1"/>
    <col min="9" max="9" width="17.875" style="76" customWidth="1"/>
    <col min="10" max="10" width="18.125" bestFit="1" customWidth="1"/>
    <col min="11" max="11" width="19.125" bestFit="1" customWidth="1"/>
    <col min="12" max="12" width="22.625" bestFit="1" customWidth="1"/>
    <col min="13" max="13" width="18.875" bestFit="1" customWidth="1"/>
    <col min="14" max="15" width="19.5" bestFit="1" customWidth="1"/>
    <col min="16" max="16" width="23.375" bestFit="1" customWidth="1"/>
    <col min="17" max="17" width="23.125" bestFit="1" customWidth="1"/>
    <col min="18" max="18" width="13.375" bestFit="1" customWidth="1"/>
    <col min="19" max="19" width="14.125" bestFit="1" customWidth="1"/>
    <col min="20" max="20" width="25.125" bestFit="1" customWidth="1"/>
    <col min="21" max="23" width="22.375" bestFit="1" customWidth="1"/>
    <col min="24" max="24" width="21.125" customWidth="1"/>
    <col min="25" max="25" width="27.1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346</v>
      </c>
      <c r="E2" s="6" t="s">
        <v>190</v>
      </c>
      <c r="F2" s="37" t="s">
        <v>459</v>
      </c>
      <c r="G2" s="6" t="s">
        <v>208</v>
      </c>
      <c r="H2" s="33" t="s">
        <v>968</v>
      </c>
      <c r="I2" s="33" t="s">
        <v>970</v>
      </c>
      <c r="J2" s="33" t="s">
        <v>966</v>
      </c>
      <c r="K2" s="33" t="s">
        <v>413</v>
      </c>
      <c r="L2" s="37" t="s">
        <v>405</v>
      </c>
      <c r="M2" s="6" t="s">
        <v>15</v>
      </c>
      <c r="N2" s="7" t="s">
        <v>134</v>
      </c>
      <c r="O2" s="7" t="s">
        <v>139</v>
      </c>
      <c r="P2" s="38" t="s">
        <v>411</v>
      </c>
      <c r="Q2" s="28" t="s">
        <v>412</v>
      </c>
      <c r="R2" s="1" t="s">
        <v>191</v>
      </c>
    </row>
    <row r="3" spans="2:24">
      <c r="B3">
        <v>200</v>
      </c>
      <c r="C3" s="4" t="s">
        <v>169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128</v>
      </c>
      <c r="E2" s="23" t="s">
        <v>120</v>
      </c>
      <c r="F2" s="23" t="s">
        <v>164</v>
      </c>
      <c r="G2" t="s">
        <v>6</v>
      </c>
      <c r="H2" t="s">
        <v>180</v>
      </c>
      <c r="I2" t="s">
        <v>126</v>
      </c>
      <c r="J2" t="s">
        <v>125</v>
      </c>
      <c r="K2" t="s">
        <v>167</v>
      </c>
      <c r="L2" t="s">
        <v>122</v>
      </c>
      <c r="M2" t="s">
        <v>127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350</v>
      </c>
      <c r="H2" t="s">
        <v>26</v>
      </c>
      <c r="I2" t="s">
        <v>50</v>
      </c>
    </row>
    <row r="3" spans="1:11">
      <c r="B3" s="23">
        <v>9001</v>
      </c>
      <c r="C3" s="25" t="s">
        <v>306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302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237</v>
      </c>
      <c r="B6">
        <v>9100</v>
      </c>
      <c r="C6" s="13" t="s">
        <v>303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zoomScaleNormal="75" zoomScaleSheetLayoutView="100" workbookViewId="0">
      <selection activeCell="D26" sqref="D26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25</v>
      </c>
      <c r="C1" s="16" t="s">
        <v>325</v>
      </c>
      <c r="D1" s="11" t="s">
        <v>237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309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324</v>
      </c>
      <c r="D2" s="12" t="s">
        <v>237</v>
      </c>
      <c r="E2" t="s">
        <v>69</v>
      </c>
      <c r="F2" s="16" t="s">
        <v>301</v>
      </c>
      <c r="G2" t="s">
        <v>174</v>
      </c>
      <c r="H2" t="s">
        <v>176</v>
      </c>
      <c r="I2" s="16" t="s">
        <v>329</v>
      </c>
      <c r="J2" t="s">
        <v>0</v>
      </c>
      <c r="K2" s="16" t="s">
        <v>310</v>
      </c>
      <c r="L2" t="s">
        <v>118</v>
      </c>
      <c r="M2" t="s">
        <v>114</v>
      </c>
      <c r="N2" t="s">
        <v>116</v>
      </c>
      <c r="O2" t="s">
        <v>173</v>
      </c>
      <c r="P2" t="s">
        <v>123</v>
      </c>
      <c r="Q2" t="s">
        <v>179</v>
      </c>
      <c r="R2" t="s">
        <v>177</v>
      </c>
      <c r="S2" t="s">
        <v>2</v>
      </c>
      <c r="T2" t="s">
        <v>182</v>
      </c>
      <c r="U2" s="5" t="s">
        <v>184</v>
      </c>
      <c r="V2" s="5" t="s">
        <v>200</v>
      </c>
    </row>
    <row r="3" spans="2:22">
      <c r="B3">
        <v>500</v>
      </c>
      <c r="C3" s="4" t="s">
        <v>20</v>
      </c>
      <c r="D3" s="13" t="s">
        <v>238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322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425</v>
      </c>
      <c r="D4" s="13" t="s">
        <v>240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426</v>
      </c>
      <c r="D5" s="13" t="s">
        <v>241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427</v>
      </c>
      <c r="D6" s="13" t="s">
        <v>260</v>
      </c>
      <c r="E6">
        <f>표14[적 기준 체력]*EnemyGameData[[#This Row],['#기준 적 체력 비율]]</f>
        <v>80</v>
      </c>
      <c r="F6">
        <v>16</v>
      </c>
      <c r="G6" t="s">
        <v>183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418</v>
      </c>
      <c r="C7" s="21" t="s">
        <v>143</v>
      </c>
      <c r="D7" s="21" t="s">
        <v>264</v>
      </c>
      <c r="E7" s="20">
        <f>표14[적 기준 체력]*EnemyGameData[[#This Row],['#기준 적 체력 비율]]</f>
        <v>80</v>
      </c>
      <c r="F7">
        <v>16</v>
      </c>
      <c r="G7" s="20" t="s">
        <v>183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419</v>
      </c>
      <c r="C8" s="21" t="s">
        <v>144</v>
      </c>
      <c r="D8" s="21" t="s">
        <v>264</v>
      </c>
      <c r="E8" s="20">
        <f>표14[적 기준 체력]*EnemyGameData[[#This Row],['#기준 적 체력 비율]]</f>
        <v>100</v>
      </c>
      <c r="F8">
        <v>16</v>
      </c>
      <c r="G8" s="20" t="s">
        <v>183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428</v>
      </c>
      <c r="D9" s="13" t="s">
        <v>263</v>
      </c>
      <c r="E9">
        <f>표14[적 기준 체력]*EnemyGameData[[#This Row],['#기준 적 체력 비율]]</f>
        <v>100</v>
      </c>
      <c r="F9">
        <v>16</v>
      </c>
      <c r="G9" t="s">
        <v>183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420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429</v>
      </c>
      <c r="D10" s="13" t="s">
        <v>266</v>
      </c>
      <c r="E10">
        <f>표14[적 기준 체력]*EnemyGameData[[#This Row],['#기준 적 체력 비율]]</f>
        <v>80</v>
      </c>
      <c r="F10">
        <v>50</v>
      </c>
      <c r="G10" t="s">
        <v>183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129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430</v>
      </c>
      <c r="D11" s="13" t="s">
        <v>239</v>
      </c>
      <c r="E11">
        <f>표14[적 기준 체력]*EnemyGameData[[#This Row],['#기준 적 체력 비율]]</f>
        <v>140</v>
      </c>
      <c r="F11">
        <v>50</v>
      </c>
      <c r="G11" s="16" t="s">
        <v>410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129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424</v>
      </c>
      <c r="U11">
        <v>1.4</v>
      </c>
      <c r="V11">
        <v>7</v>
      </c>
    </row>
    <row r="12" spans="2:22">
      <c r="B12" s="39">
        <v>551</v>
      </c>
      <c r="C12" s="40" t="s">
        <v>431</v>
      </c>
      <c r="D12" s="40" t="s">
        <v>242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416</v>
      </c>
      <c r="U12" s="39">
        <v>1.6</v>
      </c>
      <c r="V12" s="39">
        <v>7</v>
      </c>
    </row>
    <row r="13" spans="2:22">
      <c r="B13">
        <v>552</v>
      </c>
      <c r="C13" s="13" t="s">
        <v>432</v>
      </c>
      <c r="D13" s="13" t="s">
        <v>261</v>
      </c>
      <c r="E13">
        <f>표14[적 기준 체력]*EnemyGameData[[#This Row],['#기준 적 체력 비율]]</f>
        <v>140</v>
      </c>
      <c r="F13">
        <v>16</v>
      </c>
      <c r="G13" t="s">
        <v>183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422</v>
      </c>
      <c r="U13">
        <v>1.4</v>
      </c>
      <c r="V13">
        <v>7</v>
      </c>
    </row>
    <row r="14" spans="2:22">
      <c r="B14">
        <v>553</v>
      </c>
      <c r="C14" s="14" t="s">
        <v>433</v>
      </c>
      <c r="D14" s="13" t="s">
        <v>262</v>
      </c>
      <c r="E14">
        <f>표14[적 기준 체력]*EnemyGameData[[#This Row],['#기준 적 체력 비율]]</f>
        <v>160</v>
      </c>
      <c r="F14">
        <v>16</v>
      </c>
      <c r="G14" t="s">
        <v>183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421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414</v>
      </c>
      <c r="C15" s="22" t="s">
        <v>265</v>
      </c>
      <c r="D15" s="21" t="s">
        <v>264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322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954</v>
      </c>
      <c r="D16" s="40"/>
      <c r="E16" s="39">
        <v>1500</v>
      </c>
      <c r="F16" s="39">
        <v>16</v>
      </c>
      <c r="G16" s="39" t="s">
        <v>183</v>
      </c>
      <c r="H16" s="39">
        <v>0.5</v>
      </c>
      <c r="I16" s="20">
        <v>0.3</v>
      </c>
      <c r="J16" s="39">
        <v>2.5</v>
      </c>
      <c r="K16" s="39">
        <v>0</v>
      </c>
      <c r="L16" s="39">
        <v>3</v>
      </c>
      <c r="M16" s="39" t="s">
        <v>65</v>
      </c>
      <c r="N16" s="39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956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955</v>
      </c>
      <c r="D17" s="40"/>
      <c r="E17" s="39">
        <v>2000</v>
      </c>
      <c r="F17" s="39">
        <v>16</v>
      </c>
      <c r="G17" s="39" t="s">
        <v>183</v>
      </c>
      <c r="H17" s="39">
        <v>0.5</v>
      </c>
      <c r="I17" s="20">
        <v>0.3</v>
      </c>
      <c r="J17" s="39">
        <v>1.5</v>
      </c>
      <c r="K17" s="39">
        <v>0</v>
      </c>
      <c r="L17" s="39">
        <v>3</v>
      </c>
      <c r="M17" s="39" t="s">
        <v>65</v>
      </c>
      <c r="N17" s="39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953</v>
      </c>
      <c r="D18" s="40"/>
      <c r="E18" s="39">
        <v>3000</v>
      </c>
      <c r="F18" s="39">
        <v>16</v>
      </c>
      <c r="G18" s="39" t="s">
        <v>183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65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485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71"/>
  <sheetViews>
    <sheetView zoomScaleNormal="75" zoomScaleSheetLayoutView="100" workbookViewId="0">
      <selection activeCell="G74" sqref="G74"/>
    </sheetView>
  </sheetViews>
  <sheetFormatPr defaultColWidth="8.87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237</v>
      </c>
      <c r="I1" s="11" t="s">
        <v>237</v>
      </c>
    </row>
    <row r="2" spans="2:9">
      <c r="B2" t="s">
        <v>39</v>
      </c>
      <c r="C2" s="5" t="s">
        <v>23</v>
      </c>
      <c r="D2" t="s">
        <v>188</v>
      </c>
      <c r="E2" t="s">
        <v>67</v>
      </c>
      <c r="F2" t="s">
        <v>187</v>
      </c>
      <c r="G2" t="s">
        <v>185</v>
      </c>
      <c r="H2" s="11" t="s">
        <v>237</v>
      </c>
      <c r="I2" s="11" t="s">
        <v>288</v>
      </c>
    </row>
    <row r="3" spans="2:9">
      <c r="B3">
        <v>600</v>
      </c>
      <c r="C3" s="15" t="s">
        <v>280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243</v>
      </c>
      <c r="D4">
        <v>702</v>
      </c>
      <c r="E4" t="s">
        <v>87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243</v>
      </c>
      <c r="D5">
        <v>706</v>
      </c>
      <c r="E5" t="s">
        <v>87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243</v>
      </c>
      <c r="D6">
        <v>712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243</v>
      </c>
      <c r="D7">
        <v>709</v>
      </c>
      <c r="E7" t="s">
        <v>87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243</v>
      </c>
      <c r="D8">
        <v>711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243</v>
      </c>
      <c r="D9">
        <v>708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243</v>
      </c>
      <c r="D10">
        <v>718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243</v>
      </c>
      <c r="D11">
        <v>710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243</v>
      </c>
      <c r="D12">
        <v>703</v>
      </c>
      <c r="E12" t="s">
        <v>87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276</v>
      </c>
      <c r="D13">
        <v>719</v>
      </c>
      <c r="E13" t="s">
        <v>87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93</v>
      </c>
      <c r="D14">
        <v>720</v>
      </c>
      <c r="E14" t="s">
        <v>87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284</v>
      </c>
      <c r="D15">
        <v>721</v>
      </c>
      <c r="E15" t="s">
        <v>87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284</v>
      </c>
      <c r="D16">
        <v>722</v>
      </c>
      <c r="E16" t="s">
        <v>87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284</v>
      </c>
      <c r="D17">
        <v>723</v>
      </c>
      <c r="E17" t="s">
        <v>87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275</v>
      </c>
      <c r="D18">
        <v>724</v>
      </c>
      <c r="E18" t="s">
        <v>87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210</v>
      </c>
      <c r="D19">
        <v>724</v>
      </c>
      <c r="E19" t="s">
        <v>87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210</v>
      </c>
      <c r="D20">
        <v>724</v>
      </c>
      <c r="E20" t="s">
        <v>87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210</v>
      </c>
      <c r="D21">
        <v>724</v>
      </c>
      <c r="E21" t="s">
        <v>87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274</v>
      </c>
      <c r="D22">
        <v>701</v>
      </c>
      <c r="E22" t="s">
        <v>91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281</v>
      </c>
      <c r="D23">
        <v>727</v>
      </c>
      <c r="E23" t="s">
        <v>91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282</v>
      </c>
      <c r="D24">
        <v>727</v>
      </c>
      <c r="E24" t="s">
        <v>91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283</v>
      </c>
      <c r="D25">
        <v>727</v>
      </c>
      <c r="E25" t="s">
        <v>91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299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299</v>
      </c>
      <c r="D27">
        <v>718</v>
      </c>
      <c r="E27" t="s">
        <v>87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299</v>
      </c>
      <c r="D28">
        <v>708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299</v>
      </c>
      <c r="D29">
        <v>712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299</v>
      </c>
      <c r="D30">
        <v>708</v>
      </c>
      <c r="E30" t="s">
        <v>87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299</v>
      </c>
      <c r="D31">
        <v>711</v>
      </c>
      <c r="E31" t="s">
        <v>87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299</v>
      </c>
      <c r="D32">
        <v>713</v>
      </c>
      <c r="E32" t="s">
        <v>87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299</v>
      </c>
      <c r="D33">
        <v>713</v>
      </c>
      <c r="E33" t="s">
        <v>87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299</v>
      </c>
      <c r="D34">
        <v>705</v>
      </c>
      <c r="E34" t="s">
        <v>87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299</v>
      </c>
      <c r="D35">
        <v>706</v>
      </c>
      <c r="E35" t="s">
        <v>87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299</v>
      </c>
      <c r="D36">
        <v>711</v>
      </c>
      <c r="E36" t="s">
        <v>87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299</v>
      </c>
      <c r="D37">
        <v>712</v>
      </c>
      <c r="E37" t="s">
        <v>87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299</v>
      </c>
      <c r="D38">
        <v>708</v>
      </c>
      <c r="E38" t="s">
        <v>87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299</v>
      </c>
      <c r="D39">
        <v>702</v>
      </c>
      <c r="E39" t="s">
        <v>87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299</v>
      </c>
      <c r="D40">
        <v>708</v>
      </c>
      <c r="E40" t="s">
        <v>87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299</v>
      </c>
      <c r="D41">
        <v>717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285</v>
      </c>
      <c r="D42">
        <v>726</v>
      </c>
      <c r="E42" t="s">
        <v>87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286</v>
      </c>
      <c r="D43">
        <v>726</v>
      </c>
      <c r="E43" t="s">
        <v>87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287</v>
      </c>
      <c r="D44">
        <v>726</v>
      </c>
      <c r="E44" t="s">
        <v>87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269</v>
      </c>
      <c r="D45">
        <v>1000</v>
      </c>
      <c r="E45" s="16" t="s">
        <v>267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269</v>
      </c>
      <c r="D46">
        <v>1001</v>
      </c>
      <c r="E46" s="16" t="s">
        <v>267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269</v>
      </c>
      <c r="D47">
        <v>1002</v>
      </c>
      <c r="E47" s="16" t="s">
        <v>267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269</v>
      </c>
      <c r="D48">
        <v>1003</v>
      </c>
      <c r="E48" s="16" t="s">
        <v>267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269</v>
      </c>
      <c r="D49">
        <v>1004</v>
      </c>
      <c r="E49" s="16" t="s">
        <v>267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269</v>
      </c>
      <c r="D50">
        <v>1005</v>
      </c>
      <c r="E50" s="16" t="s">
        <v>267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269</v>
      </c>
      <c r="D51">
        <v>1006</v>
      </c>
      <c r="E51" s="16" t="s">
        <v>267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269</v>
      </c>
      <c r="D52">
        <v>1007</v>
      </c>
      <c r="E52" s="16" t="s">
        <v>267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269</v>
      </c>
      <c r="D53">
        <v>1008</v>
      </c>
      <c r="E53" s="16" t="s">
        <v>267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269</v>
      </c>
      <c r="D54">
        <v>1009</v>
      </c>
      <c r="E54" s="16" t="s">
        <v>267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269</v>
      </c>
      <c r="D55">
        <v>1010</v>
      </c>
      <c r="E55" s="16" t="s">
        <v>267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269</v>
      </c>
      <c r="D56">
        <v>727</v>
      </c>
      <c r="E56" s="16" t="s">
        <v>267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270</v>
      </c>
      <c r="D57">
        <v>727</v>
      </c>
      <c r="E57" s="16" t="s">
        <v>267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271</v>
      </c>
      <c r="D58">
        <v>999</v>
      </c>
      <c r="E58" s="16" t="s">
        <v>268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20001</v>
      </c>
      <c r="C59" s="18" t="s">
        <v>958</v>
      </c>
      <c r="D59">
        <v>2001</v>
      </c>
      <c r="E59" s="16" t="s">
        <v>268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962</v>
      </c>
      <c r="D60">
        <v>2002</v>
      </c>
      <c r="E60" s="16" t="s">
        <v>965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963</v>
      </c>
      <c r="D61">
        <v>2002</v>
      </c>
      <c r="E61" s="16" t="s">
        <v>268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964</v>
      </c>
      <c r="D62">
        <v>2002</v>
      </c>
      <c r="E62" s="16" t="s">
        <v>965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974</v>
      </c>
      <c r="D63">
        <v>2003</v>
      </c>
      <c r="E63" s="16" t="s">
        <v>268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1" t="s">
        <v>974</v>
      </c>
      <c r="D64">
        <v>2004</v>
      </c>
      <c r="E64" s="16" t="s">
        <v>268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9">
      <c r="B65">
        <v>20005</v>
      </c>
      <c r="C65" s="11" t="s">
        <v>974</v>
      </c>
      <c r="D65">
        <v>2005</v>
      </c>
      <c r="E65" s="16" t="s">
        <v>268</v>
      </c>
      <c r="F65">
        <v>0</v>
      </c>
      <c r="G65">
        <v>0.5</v>
      </c>
      <c r="H65" t="str">
        <f>INDEX(ShootTable['#설명],MATCH(EnemyAtkTable[[#This Row],[ShootDataId]],ShootTable[Index],0))</f>
        <v>새디 발버둥3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9">
      <c r="B66">
        <v>20005</v>
      </c>
      <c r="C66" s="11" t="s">
        <v>974</v>
      </c>
      <c r="D66">
        <v>2006</v>
      </c>
      <c r="E66" s="16" t="s">
        <v>268</v>
      </c>
      <c r="F66">
        <v>0</v>
      </c>
      <c r="G66">
        <v>0.5</v>
      </c>
      <c r="H66" t="str">
        <f>INDEX(ShootTable['#설명],MATCH(EnemyAtkTable[[#This Row],[ShootDataId]],ShootTable[Index],0))</f>
        <v>새디 발버둥4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9">
      <c r="B67">
        <v>20005</v>
      </c>
      <c r="C67" s="11" t="s">
        <v>974</v>
      </c>
      <c r="D67">
        <v>2007</v>
      </c>
      <c r="E67" s="16" t="s">
        <v>268</v>
      </c>
      <c r="F67">
        <v>0</v>
      </c>
      <c r="G67">
        <v>0.5</v>
      </c>
      <c r="H67" t="str">
        <f>INDEX(ShootTable['#설명],MATCH(EnemyAtkTable[[#This Row],[ShootDataId]],ShootTable[Index],0))</f>
        <v>새디 발버둥5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9">
      <c r="B68">
        <v>20005</v>
      </c>
      <c r="C68" s="11" t="s">
        <v>974</v>
      </c>
      <c r="D68">
        <v>2004</v>
      </c>
      <c r="E68" s="16" t="s">
        <v>268</v>
      </c>
      <c r="F68">
        <v>0</v>
      </c>
      <c r="G68">
        <v>0.5</v>
      </c>
      <c r="H68" t="str">
        <f>INDEX(ShootTable['#설명],MATCH(EnemyAtkTable[[#This Row],[ShootDataId]],ShootTable[Index],0))</f>
        <v>새디 발버둥2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9">
      <c r="B69">
        <v>20005</v>
      </c>
      <c r="C69" s="11" t="s">
        <v>974</v>
      </c>
      <c r="D69">
        <v>2005</v>
      </c>
      <c r="E69" s="16" t="s">
        <v>268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9">
      <c r="B70">
        <v>20005</v>
      </c>
      <c r="C70" s="11" t="s">
        <v>974</v>
      </c>
      <c r="D70">
        <v>2006</v>
      </c>
      <c r="E70" s="16" t="s">
        <v>268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9">
      <c r="B71">
        <v>20005</v>
      </c>
      <c r="C71" s="11" t="s">
        <v>974</v>
      </c>
      <c r="D71">
        <v>2007</v>
      </c>
      <c r="E71" s="16" t="s">
        <v>268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203"/>
  <sheetViews>
    <sheetView topLeftCell="A178" zoomScaleNormal="75" zoomScaleSheetLayoutView="100" workbookViewId="0">
      <selection activeCell="A204" sqref="A204:XFD204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7">
      <c r="B2" t="s">
        <v>39</v>
      </c>
      <c r="C2" s="5" t="s">
        <v>23</v>
      </c>
      <c r="D2" t="s">
        <v>189</v>
      </c>
      <c r="E2" t="s">
        <v>2</v>
      </c>
      <c r="F2" t="s">
        <v>130</v>
      </c>
      <c r="G2" t="s">
        <v>192</v>
      </c>
    </row>
    <row r="3" spans="2:7">
      <c r="B3">
        <v>700</v>
      </c>
      <c r="C3" s="4" t="s">
        <v>204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204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204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204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136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136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136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136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246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247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248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249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250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251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252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253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254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255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256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244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257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245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258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259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277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211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211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211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211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211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211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211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211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138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138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138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138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138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138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138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138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147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147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147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147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147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147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147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147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205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308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308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307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307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307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307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307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307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308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308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307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307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307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307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307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307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364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364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364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394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394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394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394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394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394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394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394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440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440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440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440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272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2001</v>
      </c>
      <c r="C185" s="16" t="s">
        <v>958</v>
      </c>
      <c r="D185">
        <v>0</v>
      </c>
      <c r="E185">
        <v>2001</v>
      </c>
      <c r="F185">
        <v>1</v>
      </c>
      <c r="G185">
        <v>5</v>
      </c>
    </row>
    <row r="186" spans="2:7">
      <c r="B186">
        <v>2002</v>
      </c>
      <c r="C186" s="16" t="s">
        <v>959</v>
      </c>
      <c r="D186">
        <v>25</v>
      </c>
      <c r="E186">
        <v>2001</v>
      </c>
      <c r="F186">
        <v>2</v>
      </c>
      <c r="G186">
        <v>7</v>
      </c>
    </row>
    <row r="187" spans="2:7">
      <c r="B187">
        <v>2002</v>
      </c>
      <c r="C187" s="16" t="s">
        <v>959</v>
      </c>
      <c r="D187">
        <v>0</v>
      </c>
      <c r="E187">
        <v>2001</v>
      </c>
      <c r="F187">
        <v>2</v>
      </c>
      <c r="G187">
        <v>7</v>
      </c>
    </row>
    <row r="188" spans="2:7">
      <c r="B188">
        <v>2002</v>
      </c>
      <c r="C188" s="16" t="s">
        <v>959</v>
      </c>
      <c r="D188">
        <v>-25</v>
      </c>
      <c r="E188">
        <v>2001</v>
      </c>
      <c r="F188">
        <v>2</v>
      </c>
      <c r="G188">
        <v>7</v>
      </c>
    </row>
    <row r="189" spans="2:7">
      <c r="B189">
        <v>2003</v>
      </c>
      <c r="C189" s="11" t="s">
        <v>975</v>
      </c>
      <c r="D189">
        <v>96</v>
      </c>
      <c r="E189">
        <v>2001</v>
      </c>
      <c r="F189">
        <v>0</v>
      </c>
      <c r="G189">
        <v>5</v>
      </c>
    </row>
    <row r="190" spans="2:7">
      <c r="B190">
        <v>2003</v>
      </c>
      <c r="C190" s="11" t="s">
        <v>975</v>
      </c>
      <c r="D190">
        <v>213</v>
      </c>
      <c r="E190">
        <v>2001</v>
      </c>
      <c r="F190">
        <v>0</v>
      </c>
      <c r="G190">
        <v>5</v>
      </c>
    </row>
    <row r="191" spans="2:7">
      <c r="B191">
        <v>2003</v>
      </c>
      <c r="C191" s="11" t="s">
        <v>975</v>
      </c>
      <c r="D191">
        <v>153</v>
      </c>
      <c r="E191">
        <v>2001</v>
      </c>
      <c r="F191">
        <v>0</v>
      </c>
      <c r="G191">
        <v>5</v>
      </c>
    </row>
    <row r="192" spans="2:7">
      <c r="B192">
        <v>2004</v>
      </c>
      <c r="C192" s="11" t="s">
        <v>976</v>
      </c>
      <c r="D192">
        <v>264</v>
      </c>
      <c r="E192">
        <v>2001</v>
      </c>
      <c r="F192">
        <v>0</v>
      </c>
      <c r="G192">
        <v>5</v>
      </c>
    </row>
    <row r="193" spans="2:7">
      <c r="B193">
        <v>2004</v>
      </c>
      <c r="C193" s="11" t="s">
        <v>976</v>
      </c>
      <c r="D193">
        <v>124</v>
      </c>
      <c r="E193">
        <v>2001</v>
      </c>
      <c r="F193">
        <v>0</v>
      </c>
      <c r="G193">
        <v>5</v>
      </c>
    </row>
    <row r="194" spans="2:7">
      <c r="B194">
        <v>2004</v>
      </c>
      <c r="C194" s="11" t="s">
        <v>976</v>
      </c>
      <c r="D194">
        <v>188</v>
      </c>
      <c r="E194">
        <v>2001</v>
      </c>
      <c r="F194">
        <v>0</v>
      </c>
      <c r="G194">
        <v>5</v>
      </c>
    </row>
    <row r="195" spans="2:7">
      <c r="B195">
        <v>2005</v>
      </c>
      <c r="C195" s="11" t="s">
        <v>977</v>
      </c>
      <c r="D195">
        <v>59</v>
      </c>
      <c r="E195">
        <v>2001</v>
      </c>
      <c r="F195">
        <v>0</v>
      </c>
      <c r="G195">
        <v>5</v>
      </c>
    </row>
    <row r="196" spans="2:7">
      <c r="B196">
        <v>2005</v>
      </c>
      <c r="C196" s="11" t="s">
        <v>977</v>
      </c>
      <c r="D196">
        <v>30</v>
      </c>
      <c r="E196">
        <v>2001</v>
      </c>
      <c r="F196">
        <v>0</v>
      </c>
      <c r="G196">
        <v>5</v>
      </c>
    </row>
    <row r="197" spans="2:7">
      <c r="B197">
        <v>2005</v>
      </c>
      <c r="C197" s="11" t="s">
        <v>977</v>
      </c>
      <c r="D197">
        <v>120</v>
      </c>
      <c r="E197">
        <v>2001</v>
      </c>
      <c r="F197">
        <v>0</v>
      </c>
      <c r="G197">
        <v>5</v>
      </c>
    </row>
    <row r="198" spans="2:7">
      <c r="B198">
        <v>2006</v>
      </c>
      <c r="C198" s="11" t="s">
        <v>978</v>
      </c>
      <c r="D198">
        <v>90</v>
      </c>
      <c r="E198">
        <v>2001</v>
      </c>
      <c r="F198">
        <v>0</v>
      </c>
      <c r="G198">
        <v>5</v>
      </c>
    </row>
    <row r="199" spans="2:7">
      <c r="B199">
        <v>2006</v>
      </c>
      <c r="C199" s="11" t="s">
        <v>978</v>
      </c>
      <c r="D199">
        <v>350</v>
      </c>
      <c r="E199">
        <v>2001</v>
      </c>
      <c r="F199">
        <v>0</v>
      </c>
      <c r="G199">
        <v>5</v>
      </c>
    </row>
    <row r="200" spans="2:7">
      <c r="B200">
        <v>2006</v>
      </c>
      <c r="C200" s="11" t="s">
        <v>978</v>
      </c>
      <c r="D200">
        <v>72</v>
      </c>
      <c r="E200">
        <v>2001</v>
      </c>
      <c r="F200">
        <v>0</v>
      </c>
      <c r="G200">
        <v>5</v>
      </c>
    </row>
    <row r="201" spans="2:7">
      <c r="B201">
        <v>2007</v>
      </c>
      <c r="C201" s="11" t="s">
        <v>979</v>
      </c>
      <c r="D201">
        <v>255</v>
      </c>
      <c r="E201">
        <v>2001</v>
      </c>
      <c r="F201">
        <v>0</v>
      </c>
      <c r="G201">
        <v>5</v>
      </c>
    </row>
    <row r="202" spans="2:7">
      <c r="B202">
        <v>2007</v>
      </c>
      <c r="C202" s="11" t="s">
        <v>979</v>
      </c>
      <c r="D202">
        <v>25</v>
      </c>
      <c r="E202">
        <v>2001</v>
      </c>
      <c r="F202">
        <v>0</v>
      </c>
      <c r="G202">
        <v>5</v>
      </c>
    </row>
    <row r="203" spans="2:7">
      <c r="B203">
        <v>2007</v>
      </c>
      <c r="C203" s="11" t="s">
        <v>979</v>
      </c>
      <c r="D203">
        <v>105</v>
      </c>
      <c r="E203">
        <v>2001</v>
      </c>
      <c r="F203">
        <v>0</v>
      </c>
      <c r="G203">
        <v>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202</v>
      </c>
      <c r="E2" t="s">
        <v>105</v>
      </c>
      <c r="F2" t="s">
        <v>175</v>
      </c>
      <c r="G2" t="s">
        <v>182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219</v>
      </c>
    </row>
    <row r="4" spans="2:7">
      <c r="B4">
        <v>201</v>
      </c>
      <c r="C4" s="14" t="s">
        <v>365</v>
      </c>
      <c r="D4" t="b">
        <v>1</v>
      </c>
      <c r="E4">
        <v>0.8</v>
      </c>
      <c r="F4">
        <v>15</v>
      </c>
      <c r="G4" s="11" t="s">
        <v>396</v>
      </c>
    </row>
    <row r="5" spans="2:7">
      <c r="B5">
        <v>204</v>
      </c>
      <c r="C5" s="14" t="s">
        <v>395</v>
      </c>
      <c r="D5" t="b">
        <v>1</v>
      </c>
      <c r="E5">
        <v>1.5</v>
      </c>
      <c r="F5">
        <v>15</v>
      </c>
      <c r="G5" s="11" t="s">
        <v>866</v>
      </c>
    </row>
    <row r="6" spans="2:7">
      <c r="B6">
        <v>205</v>
      </c>
      <c r="C6" s="14" t="s">
        <v>441</v>
      </c>
      <c r="D6" t="b">
        <v>1</v>
      </c>
      <c r="E6">
        <v>1.2</v>
      </c>
      <c r="F6">
        <v>10</v>
      </c>
      <c r="G6" s="11" t="s">
        <v>407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218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218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218</v>
      </c>
    </row>
    <row r="10" spans="2:7">
      <c r="B10">
        <v>401</v>
      </c>
      <c r="C10" s="19" t="s">
        <v>212</v>
      </c>
      <c r="D10" s="3" t="b">
        <v>1</v>
      </c>
      <c r="E10">
        <v>0.25</v>
      </c>
      <c r="F10">
        <v>25</v>
      </c>
      <c r="G10" t="s">
        <v>218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218</v>
      </c>
    </row>
    <row r="12" spans="2:7">
      <c r="B12">
        <v>403</v>
      </c>
      <c r="C12" s="13" t="s">
        <v>278</v>
      </c>
      <c r="D12" s="3" t="b">
        <v>0</v>
      </c>
      <c r="E12">
        <v>0.8</v>
      </c>
      <c r="F12">
        <v>25</v>
      </c>
      <c r="G12" t="s">
        <v>218</v>
      </c>
    </row>
    <row r="13" spans="2:7">
      <c r="B13">
        <v>404</v>
      </c>
      <c r="C13" s="13" t="s">
        <v>279</v>
      </c>
      <c r="D13" s="3" t="b">
        <v>1</v>
      </c>
      <c r="E13">
        <v>0.8</v>
      </c>
      <c r="F13">
        <v>25</v>
      </c>
      <c r="G13" t="s">
        <v>218</v>
      </c>
    </row>
    <row r="14" spans="2:7">
      <c r="B14">
        <v>999</v>
      </c>
      <c r="C14" s="18" t="s">
        <v>273</v>
      </c>
      <c r="D14" t="b">
        <v>1</v>
      </c>
      <c r="E14">
        <v>1</v>
      </c>
      <c r="F14">
        <v>25</v>
      </c>
      <c r="G14" s="16" t="s">
        <v>300</v>
      </c>
    </row>
    <row r="15" spans="2:7">
      <c r="B15">
        <v>2000</v>
      </c>
      <c r="C15" s="18" t="s">
        <v>961</v>
      </c>
      <c r="D15" t="b">
        <v>1</v>
      </c>
      <c r="E15">
        <v>2</v>
      </c>
      <c r="F15">
        <v>25</v>
      </c>
      <c r="G15" s="16" t="s">
        <v>957</v>
      </c>
    </row>
    <row r="16" spans="2:7">
      <c r="B16">
        <v>2001</v>
      </c>
      <c r="C16" s="18" t="s">
        <v>960</v>
      </c>
      <c r="D16" t="b">
        <v>1</v>
      </c>
      <c r="E16">
        <v>0.8</v>
      </c>
      <c r="F16">
        <v>25</v>
      </c>
      <c r="G16" t="s">
        <v>218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O34"/>
  <sheetViews>
    <sheetView tabSelected="1" zoomScaleNormal="100" zoomScaleSheetLayoutView="100" workbookViewId="0">
      <selection activeCell="F26" sqref="F26"/>
    </sheetView>
  </sheetViews>
  <sheetFormatPr defaultColWidth="8.875" defaultRowHeight="16.5"/>
  <cols>
    <col min="1" max="1" width="8.875" style="42"/>
    <col min="2" max="2" width="11.5" style="42" customWidth="1"/>
    <col min="3" max="3" width="14.625" style="42" customWidth="1"/>
    <col min="4" max="4" width="98.875" style="42" customWidth="1"/>
    <col min="5" max="5" width="58.5" style="42" customWidth="1"/>
    <col min="6" max="6" width="32.375" style="42" customWidth="1"/>
    <col min="7" max="8" width="14.625" style="42" customWidth="1"/>
    <col min="9" max="11" width="16.125" style="42" customWidth="1"/>
    <col min="12" max="12" width="22.125" style="42" customWidth="1"/>
    <col min="13" max="13" width="32.625" style="42" customWidth="1"/>
    <col min="14" max="15" width="24.625" style="42" customWidth="1"/>
    <col min="16" max="16384" width="8.875" style="42"/>
  </cols>
  <sheetData>
    <row r="1" spans="2:15">
      <c r="C1" s="42" t="s">
        <v>40</v>
      </c>
      <c r="D1" s="42" t="s">
        <v>25</v>
      </c>
      <c r="E1" s="42" t="s">
        <v>25</v>
      </c>
      <c r="F1" s="42" t="s">
        <v>25</v>
      </c>
      <c r="G1" s="42" t="s">
        <v>25</v>
      </c>
      <c r="I1" s="42" t="s">
        <v>51</v>
      </c>
      <c r="J1" s="42" t="s">
        <v>27</v>
      </c>
    </row>
    <row r="2" spans="2:15">
      <c r="B2" s="58" t="s">
        <v>39</v>
      </c>
      <c r="C2" s="58" t="s">
        <v>42</v>
      </c>
      <c r="D2" s="58" t="s">
        <v>102</v>
      </c>
      <c r="E2" s="58" t="s">
        <v>351</v>
      </c>
      <c r="F2" s="58" t="s">
        <v>352</v>
      </c>
      <c r="G2" s="58" t="s">
        <v>159</v>
      </c>
      <c r="H2" s="58" t="s">
        <v>939</v>
      </c>
      <c r="I2" s="58" t="s">
        <v>46</v>
      </c>
      <c r="J2" s="58" t="s">
        <v>49</v>
      </c>
      <c r="K2" s="58" t="s">
        <v>160</v>
      </c>
      <c r="L2" s="58" t="s">
        <v>7</v>
      </c>
      <c r="M2" s="58" t="s">
        <v>112</v>
      </c>
      <c r="N2" s="59" t="s">
        <v>505</v>
      </c>
      <c r="O2" s="59" t="s">
        <v>506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26</v>
      </c>
      <c r="H3" s="8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26</v>
      </c>
      <c r="H4" s="8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50</v>
      </c>
      <c r="H5" s="8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17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50</v>
      </c>
      <c r="H6" s="8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17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50</v>
      </c>
      <c r="H7" s="8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17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209</v>
      </c>
      <c r="D8" s="42" t="s">
        <v>872</v>
      </c>
      <c r="E8" s="42" t="s">
        <v>873</v>
      </c>
      <c r="G8" s="42" t="s">
        <v>43</v>
      </c>
      <c r="H8" s="8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591</v>
      </c>
      <c r="N8" s="57" t="s">
        <v>492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97</v>
      </c>
      <c r="D9" s="42" t="s">
        <v>874</v>
      </c>
      <c r="E9" s="42" t="s">
        <v>875</v>
      </c>
      <c r="G9" s="42" t="s">
        <v>43</v>
      </c>
      <c r="H9" s="8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461</v>
      </c>
      <c r="N9" s="57" t="s">
        <v>493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100</v>
      </c>
      <c r="D10" s="42" t="s">
        <v>876</v>
      </c>
      <c r="E10" s="42" t="s">
        <v>877</v>
      </c>
      <c r="G10" s="42" t="s">
        <v>43</v>
      </c>
      <c r="H10" s="8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462</v>
      </c>
      <c r="N10" s="57" t="s">
        <v>494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99</v>
      </c>
      <c r="D11" s="42" t="s">
        <v>878</v>
      </c>
      <c r="E11" s="42" t="s">
        <v>879</v>
      </c>
      <c r="G11" s="42" t="s">
        <v>43</v>
      </c>
      <c r="H11" s="8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463</v>
      </c>
      <c r="N11" s="57" t="s">
        <v>495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95</v>
      </c>
      <c r="D12" s="42" t="s">
        <v>880</v>
      </c>
      <c r="E12" s="42" t="s">
        <v>881</v>
      </c>
      <c r="G12" s="42" t="s">
        <v>43</v>
      </c>
      <c r="H12" s="8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464</v>
      </c>
      <c r="N12" s="57" t="s">
        <v>508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101</v>
      </c>
      <c r="D13" s="42" t="s">
        <v>882</v>
      </c>
      <c r="E13" s="42" t="s">
        <v>883</v>
      </c>
      <c r="G13" s="42" t="s">
        <v>43</v>
      </c>
      <c r="H13" s="8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465</v>
      </c>
      <c r="N13" s="57" t="s">
        <v>509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34</v>
      </c>
      <c r="D14" s="42" t="s">
        <v>884</v>
      </c>
      <c r="E14" s="42" t="s">
        <v>885</v>
      </c>
      <c r="G14" s="42" t="s">
        <v>435</v>
      </c>
      <c r="H14" s="8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466</v>
      </c>
      <c r="N14" s="57" t="s">
        <v>496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886</v>
      </c>
      <c r="D15" s="42" t="s">
        <v>887</v>
      </c>
      <c r="E15" s="42" t="s">
        <v>888</v>
      </c>
      <c r="G15" s="42" t="s">
        <v>44</v>
      </c>
      <c r="H15" s="8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467</v>
      </c>
      <c r="N15" s="57" t="s">
        <v>511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36</v>
      </c>
      <c r="D16" s="42" t="s">
        <v>889</v>
      </c>
      <c r="E16" s="42" t="s">
        <v>890</v>
      </c>
      <c r="G16" s="42" t="s">
        <v>44</v>
      </c>
      <c r="H16" s="8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468</v>
      </c>
      <c r="N16" s="57" t="s">
        <v>513</v>
      </c>
      <c r="O16" s="57" t="str">
        <f>SUBSTITUTE(PROPER(ItemTable[[#This Row],['#번역본]])," "," ")</f>
        <v>Stone Mask</v>
      </c>
    </row>
    <row r="17" spans="1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206</v>
      </c>
      <c r="D17" s="42" t="s">
        <v>891</v>
      </c>
      <c r="E17" s="42" t="s">
        <v>892</v>
      </c>
      <c r="G17" s="42" t="s">
        <v>44</v>
      </c>
      <c r="H17" s="8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469</v>
      </c>
      <c r="N17" s="57" t="s">
        <v>514</v>
      </c>
      <c r="O17" s="57" t="str">
        <f>SUBSTITUTE(PROPER(ItemTable[[#This Row],['#번역본]])," "," ")</f>
        <v>A Fierce Piggy Bank</v>
      </c>
    </row>
    <row r="18" spans="1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217</v>
      </c>
      <c r="D18" s="42" t="s">
        <v>893</v>
      </c>
      <c r="E18" s="42" t="s">
        <v>894</v>
      </c>
      <c r="G18" s="42" t="s">
        <v>44</v>
      </c>
      <c r="H18" s="8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470</v>
      </c>
      <c r="N18" s="57" t="s">
        <v>515</v>
      </c>
      <c r="O18" s="57" t="str">
        <f>SUBSTITUTE(PROPER(ItemTable[[#This Row],['#번역본]])," "," ")</f>
        <v>Something In The Holy Grail</v>
      </c>
    </row>
    <row r="19" spans="1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103</v>
      </c>
      <c r="D19" s="42" t="s">
        <v>895</v>
      </c>
      <c r="E19" s="42" t="s">
        <v>896</v>
      </c>
      <c r="G19" s="42" t="s">
        <v>44</v>
      </c>
      <c r="H19" s="8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471</v>
      </c>
      <c r="N19" s="57" t="s">
        <v>497</v>
      </c>
      <c r="O19" s="57" t="str">
        <f>SUBSTITUTE(PROPER(ItemTable[[#This Row],['#번역본]])," "," ")</f>
        <v>Strange Candy</v>
      </c>
    </row>
    <row r="20" spans="1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897</v>
      </c>
      <c r="D20" s="42" t="s">
        <v>898</v>
      </c>
      <c r="E20" s="42" t="s">
        <v>899</v>
      </c>
      <c r="G20" s="42" t="s">
        <v>44</v>
      </c>
      <c r="H20" s="8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472</v>
      </c>
      <c r="N20" s="57" t="s">
        <v>516</v>
      </c>
      <c r="O20" s="57" t="str">
        <f>SUBSTITUTE(PROPER(ItemTable[[#This Row],['#번역본]])," "," ")</f>
        <v>Kerberos Pitcher</v>
      </c>
    </row>
    <row r="21" spans="1:15">
      <c r="A21" s="42" t="s">
        <v>237</v>
      </c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3007</v>
      </c>
      <c r="C21" s="77" t="s">
        <v>981</v>
      </c>
      <c r="D21" s="77" t="s">
        <v>983</v>
      </c>
      <c r="E21" s="77" t="s">
        <v>986</v>
      </c>
      <c r="F21" s="77"/>
      <c r="G21" s="77" t="s">
        <v>435</v>
      </c>
      <c r="H21" s="8">
        <v>3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50</v>
      </c>
      <c r="L21" s="42">
        <f t="array" ref="L21">_xlfn.IFS(OR(ItemTable[[#This Row],[GradeType]]="Hp",ItemTable[[#This Row],[GradeType]]="Gold"),0,TRUE,5000+ItemTable[[#This Row],[Index]])</f>
        <v>8007</v>
      </c>
      <c r="M21" s="42" t="s">
        <v>476</v>
      </c>
      <c r="N21" s="57"/>
      <c r="O21" s="57" t="str">
        <f>SUBSTITUTE(PROPER(ItemTable[[#This Row],['#번역본]])," "," ")</f>
        <v/>
      </c>
    </row>
    <row r="22" spans="1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4000</v>
      </c>
      <c r="C22" s="42" t="s">
        <v>98</v>
      </c>
      <c r="D22" s="42" t="s">
        <v>900</v>
      </c>
      <c r="E22" s="42" t="s">
        <v>901</v>
      </c>
      <c r="F22" s="42" t="s">
        <v>902</v>
      </c>
      <c r="G22" s="42" t="s">
        <v>48</v>
      </c>
      <c r="H22" s="8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9000</v>
      </c>
      <c r="M22" s="42" t="s">
        <v>473</v>
      </c>
      <c r="N22" s="57" t="s">
        <v>498</v>
      </c>
      <c r="O22" s="57" t="str">
        <f>SUBSTITUTE(PROPER(ItemTable[[#This Row],['#번역본]])," "," ")</f>
        <v>A Bucket Of Cocoa</v>
      </c>
    </row>
    <row r="23" spans="1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4001</v>
      </c>
      <c r="C23" s="42" t="s">
        <v>94</v>
      </c>
      <c r="D23" s="42" t="s">
        <v>903</v>
      </c>
      <c r="E23" s="42" t="s">
        <v>904</v>
      </c>
      <c r="F23" s="42" t="s">
        <v>905</v>
      </c>
      <c r="G23" s="42" t="s">
        <v>48</v>
      </c>
      <c r="H23" s="8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9001</v>
      </c>
      <c r="M23" s="42" t="s">
        <v>474</v>
      </c>
      <c r="N23" s="57" t="s">
        <v>499</v>
      </c>
      <c r="O23" s="57" t="str">
        <f>SUBSTITUTE(PROPER(ItemTable[[#This Row],['#번역본]])," "," ")</f>
        <v>Sad Canrio</v>
      </c>
    </row>
    <row r="24" spans="1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4002</v>
      </c>
      <c r="C24" s="42" t="s">
        <v>215</v>
      </c>
      <c r="D24" s="42" t="s">
        <v>906</v>
      </c>
      <c r="E24" s="42" t="s">
        <v>907</v>
      </c>
      <c r="F24" s="42" t="s">
        <v>148</v>
      </c>
      <c r="G24" s="42" t="s">
        <v>48</v>
      </c>
      <c r="H24" s="8">
        <v>0</v>
      </c>
      <c r="I24" s="42">
        <v>1</v>
      </c>
      <c r="J24" s="42">
        <f t="array" ref="J24">_xlfn.IFS(ItemTable[[#This Row],[GradeType]]="Normal",25,ItemTable[[#This Row],[GradeType]]="Cursed",50,ItemTable[[#This Row],[GradeType]]="Rare",50)</f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9002</v>
      </c>
      <c r="M24" s="42" t="s">
        <v>475</v>
      </c>
      <c r="N24" s="57" t="s">
        <v>583</v>
      </c>
      <c r="O24" s="57" t="str">
        <f>SUBSTITUTE(PROPER(ItemTable[[#This Row],['#번역본]])," "," ")</f>
        <v>Grilled Tree Frog</v>
      </c>
    </row>
    <row r="25" spans="1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4003</v>
      </c>
      <c r="C25" s="42" t="s">
        <v>207</v>
      </c>
      <c r="D25" s="42" t="s">
        <v>908</v>
      </c>
      <c r="E25" s="42" t="s">
        <v>909</v>
      </c>
      <c r="F25" s="42" t="s">
        <v>910</v>
      </c>
      <c r="G25" s="42" t="s">
        <v>48</v>
      </c>
      <c r="H25" s="8">
        <v>0</v>
      </c>
      <c r="I25" s="42">
        <v>1</v>
      </c>
      <c r="J25" s="42"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9003</v>
      </c>
      <c r="M25" s="42" t="s">
        <v>476</v>
      </c>
      <c r="N25" s="57" t="s">
        <v>500</v>
      </c>
      <c r="O25" s="57" t="str">
        <f>SUBSTITUTE(PROPER(ItemTable[[#This Row],['#번역본]])," "," ")</f>
        <v>Someone'S Diary</v>
      </c>
    </row>
    <row r="26" spans="1:15">
      <c r="B26" s="42">
        <f t="array" ref="B26">_xlfn.IFS(ItemTable[[#This Row],[GradeType]]="Hp",IF(G25=ItemTable[[#This Row],[GradeType]],B25+1,10),ItemTable[[#This Row],[GradeType]]="Gold",IF(G25=ItemTable[[#This Row],[GradeType]],B25+1,20),ItemTable[[#This Row],[GradeType]]="Weapon",IF(G25=ItemTable[[#This Row],[GradeType]],B25+1,1000),ItemTable[[#This Row],[GradeType]]="Normal",IF(G25=ItemTable[[#This Row],[GradeType]],B25+1,2000),ItemTable[[#This Row],[GradeType]]="Rare",IF(G25=ItemTable[[#This Row],[GradeType]],B25+1,3000),ItemTable[[#This Row],[GradeType]]="Cursed",IF(G25=ItemTable[[#This Row],[GradeType]],B25+1,4000))</f>
        <v>4004</v>
      </c>
      <c r="C26" s="42" t="s">
        <v>911</v>
      </c>
      <c r="D26" s="42" t="s">
        <v>912</v>
      </c>
      <c r="E26" s="42" t="s">
        <v>913</v>
      </c>
      <c r="F26" s="42" t="s">
        <v>914</v>
      </c>
      <c r="G26" s="42" t="s">
        <v>48</v>
      </c>
      <c r="H26" s="8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9004</v>
      </c>
      <c r="M26" s="42" t="s">
        <v>477</v>
      </c>
      <c r="N26" s="57" t="s">
        <v>517</v>
      </c>
      <c r="O26" s="57" t="str">
        <f>SUBSTITUTE(PROPER(ItemTable[[#This Row],['#번역본]])," "," ")</f>
        <v>Praise The Sun</v>
      </c>
    </row>
    <row r="27" spans="1:15">
      <c r="B27" s="42">
        <f t="array" ref="B27">_xlfn.IFS(ItemTable[[#This Row],[GradeType]]="Hp",IF(G26=ItemTable[[#This Row],[GradeType]],B26+1,10),ItemTable[[#This Row],[GradeType]]="Gold",IF(G26=ItemTable[[#This Row],[GradeType]],B26+1,20),ItemTable[[#This Row],[GradeType]]="Weapon",IF(G26=ItemTable[[#This Row],[GradeType]],B26+1,1000),ItemTable[[#This Row],[GradeType]]="Normal",IF(G26=ItemTable[[#This Row],[GradeType]],B26+1,2000),ItemTable[[#This Row],[GradeType]]="Rare",IF(G26=ItemTable[[#This Row],[GradeType]],B26+1,3000),ItemTable[[#This Row],[GradeType]]="Cursed",IF(G26=ItemTable[[#This Row],[GradeType]],B26+1,4000))</f>
        <v>4005</v>
      </c>
      <c r="C27" s="42" t="s">
        <v>915</v>
      </c>
      <c r="D27" s="42" t="s">
        <v>916</v>
      </c>
      <c r="E27" s="42" t="s">
        <v>917</v>
      </c>
      <c r="F27" s="42" t="s">
        <v>980</v>
      </c>
      <c r="G27" s="42" t="s">
        <v>48</v>
      </c>
      <c r="H27" s="8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9005</v>
      </c>
      <c r="M27" s="42" t="s">
        <v>482</v>
      </c>
      <c r="N27" s="57" t="s">
        <v>518</v>
      </c>
      <c r="O27" s="57" t="str">
        <f>SUBSTITUTE(PROPER(ItemTable[[#This Row],['#번역본]])," "," ")</f>
        <v>Dodge Cat</v>
      </c>
    </row>
    <row r="28" spans="1:15">
      <c r="B28" s="42">
        <f t="array" ref="B28">_xlfn.IFS(ItemTable[[#This Row],[GradeType]]="Hp",IF(G27=ItemTable[[#This Row],[GradeType]],B27+1,10),ItemTable[[#This Row],[GradeType]]="Gold",IF(G27=ItemTable[[#This Row],[GradeType]],B27+1,20),ItemTable[[#This Row],[GradeType]]="Weapon",IF(G27=ItemTable[[#This Row],[GradeType]],B27+1,1000),ItemTable[[#This Row],[GradeType]]="Normal",IF(G27=ItemTable[[#This Row],[GradeType]],B27+1,2000),ItemTable[[#This Row],[GradeType]]="Rare",IF(G27=ItemTable[[#This Row],[GradeType]],B27+1,3000),ItemTable[[#This Row],[GradeType]]="Cursed",IF(G27=ItemTable[[#This Row],[GradeType]],B27+1,4000))</f>
        <v>4006</v>
      </c>
      <c r="C28" s="42" t="s">
        <v>918</v>
      </c>
      <c r="D28" s="42" t="s">
        <v>919</v>
      </c>
      <c r="E28" s="42" t="s">
        <v>920</v>
      </c>
      <c r="F28" s="42" t="s">
        <v>921</v>
      </c>
      <c r="G28" s="42" t="s">
        <v>48</v>
      </c>
      <c r="H28" s="8">
        <v>0</v>
      </c>
      <c r="I28" s="42">
        <v>1</v>
      </c>
      <c r="J28" s="42">
        <f t="array" ref="J28">_xlfn.IFS(ItemTable[[#This Row],[GradeType]]="Normal",25,ItemTable[[#This Row],[GradeType]]="Cursed",50,ItemTable[[#This Row],[GradeType]]="Rare",50)</f>
        <v>50</v>
      </c>
      <c r="K28" s="42">
        <v>60</v>
      </c>
      <c r="L28" s="42">
        <f t="array" ref="L28">_xlfn.IFS(OR(ItemTable[[#This Row],[GradeType]]="Hp",ItemTable[[#This Row],[GradeType]]="Gold"),0,TRUE,5000+ItemTable[[#This Row],[Index]])</f>
        <v>9006</v>
      </c>
      <c r="M28" s="42" t="s">
        <v>483</v>
      </c>
      <c r="N28" s="57" t="s">
        <v>588</v>
      </c>
      <c r="O28" s="57" t="str">
        <f>SUBSTITUTE(PROPER(ItemTable[[#This Row],['#번역본]])," "," ")</f>
        <v>The Adult Card</v>
      </c>
    </row>
    <row r="29" spans="1:15">
      <c r="B29" s="42">
        <v>10000</v>
      </c>
      <c r="C29" s="42" t="s">
        <v>922</v>
      </c>
      <c r="D29" s="42" t="s">
        <v>923</v>
      </c>
      <c r="E29" s="42" t="s">
        <v>924</v>
      </c>
      <c r="G29" s="42" t="s">
        <v>350</v>
      </c>
      <c r="H29" s="8">
        <v>0</v>
      </c>
      <c r="I29" s="42">
        <v>1</v>
      </c>
      <c r="J29" s="42">
        <v>50</v>
      </c>
      <c r="K29" s="42">
        <v>100</v>
      </c>
      <c r="L29" s="42">
        <v>10000</v>
      </c>
      <c r="M29" s="42" t="s">
        <v>478</v>
      </c>
      <c r="N29" s="57" t="s">
        <v>501</v>
      </c>
      <c r="O29" s="57" t="str">
        <f>SUBSTITUTE(PROPER(ItemTable[[#This Row],['#번역본]])," "," ")</f>
        <v>Infinity Doughnut</v>
      </c>
    </row>
    <row r="30" spans="1:15">
      <c r="B30" s="42">
        <v>10001</v>
      </c>
      <c r="C30" s="42" t="s">
        <v>925</v>
      </c>
      <c r="D30" s="42" t="s">
        <v>926</v>
      </c>
      <c r="E30" s="42" t="s">
        <v>927</v>
      </c>
      <c r="G30" s="42" t="s">
        <v>350</v>
      </c>
      <c r="H30" s="8">
        <v>0</v>
      </c>
      <c r="I30" s="42">
        <v>1</v>
      </c>
      <c r="J30" s="42">
        <v>50</v>
      </c>
      <c r="K30" s="42">
        <v>100</v>
      </c>
      <c r="L30" s="42">
        <v>10001</v>
      </c>
      <c r="M30" s="42" t="s">
        <v>479</v>
      </c>
      <c r="N30" s="57" t="s">
        <v>519</v>
      </c>
      <c r="O30" s="57" t="str">
        <f>SUBSTITUTE(PROPER(ItemTable[[#This Row],['#번역본]])," "," ")</f>
        <v>Ultra-Small Black Hole</v>
      </c>
    </row>
    <row r="31" spans="1:15">
      <c r="B31" s="42">
        <v>10002</v>
      </c>
      <c r="C31" s="42" t="s">
        <v>928</v>
      </c>
      <c r="D31" s="42" t="s">
        <v>929</v>
      </c>
      <c r="E31" s="42" t="s">
        <v>930</v>
      </c>
      <c r="G31" s="42" t="s">
        <v>350</v>
      </c>
      <c r="H31" s="8">
        <v>0</v>
      </c>
      <c r="I31" s="42">
        <v>1</v>
      </c>
      <c r="J31" s="42">
        <v>50</v>
      </c>
      <c r="K31" s="42">
        <v>100</v>
      </c>
      <c r="L31" s="42">
        <v>10002</v>
      </c>
      <c r="M31" s="42" t="s">
        <v>480</v>
      </c>
      <c r="N31" s="57" t="s">
        <v>502</v>
      </c>
      <c r="O31" s="57" t="str">
        <f>SUBSTITUTE(PROPER(ItemTable[[#This Row],['#번역본]])," "," ")</f>
        <v>Cyberware</v>
      </c>
    </row>
    <row r="32" spans="1:15">
      <c r="B32" s="42">
        <v>10003</v>
      </c>
      <c r="C32" s="42" t="s">
        <v>931</v>
      </c>
      <c r="D32" s="42" t="s">
        <v>932</v>
      </c>
      <c r="E32" s="42" t="s">
        <v>933</v>
      </c>
      <c r="G32" s="42" t="s">
        <v>350</v>
      </c>
      <c r="H32" s="8">
        <v>3</v>
      </c>
      <c r="I32" s="42">
        <v>1</v>
      </c>
      <c r="J32" s="42">
        <v>50</v>
      </c>
      <c r="K32" s="42">
        <v>100</v>
      </c>
      <c r="L32" s="42">
        <v>10003</v>
      </c>
      <c r="M32" s="42" t="s">
        <v>481</v>
      </c>
      <c r="N32" s="57" t="s">
        <v>503</v>
      </c>
      <c r="O32" s="57" t="str">
        <f>SUBSTITUTE(PROPER(ItemTable[[#This Row],['#번역본]])," "," ")</f>
        <v>A Missile Backpack</v>
      </c>
    </row>
    <row r="33" spans="2:15">
      <c r="B33" s="42" t="s">
        <v>453</v>
      </c>
      <c r="C33" s="42" t="s">
        <v>937</v>
      </c>
      <c r="G33" s="42" t="s">
        <v>350</v>
      </c>
      <c r="H33" s="8">
        <v>0</v>
      </c>
      <c r="I33" s="42">
        <v>1</v>
      </c>
      <c r="J33" s="42">
        <v>50</v>
      </c>
      <c r="K33" s="42">
        <v>100</v>
      </c>
      <c r="L33" s="42">
        <v>10004</v>
      </c>
      <c r="M33" s="42" t="s">
        <v>481</v>
      </c>
      <c r="N33" s="57" t="s">
        <v>504</v>
      </c>
      <c r="O33" s="57" t="str">
        <f>SUBSTITUTE(PROPER(ItemTable[[#This Row],['#번역본]])," "," ")</f>
        <v>Excalibat</v>
      </c>
    </row>
    <row r="34" spans="2:15">
      <c r="B34" s="42">
        <v>10005</v>
      </c>
      <c r="C34" s="42" t="s">
        <v>934</v>
      </c>
      <c r="D34" s="42" t="s">
        <v>935</v>
      </c>
      <c r="E34" s="42" t="s">
        <v>936</v>
      </c>
      <c r="G34" s="42" t="s">
        <v>350</v>
      </c>
      <c r="H34" s="8">
        <v>0</v>
      </c>
      <c r="I34" s="42">
        <v>1</v>
      </c>
      <c r="J34" s="42">
        <v>50</v>
      </c>
      <c r="K34" s="42">
        <v>100</v>
      </c>
      <c r="L34" s="42">
        <v>10005</v>
      </c>
      <c r="M34" s="42" t="s">
        <v>484</v>
      </c>
      <c r="N34" s="57" t="s">
        <v>520</v>
      </c>
      <c r="O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zoomScaleNormal="100" zoomScaleSheetLayoutView="100" workbookViewId="0">
      <selection activeCell="K18" sqref="K18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125" customWidth="1"/>
    <col min="18" max="19" width="16.5" customWidth="1"/>
  </cols>
  <sheetData>
    <row r="1" spans="1:19">
      <c r="D1" t="s">
        <v>25</v>
      </c>
      <c r="E1" s="16" t="s">
        <v>309</v>
      </c>
      <c r="F1" s="16" t="s">
        <v>309</v>
      </c>
      <c r="G1" s="16" t="s">
        <v>311</v>
      </c>
      <c r="H1" t="s">
        <v>66</v>
      </c>
      <c r="I1" s="16" t="s">
        <v>325</v>
      </c>
      <c r="J1" t="s">
        <v>66</v>
      </c>
      <c r="K1" s="16" t="s">
        <v>311</v>
      </c>
    </row>
    <row r="2" spans="1:19">
      <c r="B2" s="71" t="s">
        <v>938</v>
      </c>
      <c r="C2" s="71" t="s">
        <v>68</v>
      </c>
      <c r="D2" t="s">
        <v>39</v>
      </c>
      <c r="E2" s="16" t="s">
        <v>334</v>
      </c>
      <c r="F2" s="16" t="s">
        <v>335</v>
      </c>
      <c r="G2" s="16" t="s">
        <v>312</v>
      </c>
      <c r="H2" s="16" t="s">
        <v>313</v>
      </c>
      <c r="I2" s="30" t="s">
        <v>315</v>
      </c>
      <c r="J2" s="16" t="s">
        <v>314</v>
      </c>
      <c r="K2" s="30" t="s">
        <v>330</v>
      </c>
      <c r="L2" s="70" t="s">
        <v>686</v>
      </c>
      <c r="M2" s="70" t="s">
        <v>688</v>
      </c>
      <c r="N2" s="70" t="s">
        <v>687</v>
      </c>
      <c r="O2" s="70" t="s">
        <v>759</v>
      </c>
      <c r="P2" s="70" t="s">
        <v>760</v>
      </c>
      <c r="Q2" s="70" t="s">
        <v>761</v>
      </c>
      <c r="R2" s="70" t="s">
        <v>762</v>
      </c>
      <c r="S2" s="70" t="s">
        <v>763</v>
      </c>
    </row>
    <row r="3" spans="1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332</v>
      </c>
      <c r="I3" s="16"/>
      <c r="J3" s="16" t="s">
        <v>331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332</v>
      </c>
      <c r="J4" s="16" t="s">
        <v>331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332</v>
      </c>
      <c r="I5" s="16"/>
      <c r="J5" s="16" t="s">
        <v>331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379</v>
      </c>
      <c r="J6" s="16" t="s">
        <v>331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332</v>
      </c>
      <c r="J7" s="16" t="s">
        <v>331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332</v>
      </c>
      <c r="J8" s="16" t="s">
        <v>331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360</v>
      </c>
      <c r="J9" s="16" t="s">
        <v>331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436</v>
      </c>
      <c r="J10" s="16" t="s">
        <v>331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360</v>
      </c>
      <c r="J11" s="16" t="s">
        <v>437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332</v>
      </c>
      <c r="J12" s="16" t="s">
        <v>331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332</v>
      </c>
      <c r="J13" s="16" t="s">
        <v>331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332</v>
      </c>
      <c r="J14" s="16" t="s">
        <v>331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348</v>
      </c>
      <c r="J15" s="16" t="s">
        <v>437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9" customFormat="1">
      <c r="A16" s="78"/>
      <c r="B16" s="79" t="str">
        <f>INDEX(ItemTable[Name],MATCH(ItemEffectTable[[#This Row],[Index]],ItemTable[ItemEffectDataId],0))</f>
        <v>테스트a</v>
      </c>
      <c r="C16" s="79" t="str">
        <f>INDEX(ItemTable[GradeType],MATCH(ItemEffectTable[[#This Row],[Index]],ItemTable[ItemEffectDataId],0))</f>
        <v>Rare</v>
      </c>
      <c r="D16" s="80">
        <v>8007</v>
      </c>
      <c r="E16" s="80">
        <v>8107</v>
      </c>
      <c r="F16" s="80"/>
      <c r="G16" s="79">
        <v>0</v>
      </c>
      <c r="H16" s="80" t="s">
        <v>332</v>
      </c>
      <c r="J16" s="81" t="s">
        <v>331</v>
      </c>
      <c r="L16" s="80" t="str">
        <f>IFERROR(LEFT(ItemEffectTable[[#This Row],[TriggerType]],FIND(",",ItemEffectTable[[#This Row],[TriggerType]],1)-1),ItemEffectTable[[#This Row],[TriggerType]])</f>
        <v>Equip</v>
      </c>
      <c r="M16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80">
        <f>IFERROR(INDEX(스텟별가치29[발동율],MATCH(ItemEffectTable[[#This Row],['#트리거1]],스텟별가치29[트리거],0)),0)</f>
        <v>-1</v>
      </c>
      <c r="P16" s="80">
        <f>IFERROR(INDEX(스텟별가치29[발동율],MATCH(ItemEffectTable[[#This Row],['#트리거2]],스텟별가치29[트리거],0)),-1)</f>
        <v>-1</v>
      </c>
      <c r="Q16" s="80">
        <f>IFERROR(INDEX(스텟별가치29[발동율],MATCH(ItemEffectTable[[#This Row],['#트리거3]],스텟별가치29[트리거],0)),-1)</f>
        <v>-1</v>
      </c>
      <c r="R16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9" customFormat="1">
      <c r="A17" s="78"/>
      <c r="B17" s="79" t="str">
        <f>INDEX(ItemTable[Name],MATCH(ItemEffectTable[[#This Row],[Index]],ItemTable[ItemEffectDataId],0))</f>
        <v>테스트a</v>
      </c>
      <c r="C17" s="79" t="str">
        <f>INDEX(ItemTable[GradeType],MATCH(ItemEffectTable[[#This Row],[Index]],ItemTable[ItemEffectDataId],0))</f>
        <v>Rare</v>
      </c>
      <c r="D17" s="80">
        <v>8007</v>
      </c>
      <c r="E17" s="80"/>
      <c r="F17" s="80">
        <v>8007</v>
      </c>
      <c r="G17" s="79">
        <v>0</v>
      </c>
      <c r="H17" s="80" t="s">
        <v>985</v>
      </c>
      <c r="I17"/>
      <c r="J17" s="16" t="s">
        <v>331</v>
      </c>
      <c r="L17" s="80" t="str">
        <f>IFERROR(LEFT(ItemEffectTable[[#This Row],[TriggerType]],FIND(",",ItemEffectTable[[#This Row],[TriggerType]],1)-1),ItemEffectTable[[#This Row],[TriggerType]])</f>
        <v>OnClearRoom</v>
      </c>
      <c r="M17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80">
        <f>IFERROR(INDEX(스텟별가치29[발동율],MATCH(ItemEffectTable[[#This Row],['#트리거1]],스텟별가치29[트리거],0)),0)</f>
        <v>0</v>
      </c>
      <c r="P17" s="80">
        <f>IFERROR(INDEX(스텟별가치29[발동율],MATCH(ItemEffectTable[[#This Row],['#트리거2]],스텟별가치29[트리거],0)),-1)</f>
        <v>-1</v>
      </c>
      <c r="Q17" s="80">
        <f>IFERROR(INDEX(스텟별가치29[발동율],MATCH(ItemEffectTable[[#This Row],['#트리거3]],스텟별가치29[트리거],0)),-1)</f>
        <v>-1</v>
      </c>
      <c r="R17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9" customFormat="1">
      <c r="A18" s="78"/>
      <c r="B18" s="79" t="str">
        <f>INDEX(ItemTable[Name],MATCH(ItemEffectTable[[#This Row],[Index]],ItemTable[ItemEffectDataId],0))</f>
        <v>테스트a</v>
      </c>
      <c r="C18" s="79" t="str">
        <f>INDEX(ItemTable[GradeType],MATCH(ItemEffectTable[[#This Row],[Index]],ItemTable[ItemEffectDataId],0))</f>
        <v>Rare</v>
      </c>
      <c r="D18" s="80">
        <v>8007</v>
      </c>
      <c r="E18" s="80">
        <v>8007</v>
      </c>
      <c r="F18" s="80"/>
      <c r="G18" s="79">
        <v>0</v>
      </c>
      <c r="H18" s="80" t="s">
        <v>985</v>
      </c>
      <c r="I18" s="81" t="s">
        <v>982</v>
      </c>
      <c r="J18" s="81" t="s">
        <v>984</v>
      </c>
      <c r="K18" s="79">
        <v>6</v>
      </c>
      <c r="L18" s="80" t="str">
        <f>IFERROR(LEFT(ItemEffectTable[[#This Row],[TriggerType]],FIND(",",ItemEffectTable[[#This Row],[TriggerType]],1)-1),ItemEffectTable[[#This Row],[TriggerType]])</f>
        <v>OnClearRoom</v>
      </c>
      <c r="M18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80">
        <f>IFERROR(INDEX(스텟별가치29[발동율],MATCH(ItemEffectTable[[#This Row],['#트리거1]],스텟별가치29[트리거],0)),0)</f>
        <v>0</v>
      </c>
      <c r="P18" s="80">
        <f>IFERROR(INDEX(스텟별가치29[발동율],MATCH(ItemEffectTable[[#This Row],['#트리거2]],스텟별가치29[트리거],0)),-1)</f>
        <v>-1</v>
      </c>
      <c r="Q18" s="80">
        <f>IFERROR(INDEX(스텟별가치29[발동율],MATCH(ItemEffectTable[[#This Row],['#트리거3]],스텟별가치29[트리거],0)),-1)</f>
        <v>-1</v>
      </c>
      <c r="R18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 s="79" customFormat="1">
      <c r="A19" s="78"/>
      <c r="B19" s="79" t="str">
        <f>INDEX(ItemTable[Name],MATCH(ItemEffectTable[[#This Row],[Index]],ItemTable[ItemEffectDataId],0))</f>
        <v>테스트a</v>
      </c>
      <c r="C19" s="79" t="str">
        <f>INDEX(ItemTable[GradeType],MATCH(ItemEffectTable[[#This Row],[Index]],ItemTable[ItemEffectDataId],0))</f>
        <v>Rare</v>
      </c>
      <c r="D19" s="80">
        <v>8007</v>
      </c>
      <c r="E19" s="80"/>
      <c r="F19" s="80">
        <v>8107</v>
      </c>
      <c r="G19" s="79">
        <v>0</v>
      </c>
      <c r="H19" s="80" t="s">
        <v>985</v>
      </c>
      <c r="I19" s="81" t="s">
        <v>982</v>
      </c>
      <c r="J19" s="81" t="s">
        <v>984</v>
      </c>
      <c r="K19" s="79">
        <v>6</v>
      </c>
      <c r="L19" s="80" t="str">
        <f>IFERROR(LEFT(ItemEffectTable[[#This Row],[TriggerType]],FIND(",",ItemEffectTable[[#This Row],[TriggerType]],1)-1),ItemEffectTable[[#This Row],[TriggerType]])</f>
        <v>OnClearRoom</v>
      </c>
      <c r="M19" s="80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80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80">
        <f>IFERROR(INDEX(스텟별가치29[발동율],MATCH(ItemEffectTable[[#This Row],['#트리거1]],스텟별가치29[트리거],0)),0)</f>
        <v>0</v>
      </c>
      <c r="P19" s="80">
        <f>IFERROR(INDEX(스텟별가치29[발동율],MATCH(ItemEffectTable[[#This Row],['#트리거2]],스텟별가치29[트리거],0)),-1)</f>
        <v>-1</v>
      </c>
      <c r="Q19" s="80">
        <f>IFERROR(INDEX(스텟별가치29[발동율],MATCH(ItemEffectTable[[#This Row],['#트리거3]],스텟별가치29[트리거],0)),-1)</f>
        <v>-1</v>
      </c>
      <c r="R19" s="80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80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코코아 한통</v>
      </c>
      <c r="C20" s="4" t="str">
        <f>INDEX(ItemTable[GradeType],MATCH(ItemEffectTable[[#This Row],[Index]],ItemTable[ItemEffectDataId],0))</f>
        <v>Cursed</v>
      </c>
      <c r="D20" s="16">
        <v>9000</v>
      </c>
      <c r="E20" s="16">
        <v>9000</v>
      </c>
      <c r="F20" s="16"/>
      <c r="G20">
        <v>0</v>
      </c>
      <c r="H20" s="16" t="s">
        <v>332</v>
      </c>
      <c r="J20" s="16" t="s">
        <v>331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1:19">
      <c r="B21" s="19" t="str">
        <f>INDEX(ItemTable[Name],MATCH(ItemEffectTable[[#This Row],[Index]],ItemTable[ItemEffectDataId],0))</f>
        <v>슬픈 캔리오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9001</v>
      </c>
      <c r="F21" s="16"/>
      <c r="G21">
        <v>0</v>
      </c>
      <c r="H21" s="16" t="s">
        <v>381</v>
      </c>
      <c r="J21" s="16" t="s">
        <v>331</v>
      </c>
      <c r="L21" s="18" t="str">
        <f>IFERROR(LEFT(ItemEffectTable[[#This Row],[TriggerType]],FIND(",",ItemEffectTable[[#This Row],[TriggerType]],1)-1),ItemEffectTable[[#This Row],[TriggerType]])</f>
        <v>OnSwingHit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0.875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2" spans="1:19">
      <c r="B22" s="19" t="str">
        <f>INDEX(ItemTable[Name],MATCH(ItemEffectTable[[#This Row],[Index]],ItemTable[ItemEffectDataId],0))</f>
        <v>슬픈 캔리오</v>
      </c>
      <c r="C22" s="4" t="str">
        <f>INDEX(ItemTable[GradeType],MATCH(ItemEffectTable[[#This Row],[Index]],ItemTable[ItemEffectDataId],0))</f>
        <v>Cursed</v>
      </c>
      <c r="D22" s="16">
        <v>9001</v>
      </c>
      <c r="E22" s="16">
        <v>9101</v>
      </c>
      <c r="F22" s="16"/>
      <c r="G22">
        <v>0</v>
      </c>
      <c r="H22" s="16" t="s">
        <v>332</v>
      </c>
      <c r="J22" s="16" t="s">
        <v>331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청개굴 버섯구이</v>
      </c>
      <c r="C23" s="4" t="str">
        <f>INDEX(ItemTable[GradeType],MATCH(ItemEffectTable[[#This Row],[Index]],ItemTable[ItemEffectDataId],0))</f>
        <v>Cursed</v>
      </c>
      <c r="D23" s="16">
        <v>9002</v>
      </c>
      <c r="E23" s="16">
        <v>9002</v>
      </c>
      <c r="F23" s="16">
        <v>9002</v>
      </c>
      <c r="G23">
        <v>0</v>
      </c>
      <c r="H23" s="16" t="s">
        <v>332</v>
      </c>
      <c r="J23" s="16" t="s">
        <v>331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누군가의 일기장</v>
      </c>
      <c r="C24" s="4" t="str">
        <f>INDEX(ItemTable[GradeType],MATCH(ItemEffectTable[[#This Row],[Index]],ItemTable[ItemEffectDataId],0))</f>
        <v>Cursed</v>
      </c>
      <c r="D24" s="16">
        <v>9003</v>
      </c>
      <c r="E24" s="16">
        <v>9003</v>
      </c>
      <c r="F24" s="16">
        <v>9003</v>
      </c>
      <c r="G24">
        <v>0</v>
      </c>
      <c r="H24" s="16" t="s">
        <v>332</v>
      </c>
      <c r="J24" s="16" t="s">
        <v>331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행성 만세</v>
      </c>
      <c r="C25" s="32" t="str">
        <f>INDEX(ItemTable[GradeType],MATCH(ItemEffectTable[[#This Row],[Index]],ItemTable[ItemEffectDataId],0))</f>
        <v>Cursed</v>
      </c>
      <c r="D25" s="16">
        <v>9004</v>
      </c>
      <c r="E25" s="16"/>
      <c r="F25" s="16">
        <v>9004</v>
      </c>
      <c r="G25">
        <v>0</v>
      </c>
      <c r="H25" s="16" t="s">
        <v>454</v>
      </c>
      <c r="J25" s="16" t="s">
        <v>331</v>
      </c>
      <c r="L25" s="18" t="str">
        <f>IFERROR(LEFT(ItemEffectTable[[#This Row],[TriggerType]],FIND(",",ItemEffectTable[[#This Row],[TriggerType]],1)-1),ItemEffectTable[[#This Row],[TriggerType]])</f>
        <v>OnDamage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8.25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행성 만세</v>
      </c>
      <c r="C26" s="32" t="str">
        <f>INDEX(ItemTable[GradeType],MATCH(ItemEffectTable[[#This Row],[Index]],ItemTable[ItemEffectDataId],0))</f>
        <v>Cursed</v>
      </c>
      <c r="D26" s="16">
        <v>9004</v>
      </c>
      <c r="E26" s="16">
        <v>9104</v>
      </c>
      <c r="F26" s="16"/>
      <c r="G26">
        <v>0</v>
      </c>
      <c r="H26" s="16" t="s">
        <v>332</v>
      </c>
      <c r="J26" s="16" t="s">
        <v>331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회피 캣</v>
      </c>
      <c r="C27" s="4" t="str">
        <f>INDEX(ItemTable[GradeType],MATCH(ItemEffectTable[[#This Row],[Index]],ItemTable[ItemEffectDataId],0))</f>
        <v>Cursed</v>
      </c>
      <c r="D27" s="16">
        <v>9005</v>
      </c>
      <c r="E27" s="16"/>
      <c r="F27" s="16">
        <v>9005</v>
      </c>
      <c r="G27">
        <v>0</v>
      </c>
      <c r="H27" s="16" t="s">
        <v>401</v>
      </c>
      <c r="J27" s="16" t="s">
        <v>331</v>
      </c>
      <c r="L27" s="18" t="str">
        <f>IFERROR(LEFT(ItemEffectTable[[#This Row],[TriggerType]],FIND(",",ItemEffectTable[[#This Row],[TriggerType]],1)-1),ItemEffectTable[[#This Row],[TriggerType]])</f>
        <v>OnDodge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2.5499999999999998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회피 캣</v>
      </c>
      <c r="C28" s="32" t="str">
        <f>INDEX(ItemTable[GradeType],MATCH(ItemEffectTable[[#This Row],[Index]],ItemTable[ItemEffectDataId],0))</f>
        <v>Cursed</v>
      </c>
      <c r="D28" s="16">
        <v>9005</v>
      </c>
      <c r="E28" s="16">
        <v>9105</v>
      </c>
      <c r="F28" s="16"/>
      <c r="G28">
        <v>0</v>
      </c>
      <c r="H28" s="16" t="s">
        <v>332</v>
      </c>
      <c r="J28" s="16" t="s">
        <v>331</v>
      </c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19" t="str">
        <f>INDEX(ItemTable[Name],MATCH(ItemEffectTable[[#This Row],[Index]],ItemTable[ItemEffectDataId],0))</f>
        <v>어른의 카드</v>
      </c>
      <c r="C29" s="32" t="str">
        <f>INDEX(ItemTable[GradeType],MATCH(ItemEffectTable[[#This Row],[Index]],ItemTable[ItemEffectDataId],0))</f>
        <v>Cursed</v>
      </c>
      <c r="D29" s="39">
        <v>9006</v>
      </c>
      <c r="E29" s="39">
        <v>9106</v>
      </c>
      <c r="F29" s="16"/>
      <c r="G29">
        <v>0</v>
      </c>
      <c r="H29" s="39" t="s">
        <v>332</v>
      </c>
      <c r="I29" s="39"/>
      <c r="J29" s="16" t="s">
        <v>331</v>
      </c>
      <c r="K29" s="39"/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45" t="str">
        <f>INDEX(ItemTable[Name],MATCH(ItemEffectTable[[#This Row],[Index]],ItemTable[ItemEffectDataId],0))</f>
        <v>어른의 카드</v>
      </c>
      <c r="C30" s="46" t="str">
        <f>INDEX(ItemTable[GradeType],MATCH(ItemEffectTable[[#This Row],[Index]],ItemTable[ItemEffectDataId],0))</f>
        <v>Cursed</v>
      </c>
      <c r="D30" s="39">
        <v>9006</v>
      </c>
      <c r="E30" s="39"/>
      <c r="F30" s="39">
        <v>9006</v>
      </c>
      <c r="G30" s="39">
        <v>0</v>
      </c>
      <c r="H30" s="39" t="s">
        <v>348</v>
      </c>
      <c r="I30" s="39"/>
      <c r="J30" s="16" t="s">
        <v>331</v>
      </c>
      <c r="K30" s="39"/>
      <c r="L30" s="18" t="str">
        <f>IFERROR(LEFT(ItemEffectTable[[#This Row],[TriggerType]],FIND(",",ItemEffectTable[[#This Row],[TriggerType]],1)-1),ItemEffectTable[[#This Row],[TriggerType]])</f>
        <v>OnSwing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0.5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인피니티 도넛</v>
      </c>
      <c r="C31" s="32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338</v>
      </c>
      <c r="I31" s="16"/>
      <c r="J31" s="16" t="s">
        <v>331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초소형 블랙홀</v>
      </c>
      <c r="C32" s="32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10</v>
      </c>
      <c r="H32" s="16" t="s">
        <v>338</v>
      </c>
      <c r="I32" s="16" t="s">
        <v>344</v>
      </c>
      <c r="J32" s="16" t="s">
        <v>343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INDEX(ItemTable[Name],MATCH(ItemEffectTable[[#This Row],[Index]],ItemTable[ItemEffectDataId],0))</f>
        <v>사이버웨어</v>
      </c>
      <c r="C33" s="32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338</v>
      </c>
      <c r="J33" s="16" t="s">
        <v>331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INDEX(ItemTable[Name],MATCH(ItemEffectTable[[#This Row],[Index]],ItemTable[ItemEffectDataId],0))</f>
        <v>미사일 백팩</v>
      </c>
      <c r="C34" s="32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3</v>
      </c>
      <c r="H34" s="16" t="s">
        <v>338</v>
      </c>
      <c r="J34" s="16" t="s">
        <v>331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INDEX(ItemTable[Name],MATCH(ItemEffectTable[[#This Row],[Index]],ItemTable[ItemEffectDataId],0))</f>
        <v>액스칼리배트</v>
      </c>
      <c r="C35" s="32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16</v>
      </c>
      <c r="H35" s="16" t="s">
        <v>338</v>
      </c>
      <c r="J35" s="16" t="s">
        <v>331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6" spans="2:19">
      <c r="B36" s="19" t="str">
        <f>INDEX(ItemTable[Name],MATCH(ItemEffectTable[[#This Row],[Index]],ItemTable[ItemEffectDataId],0))</f>
        <v>여의배트</v>
      </c>
      <c r="C36" s="32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338</v>
      </c>
      <c r="J36" s="16" t="s">
        <v>331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zoomScaleNormal="100" zoomScaleSheetLayoutView="100" workbookViewId="0">
      <selection activeCell="F16" sqref="F16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676</v>
      </c>
      <c r="E1" s="16" t="s">
        <v>677</v>
      </c>
      <c r="F1" s="16" t="s">
        <v>320</v>
      </c>
      <c r="G1" s="16" t="s">
        <v>327</v>
      </c>
      <c r="H1" s="16" t="s">
        <v>320</v>
      </c>
    </row>
    <row r="2" spans="2:21" s="42" customFormat="1">
      <c r="B2" s="68" t="s">
        <v>769</v>
      </c>
      <c r="C2" s="68" t="s">
        <v>655</v>
      </c>
      <c r="D2" s="58" t="s">
        <v>39</v>
      </c>
      <c r="E2" s="58" t="s">
        <v>316</v>
      </c>
      <c r="F2" s="58" t="s">
        <v>326</v>
      </c>
      <c r="G2" s="60" t="s">
        <v>4</v>
      </c>
      <c r="H2" s="60" t="s">
        <v>328</v>
      </c>
      <c r="I2" s="68" t="s">
        <v>657</v>
      </c>
      <c r="J2" s="68" t="s">
        <v>656</v>
      </c>
      <c r="K2" s="69" t="s">
        <v>678</v>
      </c>
      <c r="L2" s="68" t="s">
        <v>675</v>
      </c>
      <c r="M2" s="68" t="s">
        <v>685</v>
      </c>
      <c r="N2" s="68" t="s">
        <v>764</v>
      </c>
      <c r="O2" s="68" t="s">
        <v>765</v>
      </c>
      <c r="P2" s="68" t="s">
        <v>658</v>
      </c>
      <c r="Q2" s="68" t="s">
        <v>768</v>
      </c>
      <c r="R2" s="68" t="s">
        <v>771</v>
      </c>
      <c r="S2" s="74" t="s">
        <v>776</v>
      </c>
      <c r="T2" s="68" t="s">
        <v>767</v>
      </c>
      <c r="U2" s="68" t="s">
        <v>766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967</v>
      </c>
      <c r="F3" s="16">
        <v>1</v>
      </c>
      <c r="G3" s="11" t="s">
        <v>403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190</v>
      </c>
      <c r="F4" s="53">
        <v>0.3</v>
      </c>
      <c r="G4" s="42" t="s">
        <v>486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340</v>
      </c>
      <c r="F5" s="53">
        <v>0.85</v>
      </c>
      <c r="G5" s="42" t="s">
        <v>216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378</v>
      </c>
      <c r="F6" s="42">
        <v>0.2</v>
      </c>
      <c r="G6" s="42" t="s">
        <v>333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131</v>
      </c>
      <c r="F7" s="42">
        <v>0.92</v>
      </c>
      <c r="G7" s="42" t="s">
        <v>216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408</v>
      </c>
      <c r="F8" s="42">
        <v>50</v>
      </c>
      <c r="G8" s="42" t="s">
        <v>333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191</v>
      </c>
      <c r="F9" s="42">
        <v>0.3</v>
      </c>
      <c r="G9" s="42" t="s">
        <v>333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191</v>
      </c>
      <c r="F10" s="42" t="s">
        <v>679</v>
      </c>
      <c r="G10" s="42" t="s">
        <v>333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158</v>
      </c>
      <c r="F11" s="42">
        <v>0.5</v>
      </c>
      <c r="G11" s="42" t="s">
        <v>333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398</v>
      </c>
      <c r="F12" s="42">
        <v>3</v>
      </c>
      <c r="G12" s="42" t="s">
        <v>333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408</v>
      </c>
      <c r="F13" s="42">
        <v>50</v>
      </c>
      <c r="G13" s="42" t="s">
        <v>333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408</v>
      </c>
      <c r="F14" s="42">
        <v>-50</v>
      </c>
      <c r="G14" s="42" t="s">
        <v>333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테스트a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408</v>
      </c>
      <c r="F15" s="42">
        <v>100</v>
      </c>
      <c r="G15" s="42" t="s">
        <v>333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131</v>
      </c>
      <c r="F16" s="42">
        <v>1.5</v>
      </c>
      <c r="G16" s="42" t="s">
        <v>216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208</v>
      </c>
      <c r="F17" s="42">
        <v>0</v>
      </c>
      <c r="G17" s="42" t="s">
        <v>216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382</v>
      </c>
      <c r="F18" s="42">
        <v>0.9</v>
      </c>
      <c r="G18" s="42" t="s">
        <v>216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382</v>
      </c>
      <c r="F19" s="42">
        <v>1.3</v>
      </c>
      <c r="G19" s="42" t="s">
        <v>216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191</v>
      </c>
      <c r="F20" s="42">
        <v>1</v>
      </c>
      <c r="G20" s="42" t="s">
        <v>333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408</v>
      </c>
      <c r="F21" s="42">
        <v>-100</v>
      </c>
      <c r="G21" s="42" t="s">
        <v>333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378</v>
      </c>
      <c r="F22" s="42">
        <v>0.45</v>
      </c>
      <c r="G22" s="42" t="s">
        <v>333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443</v>
      </c>
      <c r="F23">
        <v>0.8</v>
      </c>
      <c r="G23" s="11" t="s">
        <v>397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406</v>
      </c>
      <c r="F24">
        <v>2</v>
      </c>
      <c r="G24" s="11" t="s">
        <v>397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190</v>
      </c>
      <c r="F25">
        <v>1.6</v>
      </c>
      <c r="G25" s="11" t="s">
        <v>486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131</v>
      </c>
      <c r="F26">
        <v>1.2</v>
      </c>
      <c r="G26" t="s">
        <v>216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649</v>
      </c>
      <c r="F28">
        <v>0.8</v>
      </c>
      <c r="G28" t="s">
        <v>216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137</v>
      </c>
      <c r="F29">
        <v>2</v>
      </c>
      <c r="G29" t="s">
        <v>216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131</v>
      </c>
      <c r="F30">
        <v>0.5</v>
      </c>
      <c r="G30" t="s">
        <v>216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216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340</v>
      </c>
      <c r="F32">
        <v>0.5</v>
      </c>
      <c r="G32" t="s">
        <v>216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216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458</v>
      </c>
      <c r="F34">
        <v>2.5</v>
      </c>
      <c r="G34" s="11" t="s">
        <v>486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F9" sqref="F9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4" width="14.125" customWidth="1"/>
  </cols>
  <sheetData>
    <row r="1" spans="1:14">
      <c r="B1" t="s">
        <v>25</v>
      </c>
      <c r="D1" t="s">
        <v>66</v>
      </c>
      <c r="E1" s="16" t="s">
        <v>311</v>
      </c>
      <c r="F1" s="16"/>
      <c r="G1" s="16" t="s">
        <v>320</v>
      </c>
      <c r="H1" s="16"/>
      <c r="I1" s="16" t="s">
        <v>320</v>
      </c>
      <c r="J1" s="16"/>
      <c r="K1" s="16" t="s">
        <v>320</v>
      </c>
    </row>
    <row r="2" spans="1:14">
      <c r="B2" t="s">
        <v>39</v>
      </c>
      <c r="C2" s="36" t="s">
        <v>363</v>
      </c>
      <c r="D2" s="16" t="s">
        <v>341</v>
      </c>
      <c r="E2" s="16" t="s">
        <v>317</v>
      </c>
      <c r="F2" s="34" t="s">
        <v>353</v>
      </c>
      <c r="G2" s="30" t="s">
        <v>318</v>
      </c>
      <c r="H2" s="34" t="s">
        <v>354</v>
      </c>
      <c r="I2" s="30" t="s">
        <v>319</v>
      </c>
      <c r="J2" s="34" t="s">
        <v>355</v>
      </c>
      <c r="K2" s="30" t="s">
        <v>369</v>
      </c>
      <c r="L2" s="34" t="s">
        <v>368</v>
      </c>
      <c r="M2" s="68" t="s">
        <v>770</v>
      </c>
      <c r="N2" s="73" t="s">
        <v>777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434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434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434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349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7" s="16" t="s">
        <v>940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테스트a</v>
      </c>
      <c r="D8" s="16" t="s">
        <v>434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9" s="16" t="s">
        <v>349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10" s="16" t="s">
        <v>349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11" s="16" t="s">
        <v>336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2" s="16" t="s">
        <v>434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3" s="50" t="s">
        <v>460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4" s="16" t="s">
        <v>321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5" s="16" t="s">
        <v>342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6" s="16" t="s">
        <v>337</v>
      </c>
      <c r="E16">
        <v>0.5</v>
      </c>
      <c r="F16" s="14" t="s">
        <v>356</v>
      </c>
      <c r="G16">
        <v>3</v>
      </c>
      <c r="H16" s="14" t="s">
        <v>445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7" s="16" t="s">
        <v>347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948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940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455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449</v>
      </c>
      <c r="E19" s="20">
        <v>70</v>
      </c>
      <c r="F19" s="22" t="s">
        <v>450</v>
      </c>
      <c r="G19" s="20">
        <v>5</v>
      </c>
      <c r="H19" s="22" t="s">
        <v>451</v>
      </c>
      <c r="I19" s="20">
        <v>18</v>
      </c>
      <c r="J19" s="22" t="s">
        <v>452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132</v>
      </c>
      <c r="F2" t="s">
        <v>133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194</v>
      </c>
      <c r="E3" t="s">
        <v>31</v>
      </c>
      <c r="F3" t="s">
        <v>150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171</v>
      </c>
      <c r="F4" t="s">
        <v>224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194</v>
      </c>
      <c r="E5" t="s">
        <v>31</v>
      </c>
      <c r="F5" t="s">
        <v>223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170</v>
      </c>
      <c r="E6" t="s">
        <v>117</v>
      </c>
      <c r="F6" t="s">
        <v>109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195</v>
      </c>
      <c r="E7" t="s">
        <v>178</v>
      </c>
      <c r="F7" t="s">
        <v>226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194</v>
      </c>
      <c r="E8" t="s">
        <v>31</v>
      </c>
      <c r="F8" t="s">
        <v>225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195</v>
      </c>
      <c r="E9" t="s">
        <v>178</v>
      </c>
      <c r="F9" t="s">
        <v>154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37" zoomScaleNormal="100" zoomScaleSheetLayoutView="100" workbookViewId="0">
      <selection activeCell="D162" sqref="D162"/>
    </sheetView>
  </sheetViews>
  <sheetFormatPr defaultColWidth="8.875" defaultRowHeight="16.5"/>
  <cols>
    <col min="2" max="2" width="32.625" customWidth="1"/>
    <col min="3" max="3" width="68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28</v>
      </c>
      <c r="C1" s="9" t="s">
        <v>40</v>
      </c>
      <c r="D1" t="s">
        <v>40</v>
      </c>
      <c r="E1" t="s">
        <v>237</v>
      </c>
      <c r="F1" t="s">
        <v>237</v>
      </c>
      <c r="G1" t="s">
        <v>237</v>
      </c>
      <c r="H1" t="s">
        <v>237</v>
      </c>
      <c r="I1" t="s">
        <v>237</v>
      </c>
    </row>
    <row r="2" spans="2:9">
      <c r="B2" s="11" t="s">
        <v>585</v>
      </c>
      <c r="C2" s="9" t="s">
        <v>162</v>
      </c>
      <c r="D2" t="s">
        <v>161</v>
      </c>
      <c r="E2" s="36" t="s">
        <v>522</v>
      </c>
      <c r="F2" s="36" t="s">
        <v>523</v>
      </c>
      <c r="G2" s="36" t="s">
        <v>524</v>
      </c>
      <c r="H2" s="36" t="s">
        <v>525</v>
      </c>
      <c r="I2" s="36" t="s">
        <v>563</v>
      </c>
    </row>
    <row r="3" spans="2:9">
      <c r="B3" t="str">
        <f>LocaleTable[[#This Row],['#인덱스제너레이터]]</f>
        <v>UI_Title_Button_Start</v>
      </c>
      <c r="C3" s="53" t="s">
        <v>556</v>
      </c>
      <c r="D3" s="53" t="s">
        <v>549</v>
      </c>
      <c r="E3" s="14" t="s">
        <v>527</v>
      </c>
      <c r="F3" s="14" t="s">
        <v>561</v>
      </c>
      <c r="G3" s="14" t="s">
        <v>553</v>
      </c>
      <c r="H3" s="14" t="s">
        <v>550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557</v>
      </c>
      <c r="D4" s="53" t="s">
        <v>551</v>
      </c>
      <c r="E4" s="14" t="s">
        <v>527</v>
      </c>
      <c r="F4" s="14" t="s">
        <v>561</v>
      </c>
      <c r="G4" s="14" t="s">
        <v>553</v>
      </c>
      <c r="H4" s="14" t="s">
        <v>552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558</v>
      </c>
      <c r="D5" s="53" t="s">
        <v>554</v>
      </c>
      <c r="E5" s="14" t="s">
        <v>527</v>
      </c>
      <c r="F5" s="14" t="s">
        <v>561</v>
      </c>
      <c r="G5" s="56" t="s">
        <v>553</v>
      </c>
      <c r="H5" s="14" t="s">
        <v>555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625</v>
      </c>
      <c r="D6" s="53" t="s">
        <v>620</v>
      </c>
      <c r="E6" s="14" t="s">
        <v>527</v>
      </c>
      <c r="F6" s="14" t="s">
        <v>561</v>
      </c>
      <c r="G6" s="56" t="s">
        <v>553</v>
      </c>
      <c r="H6" s="14" t="s">
        <v>620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716</v>
      </c>
      <c r="D7" s="53" t="s">
        <v>554</v>
      </c>
      <c r="E7" s="14" t="s">
        <v>527</v>
      </c>
      <c r="F7" s="56" t="s">
        <v>552</v>
      </c>
      <c r="G7" s="56" t="s">
        <v>561</v>
      </c>
      <c r="H7" s="14" t="s">
        <v>555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797</v>
      </c>
      <c r="D8" s="53" t="s">
        <v>796</v>
      </c>
      <c r="E8" s="14" t="s">
        <v>527</v>
      </c>
      <c r="F8" s="56" t="s">
        <v>552</v>
      </c>
      <c r="G8" s="56" t="s">
        <v>561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699</v>
      </c>
      <c r="D9" s="53" t="s">
        <v>717</v>
      </c>
      <c r="E9" s="14" t="s">
        <v>527</v>
      </c>
      <c r="F9" s="56" t="s">
        <v>552</v>
      </c>
      <c r="G9" s="56" t="s">
        <v>561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700</v>
      </c>
      <c r="D10" s="53" t="s">
        <v>793</v>
      </c>
      <c r="E10" s="14" t="s">
        <v>527</v>
      </c>
      <c r="F10" s="56" t="s">
        <v>552</v>
      </c>
      <c r="G10" s="56" t="s">
        <v>561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701</v>
      </c>
      <c r="D11" s="53" t="s">
        <v>718</v>
      </c>
      <c r="E11" s="14" t="s">
        <v>527</v>
      </c>
      <c r="F11" s="56" t="s">
        <v>552</v>
      </c>
      <c r="G11" s="56" t="s">
        <v>561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702</v>
      </c>
      <c r="D12" s="53" t="s">
        <v>719</v>
      </c>
      <c r="E12" s="14" t="s">
        <v>527</v>
      </c>
      <c r="F12" s="56" t="s">
        <v>552</v>
      </c>
      <c r="G12" s="56" t="s">
        <v>561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703</v>
      </c>
      <c r="D13" s="53" t="s">
        <v>720</v>
      </c>
      <c r="E13" s="14" t="s">
        <v>527</v>
      </c>
      <c r="F13" s="56" t="s">
        <v>552</v>
      </c>
      <c r="G13" s="56" t="s">
        <v>561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704</v>
      </c>
      <c r="D14" s="53" t="s">
        <v>794</v>
      </c>
      <c r="E14" s="14" t="s">
        <v>527</v>
      </c>
      <c r="F14" s="56" t="s">
        <v>552</v>
      </c>
      <c r="G14" s="56" t="s">
        <v>561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562</v>
      </c>
      <c r="D15" s="53" t="s">
        <v>521</v>
      </c>
      <c r="E15" s="14" t="s">
        <v>527</v>
      </c>
      <c r="F15" s="56" t="s">
        <v>552</v>
      </c>
      <c r="G15" s="56" t="s">
        <v>561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829</v>
      </c>
      <c r="D16" s="53" t="s">
        <v>835</v>
      </c>
      <c r="E16" s="14" t="s">
        <v>842</v>
      </c>
      <c r="F16" s="56" t="s">
        <v>552</v>
      </c>
      <c r="G16" s="56" t="s">
        <v>795</v>
      </c>
      <c r="H16" s="14" t="s">
        <v>835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830</v>
      </c>
      <c r="D17" s="53" t="s">
        <v>836</v>
      </c>
      <c r="E17" s="14" t="s">
        <v>842</v>
      </c>
      <c r="F17" s="56" t="s">
        <v>552</v>
      </c>
      <c r="G17" s="56" t="s">
        <v>795</v>
      </c>
      <c r="H17" s="14" t="s">
        <v>836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831</v>
      </c>
      <c r="D18" s="53" t="s">
        <v>837</v>
      </c>
      <c r="E18" s="14" t="s">
        <v>842</v>
      </c>
      <c r="F18" s="56" t="s">
        <v>552</v>
      </c>
      <c r="G18" s="56" t="s">
        <v>795</v>
      </c>
      <c r="H18" s="14" t="s">
        <v>837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832</v>
      </c>
      <c r="D19" s="53" t="s">
        <v>720</v>
      </c>
      <c r="E19" s="14" t="s">
        <v>842</v>
      </c>
      <c r="F19" s="56" t="s">
        <v>552</v>
      </c>
      <c r="G19" s="56" t="s">
        <v>795</v>
      </c>
      <c r="H19" s="14" t="s">
        <v>843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625</v>
      </c>
      <c r="D20" s="53" t="s">
        <v>620</v>
      </c>
      <c r="E20" s="14" t="s">
        <v>842</v>
      </c>
      <c r="F20" s="56" t="s">
        <v>552</v>
      </c>
      <c r="G20" s="56" t="s">
        <v>795</v>
      </c>
      <c r="H20" s="14" t="s">
        <v>620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833</v>
      </c>
      <c r="D21" s="53" t="s">
        <v>838</v>
      </c>
      <c r="E21" s="14" t="s">
        <v>842</v>
      </c>
      <c r="F21" s="56" t="s">
        <v>552</v>
      </c>
      <c r="G21" s="56" t="s">
        <v>795</v>
      </c>
      <c r="H21" s="14" t="s">
        <v>844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834</v>
      </c>
      <c r="D22" s="53" t="s">
        <v>839</v>
      </c>
      <c r="E22" s="14" t="s">
        <v>842</v>
      </c>
      <c r="F22" s="56" t="s">
        <v>552</v>
      </c>
      <c r="G22" s="56" t="s">
        <v>795</v>
      </c>
      <c r="H22" s="14" t="s">
        <v>350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527</v>
      </c>
      <c r="F23" s="56" t="s">
        <v>552</v>
      </c>
      <c r="G23" s="56" t="s">
        <v>705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706</v>
      </c>
      <c r="D24" s="53" t="s">
        <v>791</v>
      </c>
      <c r="E24" s="14" t="s">
        <v>527</v>
      </c>
      <c r="F24" s="56" t="s">
        <v>552</v>
      </c>
      <c r="G24" s="56" t="s">
        <v>705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707</v>
      </c>
      <c r="D25" s="53" t="s">
        <v>792</v>
      </c>
      <c r="E25" s="14" t="s">
        <v>527</v>
      </c>
      <c r="F25" s="56" t="s">
        <v>552</v>
      </c>
      <c r="G25" s="56" t="s">
        <v>705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840</v>
      </c>
      <c r="D26" s="53" t="s">
        <v>841</v>
      </c>
      <c r="E26" s="14" t="s">
        <v>527</v>
      </c>
      <c r="F26" s="56" t="s">
        <v>552</v>
      </c>
      <c r="G26" s="56" t="s">
        <v>705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708</v>
      </c>
      <c r="D27" s="53" t="s">
        <v>721</v>
      </c>
      <c r="E27" s="14" t="s">
        <v>527</v>
      </c>
      <c r="F27" s="56" t="s">
        <v>552</v>
      </c>
      <c r="G27" s="56" t="s">
        <v>705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709</v>
      </c>
      <c r="D28" s="53" t="s">
        <v>722</v>
      </c>
      <c r="E28" s="14" t="s">
        <v>527</v>
      </c>
      <c r="F28" s="56" t="s">
        <v>552</v>
      </c>
      <c r="G28" s="56" t="s">
        <v>705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710</v>
      </c>
      <c r="D29" s="53" t="s">
        <v>723</v>
      </c>
      <c r="E29" s="14" t="s">
        <v>527</v>
      </c>
      <c r="F29" s="56" t="s">
        <v>552</v>
      </c>
      <c r="G29" s="56" t="s">
        <v>705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711</v>
      </c>
      <c r="D30" s="53" t="s">
        <v>724</v>
      </c>
      <c r="E30" s="14" t="s">
        <v>527</v>
      </c>
      <c r="F30" s="56" t="s">
        <v>552</v>
      </c>
      <c r="G30" s="56" t="s">
        <v>705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527</v>
      </c>
      <c r="F31" s="56" t="s">
        <v>552</v>
      </c>
      <c r="G31" s="56" t="s">
        <v>712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3" t="s">
        <v>730</v>
      </c>
      <c r="D32" s="53" t="s">
        <v>731</v>
      </c>
      <c r="E32" s="14" t="s">
        <v>527</v>
      </c>
      <c r="F32" s="56" t="s">
        <v>552</v>
      </c>
      <c r="G32" s="56" t="s">
        <v>712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713</v>
      </c>
      <c r="D33" s="53" t="s">
        <v>725</v>
      </c>
      <c r="E33" s="14" t="s">
        <v>527</v>
      </c>
      <c r="F33" s="56" t="s">
        <v>552</v>
      </c>
      <c r="G33" s="56" t="s">
        <v>712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3" t="s">
        <v>734</v>
      </c>
      <c r="D34" s="53" t="s">
        <v>733</v>
      </c>
      <c r="E34" s="14" t="s">
        <v>527</v>
      </c>
      <c r="F34" s="56" t="s">
        <v>552</v>
      </c>
      <c r="G34" s="56" t="s">
        <v>712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3" t="s">
        <v>735</v>
      </c>
      <c r="D35" s="53" t="s">
        <v>732</v>
      </c>
      <c r="E35" s="14" t="s">
        <v>527</v>
      </c>
      <c r="F35" s="56" t="s">
        <v>552</v>
      </c>
      <c r="G35" s="56" t="s">
        <v>712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714</v>
      </c>
      <c r="D36" s="53" t="s">
        <v>726</v>
      </c>
      <c r="E36" s="14" t="s">
        <v>527</v>
      </c>
      <c r="F36" s="56" t="s">
        <v>552</v>
      </c>
      <c r="G36" s="56" t="s">
        <v>712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728</v>
      </c>
      <c r="D37" s="53" t="s">
        <v>729</v>
      </c>
      <c r="E37" s="14" t="s">
        <v>527</v>
      </c>
      <c r="F37" s="56" t="s">
        <v>552</v>
      </c>
      <c r="G37" s="56" t="s">
        <v>712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715</v>
      </c>
      <c r="D38" s="53" t="s">
        <v>727</v>
      </c>
      <c r="E38" s="14" t="s">
        <v>527</v>
      </c>
      <c r="F38" s="56" t="s">
        <v>552</v>
      </c>
      <c r="G38" s="56" t="s">
        <v>712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625</v>
      </c>
      <c r="D39" s="53" t="s">
        <v>620</v>
      </c>
      <c r="E39" s="14" t="s">
        <v>527</v>
      </c>
      <c r="F39" s="14" t="s">
        <v>620</v>
      </c>
      <c r="G39" s="56" t="s">
        <v>561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627</v>
      </c>
      <c r="D40" s="53" t="s">
        <v>626</v>
      </c>
      <c r="E40" s="14" t="s">
        <v>527</v>
      </c>
      <c r="F40" s="14" t="s">
        <v>620</v>
      </c>
      <c r="G40" s="56" t="s">
        <v>621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628</v>
      </c>
      <c r="D41" s="53" t="s">
        <v>631</v>
      </c>
      <c r="E41" s="14" t="s">
        <v>527</v>
      </c>
      <c r="F41" s="14" t="s">
        <v>620</v>
      </c>
      <c r="G41" s="56" t="s">
        <v>622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629</v>
      </c>
      <c r="D42" s="53" t="s">
        <v>630</v>
      </c>
      <c r="E42" s="14" t="s">
        <v>527</v>
      </c>
      <c r="F42" s="14" t="s">
        <v>620</v>
      </c>
      <c r="G42" s="56" t="s">
        <v>623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632</v>
      </c>
      <c r="D43" s="53" t="s">
        <v>624</v>
      </c>
      <c r="E43" s="14" t="s">
        <v>527</v>
      </c>
      <c r="F43" s="14" t="s">
        <v>620</v>
      </c>
      <c r="G43" s="56" t="s">
        <v>624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634</v>
      </c>
      <c r="D44" s="53" t="s">
        <v>635</v>
      </c>
      <c r="E44" s="14" t="s">
        <v>527</v>
      </c>
      <c r="F44" s="14" t="s">
        <v>620</v>
      </c>
      <c r="G44" s="56" t="s">
        <v>633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636</v>
      </c>
      <c r="D45" s="53" t="s">
        <v>552</v>
      </c>
      <c r="E45" s="14" t="s">
        <v>527</v>
      </c>
      <c r="F45" s="14" t="s">
        <v>620</v>
      </c>
      <c r="G45" s="56" t="s">
        <v>552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562</v>
      </c>
      <c r="D46" s="53" t="s">
        <v>647</v>
      </c>
      <c r="E46" s="14" t="s">
        <v>527</v>
      </c>
      <c r="F46" s="14" t="s">
        <v>559</v>
      </c>
      <c r="G46" s="14" t="s">
        <v>560</v>
      </c>
      <c r="H46" s="14" t="s">
        <v>647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542</v>
      </c>
      <c r="D47" s="53" t="s">
        <v>528</v>
      </c>
      <c r="E47" s="14" t="s">
        <v>527</v>
      </c>
      <c r="F47" s="14" t="s">
        <v>559</v>
      </c>
      <c r="G47" s="14" t="s">
        <v>560</v>
      </c>
      <c r="H47" s="14" t="s">
        <v>529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847</v>
      </c>
      <c r="D48" s="53" t="s">
        <v>859</v>
      </c>
      <c r="E48" s="14" t="s">
        <v>527</v>
      </c>
      <c r="F48" s="14" t="s">
        <v>559</v>
      </c>
      <c r="G48" s="14" t="s">
        <v>848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852</v>
      </c>
      <c r="D49" s="53" t="s">
        <v>858</v>
      </c>
      <c r="E49" s="14" t="s">
        <v>527</v>
      </c>
      <c r="F49" s="14" t="s">
        <v>559</v>
      </c>
      <c r="G49" s="14" t="s">
        <v>848</v>
      </c>
      <c r="H49" s="14" t="s">
        <v>344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853</v>
      </c>
      <c r="D50" s="53" t="s">
        <v>849</v>
      </c>
      <c r="E50" s="14" t="s">
        <v>527</v>
      </c>
      <c r="F50" s="14" t="s">
        <v>559</v>
      </c>
      <c r="G50" s="14" t="s">
        <v>848</v>
      </c>
      <c r="H50" s="14" t="s">
        <v>849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854</v>
      </c>
      <c r="D51" s="53" t="s">
        <v>850</v>
      </c>
      <c r="E51" s="14" t="s">
        <v>527</v>
      </c>
      <c r="F51" s="14" t="s">
        <v>559</v>
      </c>
      <c r="G51" s="14" t="s">
        <v>848</v>
      </c>
      <c r="H51" s="14" t="s">
        <v>850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855</v>
      </c>
      <c r="D52" s="53" t="s">
        <v>857</v>
      </c>
      <c r="E52" s="14" t="s">
        <v>527</v>
      </c>
      <c r="F52" s="14" t="s">
        <v>559</v>
      </c>
      <c r="G52" s="14" t="s">
        <v>848</v>
      </c>
      <c r="H52" s="14" t="s">
        <v>851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856</v>
      </c>
      <c r="D53" s="53" t="s">
        <v>637</v>
      </c>
      <c r="E53" s="14" t="s">
        <v>527</v>
      </c>
      <c r="F53" s="14" t="s">
        <v>559</v>
      </c>
      <c r="G53" s="14" t="s">
        <v>848</v>
      </c>
      <c r="H53" s="14" t="s">
        <v>637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543</v>
      </c>
      <c r="D54" s="53" t="s">
        <v>531</v>
      </c>
      <c r="E54" s="19" t="s">
        <v>527</v>
      </c>
      <c r="F54" s="14" t="s">
        <v>559</v>
      </c>
      <c r="G54" s="19" t="s">
        <v>530</v>
      </c>
      <c r="H54" s="14" t="s">
        <v>532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544</v>
      </c>
      <c r="D55" s="53" t="s">
        <v>538</v>
      </c>
      <c r="E55" s="19" t="s">
        <v>527</v>
      </c>
      <c r="F55" s="14" t="s">
        <v>559</v>
      </c>
      <c r="G55" s="19" t="s">
        <v>530</v>
      </c>
      <c r="H55" s="14" t="s">
        <v>539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545</v>
      </c>
      <c r="D56" s="53" t="s">
        <v>535</v>
      </c>
      <c r="E56" s="14" t="s">
        <v>527</v>
      </c>
      <c r="F56" s="14" t="s">
        <v>559</v>
      </c>
      <c r="G56" s="14" t="s">
        <v>530</v>
      </c>
      <c r="H56" s="14" t="s">
        <v>536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547</v>
      </c>
      <c r="D57" s="53" t="s">
        <v>533</v>
      </c>
      <c r="E57" s="14" t="s">
        <v>527</v>
      </c>
      <c r="F57" s="14" t="s">
        <v>559</v>
      </c>
      <c r="G57" s="14" t="s">
        <v>530</v>
      </c>
      <c r="H57" s="14" t="s">
        <v>534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546</v>
      </c>
      <c r="D58" s="53" t="s">
        <v>540</v>
      </c>
      <c r="E58" s="14" t="s">
        <v>527</v>
      </c>
      <c r="F58" s="14" t="s">
        <v>559</v>
      </c>
      <c r="G58" s="14" t="s">
        <v>530</v>
      </c>
      <c r="H58" s="14" t="s">
        <v>541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548</v>
      </c>
      <c r="D59" s="53" t="s">
        <v>158</v>
      </c>
      <c r="E59" s="14" t="s">
        <v>527</v>
      </c>
      <c r="F59" s="14" t="s">
        <v>559</v>
      </c>
      <c r="G59" s="14" t="s">
        <v>530</v>
      </c>
      <c r="H59" s="14" t="s">
        <v>537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646</v>
      </c>
      <c r="D60" s="53" t="s">
        <v>561</v>
      </c>
      <c r="E60" s="14" t="s">
        <v>527</v>
      </c>
      <c r="F60" s="14" t="s">
        <v>643</v>
      </c>
      <c r="G60" s="14" t="s">
        <v>561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645</v>
      </c>
      <c r="D61" s="53" t="s">
        <v>644</v>
      </c>
      <c r="E61" s="14" t="s">
        <v>527</v>
      </c>
      <c r="F61" s="14" t="s">
        <v>643</v>
      </c>
      <c r="G61" s="14" t="s">
        <v>644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871</v>
      </c>
      <c r="D62" s="53" t="s">
        <v>869</v>
      </c>
      <c r="E62" s="14" t="s">
        <v>527</v>
      </c>
      <c r="F62" s="14" t="s">
        <v>867</v>
      </c>
      <c r="G62" s="14" t="s">
        <v>869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870</v>
      </c>
      <c r="D63" s="53" t="s">
        <v>868</v>
      </c>
      <c r="E63" s="14" t="s">
        <v>527</v>
      </c>
      <c r="F63" s="14" t="s">
        <v>867</v>
      </c>
      <c r="G63" s="14" t="s">
        <v>868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860</v>
      </c>
      <c r="D64" s="53" t="s">
        <v>861</v>
      </c>
      <c r="E64" s="14" t="s">
        <v>527</v>
      </c>
      <c r="F64" s="14" t="s">
        <v>689</v>
      </c>
      <c r="G64" s="14" t="s">
        <v>690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691</v>
      </c>
      <c r="D65" s="53" t="s">
        <v>822</v>
      </c>
      <c r="E65" s="14" t="s">
        <v>527</v>
      </c>
      <c r="F65" s="14" t="s">
        <v>689</v>
      </c>
      <c r="G65" s="14" t="s">
        <v>690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692</v>
      </c>
      <c r="D66" s="53" t="s">
        <v>821</v>
      </c>
      <c r="E66" s="14" t="s">
        <v>527</v>
      </c>
      <c r="F66" s="14" t="s">
        <v>689</v>
      </c>
      <c r="G66" s="14" t="s">
        <v>690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693</v>
      </c>
      <c r="D67" s="53" t="s">
        <v>823</v>
      </c>
      <c r="E67" s="14" t="s">
        <v>527</v>
      </c>
      <c r="F67" s="14" t="s">
        <v>689</v>
      </c>
      <c r="G67" s="14" t="s">
        <v>690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824</v>
      </c>
      <c r="D68" s="53" t="s">
        <v>825</v>
      </c>
      <c r="E68" s="14" t="s">
        <v>527</v>
      </c>
      <c r="F68" s="14" t="s">
        <v>689</v>
      </c>
      <c r="G68" s="14" t="s">
        <v>690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694</v>
      </c>
      <c r="D69" s="53" t="s">
        <v>697</v>
      </c>
      <c r="E69" s="14" t="s">
        <v>527</v>
      </c>
      <c r="F69" s="14" t="s">
        <v>689</v>
      </c>
      <c r="G69" s="14" t="s">
        <v>690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3" t="s">
        <v>695</v>
      </c>
      <c r="D70" s="53" t="s">
        <v>826</v>
      </c>
      <c r="E70" s="14" t="s">
        <v>527</v>
      </c>
      <c r="F70" s="14" t="s">
        <v>689</v>
      </c>
      <c r="G70" s="14" t="s">
        <v>690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696</v>
      </c>
      <c r="D71" s="53" t="s">
        <v>698</v>
      </c>
      <c r="E71" s="14" t="s">
        <v>527</v>
      </c>
      <c r="F71" s="14" t="s">
        <v>689</v>
      </c>
      <c r="G71" s="14" t="s">
        <v>690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828</v>
      </c>
      <c r="D72" s="53" t="s">
        <v>827</v>
      </c>
      <c r="E72" s="14" t="s">
        <v>527</v>
      </c>
      <c r="F72" s="14" t="s">
        <v>689</v>
      </c>
      <c r="G72" s="14" t="s">
        <v>690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864</v>
      </c>
      <c r="D73" s="53" t="s">
        <v>865</v>
      </c>
      <c r="E73" s="14" t="s">
        <v>527</v>
      </c>
      <c r="F73" s="14" t="s">
        <v>689</v>
      </c>
      <c r="G73" s="14" t="s">
        <v>690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862</v>
      </c>
      <c r="D74" s="53" t="s">
        <v>863</v>
      </c>
      <c r="E74" s="14" t="s">
        <v>527</v>
      </c>
      <c r="F74" s="14" t="s">
        <v>689</v>
      </c>
      <c r="G74" s="14" t="s">
        <v>690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845</v>
      </c>
      <c r="D75" s="53" t="s">
        <v>846</v>
      </c>
      <c r="E75" s="14" t="s">
        <v>527</v>
      </c>
      <c r="F75" s="14" t="s">
        <v>689</v>
      </c>
      <c r="G75" s="14" t="s">
        <v>690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639</v>
      </c>
      <c r="D76" s="53" t="s">
        <v>642</v>
      </c>
      <c r="E76" s="14" t="s">
        <v>527</v>
      </c>
      <c r="F76" s="14" t="s">
        <v>637</v>
      </c>
      <c r="G76" s="14" t="s">
        <v>638</v>
      </c>
      <c r="H76" s="14" t="s">
        <v>561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640</v>
      </c>
      <c r="D77" s="53" t="s">
        <v>641</v>
      </c>
      <c r="E77" s="14" t="s">
        <v>527</v>
      </c>
      <c r="F77" s="14" t="s">
        <v>637</v>
      </c>
      <c r="G77" s="14" t="s">
        <v>638</v>
      </c>
      <c r="H77" s="14" t="s">
        <v>324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209</v>
      </c>
      <c r="D78" s="53" t="s">
        <v>492</v>
      </c>
      <c r="E78" s="14" t="s">
        <v>521</v>
      </c>
      <c r="F78" s="14" t="s">
        <v>324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97</v>
      </c>
      <c r="D79" s="53" t="s">
        <v>564</v>
      </c>
      <c r="E79" s="14" t="s">
        <v>521</v>
      </c>
      <c r="F79" s="14" t="s">
        <v>324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100</v>
      </c>
      <c r="D80" s="53" t="s">
        <v>494</v>
      </c>
      <c r="E80" s="14" t="s">
        <v>521</v>
      </c>
      <c r="F80" s="14" t="s">
        <v>324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99</v>
      </c>
      <c r="D81" s="53" t="s">
        <v>565</v>
      </c>
      <c r="E81" s="14" t="s">
        <v>521</v>
      </c>
      <c r="F81" s="14" t="s">
        <v>324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507</v>
      </c>
      <c r="E82" s="14" t="s">
        <v>521</v>
      </c>
      <c r="F82" s="14" t="s">
        <v>324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101</v>
      </c>
      <c r="D83" s="53" t="s">
        <v>576</v>
      </c>
      <c r="E83" s="14" t="s">
        <v>521</v>
      </c>
      <c r="F83" s="14" t="s">
        <v>324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496</v>
      </c>
      <c r="E84" s="14" t="s">
        <v>521</v>
      </c>
      <c r="F84" s="14" t="s">
        <v>324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229</v>
      </c>
      <c r="D85" s="53" t="s">
        <v>510</v>
      </c>
      <c r="E85" s="14" t="s">
        <v>521</v>
      </c>
      <c r="F85" s="14" t="s">
        <v>324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512</v>
      </c>
      <c r="E86" s="14" t="s">
        <v>521</v>
      </c>
      <c r="F86" s="14" t="s">
        <v>324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206</v>
      </c>
      <c r="D87" s="53" t="s">
        <v>566</v>
      </c>
      <c r="E87" s="14" t="s">
        <v>521</v>
      </c>
      <c r="F87" s="14" t="s">
        <v>324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217</v>
      </c>
      <c r="D88" s="53" t="s">
        <v>567</v>
      </c>
      <c r="E88" s="14" t="s">
        <v>521</v>
      </c>
      <c r="F88" s="14" t="s">
        <v>324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103</v>
      </c>
      <c r="D89" s="53" t="s">
        <v>568</v>
      </c>
      <c r="E89" s="14" t="s">
        <v>521</v>
      </c>
      <c r="F89" s="14" t="s">
        <v>324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361</v>
      </c>
      <c r="D90" s="53" t="s">
        <v>569</v>
      </c>
      <c r="E90" s="14" t="s">
        <v>521</v>
      </c>
      <c r="F90" s="14" t="s">
        <v>324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98</v>
      </c>
      <c r="D91" s="53" t="s">
        <v>570</v>
      </c>
      <c r="E91" s="14" t="s">
        <v>521</v>
      </c>
      <c r="F91" s="14" t="s">
        <v>324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499</v>
      </c>
      <c r="E92" s="14" t="s">
        <v>521</v>
      </c>
      <c r="F92" s="14" t="s">
        <v>324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215</v>
      </c>
      <c r="D93" s="53" t="s">
        <v>584</v>
      </c>
      <c r="E93" s="14" t="s">
        <v>521</v>
      </c>
      <c r="F93" s="14" t="s">
        <v>324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207</v>
      </c>
      <c r="D94" s="53" t="s">
        <v>577</v>
      </c>
      <c r="E94" s="14" t="s">
        <v>521</v>
      </c>
      <c r="F94" s="14" t="s">
        <v>324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366</v>
      </c>
      <c r="D95" s="53" t="s">
        <v>571</v>
      </c>
      <c r="E95" s="14" t="s">
        <v>521</v>
      </c>
      <c r="F95" s="14" t="s">
        <v>324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441</v>
      </c>
      <c r="D96" s="53" t="s">
        <v>572</v>
      </c>
      <c r="E96" s="14" t="s">
        <v>521</v>
      </c>
      <c r="F96" s="14" t="s">
        <v>324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444</v>
      </c>
      <c r="D97" s="53" t="s">
        <v>798</v>
      </c>
      <c r="E97" s="14" t="s">
        <v>521</v>
      </c>
      <c r="F97" s="14" t="s">
        <v>324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357</v>
      </c>
      <c r="D98" s="53" t="s">
        <v>573</v>
      </c>
      <c r="E98" s="14" t="s">
        <v>521</v>
      </c>
      <c r="F98" s="14" t="s">
        <v>324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371</v>
      </c>
      <c r="D99" s="53" t="s">
        <v>574</v>
      </c>
      <c r="E99" s="14" t="s">
        <v>521</v>
      </c>
      <c r="F99" s="14" t="s">
        <v>324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490</v>
      </c>
      <c r="D100" s="53" t="s">
        <v>502</v>
      </c>
      <c r="E100" s="14" t="s">
        <v>521</v>
      </c>
      <c r="F100" s="14" t="s">
        <v>324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359</v>
      </c>
      <c r="D101" s="53" t="s">
        <v>575</v>
      </c>
      <c r="E101" s="14" t="s">
        <v>521</v>
      </c>
      <c r="F101" s="14" t="s">
        <v>324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446</v>
      </c>
      <c r="D102" s="53" t="s">
        <v>504</v>
      </c>
      <c r="E102" s="14" t="s">
        <v>521</v>
      </c>
      <c r="F102" s="14" t="s">
        <v>324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456</v>
      </c>
      <c r="D103" s="53" t="s">
        <v>799</v>
      </c>
      <c r="E103" s="14" t="s">
        <v>521</v>
      </c>
      <c r="F103" s="14" t="s">
        <v>324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399</v>
      </c>
      <c r="D104" s="53" t="s">
        <v>579</v>
      </c>
      <c r="E104" s="14" t="s">
        <v>521</v>
      </c>
      <c r="F104" s="14" t="s">
        <v>526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>
      <c r="B105" t="str">
        <f>LocaleTable[[#This Row],['#인덱스제너레이터]]</f>
        <v>Item_Desc_2001</v>
      </c>
      <c r="C105" s="54" t="s">
        <v>235</v>
      </c>
      <c r="D105" s="53" t="s">
        <v>592</v>
      </c>
      <c r="E105" s="14" t="s">
        <v>521</v>
      </c>
      <c r="F105" s="14" t="s">
        <v>526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227</v>
      </c>
      <c r="D106" s="53" t="s">
        <v>580</v>
      </c>
      <c r="E106" s="14" t="s">
        <v>521</v>
      </c>
      <c r="F106" s="14" t="s">
        <v>526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3">
      <c r="B107" t="str">
        <f>LocaleTable[[#This Row],['#인덱스제너레이터]]</f>
        <v>Item_Desc_2003</v>
      </c>
      <c r="C107" s="53" t="s">
        <v>228</v>
      </c>
      <c r="D107" s="53" t="s">
        <v>736</v>
      </c>
      <c r="E107" s="14" t="s">
        <v>521</v>
      </c>
      <c r="F107" s="14" t="s">
        <v>526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3">
      <c r="B108" t="str">
        <f>LocaleTable[[#This Row],['#인덱스제너레이터]]</f>
        <v>Item_Desc_2004</v>
      </c>
      <c r="C108" s="55" t="s">
        <v>373</v>
      </c>
      <c r="D108" s="53" t="s">
        <v>581</v>
      </c>
      <c r="E108" s="14" t="s">
        <v>521</v>
      </c>
      <c r="F108" s="14" t="s">
        <v>526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3">
      <c r="B109" t="str">
        <f>LocaleTable[[#This Row],['#인덱스제너레이터]]</f>
        <v>Item_Desc_2005</v>
      </c>
      <c r="C109" s="53" t="s">
        <v>234</v>
      </c>
      <c r="D109" s="53" t="s">
        <v>737</v>
      </c>
      <c r="E109" s="14" t="s">
        <v>521</v>
      </c>
      <c r="F109" s="14" t="s">
        <v>526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582</v>
      </c>
      <c r="D110" s="53" t="s">
        <v>738</v>
      </c>
      <c r="E110" s="14" t="s">
        <v>521</v>
      </c>
      <c r="F110" s="14" t="s">
        <v>526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3">
      <c r="B111" t="str">
        <f>LocaleTable[[#This Row],['#인덱스제너레이터]]</f>
        <v>Item_Desc_3001</v>
      </c>
      <c r="C111" s="54" t="s">
        <v>950</v>
      </c>
      <c r="D111" s="53" t="s">
        <v>739</v>
      </c>
      <c r="E111" s="14" t="s">
        <v>521</v>
      </c>
      <c r="F111" s="14" t="s">
        <v>526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33">
      <c r="B112" t="str">
        <f>LocaleTable[[#This Row],['#인덱스제너레이터]]</f>
        <v>Item_Desc_3002</v>
      </c>
      <c r="C112" s="54" t="s">
        <v>374</v>
      </c>
      <c r="D112" s="53" t="s">
        <v>941</v>
      </c>
      <c r="E112" s="14" t="s">
        <v>521</v>
      </c>
      <c r="F112" s="14" t="s">
        <v>526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3">
      <c r="B113" t="str">
        <f>LocaleTable[[#This Row],['#인덱스제너레이터]]</f>
        <v>Item_Desc_3003</v>
      </c>
      <c r="C113" s="54" t="s">
        <v>942</v>
      </c>
      <c r="D113" s="53" t="s">
        <v>740</v>
      </c>
      <c r="E113" s="14" t="s">
        <v>521</v>
      </c>
      <c r="F113" s="14" t="s">
        <v>526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231</v>
      </c>
      <c r="D114" s="53" t="s">
        <v>744</v>
      </c>
      <c r="E114" s="14" t="s">
        <v>521</v>
      </c>
      <c r="F114" s="14" t="s">
        <v>526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578</v>
      </c>
      <c r="D115" s="53" t="s">
        <v>943</v>
      </c>
      <c r="E115" s="14" t="s">
        <v>521</v>
      </c>
      <c r="F115" s="14" t="s">
        <v>526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362</v>
      </c>
      <c r="D116" s="53" t="s">
        <v>944</v>
      </c>
      <c r="E116" s="14" t="s">
        <v>521</v>
      </c>
      <c r="F116" s="14" t="s">
        <v>526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3">
      <c r="B117" t="str">
        <f>LocaleTable[[#This Row],['#인덱스제너레이터]]</f>
        <v>Item_Desc_4000</v>
      </c>
      <c r="C117" s="53" t="s">
        <v>233</v>
      </c>
      <c r="D117" s="53" t="s">
        <v>945</v>
      </c>
      <c r="E117" s="14" t="s">
        <v>521</v>
      </c>
      <c r="F117" s="14" t="s">
        <v>526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3">
      <c r="B118" t="str">
        <f>LocaleTable[[#This Row],['#인덱스제너레이터]]</f>
        <v>Item_Desc_4001</v>
      </c>
      <c r="C118" s="53" t="s">
        <v>377</v>
      </c>
      <c r="D118" s="53" t="s">
        <v>946</v>
      </c>
      <c r="E118" s="14" t="s">
        <v>521</v>
      </c>
      <c r="F118" s="14" t="s">
        <v>526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3">
      <c r="B119" t="str">
        <f>LocaleTable[[#This Row],['#인덱스제너레이터]]</f>
        <v>Item_Desc_4002</v>
      </c>
      <c r="C119" s="54" t="s">
        <v>232</v>
      </c>
      <c r="D119" s="53" t="s">
        <v>947</v>
      </c>
      <c r="E119" s="14" t="s">
        <v>521</v>
      </c>
      <c r="F119" s="14" t="s">
        <v>526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3">
      <c r="B120" t="str">
        <f>LocaleTable[[#This Row],['#인덱스제너레이터]]</f>
        <v>Item_Desc_4003</v>
      </c>
      <c r="C120" s="53" t="s">
        <v>230</v>
      </c>
      <c r="D120" s="53" t="s">
        <v>587</v>
      </c>
      <c r="E120" s="14" t="s">
        <v>521</v>
      </c>
      <c r="F120" s="14" t="s">
        <v>526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3">
      <c r="B121" t="str">
        <f>LocaleTable[[#This Row],['#인덱스제너레이터]]</f>
        <v>Item_Desc_4004</v>
      </c>
      <c r="C121" s="53" t="s">
        <v>236</v>
      </c>
      <c r="D121" s="53" t="s">
        <v>586</v>
      </c>
      <c r="E121" s="14" t="s">
        <v>521</v>
      </c>
      <c r="F121" s="14" t="s">
        <v>526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817</v>
      </c>
      <c r="D122" s="53" t="s">
        <v>741</v>
      </c>
      <c r="E122" s="14" t="s">
        <v>521</v>
      </c>
      <c r="F122" s="14" t="s">
        <v>526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33">
      <c r="B123" t="str">
        <f>LocaleTable[[#This Row],['#인덱스제너레이터]]</f>
        <v>Item_Desc_4006</v>
      </c>
      <c r="C123" s="53" t="s">
        <v>949</v>
      </c>
      <c r="D123" s="53" t="s">
        <v>589</v>
      </c>
      <c r="E123" s="14" t="s">
        <v>521</v>
      </c>
      <c r="F123" s="14" t="s">
        <v>526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3">
      <c r="B124" t="str">
        <f>LocaleTable[[#This Row],['#인덱스제너레이터]]</f>
        <v>Item_Desc_10000</v>
      </c>
      <c r="C124" s="53" t="s">
        <v>952</v>
      </c>
      <c r="D124" s="53" t="s">
        <v>742</v>
      </c>
      <c r="E124" s="14" t="s">
        <v>521</v>
      </c>
      <c r="F124" s="14" t="s">
        <v>526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375</v>
      </c>
      <c r="D125" s="53" t="s">
        <v>590</v>
      </c>
      <c r="E125" s="14" t="s">
        <v>521</v>
      </c>
      <c r="F125" s="14" t="s">
        <v>526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3">
      <c r="B126" t="str">
        <f>LocaleTable[[#This Row],['#인덱스제너레이터]]</f>
        <v>Item_Desc_10002</v>
      </c>
      <c r="C126" s="54" t="s">
        <v>951</v>
      </c>
      <c r="D126" s="55" t="s">
        <v>743</v>
      </c>
      <c r="E126" s="14" t="s">
        <v>521</v>
      </c>
      <c r="F126" s="14" t="s">
        <v>526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3">
      <c r="B127" t="str">
        <f>LocaleTable[[#This Row],['#인덱스제너레이터]]</f>
        <v>Item_Desc_10003</v>
      </c>
      <c r="C127" s="54" t="s">
        <v>372</v>
      </c>
      <c r="D127" s="53" t="s">
        <v>810</v>
      </c>
      <c r="E127" s="14" t="s">
        <v>521</v>
      </c>
      <c r="F127" s="14" t="s">
        <v>526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447</v>
      </c>
      <c r="D128" s="53" t="s">
        <v>597</v>
      </c>
      <c r="E128" s="14" t="s">
        <v>521</v>
      </c>
      <c r="F128" s="14" t="s">
        <v>526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457</v>
      </c>
      <c r="D129" s="53" t="s">
        <v>598</v>
      </c>
      <c r="E129" s="14" t="s">
        <v>521</v>
      </c>
      <c r="F129" s="14" t="s">
        <v>526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404</v>
      </c>
      <c r="D130" s="53" t="s">
        <v>599</v>
      </c>
      <c r="E130" s="14" t="s">
        <v>521</v>
      </c>
      <c r="F130" s="14" t="s">
        <v>351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778</v>
      </c>
      <c r="D131" s="53" t="s">
        <v>788</v>
      </c>
      <c r="E131" s="14" t="s">
        <v>521</v>
      </c>
      <c r="F131" s="14" t="s">
        <v>351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779</v>
      </c>
      <c r="D132" s="53" t="s">
        <v>787</v>
      </c>
      <c r="E132" s="14" t="s">
        <v>521</v>
      </c>
      <c r="F132" s="14" t="s">
        <v>351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400</v>
      </c>
      <c r="D133" s="53" t="s">
        <v>809</v>
      </c>
      <c r="E133" s="14" t="s">
        <v>521</v>
      </c>
      <c r="F133" s="14" t="s">
        <v>351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780</v>
      </c>
      <c r="D134" s="53" t="s">
        <v>786</v>
      </c>
      <c r="E134" s="14" t="s">
        <v>521</v>
      </c>
      <c r="F134" s="14" t="s">
        <v>351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800</v>
      </c>
      <c r="D135" s="53" t="s">
        <v>804</v>
      </c>
      <c r="E135" s="14" t="s">
        <v>521</v>
      </c>
      <c r="F135" s="14" t="s">
        <v>351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3">
      <c r="B136" t="str">
        <f>LocaleTable[[#This Row],['#인덱스제너레이터]]</f>
        <v>Item_PlusDesc_3000</v>
      </c>
      <c r="C136" s="55" t="s">
        <v>438</v>
      </c>
      <c r="D136" s="53" t="s">
        <v>808</v>
      </c>
      <c r="E136" s="14" t="s">
        <v>521</v>
      </c>
      <c r="F136" s="14" t="s">
        <v>351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680</v>
      </c>
      <c r="D137" s="53" t="s">
        <v>681</v>
      </c>
      <c r="E137" s="14" t="s">
        <v>521</v>
      </c>
      <c r="F137" s="14" t="s">
        <v>351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3">
      <c r="B138" t="str">
        <f>LocaleTable[[#This Row],['#인덱스제너레이터]]</f>
        <v>Item_PlusDesc_3002</v>
      </c>
      <c r="C138" s="53" t="s">
        <v>782</v>
      </c>
      <c r="D138" s="53" t="s">
        <v>807</v>
      </c>
      <c r="E138" s="14" t="s">
        <v>521</v>
      </c>
      <c r="F138" s="14" t="s">
        <v>351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370</v>
      </c>
      <c r="D139" s="53" t="s">
        <v>600</v>
      </c>
      <c r="E139" s="14" t="s">
        <v>521</v>
      </c>
      <c r="F139" s="14" t="s">
        <v>351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380</v>
      </c>
      <c r="D140" s="53" t="s">
        <v>805</v>
      </c>
      <c r="E140" s="14" t="s">
        <v>521</v>
      </c>
      <c r="F140" s="14" t="s">
        <v>351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803</v>
      </c>
      <c r="D141" s="53" t="s">
        <v>806</v>
      </c>
      <c r="E141" s="14" t="s">
        <v>521</v>
      </c>
      <c r="F141" s="14" t="s">
        <v>351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439</v>
      </c>
      <c r="D142" s="53" t="s">
        <v>601</v>
      </c>
      <c r="E142" s="14" t="s">
        <v>521</v>
      </c>
      <c r="F142" s="14" t="s">
        <v>351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409</v>
      </c>
      <c r="D143" s="53" t="s">
        <v>602</v>
      </c>
      <c r="E143" s="14" t="s">
        <v>521</v>
      </c>
      <c r="F143" s="14" t="s">
        <v>351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3">
      <c r="B144" t="str">
        <f>LocaleTable[[#This Row],['#인덱스제너레이터]]</f>
        <v>Item_PlusDesc_4001</v>
      </c>
      <c r="C144" s="53" t="s">
        <v>783</v>
      </c>
      <c r="D144" s="53" t="s">
        <v>815</v>
      </c>
      <c r="E144" s="14" t="s">
        <v>521</v>
      </c>
      <c r="F144" s="14" t="s">
        <v>351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298</v>
      </c>
      <c r="D145" s="53" t="s">
        <v>603</v>
      </c>
      <c r="E145" s="14" t="s">
        <v>521</v>
      </c>
      <c r="F145" s="14" t="s">
        <v>351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383</v>
      </c>
      <c r="D146" s="53" t="s">
        <v>604</v>
      </c>
      <c r="E146" s="14" t="s">
        <v>521</v>
      </c>
      <c r="F146" s="14" t="s">
        <v>351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442</v>
      </c>
      <c r="D147" s="53" t="s">
        <v>819</v>
      </c>
      <c r="E147" s="14" t="s">
        <v>521</v>
      </c>
      <c r="F147" s="14" t="s">
        <v>351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402</v>
      </c>
      <c r="D148" s="53" t="s">
        <v>818</v>
      </c>
      <c r="E148" s="14" t="s">
        <v>521</v>
      </c>
      <c r="F148" s="14" t="s">
        <v>351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781</v>
      </c>
      <c r="D149" s="53" t="s">
        <v>789</v>
      </c>
      <c r="E149" s="14" t="s">
        <v>521</v>
      </c>
      <c r="F149" s="14" t="s">
        <v>351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358</v>
      </c>
      <c r="D150" s="53" t="s">
        <v>605</v>
      </c>
      <c r="E150" s="14" t="s">
        <v>521</v>
      </c>
      <c r="F150" s="14" t="s">
        <v>351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489</v>
      </c>
      <c r="D151" s="53" t="s">
        <v>814</v>
      </c>
      <c r="E151" s="14" t="s">
        <v>521</v>
      </c>
      <c r="F151" s="14" t="s">
        <v>351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3">
      <c r="B152" t="str">
        <f>LocaleTable[[#This Row],['#인덱스제너레이터]]</f>
        <v>Item_PlusDesc_10002</v>
      </c>
      <c r="C152" s="54" t="s">
        <v>491</v>
      </c>
      <c r="D152" s="53" t="s">
        <v>813</v>
      </c>
      <c r="E152" s="14" t="s">
        <v>521</v>
      </c>
      <c r="F152" s="14" t="s">
        <v>351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487</v>
      </c>
      <c r="D153" s="53" t="s">
        <v>812</v>
      </c>
      <c r="E153" s="14" t="s">
        <v>521</v>
      </c>
      <c r="F153" s="14" t="s">
        <v>351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448</v>
      </c>
      <c r="D154" s="53" t="s">
        <v>606</v>
      </c>
      <c r="E154" s="14" t="s">
        <v>521</v>
      </c>
      <c r="F154" s="14" t="s">
        <v>351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3">
      <c r="B155" t="str">
        <f>LocaleTable[[#This Row],['#인덱스제너레이터]]</f>
        <v>Item_PlusDesc_10005</v>
      </c>
      <c r="C155" s="53" t="s">
        <v>488</v>
      </c>
      <c r="D155" s="53" t="s">
        <v>811</v>
      </c>
      <c r="E155" s="14" t="s">
        <v>521</v>
      </c>
      <c r="F155" s="14" t="s">
        <v>351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784</v>
      </c>
      <c r="D156" s="63" t="s">
        <v>785</v>
      </c>
      <c r="E156" s="14" t="s">
        <v>521</v>
      </c>
      <c r="F156" s="14" t="s">
        <v>352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376</v>
      </c>
      <c r="D157" s="63" t="s">
        <v>607</v>
      </c>
      <c r="E157" s="14" t="s">
        <v>521</v>
      </c>
      <c r="F157" s="14" t="s">
        <v>352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148</v>
      </c>
      <c r="D158" s="53" t="s">
        <v>608</v>
      </c>
      <c r="E158" s="14" t="s">
        <v>521</v>
      </c>
      <c r="F158" s="14" t="s">
        <v>352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801</v>
      </c>
      <c r="D159" s="53" t="s">
        <v>802</v>
      </c>
      <c r="E159" s="14" t="s">
        <v>521</v>
      </c>
      <c r="F159" s="14" t="s">
        <v>352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987</v>
      </c>
      <c r="D160" s="53" t="s">
        <v>988</v>
      </c>
      <c r="E160" s="14" t="s">
        <v>521</v>
      </c>
      <c r="F160" s="14" t="s">
        <v>352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980</v>
      </c>
      <c r="D161" s="53" t="s">
        <v>989</v>
      </c>
      <c r="E161" s="14" t="s">
        <v>521</v>
      </c>
      <c r="F161" s="14" t="s">
        <v>352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816</v>
      </c>
      <c r="D162" s="53" t="s">
        <v>820</v>
      </c>
      <c r="E162" s="14" t="s">
        <v>521</v>
      </c>
      <c r="F162" s="14" t="s">
        <v>352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2023-11-05T12:48:23Z</dcterms:modified>
  <cp:version>1200.0100.01</cp:version>
</cp:coreProperties>
</file>