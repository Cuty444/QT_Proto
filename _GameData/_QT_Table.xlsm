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1E35CC2A-4911-4E19-9415-DA1235243478}" xr6:coauthVersionLast="47" xr6:coauthVersionMax="47" xr10:uidLastSave="{00000000-0000-0000-0000-000000000000}"/>
  <bookViews>
    <workbookView xWindow="-108" yWindow="-108" windowWidth="23256" windowHeight="12456" firstSheet="14" activeTab="15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0" l="1" a="1"/>
  <c r="F4" i="20" s="1"/>
  <c r="F5" i="20" a="1"/>
  <c r="F5" i="20" s="1"/>
  <c r="F6" i="20" a="1"/>
  <c r="F6" i="20" s="1"/>
  <c r="F7" i="20" a="1"/>
  <c r="F7" i="20"/>
  <c r="F8" i="20" a="1"/>
  <c r="F8" i="20" s="1"/>
  <c r="F9" i="20" a="1"/>
  <c r="F9" i="20" s="1"/>
  <c r="F10" i="20" a="1"/>
  <c r="F10" i="20" s="1"/>
  <c r="F11" i="20" a="1"/>
  <c r="F11" i="20"/>
  <c r="F12" i="20" a="1"/>
  <c r="F12" i="20" s="1"/>
  <c r="F13" i="20" a="1"/>
  <c r="F13" i="20" s="1"/>
  <c r="F14" i="20" a="1"/>
  <c r="F14" i="20" s="1"/>
  <c r="F15" i="20" a="1"/>
  <c r="F15" i="20"/>
  <c r="F3" i="20" a="1"/>
  <c r="F3" i="20" s="1"/>
  <c r="S29" i="14"/>
  <c r="N29" i="14"/>
  <c r="Q29" i="14" s="1"/>
  <c r="M29" i="14"/>
  <c r="L29" i="14"/>
  <c r="O29" i="14" s="1"/>
  <c r="C29" i="14"/>
  <c r="C18" i="20"/>
  <c r="C19" i="20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I166" i="16"/>
  <c r="B166" i="16" s="1"/>
  <c r="I152" i="16"/>
  <c r="B152" i="16" s="1"/>
  <c r="S28" i="13"/>
  <c r="N28" i="13" a="1"/>
  <c r="N28" i="13" s="1"/>
  <c r="I98" i="16"/>
  <c r="B98" i="16" s="1"/>
  <c r="I125" i="16"/>
  <c r="B125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3" i="20"/>
  <c r="M13" i="20" s="1"/>
  <c r="S30" i="14"/>
  <c r="N30" i="14"/>
  <c r="Q30" i="14" s="1"/>
  <c r="M30" i="14"/>
  <c r="P30" i="14" s="1"/>
  <c r="L30" i="14"/>
  <c r="O30" i="14" s="1"/>
  <c r="N12" i="20"/>
  <c r="M12" i="20" s="1"/>
  <c r="C26" i="19"/>
  <c r="I26" i="19" a="1"/>
  <c r="I26" i="19" s="1"/>
  <c r="J26" i="19" s="1" a="1"/>
  <c r="J26" i="19" s="1"/>
  <c r="L26" i="19" s="1"/>
  <c r="N26" i="19"/>
  <c r="C25" i="19"/>
  <c r="I25" i="19" a="1"/>
  <c r="I25" i="19" s="1"/>
  <c r="J25" i="19" s="1" a="1"/>
  <c r="J25" i="19" s="1"/>
  <c r="L25" i="19" s="1"/>
  <c r="N25" i="19"/>
  <c r="L27" i="14"/>
  <c r="O27" i="14" s="1"/>
  <c r="M27" i="14"/>
  <c r="P27" i="14" s="1"/>
  <c r="N27" i="14"/>
  <c r="Q27" i="14" s="1"/>
  <c r="S27" i="14"/>
  <c r="L28" i="14"/>
  <c r="O28" i="14" s="1"/>
  <c r="M28" i="14"/>
  <c r="P28" i="14" s="1"/>
  <c r="N28" i="14"/>
  <c r="Q28" i="14" s="1"/>
  <c r="S28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N18" i="20"/>
  <c r="M18" i="20" s="1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7" i="20"/>
  <c r="M8" i="20"/>
  <c r="M9" i="20"/>
  <c r="M11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L26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9" i="14" l="1"/>
  <c r="P29" i="14"/>
  <c r="R12" i="14"/>
  <c r="M11" i="19" s="1"/>
  <c r="O11" i="19" s="1"/>
  <c r="P11" i="19" s="1"/>
  <c r="H29" i="13"/>
  <c r="G29" i="13"/>
  <c r="I29" i="13"/>
  <c r="H27" i="13"/>
  <c r="P28" i="13" a="1"/>
  <c r="P28" i="13" s="1"/>
  <c r="J21" i="13"/>
  <c r="J27" i="13"/>
  <c r="J26" i="13"/>
  <c r="J25" i="13"/>
  <c r="J24" i="13"/>
  <c r="J23" i="13"/>
  <c r="J22" i="13"/>
  <c r="G24" i="13"/>
  <c r="H25" i="13"/>
  <c r="G23" i="13"/>
  <c r="H24" i="13"/>
  <c r="I27" i="13"/>
  <c r="G22" i="13"/>
  <c r="H23" i="13"/>
  <c r="I26" i="13"/>
  <c r="G21" i="13"/>
  <c r="H22" i="13"/>
  <c r="I25" i="13"/>
  <c r="H21" i="13"/>
  <c r="I24" i="13"/>
  <c r="G27" i="13"/>
  <c r="I23" i="13"/>
  <c r="G26" i="13"/>
  <c r="I22" i="13"/>
  <c r="G25" i="13"/>
  <c r="H26" i="13"/>
  <c r="I21" i="13"/>
  <c r="R25" i="14"/>
  <c r="M23" i="19" s="1"/>
  <c r="O23" i="19" s="1"/>
  <c r="R27" i="14"/>
  <c r="R13" i="14"/>
  <c r="M12" i="19" s="1"/>
  <c r="O12" i="19" s="1"/>
  <c r="R30" i="14"/>
  <c r="R28" i="14"/>
  <c r="M26" i="19" s="1"/>
  <c r="O26" i="19" s="1"/>
  <c r="P26" i="19" s="1"/>
  <c r="P10" i="14"/>
  <c r="M10" i="20"/>
  <c r="M3" i="20"/>
  <c r="M4" i="20"/>
  <c r="M5" i="20"/>
  <c r="O32" i="14"/>
  <c r="R32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4" i="19"/>
  <c r="O26" i="14"/>
  <c r="O14" i="14"/>
  <c r="Q10" i="14"/>
  <c r="K10" i="19" a="1"/>
  <c r="K10" i="19" s="1"/>
  <c r="L10" i="19" s="1"/>
  <c r="P22" i="19"/>
  <c r="R22" i="14"/>
  <c r="M21" i="19" s="1"/>
  <c r="O21" i="19" s="1"/>
  <c r="R8" i="14"/>
  <c r="M8" i="19" s="1"/>
  <c r="O8" i="19" s="1"/>
  <c r="R20" i="14"/>
  <c r="R18" i="14"/>
  <c r="M17" i="19" s="1"/>
  <c r="O17" i="19" s="1"/>
  <c r="R10" i="14"/>
  <c r="M10" i="19" s="1"/>
  <c r="O10" i="19" s="1"/>
  <c r="R26" i="14"/>
  <c r="R14" i="14"/>
  <c r="R19" i="14"/>
  <c r="M18" i="19" s="1"/>
  <c r="O18" i="19" s="1"/>
  <c r="R7" i="14"/>
  <c r="M7" i="19" s="1"/>
  <c r="O7" i="19" s="1"/>
  <c r="P7" i="19" s="1"/>
  <c r="R5" i="14"/>
  <c r="M5" i="19" s="1"/>
  <c r="O5" i="19" s="1"/>
  <c r="R16" i="14"/>
  <c r="R4" i="14"/>
  <c r="M4" i="19" s="1"/>
  <c r="O4" i="19" s="1"/>
  <c r="R3" i="14"/>
  <c r="M3" i="19" s="1"/>
  <c r="O3" i="19" s="1"/>
  <c r="P3" i="19" s="1"/>
  <c r="O34" i="14"/>
  <c r="R34" i="14" s="1"/>
  <c r="O22" i="14"/>
  <c r="O18" i="14"/>
  <c r="O10" i="14"/>
  <c r="O6" i="14"/>
  <c r="R6" i="14" s="1"/>
  <c r="M6" i="19" s="1"/>
  <c r="O6" i="19" s="1"/>
  <c r="O33" i="14"/>
  <c r="R33" i="14" s="1"/>
  <c r="M32" i="19" s="1"/>
  <c r="O32" i="19" s="1"/>
  <c r="P32" i="19" s="1"/>
  <c r="O25" i="14"/>
  <c r="O21" i="14"/>
  <c r="R21" i="14" s="1"/>
  <c r="O17" i="14"/>
  <c r="O13" i="14"/>
  <c r="O9" i="14"/>
  <c r="R9" i="14" s="1"/>
  <c r="M9" i="19" s="1"/>
  <c r="O9" i="19" s="1"/>
  <c r="O5" i="14"/>
  <c r="O36" i="14"/>
  <c r="O24" i="14"/>
  <c r="O20" i="14"/>
  <c r="O12" i="14"/>
  <c r="O8" i="14"/>
  <c r="O35" i="14"/>
  <c r="O31" i="14"/>
  <c r="R31" i="14" s="1"/>
  <c r="O23" i="14"/>
  <c r="R23" i="14" s="1"/>
  <c r="O19" i="14"/>
  <c r="O15" i="14"/>
  <c r="R15" i="14" s="1"/>
  <c r="O11" i="14"/>
  <c r="R11" i="14" s="1"/>
  <c r="O7" i="14"/>
  <c r="O3" i="14"/>
  <c r="L31" i="19"/>
  <c r="L16" i="19"/>
  <c r="L17" i="19"/>
  <c r="L30" i="19"/>
  <c r="L14" i="19"/>
  <c r="L24" i="19"/>
  <c r="L23" i="19"/>
  <c r="L9" i="19"/>
  <c r="L6" i="19"/>
  <c r="L20" i="19"/>
  <c r="L5" i="19"/>
  <c r="L18" i="19"/>
  <c r="L4" i="19"/>
  <c r="L15" i="19"/>
  <c r="L12" i="19"/>
  <c r="L13" i="3"/>
  <c r="I19" i="3" s="1" a="1"/>
  <c r="I19" i="3" s="1"/>
  <c r="S27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9" i="13"/>
  <c r="S30" i="13"/>
  <c r="S31" i="13"/>
  <c r="S32" i="13"/>
  <c r="S33" i="13"/>
  <c r="S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4" i="16"/>
  <c r="B164" i="16" s="1"/>
  <c r="I165" i="16"/>
  <c r="B165" i="16" s="1"/>
  <c r="P27" i="13" a="1"/>
  <c r="P27" i="13" s="1"/>
  <c r="N27" i="13" a="1"/>
  <c r="N27" i="13" s="1"/>
  <c r="P26" i="13" a="1"/>
  <c r="P26" i="13" s="1"/>
  <c r="N26" i="13" a="1"/>
  <c r="N26" i="13" s="1"/>
  <c r="M9" i="2"/>
  <c r="L9" i="2"/>
  <c r="E5" i="9"/>
  <c r="K7" i="8"/>
  <c r="K8" i="8"/>
  <c r="K9" i="8"/>
  <c r="K10" i="8"/>
  <c r="K11" i="8"/>
  <c r="K3" i="8"/>
  <c r="K6" i="8"/>
  <c r="K5" i="8"/>
  <c r="K4" i="8"/>
  <c r="N20" i="13" a="1"/>
  <c r="N20" i="13" s="1"/>
  <c r="H30" i="13" l="1"/>
  <c r="I30" i="13"/>
  <c r="G30" i="13"/>
  <c r="J28" i="13"/>
  <c r="F28" i="13" s="1"/>
  <c r="I28" i="13"/>
  <c r="E28" i="13" s="1"/>
  <c r="H28" i="13"/>
  <c r="D28" i="13" s="1"/>
  <c r="G28" i="13"/>
  <c r="C28" i="13" s="1"/>
  <c r="B29" i="14" s="1"/>
  <c r="C29" i="13"/>
  <c r="B31" i="14" s="1"/>
  <c r="C23" i="13"/>
  <c r="B19" i="14" s="1"/>
  <c r="C25" i="13"/>
  <c r="C21" i="13"/>
  <c r="B16" i="14" s="1"/>
  <c r="C24" i="13"/>
  <c r="B20" i="14" s="1"/>
  <c r="C26" i="13"/>
  <c r="F10" i="13"/>
  <c r="F18" i="13"/>
  <c r="F25" i="13"/>
  <c r="F34" i="13"/>
  <c r="E25" i="13"/>
  <c r="D25" i="13"/>
  <c r="F3" i="13"/>
  <c r="F11" i="13"/>
  <c r="F19" i="13"/>
  <c r="F26" i="13"/>
  <c r="E3" i="13"/>
  <c r="E26" i="13"/>
  <c r="D3" i="13"/>
  <c r="D26" i="13"/>
  <c r="C3" i="13"/>
  <c r="F4" i="13"/>
  <c r="F12" i="13"/>
  <c r="F20" i="13"/>
  <c r="F27" i="13"/>
  <c r="E4" i="13"/>
  <c r="E27" i="13"/>
  <c r="D4" i="13"/>
  <c r="D27" i="13"/>
  <c r="C4" i="13"/>
  <c r="F5" i="13"/>
  <c r="F13" i="13"/>
  <c r="F29" i="13"/>
  <c r="E5" i="13"/>
  <c r="E29" i="13"/>
  <c r="D5" i="13"/>
  <c r="D29" i="13"/>
  <c r="C5" i="13"/>
  <c r="F6" i="13"/>
  <c r="F14" i="13"/>
  <c r="F21" i="13"/>
  <c r="F30" i="13"/>
  <c r="E6" i="13"/>
  <c r="E21" i="13"/>
  <c r="E30" i="13"/>
  <c r="D6" i="13"/>
  <c r="D21" i="13"/>
  <c r="D30" i="13"/>
  <c r="C6" i="13"/>
  <c r="F7" i="13"/>
  <c r="F15" i="13"/>
  <c r="F22" i="13"/>
  <c r="F31" i="13"/>
  <c r="E7" i="13"/>
  <c r="E22" i="13"/>
  <c r="D7" i="13"/>
  <c r="D22" i="13"/>
  <c r="C7" i="13"/>
  <c r="F8" i="13"/>
  <c r="F16" i="13"/>
  <c r="F23" i="13"/>
  <c r="F32" i="13"/>
  <c r="E23" i="13"/>
  <c r="D23" i="13"/>
  <c r="F9" i="13"/>
  <c r="F17" i="13"/>
  <c r="F24" i="13"/>
  <c r="F33" i="13"/>
  <c r="E24" i="13"/>
  <c r="D24" i="13"/>
  <c r="C30" i="13"/>
  <c r="B32" i="14" s="1"/>
  <c r="C27" i="13"/>
  <c r="C22" i="13"/>
  <c r="M24" i="19"/>
  <c r="O24" i="19" s="1"/>
  <c r="P24" i="19" s="1"/>
  <c r="P23" i="19"/>
  <c r="P12" i="19"/>
  <c r="M13" i="19"/>
  <c r="O13" i="19" s="1"/>
  <c r="M25" i="19"/>
  <c r="O25" i="19" s="1"/>
  <c r="P25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7" i="19"/>
  <c r="P4" i="19"/>
  <c r="P5" i="19"/>
  <c r="P18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M33" i="19" s="1"/>
  <c r="O33" i="19" s="1"/>
  <c r="R17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N25" i="13" a="1"/>
  <c r="N25" i="13" s="1"/>
  <c r="N23" i="13" a="1"/>
  <c r="N23" i="13" s="1"/>
  <c r="N22" i="13" a="1"/>
  <c r="N22" i="13" s="1"/>
  <c r="N21" i="13" a="1"/>
  <c r="N21" i="13" s="1"/>
  <c r="P22" i="13" a="1"/>
  <c r="P22" i="13" s="1"/>
  <c r="N19" i="13" a="1"/>
  <c r="N19" i="13" s="1"/>
  <c r="N18" i="13" a="1"/>
  <c r="N18" i="13" s="1"/>
  <c r="N17" i="13" a="1"/>
  <c r="N17" i="13" s="1"/>
  <c r="N16" i="13" a="1"/>
  <c r="N16" i="13" s="1"/>
  <c r="N15" i="13" a="1"/>
  <c r="N15" i="13" s="1"/>
  <c r="N14" i="13" a="1"/>
  <c r="N14" i="13" s="1"/>
  <c r="B14" i="13" a="1"/>
  <c r="B14" i="13" s="1"/>
  <c r="N13" i="13" a="1"/>
  <c r="N13" i="13" s="1"/>
  <c r="N12" i="13" a="1"/>
  <c r="N12" i="13" s="1"/>
  <c r="N11" i="13" a="1"/>
  <c r="N11" i="13" s="1"/>
  <c r="N10" i="13" a="1"/>
  <c r="N10" i="13" s="1"/>
  <c r="N9" i="13" a="1"/>
  <c r="N9" i="13" s="1"/>
  <c r="N8" i="13" a="1"/>
  <c r="N8" i="13" s="1"/>
  <c r="B8" i="13" a="1"/>
  <c r="B8" i="13" s="1"/>
  <c r="O7" i="13"/>
  <c r="O6" i="13"/>
  <c r="O5" i="13"/>
  <c r="B5" i="13" a="1"/>
  <c r="B5" i="13" s="1"/>
  <c r="N4" i="13"/>
  <c r="N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B25" i="14" l="1"/>
  <c r="B26" i="14"/>
  <c r="B27" i="14"/>
  <c r="B28" i="14"/>
  <c r="B30" i="14"/>
  <c r="B23" i="14"/>
  <c r="B24" i="14"/>
  <c r="B21" i="14"/>
  <c r="B22" i="14"/>
  <c r="B17" i="14"/>
  <c r="B18" i="14"/>
  <c r="I31" i="13"/>
  <c r="E31" i="13" s="1"/>
  <c r="H31" i="13"/>
  <c r="D31" i="13" s="1"/>
  <c r="G31" i="13"/>
  <c r="C31" i="13" s="1"/>
  <c r="B33" i="14" s="1"/>
  <c r="I14" i="13"/>
  <c r="E14" i="13" s="1"/>
  <c r="H14" i="13"/>
  <c r="D14" i="13" s="1"/>
  <c r="G14" i="13"/>
  <c r="C14" i="13" s="1"/>
  <c r="B9" i="14" s="1"/>
  <c r="G8" i="13"/>
  <c r="C8" i="13" s="1"/>
  <c r="B3" i="14" s="1"/>
  <c r="I8" i="13"/>
  <c r="E8" i="13" s="1"/>
  <c r="H8" i="13"/>
  <c r="D8" i="13" s="1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1" i="19"/>
  <c r="P21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P21" i="13" a="1"/>
  <c r="P21" i="13" s="1"/>
  <c r="P14" i="13" a="1"/>
  <c r="P14" i="13" s="1"/>
  <c r="P23" i="13" a="1"/>
  <c r="P23" i="13" s="1"/>
  <c r="B4" i="13" a="1"/>
  <c r="B4" i="13" s="1"/>
  <c r="P3" i="13" a="1"/>
  <c r="P3" i="13" s="1"/>
  <c r="B6" i="13" a="1"/>
  <c r="B6" i="13" s="1"/>
  <c r="P5" i="13" a="1"/>
  <c r="P5" i="13" s="1"/>
  <c r="P8" i="13" a="1"/>
  <c r="P8" i="13" s="1"/>
  <c r="G32" i="13" l="1"/>
  <c r="C32" i="13" s="1"/>
  <c r="B34" i="14" s="1"/>
  <c r="H32" i="13"/>
  <c r="D32" i="13" s="1"/>
  <c r="I32" i="13"/>
  <c r="E32" i="13" s="1"/>
  <c r="I15" i="13"/>
  <c r="E15" i="13" s="1"/>
  <c r="H15" i="13"/>
  <c r="D15" i="13" s="1"/>
  <c r="G15" i="13"/>
  <c r="C15" i="13" s="1"/>
  <c r="B10" i="14" s="1"/>
  <c r="I9" i="13"/>
  <c r="E9" i="13" s="1"/>
  <c r="H9" i="13"/>
  <c r="D9" i="13" s="1"/>
  <c r="G9" i="13"/>
  <c r="C9" i="13" s="1"/>
  <c r="B4" i="14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P9" i="13" a="1"/>
  <c r="P9" i="13" s="1"/>
  <c r="B10" i="13" a="1"/>
  <c r="B10" i="13" s="1"/>
  <c r="P15" i="13" a="1"/>
  <c r="P15" i="13" s="1"/>
  <c r="L14" i="2"/>
  <c r="L15" i="2"/>
  <c r="O7" i="3"/>
  <c r="B7" i="13" a="1"/>
  <c r="B7" i="13" s="1"/>
  <c r="P6" i="13" a="1"/>
  <c r="P6" i="13" s="1"/>
  <c r="P24" i="13" a="1"/>
  <c r="P24" i="13" s="1"/>
  <c r="P4" i="13" a="1"/>
  <c r="P4" i="13" s="1"/>
  <c r="I33" i="13" l="1"/>
  <c r="E33" i="13" s="1"/>
  <c r="G33" i="13"/>
  <c r="C33" i="13" s="1"/>
  <c r="B35" i="14" s="1"/>
  <c r="H33" i="13"/>
  <c r="D33" i="13" s="1"/>
  <c r="B17" i="13" a="1"/>
  <c r="B17" i="13" s="1"/>
  <c r="I16" i="13"/>
  <c r="E16" i="13" s="1"/>
  <c r="H16" i="13"/>
  <c r="D16" i="13" s="1"/>
  <c r="G16" i="13"/>
  <c r="C16" i="13" s="1"/>
  <c r="B11" i="14" s="1"/>
  <c r="G10" i="13"/>
  <c r="C10" i="13" s="1"/>
  <c r="B5" i="14" s="1"/>
  <c r="I10" i="13"/>
  <c r="E10" i="13" s="1"/>
  <c r="H10" i="13"/>
  <c r="D10" i="13" s="1"/>
  <c r="P16" i="13" a="1"/>
  <c r="P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P10" i="13" a="1"/>
  <c r="P10" i="13" s="1"/>
  <c r="M16" i="2"/>
  <c r="P14" i="2" s="1"/>
  <c r="P7" i="13" a="1"/>
  <c r="P7" i="13" s="1"/>
  <c r="P25" i="13" a="1"/>
  <c r="P25" i="13" s="1"/>
  <c r="H34" i="13" l="1"/>
  <c r="D34" i="13" s="1"/>
  <c r="I34" i="13"/>
  <c r="E34" i="13" s="1"/>
  <c r="G34" i="13"/>
  <c r="C34" i="13" s="1"/>
  <c r="B36" i="14" s="1"/>
  <c r="I17" i="13"/>
  <c r="E17" i="13" s="1"/>
  <c r="H17" i="13"/>
  <c r="D17" i="13" s="1"/>
  <c r="G17" i="13"/>
  <c r="C17" i="13" s="1"/>
  <c r="B12" i="14" s="1"/>
  <c r="B18" i="13" a="1"/>
  <c r="B18" i="13" s="1"/>
  <c r="P18" i="13" s="1" a="1"/>
  <c r="P18" i="13" s="1"/>
  <c r="P17" i="13" a="1"/>
  <c r="P17" i="13" s="1"/>
  <c r="B12" i="13" a="1"/>
  <c r="B12" i="13" s="1"/>
  <c r="P12" i="13" s="1" a="1"/>
  <c r="P12" i="13" s="1"/>
  <c r="H11" i="13"/>
  <c r="D11" i="13" s="1"/>
  <c r="G11" i="13"/>
  <c r="C11" i="13" s="1"/>
  <c r="B6" i="14" s="1"/>
  <c r="I11" i="13"/>
  <c r="E11" i="13" s="1"/>
  <c r="B5" i="19"/>
  <c r="B4" i="19"/>
  <c r="T3" i="19" a="1"/>
  <c r="T3" i="19" s="1"/>
  <c r="P11" i="13" a="1"/>
  <c r="P11" i="13" s="1"/>
  <c r="T4" i="19" a="1"/>
  <c r="T4" i="19" s="1"/>
  <c r="B3" i="19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C4" i="14"/>
  <c r="P13" i="2"/>
  <c r="C5" i="14"/>
  <c r="C3" i="14"/>
  <c r="B19" i="13" l="1" a="1"/>
  <c r="B19" i="13" s="1"/>
  <c r="H19" i="13" s="1"/>
  <c r="D19" i="13" s="1"/>
  <c r="B13" i="13" a="1"/>
  <c r="B13" i="13" s="1"/>
  <c r="G13" i="13" s="1"/>
  <c r="C13" i="13" s="1"/>
  <c r="B8" i="14" s="1"/>
  <c r="C6" i="14"/>
  <c r="H12" i="13"/>
  <c r="D12" i="13" s="1"/>
  <c r="G12" i="13"/>
  <c r="I12" i="13"/>
  <c r="E12" i="13" s="1"/>
  <c r="G18" i="13"/>
  <c r="C18" i="13" s="1"/>
  <c r="B13" i="14" s="1"/>
  <c r="I18" i="13"/>
  <c r="E18" i="13" s="1"/>
  <c r="H18" i="13"/>
  <c r="D18" i="13" s="1"/>
  <c r="B6" i="19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l="1" a="1"/>
  <c r="B20" i="13" s="1"/>
  <c r="H20" i="13" s="1"/>
  <c r="D20" i="13" s="1"/>
  <c r="P19" i="13" a="1"/>
  <c r="P19" i="13" s="1"/>
  <c r="P13" i="13" a="1"/>
  <c r="P13" i="13" s="1"/>
  <c r="T10" i="19" s="1" a="1"/>
  <c r="T10" i="19" s="1"/>
  <c r="H13" i="13"/>
  <c r="D13" i="13" s="1"/>
  <c r="G19" i="13"/>
  <c r="C19" i="13" s="1"/>
  <c r="B14" i="14" s="1"/>
  <c r="I19" i="13"/>
  <c r="E19" i="13" s="1"/>
  <c r="C12" i="13"/>
  <c r="B7" i="14" s="1"/>
  <c r="B7" i="19" s="1"/>
  <c r="I13" i="13"/>
  <c r="E13" i="13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C12" i="14"/>
  <c r="T12" i="19" l="1" a="1"/>
  <c r="T12" i="19" s="1"/>
  <c r="C11" i="14"/>
  <c r="T13" i="19" a="1"/>
  <c r="T13" i="19" s="1"/>
  <c r="C8" i="14"/>
  <c r="C10" i="14"/>
  <c r="B12" i="19"/>
  <c r="C4" i="20"/>
  <c r="C13" i="14"/>
  <c r="B9" i="19"/>
  <c r="T8" i="19" a="1"/>
  <c r="T8" i="19" s="1"/>
  <c r="T11" i="19" a="1"/>
  <c r="T11" i="19" s="1"/>
  <c r="T9" i="19" a="1"/>
  <c r="T9" i="19" s="1"/>
  <c r="C14" i="14"/>
  <c r="C9" i="14"/>
  <c r="C3" i="20"/>
  <c r="B10" i="19"/>
  <c r="I20" i="13"/>
  <c r="E20" i="13" s="1"/>
  <c r="P20" i="13" a="1"/>
  <c r="P20" i="13" s="1"/>
  <c r="G20" i="13"/>
  <c r="C20" i="13" s="1"/>
  <c r="B15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11" i="19"/>
  <c r="C6" i="20" l="1"/>
  <c r="B13" i="19"/>
  <c r="C5" i="20"/>
  <c r="C15" i="14"/>
  <c r="T34" i="19" a="1"/>
  <c r="T34" i="19" s="1"/>
  <c r="T22" i="19" a="1"/>
  <c r="T22" i="19" s="1"/>
  <c r="C32" i="14"/>
  <c r="C14" i="20"/>
  <c r="C33" i="14"/>
  <c r="T24" i="19" a="1"/>
  <c r="T24" i="19" s="1"/>
  <c r="T21" i="19" a="1"/>
  <c r="T21" i="19" s="1"/>
  <c r="C24" i="14"/>
  <c r="T27" i="19" a="1"/>
  <c r="T27" i="19" s="1"/>
  <c r="C15" i="20"/>
  <c r="B17" i="19"/>
  <c r="C17" i="14"/>
  <c r="T18" i="19" a="1"/>
  <c r="T18" i="19" s="1"/>
  <c r="C22" i="14"/>
  <c r="C20" i="14"/>
  <c r="C34" i="14"/>
  <c r="T28" i="19" a="1"/>
  <c r="T28" i="19" s="1"/>
  <c r="C17" i="20"/>
  <c r="C30" i="14"/>
  <c r="C28" i="14"/>
  <c r="C27" i="14"/>
  <c r="T25" i="19" a="1"/>
  <c r="T25" i="19" s="1"/>
  <c r="C21" i="14"/>
  <c r="C36" i="14"/>
  <c r="T31" i="19" a="1"/>
  <c r="T31" i="19" s="1"/>
  <c r="T20" i="19" a="1"/>
  <c r="T20" i="19" s="1"/>
  <c r="B34" i="19"/>
  <c r="T17" i="19" a="1"/>
  <c r="T17" i="19" s="1"/>
  <c r="B22" i="19"/>
  <c r="C16" i="14"/>
  <c r="T16" i="19" a="1"/>
  <c r="T16" i="19" s="1"/>
  <c r="T33" i="19" a="1"/>
  <c r="T33" i="19" s="1"/>
  <c r="B21" i="19"/>
  <c r="C7" i="20"/>
  <c r="C35" i="14"/>
  <c r="C26" i="14"/>
  <c r="C31" i="14"/>
  <c r="T29" i="19" a="1"/>
  <c r="T29" i="19" s="1"/>
  <c r="T15" i="19" a="1"/>
  <c r="T15" i="19" s="1"/>
  <c r="B33" i="19"/>
  <c r="C23" i="14"/>
  <c r="T14" i="19" a="1"/>
  <c r="T14" i="19" s="1"/>
  <c r="T23" i="19" a="1"/>
  <c r="T23" i="19" s="1"/>
  <c r="B16" i="19"/>
  <c r="C9" i="20"/>
  <c r="T26" i="19" a="1"/>
  <c r="T26" i="19" s="1"/>
  <c r="C18" i="14"/>
  <c r="C19" i="14"/>
  <c r="C25" i="14"/>
  <c r="T19" i="19" a="1"/>
  <c r="T19" i="19" s="1"/>
  <c r="T30" i="19" a="1"/>
  <c r="T30" i="19" s="1"/>
  <c r="C8" i="20"/>
  <c r="C10" i="20"/>
  <c r="B14" i="19"/>
  <c r="T32" i="19" a="1"/>
  <c r="T32" i="19" s="1"/>
  <c r="B23" i="19"/>
  <c r="C13" i="20" l="1"/>
  <c r="C12" i="20"/>
  <c r="B24" i="19"/>
  <c r="C11" i="20"/>
  <c r="B32" i="19"/>
  <c r="C16" i="20"/>
  <c r="B27" i="19"/>
  <c r="B30" i="19"/>
  <c r="B31" i="19"/>
  <c r="B29" i="19"/>
  <c r="B28" i="19"/>
  <c r="B18" i="19"/>
  <c r="B15" i="19"/>
  <c r="B19" i="19"/>
  <c r="B25" i="19"/>
  <c r="B26" i="19"/>
  <c r="B20" i="19"/>
  <c r="B8" i="19"/>
  <c r="Q26" i="19" l="1"/>
  <c r="R32" i="19"/>
  <c r="R25" i="19"/>
  <c r="R26" i="19"/>
  <c r="Q32" i="19"/>
  <c r="Q25" i="19"/>
  <c r="R18" i="19"/>
  <c r="R33" i="19"/>
  <c r="R19" i="19"/>
  <c r="Q28" i="19"/>
  <c r="Q19" i="19"/>
  <c r="Q31" i="19"/>
  <c r="R21" i="19"/>
  <c r="R34" i="19"/>
  <c r="R29" i="19"/>
  <c r="R24" i="19"/>
  <c r="R22" i="19"/>
  <c r="R27" i="19"/>
  <c r="R23" i="19"/>
  <c r="R28" i="19"/>
  <c r="R30" i="19"/>
  <c r="R31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4" i="19"/>
  <c r="Q17" i="19"/>
  <c r="Q15" i="19"/>
  <c r="Q24" i="19"/>
  <c r="Q29" i="19"/>
  <c r="Q16" i="19"/>
  <c r="Q22" i="19"/>
  <c r="Q20" i="19"/>
  <c r="Q14" i="19"/>
  <c r="Q33" i="19"/>
  <c r="Q23" i="19"/>
  <c r="Q27" i="19"/>
  <c r="Q18" i="19"/>
  <c r="Q30" i="19"/>
  <c r="S26" i="19" l="1"/>
  <c r="U26" i="19" s="1"/>
  <c r="S25" i="19"/>
  <c r="U25" i="19" s="1"/>
  <c r="S32" i="19"/>
  <c r="U32" i="19" s="1"/>
  <c r="S19" i="19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3" i="19"/>
  <c r="U33" i="19" s="1"/>
  <c r="S21" i="19"/>
  <c r="U21" i="19" s="1"/>
  <c r="S22" i="19"/>
  <c r="U22" i="19" s="1"/>
  <c r="S23" i="19"/>
  <c r="U23" i="19" s="1"/>
  <c r="S27" i="19"/>
  <c r="U27" i="19" s="1"/>
  <c r="S28" i="19"/>
  <c r="U28" i="19" s="1"/>
  <c r="S29" i="19"/>
  <c r="U29" i="19" s="1"/>
  <c r="S30" i="19"/>
  <c r="U30" i="19" s="1"/>
  <c r="S31" i="19"/>
  <c r="U31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<sst xmlns="http://schemas.openxmlformats.org/spreadsheetml/2006/main" count="2361" uniqueCount="947">
  <si>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</si>
  <si>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</si>
  <si>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</si>
  <si>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</si>
  <si>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</si>
  <si>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</si>
  <si>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</si>
  <si>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</si>
  <si>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</si>
  <si>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</si>
  <si>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</si>
  <si>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</si>
  <si>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</si>
  <si>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</si>
  <si>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</si>
  <si>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</si>
  <si>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</si>
  <si>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</si>
  <si>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</si>
  <si>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</si>
  <si>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</si>
  <si>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</si>
  <si>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</si>
  <si>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</si>
  <si>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</si>
  <si>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</si>
  <si>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</si>
  <si>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</si>
  <si>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</si>
  <si>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</si>
  <si>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</si>
  <si>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</si>
  <si>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</si>
  <si>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</si>
  <si>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</si>
  <si>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</si>
  <si>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</si>
  <si>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</si>
  <si>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</si>
  <si>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</si>
  <si>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</si>
  <si>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</si>
  <si>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</si>
  <si>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</si>
  <si>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</si>
  <si>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</si>
  <si>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</si>
  <si>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</si>
  <si>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</si>
  <si>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</si>
  <si>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</si>
  <si>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</si>
  <si>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</si>
  <si>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</si>
  <si>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</si>
  <si>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</si>
  <si>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</si>
  <si>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</si>
  <si>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</si>
  <si>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</si>
  <si>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</si>
  <si>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</si>
  <si>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</si>
  <si>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</si>
  <si>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</si>
  <si>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</si>
  <si>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</si>
  <si>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</si>
  <si>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</si>
  <si>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</si>
  <si>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</si>
  <si>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</si>
  <si>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</si>
  <si>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</si>
  <si>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</si>
  <si>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</si>
  <si>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</si>
  <si>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</si>
  <si>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</si>
  <si>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</si>
  <si>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</si>
  <si>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</si>
  <si>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</si>
  <si>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</si>
  <si>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</si>
  <si>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</si>
  <si>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</si>
  <si>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</si>
  <si>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</si>
  <si>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</si>
  <si>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</si>
  <si>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</si>
  <si>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</si>
  <si>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</si>
  <si>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</si>
  <si>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</si>
  <si>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</si>
  <si>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</si>
  <si>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</si>
  <si>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</si>
  <si>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</si>
  <si>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</si>
  <si>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</si>
  <si>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</si>
  <si>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</si>
  <si>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</si>
  <si>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</si>
  <si>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</si>
  <si>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</si>
  <si>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</si>
  <si>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</si>
  <si>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</si>
  <si>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</si>
  <si>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</si>
  <si>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</si>
  <si>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</si>
  <si>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</si>
  <si>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</si>
  <si>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</si>
  <si>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</si>
  <si>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</si>
  <si>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</si>
  <si>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</si>
  <si>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</si>
  <si>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</si>
  <si>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</si>
  <si>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</si>
  <si>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</si>
  <si>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</si>
  <si>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</si>
  <si>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</si>
  <si>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</si>
  <si>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</si>
  <si>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</si>
  <si>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</si>
  <si>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</si>
  <si>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</si>
  <si>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</si>
  <si>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</si>
  <si>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</si>
  <si>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</si>
  <si>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</si>
  <si>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</si>
  <si>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</si>
  <si>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</si>
  <si>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</si>
  <si>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</si>
  <si>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</si>
  <si>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</si>
  <si>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</si>
  <si>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</si>
  <si>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</si>
  <si>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</si>
  <si>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</si>
  <si>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</si>
  <si>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</si>
  <si>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</si>
  <si>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</si>
  <si>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</si>
  <si>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</si>
  <si>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</si>
  <si>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</si>
  <si>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</si>
  <si>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</si>
  <si>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</si>
  <si>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</si>
  <si>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</si>
  <si>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</si>
  <si>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</si>
  <si>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</si>
  <si>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</si>
  <si>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</si>
  <si>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</si>
  <si>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</si>
  <si>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</si>
  <si>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</si>
  <si>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</si>
  <si>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</si>
  <si>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</si>
  <si>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</si>
  <si>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</si>
  <si>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</si>
  <si>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</si>
  <si>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</si>
  <si>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</si>
  <si>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</si>
  <si>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</si>
  <si>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</si>
  <si>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</si>
  <si>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</si>
  <si>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</si>
  <si>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</si>
  <si>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</si>
  <si>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</si>
  <si>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</si>
  <si>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</si>
  <si>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</si>
  <si>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</si>
  <si>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</si>
  <si>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</si>
  <si>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</si>
  <si>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</si>
  <si>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</si>
  <si>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</si>
  <si>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</si>
  <si>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</si>
  <si>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</si>
  <si>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</si>
  <si>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</si>
  <si>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</si>
  <si>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</si>
  <si>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</si>
  <si>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</si>
  <si>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</si>
  <si>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</si>
  <si>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</si>
  <si>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</si>
  <si>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</si>
  <si>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</si>
  <si>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</si>
  <si>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</si>
  <si>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</si>
  <si>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</si>
  <si>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</si>
  <si>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</si>
  <si>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</si>
  <si>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</si>
  <si>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</si>
  <si>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</si>
  <si>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</si>
  <si>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</si>
  <si>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</si>
  <si>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</si>
  <si>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</si>
  <si>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</si>
  <si>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</si>
  <si>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</si>
  <si>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</si>
  <si>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</si>
  <si>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</si>
  <si>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</si>
  <si>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</si>
  <si>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</si>
  <si>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</si>
  <si>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</si>
  <si>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</si>
  <si>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</si>
  <si>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</si>
  <si>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</si>
  <si>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</si>
  <si>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</si>
  <si>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</si>
  <si>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</si>
  <si>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</si>
  <si>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</si>
  <si>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</si>
  <si>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</si>
  <si>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</si>
  <si>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</si>
  <si>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</si>
  <si>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</si>
  <si>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</si>
  <si>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</si>
  <si>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</si>
  <si>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</si>
  <si>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</si>
  <si>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</si>
  <si>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</si>
  <si>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</si>
  <si>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</si>
  <si>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</si>
  <si>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</si>
  <si>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</si>
  <si>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</si>
  <si>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</si>
  <si>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</si>
  <si>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</si>
  <si>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</si>
  <si>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</si>
  <si>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</si>
  <si>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</si>
  <si>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</si>
  <si>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</si>
  <si>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</si>
  <si>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</si>
  <si>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</si>
  <si>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</si>
  <si>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</si>
  <si>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</si>
  <si>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</si>
  <si>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</si>
  <si>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</si>
  <si>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</si>
  <si>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</si>
  <si>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</si>
  <si>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</si>
  <si>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</si>
  <si>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</si>
  <si>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</si>
  <si>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</si>
  <si>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</si>
  <si>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</si>
  <si>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</si>
  <si>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</si>
  <si>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</si>
  <si>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</si>
  <si>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</si>
  <si>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</si>
  <si>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</si>
  <si>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</si>
  <si>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</si>
  <si>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</si>
  <si>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</si>
  <si>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</si>
  <si>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</si>
  <si>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</si>
  <si>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</si>
  <si>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</si>
  <si>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</si>
  <si>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</si>
  <si>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</si>
  <si>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</si>
  <si>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</si>
  <si>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</si>
  <si>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</si>
  <si>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</si>
  <si>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</si>
  <si>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</si>
  <si>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</si>
  <si>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</si>
  <si>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</si>
  <si>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</si>
  <si>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</si>
  <si>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</si>
  <si>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</si>
  <si>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</si>
  <si>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</si>
  <si>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</si>
  <si>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</si>
  <si>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</si>
  <si>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</si>
  <si>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</si>
  <si>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</si>
  <si>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</si>
  <si>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</si>
  <si>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</si>
  <si>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</si>
  <si>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</si>
  <si>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</si>
  <si>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</si>
  <si>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</si>
  <si>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</si>
  <si>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</si>
  <si>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</si>
  <si>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</si>
  <si>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</si>
  <si>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</si>
  <si>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</si>
  <si>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</si>
  <si>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</si>
  <si>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</si>
  <si>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</si>
  <si>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</si>
  <si>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</si>
  <si>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</si>
  <si>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</si>
  <si>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</si>
  <si>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</si>
  <si>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</si>
  <si>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</si>
  <si>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</si>
  <si>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</si>
  <si>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</si>
  <si>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</si>
  <si>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</si>
  <si>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</si>
  <si>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</si>
  <si>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</si>
  <si>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</si>
  <si>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</si>
  <si>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</si>
  <si>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</si>
  <si>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</si>
  <si>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</si>
  <si>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</si>
  <si>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</si>
  <si>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</si>
  <si>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</si>
  <si>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</si>
  <si>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</si>
  <si>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</si>
  <si>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</si>
  <si>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</si>
  <si>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</si>
  <si>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</si>
  <si>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</si>
  <si>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</si>
  <si>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</si>
  <si>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</si>
  <si>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</si>
  <si>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</si>
  <si>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</si>
  <si>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</si>
  <si>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</si>
  <si>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</si>
  <si>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</si>
  <si>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</si>
  <si>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</si>
  <si>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</si>
  <si>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</si>
  <si>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</si>
  <si>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</si>
  <si>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</si>
  <si>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</si>
  <si>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</si>
  <si>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</si>
  <si>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</si>
  <si>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</si>
  <si>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</si>
  <si>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</si>
  <si>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</si>
  <si>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</si>
  <si>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</si>
  <si>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</si>
  <si>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</si>
  <si>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</si>
  <si>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</si>
  <si>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</si>
  <si>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</si>
  <si>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</si>
  <si>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</si>
  <si>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</si>
  <si>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</si>
  <si>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</si>
  <si>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</si>
  <si>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</si>
  <si>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</si>
  <si>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</si>
  <si>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</si>
  <si>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</si>
  <si>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</si>
  <si>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</si>
  <si>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</si>
  <si>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</si>
  <si>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</si>
  <si>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</si>
  <si>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</si>
  <si>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</si>
  <si>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</si>
  <si>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</si>
  <si>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</si>
  <si>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</si>
  <si>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</si>
  <si>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</si>
  <si>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</si>
  <si>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</si>
  <si>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</si>
  <si>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</si>
  <si>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</si>
  <si>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</si>
  <si>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</si>
  <si>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</si>
  <si>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</si>
  <si>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</si>
  <si>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</si>
  <si>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</si>
  <si>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</si>
  <si>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</si>
  <si>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</si>
  <si>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</si>
  <si>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</si>
  <si>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</si>
  <si>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</si>
  <si>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</si>
  <si>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</si>
  <si>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</si>
  <si>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</si>
  <si>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</si>
  <si>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</si>
  <si>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</si>
  <si>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</si>
  <si>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</si>
  <si>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</si>
  <si>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</si>
  <si>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</si>
  <si>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</si>
  <si>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</si>
  <si>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</si>
  <si>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</si>
  <si>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</si>
  <si>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</si>
  <si>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</si>
  <si>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</si>
  <si>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</si>
  <si>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</si>
  <si>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</si>
  <si>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</si>
  <si>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</si>
  <si>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</si>
  <si>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</si>
  <si>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</si>
  <si>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</si>
  <si>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</si>
  <si>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</si>
  <si>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</si>
  <si>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</si>
  <si>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</si>
  <si>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</si>
  <si>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</si>
  <si>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</si>
  <si>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</si>
  <si>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</si>
  <si>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</si>
  <si>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</si>
  <si>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</si>
  <si>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</si>
  <si>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</si>
  <si>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</si>
  <si>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</si>
  <si>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</si>
  <si>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</si>
  <si>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</si>
  <si>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</si>
  <si>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</si>
  <si>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</si>
  <si>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</si>
  <si>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</si>
  <si>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</si>
  <si>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</si>
  <si>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</si>
  <si>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</si>
  <si>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</si>
  <si>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</si>
  <si>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</si>
  <si>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</si>
  <si>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</si>
  <si>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</si>
  <si>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</si>
  <si>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</si>
  <si>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</si>
  <si>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</si>
  <si>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</si>
  <si>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</si>
  <si>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</si>
  <si>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</si>
  <si>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</si>
  <si>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</si>
  <si>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</si>
  <si>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</si>
  <si>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</si>
  <si>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</si>
  <si>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</si>
  <si>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</si>
  <si>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</si>
  <si>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</si>
  <si>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</si>
  <si>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</si>
  <si>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</si>
  <si>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</si>
  <si>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</si>
  <si>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</si>
  <si>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</si>
  <si>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</si>
  <si>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</si>
  <si>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</si>
  <si>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</si>
  <si>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</si>
  <si>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</si>
  <si>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</si>
  <si>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</si>
  <si>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</si>
  <si>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</si>
  <si>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</si>
  <si>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</si>
  <si>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</si>
  <si>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</si>
  <si>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</si>
  <si>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</si>
  <si>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</si>
  <si>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</si>
  <si>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</si>
  <si>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</si>
  <si>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</si>
  <si>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</si>
  <si>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</si>
  <si>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</si>
  <si>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</si>
  <si>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</si>
  <si>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</si>
  <si>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</si>
  <si>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</si>
  <si>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</si>
  <si>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</si>
  <si>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</si>
  <si>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</si>
  <si>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</si>
  <si>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</si>
  <si>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</si>
  <si>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</si>
  <si>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</si>
  <si>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</si>
  <si>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</si>
  <si>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</si>
  <si>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</si>
  <si>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</si>
  <si>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</si>
  <si>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</si>
  <si>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</si>
  <si>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</si>
  <si>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</si>
  <si>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</si>
  <si>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</si>
  <si>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</si>
  <si>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</si>
  <si>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</si>
  <si>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</si>
  <si>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</si>
  <si>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</si>
  <si>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</si>
  <si>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</si>
  <si>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</si>
  <si>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</si>
  <si>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</si>
  <si>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</si>
  <si>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</si>
  <si>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</si>
  <si>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</si>
  <si>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</si>
  <si>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</si>
  <si>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</si>
  <si>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</si>
  <si>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</si>
  <si>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</si>
  <si>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</si>
  <si>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</si>
  <si>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</si>
  <si>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</si>
  <si>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</si>
  <si>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</si>
  <si>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</si>
  <si>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</si>
  <si>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</si>
  <si>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</si>
  <si>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</si>
  <si>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</si>
  <si>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</si>
  <si>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</si>
  <si>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</si>
  <si>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</si>
  <si>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</si>
  <si>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</si>
  <si>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</si>
  <si>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</si>
  <si>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</si>
  <si>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</si>
  <si>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</si>
  <si>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</si>
  <si>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</si>
  <si>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</si>
  <si>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</si>
  <si>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</si>
  <si>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</si>
  <si>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</si>
  <si>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</si>
  <si>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</si>
  <si>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</si>
  <si>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</si>
  <si>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</si>
  <si>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</si>
  <si>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</si>
  <si>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</si>
  <si>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</si>
  <si>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</si>
  <si>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</si>
  <si>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</si>
  <si>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</si>
  <si>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</si>
  <si>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</si>
  <si>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</si>
  <si>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</si>
  <si>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</si>
  <si>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</si>
  <si>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</si>
  <si>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</si>
  <si>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</si>
  <si>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</si>
  <si>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</si>
  <si>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</si>
  <si>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</si>
  <si>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</si>
  <si>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</si>
  <si>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</si>
  <si>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</si>
  <si>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</si>
  <si>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</si>
  <si>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</si>
  <si>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</si>
  <si>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</si>
  <si>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</si>
  <si>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</si>
  <si>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</si>
  <si>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</si>
  <si>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</si>
  <si>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</si>
  <si>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</si>
  <si>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</si>
  <si>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</si>
  <si>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</si>
  <si>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</si>
  <si>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</si>
  <si>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</si>
  <si>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</si>
  <si>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</si>
  <si>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</si>
  <si>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</si>
  <si>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</si>
  <si>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</si>
  <si>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</si>
  <si>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</si>
  <si>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</si>
  <si>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</si>
  <si>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</si>
  <si>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</si>
  <si>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</si>
  <si>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</si>
  <si>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</si>
  <si>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</si>
  <si>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</si>
  <si>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</si>
  <si>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</si>
  <si>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</si>
  <si>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</si>
  <si>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</si>
  <si>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</si>
  <si>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</si>
  <si>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</si>
  <si>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</si>
  <si>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</si>
  <si>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</si>
  <si>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</si>
  <si>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</si>
  <si>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</si>
  <si>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</si>
  <si>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</si>
  <si>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</si>
  <si>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</si>
  <si>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</si>
  <si>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</si>
  <si>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</si>
  <si>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</si>
  <si>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</si>
  <si>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</si>
  <si>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</si>
  <si>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</si>
  <si>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</si>
  <si>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</si>
  <si>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</si>
  <si>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</si>
  <si>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</si>
  <si>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</si>
  <si>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</si>
  <si>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</si>
  <si>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</si>
  <si>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</si>
  <si>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</si>
  <si>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</si>
  <si>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</si>
  <si>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</si>
  <si>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</si>
  <si>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</si>
  <si>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</si>
  <si>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</si>
  <si>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</si>
  <si>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</si>
  <si>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</si>
  <si>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</si>
  <si>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</si>
  <si>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</si>
  <si>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</si>
  <si>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</si>
  <si>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</si>
  <si>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</si>
  <si>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</si>
  <si>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</si>
  <si>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</si>
  <si>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</si>
  <si>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</si>
  <si>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</si>
  <si>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</si>
  <si>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</si>
  <si>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</si>
  <si>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</si>
  <si>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</si>
  <si>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</si>
  <si>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</si>
  <si>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</si>
  <si>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</si>
  <si>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</si>
  <si>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</si>
  <si>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</si>
  <si>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</si>
  <si>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</si>
  <si>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</si>
  <si>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</si>
  <si>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</si>
  <si>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</si>
  <si>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</si>
  <si>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</si>
  <si>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</si>
  <si>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</si>
  <si>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</si>
  <si>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</si>
  <si>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</si>
  <si>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</si>
  <si>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</si>
  <si>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</si>
  <si>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</si>
  <si>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</si>
  <si>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</si>
  <si>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</si>
  <si>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</si>
  <si>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</si>
  <si>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</si>
  <si>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</si>
  <si>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</si>
  <si>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</si>
  <si>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</si>
  <si>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</si>
  <si>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</si>
  <si>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</si>
  <si>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</si>
  <si>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</si>
  <si>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</si>
  <si>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</si>
  <si>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</si>
  <si>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</si>
  <si>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</si>
  <si>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</si>
  <si>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</si>
  <si>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</si>
  <si>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</si>
  <si>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</si>
  <si>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</si>
  <si>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</si>
  <si>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</si>
  <si>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</si>
  <si>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</si>
  <si>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</si>
  <si>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</si>
  <si>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</si>
  <si>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</si>
  <si>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</si>
  <si>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</si>
  <si>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</si>
  <si>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</si>
  <si>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</si>
  <si>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</si>
  <si>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</si>
  <si>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</si>
  <si>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</si>
  <si>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</si>
  <si>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</si>
  <si>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</si>
  <si>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</si>
  <si>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</si>
  <si>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</si>
  <si>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</si>
  <si>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</si>
  <si>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</si>
  <si>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</si>
  <si>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</si>
  <si>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</si>
  <si>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</si>
  <si>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</si>
  <si>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</si>
  <si>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</si>
  <si>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</si>
  <si>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</si>
  <si>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</si>
  <si>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</si>
  <si>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</si>
  <si>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</si>
  <si>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</si>
  <si>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</si>
  <si>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</si>
  <si>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</si>
  <si>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</si>
  <si>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</si>
  <si>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</si>
  <si>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</si>
  <si>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</si>
  <si>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Equal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</si>
  <si>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</si>
  <si>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</si>
  <si>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</si>
  <si>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</si>
  <si>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</si>
  <si>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</si>
  <si>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</si>
  <si>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</si>
  <si>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</si>
  <si>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</si>
  <si>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</si>
  <si>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</si>
  <si>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</si>
  <si>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</si>
  <si>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</si>
  <si>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</si>
  <si>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</si>
  <si>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</si>
  <si>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</si>
  <si>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</si>
  <si>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</si>
  <si>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</si>
  <si>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</si>
  <si>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</si>
  <si>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</si>
  <si>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</si>
  <si>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</si>
  <si>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</si>
  <si>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</si>
  <si>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</si>
  <si>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</si>
  <si>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</si>
  <si>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</si>
  <si>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</si>
  <si>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</si>
  <si>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</si>
  <si>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</si>
  <si>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</si>
  <si>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</si>
  <si>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</si>
  <si>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</si>
  <si>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</si>
  <si>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</si>
  <si>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</si>
  <si>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</si>
  <si>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</si>
  <si>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Clear 6 rooms, MaxHP +3</t>
    <phoneticPr fontId="6" type="noConversion"/>
  </si>
  <si>
    <t>최대체력 -1칸</t>
    <phoneticPr fontId="6" type="noConversion"/>
  </si>
  <si>
    <t>MaxHP -1</t>
    <phoneticPr fontId="6" type="noConversion"/>
  </si>
  <si>
    <t>MaxHp -2</t>
    <phoneticPr fontId="6" type="noConversion"/>
  </si>
  <si>
    <t>'체력이 생기면 고민도 행복해진다.'\n마계 국민 첫 재테크 적금으로 딱입니다.</t>
    <phoneticPr fontId="6" type="noConversion"/>
  </si>
  <si>
    <t>'When I get physical strength, my worries become happy.'\nIt's perfect for underworld people's first financial savings.</t>
    <phoneticPr fontId="6" type="noConversion"/>
  </si>
  <si>
    <t>GreaterThan</t>
    <phoneticPr fontId="6" type="noConversion"/>
  </si>
  <si>
    <t>6개의 방을 클리어할 경우 체력 +4칸</t>
    <phoneticPr fontId="6" type="noConversion"/>
  </si>
  <si>
    <t>시간배율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</si>
</sst>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30" fillId="9" borderId="0" xfId="0" applyFont="1" applyFill="1">
      <alignment vertical="center"/>
    </xf>
    <xf numFmtId="0" fontId="19" fillId="0" borderId="0" xfId="0" quotePrefix="1" applyFont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7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6"/>
      <tableStyleElement type="headerRow" dxfId="175"/>
      <tableStyleElement type="totalRow" dxfId="174"/>
      <tableStyleElement type="firstColumn" dxfId="173"/>
      <tableStyleElement type="lastColumn" dxfId="172"/>
      <tableStyleElement type="firstRowStripe" dxfId="171"/>
      <tableStyleElement type="firstColumnStripe" dxfId="170"/>
    </tableStyle>
    <tableStyle name="Light Style 1 - Accent 1" table="0" count="7" xr9:uid="{00000000-0011-0000-FFFF-FFFF01000000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  <tableStyle name="표 스타일 1" pivot="0" count="4" xr9:uid="{00000000-0011-0000-FFFF-FFFF02000000}">
      <tableStyleElement type="wholeTable" dxfId="162"/>
      <tableStyleElement type="headerRow" dxfId="161"/>
      <tableStyleElement type="firstRowStripe" dxfId="160"/>
      <tableStyleElement type="secondRowStripe" dxfId="159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7">
  <autoFilter ref="B12:G42" xr:uid="{00000000-0009-0000-0100-00000B000000}"/>
  <tableColumns count="6">
    <tableColumn id="11" xr3:uid="{00000000-0010-0000-0100-00000B000000}" name="층" dataDxfId="15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5"/>
    <tableColumn id="6" xr3:uid="{00000000-0010-0000-0100-000006000000}" name="평균획득골드" totalsRowFunction="average" dataDxfId="15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2" totalsRowDxfId="151"/>
    <tableColumn id="2" xr3:uid="{00000000-0010-0000-0300-000002000000}" name="개수" dataDxfId="15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0" dataDxfId="139">
  <autoFilter ref="B11:F42" xr:uid="{00000000-0009-0000-0100-000008000000}"/>
  <tableColumns count="5">
    <tableColumn id="1" xr3:uid="{00000000-0010-0000-0400-000001000000}" name="스텟" dataDxfId="138"/>
    <tableColumn id="2" xr3:uid="{00000000-0010-0000-0400-000002000000}" name="참조 테이블" dataDxfId="137"/>
    <tableColumn id="3" xr3:uid="{00000000-0010-0000-0400-000003000000}" name="설명" dataDxfId="136"/>
    <tableColumn id="4" xr3:uid="{00000000-0010-0000-0400-000004000000}" name="Value 1당 가치" dataDxfId="135"/>
    <tableColumn id="5" xr3:uid="{E80FF9E0-4D51-4BB5-9D04-891CF4119D93}" name="OP계수" dataDxfId="13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0">
      <calculatedColumnFormula array="1">표27[최종 DPS]</calculatedColumnFormula>
    </tableColumn>
    <tableColumn id="10" xr3:uid="{00000000-0010-0000-0700-00000A000000}" name="예상 전투 시간" dataDxfId="12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6">
  <autoFilter ref="H12:L13" xr:uid="{1A39BDA6-5227-4F3A-BB7B-457C71991C01}"/>
  <tableColumns count="5">
    <tableColumn id="1" xr3:uid="{C2200712-B727-4558-990C-91912E8DE66E}" name="직접 공격 DPS" dataDxfId="125">
      <calculatedColumnFormula array="1">CharacterAtkTable[ChargeRigidDmg1]/CharacterAtkTable[SwingCooldown]</calculatedColumnFormula>
    </tableColumn>
    <tableColumn id="2" xr3:uid="{7A94433E-C49F-40C3-8DEB-869FEDCBFEBA}" name="직접 차징 DPS" dataDxfId="12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2">
      <calculatedColumnFormula array="1">CharacterAtkTable[EnemyProjectileDmg]*표26[적에게 튕김 기댓값]</calculatedColumnFormula>
    </tableColumn>
    <tableColumn id="5" xr3:uid="{B8F641EE-C92E-4085-9FC5-1D7A1E85838D}" name="차징공격 DPS" dataDxfId="12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0"/>
    <tableColumn id="2" xr3:uid="{7BC54428-2097-4B23-ACAC-4CF6F55435E4}" name="최종 DPS" dataDxfId="11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6" dataDxfId="115">
  <autoFilter ref="B45:F54" xr:uid="{52C1D108-3D49-4B42-B815-0005AC0F8DFB}"/>
  <tableColumns count="5">
    <tableColumn id="1" xr3:uid="{97C44805-9CD2-45EA-B5DF-D65CFA5C28DC}" name="트리거" dataDxfId="114"/>
    <tableColumn id="2" xr3:uid="{0CB69347-3D8F-4363-BA6F-16EF9B4A762D}" name="발동 여부" dataDxfId="113"/>
    <tableColumn id="3" xr3:uid="{176A61E6-C094-47E3-8CBF-78EA6EEA3FB7}" name="발동에 걸리는 시간" dataDxfId="112"/>
    <tableColumn id="4" xr3:uid="{C9DEDF42-6084-4BE1-AED3-7B9E6FA248C1}" name="발동율" dataDxfId="11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9">
  <autoFilter ref="B57:F66" xr:uid="{5DE4A78B-5308-430C-BFB3-A3DED3312CD7}"/>
  <tableColumns count="5">
    <tableColumn id="1" xr3:uid="{D8664B31-C1C5-4F94-9493-0E923670269C}" name="특수 이펙트 명칭" dataDxfId="108"/>
    <tableColumn id="2" xr3:uid="{75D26A2C-66A5-4D4E-8467-00AB4551DB09}" name="열1" dataDxfId="107"/>
    <tableColumn id="3" xr3:uid="{C016E32B-6A25-4781-91D0-3F1F049AB241}" name="설명" dataDxfId="106"/>
    <tableColumn id="4" xr3:uid="{87B4D8C0-06AC-4B77-972D-B4F0F00820E7}" name="1당 가치" dataDxfId="105">
      <calculatedColumnFormula>E14</calculatedColumnFormula>
    </tableColumn>
    <tableColumn id="5" xr3:uid="{B8215913-9E5B-4616-A7FB-EBC3ED6C83CC}" name="OP계수" dataDxfId="10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2"/>
    <tableColumn id="3" xr3:uid="{00000000-0010-0000-0900-000003000000}" name="value"/>
    <tableColumn id="4" xr3:uid="{00000000-0010-0000-0900-000004000000}" name="#설명" dataDxfId="10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7"/>
    <tableColumn id="7" xr3:uid="{00000000-0010-0000-0B00-000007000000}" name="SwingCooldown" dataDxfId="9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2"/>
    <tableColumn id="14" xr3:uid="{00000000-0010-0000-0C00-00000E000000}" name="#드랍테이블2" dataDxfId="91"/>
    <tableColumn id="15" xr3:uid="{00000000-0010-0000-0C00-00000F000000}" name="#드랍테이블3" dataDxfId="90"/>
    <tableColumn id="16" xr3:uid="{00000000-0010-0000-0C00-000010000000}" name="#드랍테이블4" dataDxfId="89"/>
    <tableColumn id="17" xr3:uid="{00000000-0010-0000-0C00-000011000000}" name="#드랍테이블5" dataDxfId="88"/>
    <tableColumn id="18" xr3:uid="{00000000-0010-0000-0C00-000012000000}" name="#드랍테이블6" dataDxfId="8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4"/>
    <tableColumn id="19" xr3:uid="{00000000-0010-0000-0E00-000013000000}" name="#" dataDxfId="8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1"/>
    <tableColumn id="17" xr3:uid="{00000000-0010-0000-0E00-000011000000}" name="#기준 적 체력 비율"/>
    <tableColumn id="18" xr3:uid="{00000000-0010-0000-0E00-000012000000}" name="#평균 드랍 골드" dataDxfId="8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79"/>
    <tableColumn id="3" xr3:uid="{00000000-0010-0000-0F00-000003000000}" name="ShootDataId" dataDxfId="7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7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4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4" totalsRowShown="0" headerRowDxfId="72" dataDxfId="71">
  <autoFilter ref="B2:S34" xr:uid="{00000000-0009-0000-0100-000004000000}"/>
  <tableColumns count="18">
    <tableColumn id="1" xr3:uid="{00000000-0010-0000-1200-000001000000}" name="Index" dataDxfId="70"/>
    <tableColumn id="11" xr3:uid="{C2C906EC-5EEB-4ECD-9BFE-AD35439C5A42}" name="#이름" dataDxfId="69">
      <calculatedColumnFormula>INDEX(LocaleTable[LocaleKR],MATCH(ItemTable[[#This Row],[Name]],LocaleTable[StringKey],0))</calculatedColumnFormula>
    </tableColumn>
    <tableColumn id="13" xr3:uid="{0228A5D9-BA73-4AE8-96BB-B4E0516E7318}" name="#설명" dataDxfId="6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6">
      <calculatedColumnFormula>INDEX(LocaleTable[LocaleKR],MATCH(ItemTable[[#This Row],[MinusDesc]],LocaleTable[StringKey],0))</calculatedColumnFormula>
    </tableColumn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52">
  <autoFilter ref="B2:S36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6" totalsRowShown="0" headerRowDxfId="9" dataDxfId="8">
  <autoFilter ref="B2:I166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2" t="s">
        <v>185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2" t="s">
        <v>118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288</v>
      </c>
      <c r="K5" s="2"/>
      <c r="O5" s="31" t="s">
        <v>601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579</v>
      </c>
      <c r="K6" s="11" t="s">
        <v>287</v>
      </c>
      <c r="L6" s="11" t="s">
        <v>284</v>
      </c>
      <c r="M6" s="11" t="s">
        <v>285</v>
      </c>
      <c r="O6" s="16" t="s">
        <v>378</v>
      </c>
      <c r="P6" s="16" t="s">
        <v>287</v>
      </c>
      <c r="Q6" s="16" t="s">
        <v>284</v>
      </c>
      <c r="R6" s="16" t="s">
        <v>285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289</v>
      </c>
      <c r="K7">
        <v>0</v>
      </c>
      <c r="L7">
        <v>4</v>
      </c>
      <c r="M7">
        <v>7</v>
      </c>
      <c r="O7" s="16" t="s">
        <v>380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290</v>
      </c>
      <c r="K8">
        <v>0</v>
      </c>
      <c r="L8">
        <v>6</v>
      </c>
      <c r="M8">
        <v>12</v>
      </c>
      <c r="O8" s="16" t="s">
        <v>381</v>
      </c>
      <c r="P8">
        <v>20</v>
      </c>
      <c r="Q8">
        <v>80</v>
      </c>
      <c r="R8">
        <v>150</v>
      </c>
    </row>
    <row r="9" spans="2:18">
      <c r="J9" t="s">
        <v>291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383</v>
      </c>
      <c r="P9">
        <v>20</v>
      </c>
      <c r="Q9">
        <v>80</v>
      </c>
      <c r="R9">
        <v>150</v>
      </c>
    </row>
    <row r="11" spans="2:18">
      <c r="B11" s="2" t="s">
        <v>594</v>
      </c>
      <c r="C11" s="2"/>
      <c r="D11" s="2"/>
      <c r="J11" s="2" t="s">
        <v>379</v>
      </c>
    </row>
    <row r="12" spans="2:18">
      <c r="B12" s="11" t="s">
        <v>378</v>
      </c>
      <c r="C12" s="11" t="s">
        <v>286</v>
      </c>
      <c r="D12" s="11" t="s">
        <v>287</v>
      </c>
      <c r="E12" s="11" t="s">
        <v>284</v>
      </c>
      <c r="F12" s="11" t="s">
        <v>285</v>
      </c>
      <c r="G12" s="11" t="s">
        <v>385</v>
      </c>
      <c r="H12" s="16"/>
      <c r="J12" s="11" t="s">
        <v>378</v>
      </c>
      <c r="K12" s="11" t="s">
        <v>384</v>
      </c>
      <c r="L12" s="11" t="s">
        <v>577</v>
      </c>
      <c r="M12" s="11" t="s">
        <v>578</v>
      </c>
    </row>
    <row r="13" spans="2:18">
      <c r="B13" s="11" t="s">
        <v>380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380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386</v>
      </c>
      <c r="P13" s="11">
        <f>FloorInfo[[#Totals],[층 완료 획득 골드]]/30</f>
        <v>19.716666666666665</v>
      </c>
    </row>
    <row r="14" spans="2:18">
      <c r="B14" s="11" t="s">
        <v>381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381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387</v>
      </c>
      <c r="P14" s="11">
        <f>FloorInfo[[#Totals],[층 완료 획득 골드]]/50</f>
        <v>11.83</v>
      </c>
    </row>
    <row r="15" spans="2:18">
      <c r="B15" s="11" t="s">
        <v>382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383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291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592</v>
      </c>
      <c r="K18" s="5"/>
    </row>
    <row r="19" spans="2:17">
      <c r="B19" s="11"/>
      <c r="J19" s="16" t="s">
        <v>378</v>
      </c>
      <c r="K19" s="16" t="s">
        <v>597</v>
      </c>
      <c r="L19" s="16" t="s">
        <v>596</v>
      </c>
      <c r="M19" s="16" t="s">
        <v>598</v>
      </c>
      <c r="N19" s="16" t="s">
        <v>595</v>
      </c>
      <c r="O19" s="16" t="s">
        <v>599</v>
      </c>
      <c r="P19" s="16" t="s">
        <v>600</v>
      </c>
      <c r="Q19" s="16" t="s">
        <v>593</v>
      </c>
    </row>
    <row r="20" spans="2:17">
      <c r="B20" s="11"/>
      <c r="J20" s="16" t="s">
        <v>380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381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383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2" t="s">
        <v>165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656</v>
      </c>
      <c r="C5" s="8" t="s">
        <v>657</v>
      </c>
      <c r="H5" s="2" t="s">
        <v>602</v>
      </c>
      <c r="N5" s="2" t="s">
        <v>57</v>
      </c>
    </row>
    <row r="6" spans="1:17">
      <c r="B6" s="11" t="s">
        <v>665</v>
      </c>
      <c r="C6" s="11" t="s">
        <v>666</v>
      </c>
      <c r="D6" s="11" t="s">
        <v>738</v>
      </c>
      <c r="H6" t="s">
        <v>22</v>
      </c>
      <c r="I6" t="s">
        <v>200</v>
      </c>
      <c r="J6" t="s">
        <v>167</v>
      </c>
      <c r="N6" t="s">
        <v>53</v>
      </c>
      <c r="O6" s="11" t="s">
        <v>292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380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381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383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152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667</v>
      </c>
    </row>
    <row r="11" spans="1:17">
      <c r="A11" s="9"/>
      <c r="B11" t="s">
        <v>29</v>
      </c>
      <c r="C11" t="s">
        <v>82</v>
      </c>
      <c r="D11" t="s">
        <v>33</v>
      </c>
      <c r="E11" t="s">
        <v>202</v>
      </c>
      <c r="F11" s="11" t="s">
        <v>654</v>
      </c>
      <c r="H11" s="61" t="s">
        <v>576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109</v>
      </c>
      <c r="C12" s="10" t="s">
        <v>16</v>
      </c>
      <c r="D12" t="s">
        <v>75</v>
      </c>
      <c r="E12" s="19">
        <v>0</v>
      </c>
      <c r="F12" s="66">
        <v>0</v>
      </c>
      <c r="H12" s="11" t="s">
        <v>648</v>
      </c>
      <c r="I12" s="11" t="s">
        <v>649</v>
      </c>
      <c r="J12" s="11" t="s">
        <v>650</v>
      </c>
      <c r="K12" t="s">
        <v>642</v>
      </c>
      <c r="L12" t="s">
        <v>643</v>
      </c>
    </row>
    <row r="13" spans="1:17">
      <c r="A13" s="9"/>
      <c r="B13" s="9" t="s">
        <v>0</v>
      </c>
      <c r="C13" s="9" t="s">
        <v>144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144</v>
      </c>
      <c r="D14" t="s">
        <v>86</v>
      </c>
      <c r="E14" s="19">
        <v>0</v>
      </c>
      <c r="F14" s="66">
        <v>0</v>
      </c>
      <c r="N14" t="s">
        <v>56</v>
      </c>
      <c r="O14" t="s">
        <v>164</v>
      </c>
    </row>
    <row r="15" spans="1:17">
      <c r="A15" s="9"/>
      <c r="B15" s="62" t="s">
        <v>112</v>
      </c>
      <c r="C15" s="62" t="s">
        <v>144</v>
      </c>
      <c r="D15" s="20" t="s">
        <v>198</v>
      </c>
      <c r="E15" s="22">
        <f>50/3</f>
        <v>16.666666666666668</v>
      </c>
      <c r="F15" s="66">
        <v>0</v>
      </c>
      <c r="H15" s="11" t="s">
        <v>772</v>
      </c>
      <c r="I15" t="s">
        <v>644</v>
      </c>
      <c r="J15" t="s">
        <v>645</v>
      </c>
      <c r="N15">
        <v>100</v>
      </c>
      <c r="O15">
        <v>0.2</v>
      </c>
    </row>
    <row r="16" spans="1:17">
      <c r="A16" s="9"/>
      <c r="B16" s="9" t="s">
        <v>157</v>
      </c>
      <c r="C16" s="9" t="s">
        <v>144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340</v>
      </c>
      <c r="C17" s="9" t="s">
        <v>144</v>
      </c>
      <c r="D17" s="11" t="s">
        <v>631</v>
      </c>
      <c r="E17" s="14">
        <f>50/0.8</f>
        <v>62.5</v>
      </c>
      <c r="F17" s="66">
        <v>0</v>
      </c>
    </row>
    <row r="18" spans="1:15">
      <c r="A18" s="9"/>
      <c r="B18" s="63" t="s">
        <v>633</v>
      </c>
      <c r="C18" s="9" t="s">
        <v>144</v>
      </c>
      <c r="D18" s="11" t="s">
        <v>634</v>
      </c>
      <c r="E18" s="19">
        <v>100</v>
      </c>
      <c r="F18" s="66">
        <v>0</v>
      </c>
      <c r="H18" t="s">
        <v>646</v>
      </c>
      <c r="I18" t="s">
        <v>647</v>
      </c>
      <c r="J18" s="11" t="s">
        <v>655</v>
      </c>
    </row>
    <row r="19" spans="1:15">
      <c r="A19" s="9"/>
      <c r="B19" t="s">
        <v>136</v>
      </c>
      <c r="C19" s="9" t="s">
        <v>134</v>
      </c>
      <c r="D19" s="11" t="s">
        <v>635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104</v>
      </c>
      <c r="C20" s="9" t="s">
        <v>134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190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189</v>
      </c>
      <c r="C22" s="9" t="s">
        <v>9</v>
      </c>
      <c r="D22" s="11" t="s">
        <v>653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652</v>
      </c>
      <c r="E23" s="19">
        <f>50/360</f>
        <v>0.1388888888888889</v>
      </c>
      <c r="F23" s="66">
        <v>0</v>
      </c>
    </row>
    <row r="24" spans="1:15">
      <c r="A24" s="9"/>
      <c r="B24" s="9" t="s">
        <v>130</v>
      </c>
      <c r="C24" s="9" t="s">
        <v>9</v>
      </c>
      <c r="D24" s="11" t="s">
        <v>651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878</v>
      </c>
      <c r="C25" s="9" t="s">
        <v>9</v>
      </c>
      <c r="D25" s="16" t="s">
        <v>882</v>
      </c>
      <c r="E25" s="19">
        <v>50</v>
      </c>
      <c r="F25" s="66">
        <v>0</v>
      </c>
    </row>
    <row r="26" spans="1:15">
      <c r="A26" s="9"/>
      <c r="B26" s="76" t="s">
        <v>879</v>
      </c>
      <c r="C26" s="9" t="s">
        <v>9</v>
      </c>
      <c r="D26" s="16" t="s">
        <v>881</v>
      </c>
      <c r="E26" s="19">
        <v>30</v>
      </c>
      <c r="F26" s="66">
        <v>0</v>
      </c>
    </row>
    <row r="27" spans="1:15">
      <c r="A27" s="9"/>
      <c r="B27" s="76" t="s">
        <v>875</v>
      </c>
      <c r="C27" s="9" t="s">
        <v>9</v>
      </c>
      <c r="D27" s="16" t="s">
        <v>880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207</v>
      </c>
      <c r="C28" s="9" t="s">
        <v>9</v>
      </c>
      <c r="D28" s="11" t="s">
        <v>636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361</v>
      </c>
      <c r="C29" s="9" t="s">
        <v>9</v>
      </c>
      <c r="D29" s="11" t="s">
        <v>637</v>
      </c>
      <c r="E29" s="65">
        <f>30/-0.08</f>
        <v>-375</v>
      </c>
      <c r="F29" s="66">
        <v>0</v>
      </c>
    </row>
    <row r="30" spans="1:15">
      <c r="A30" s="9"/>
      <c r="B30" s="9" t="s">
        <v>123</v>
      </c>
      <c r="C30" s="9" t="s">
        <v>9</v>
      </c>
      <c r="D30" t="s">
        <v>139</v>
      </c>
      <c r="E30" s="19">
        <f>50/100</f>
        <v>0.5</v>
      </c>
      <c r="F30" s="66">
        <v>0</v>
      </c>
    </row>
    <row r="31" spans="1:15">
      <c r="A31" s="9"/>
      <c r="B31" s="9" t="s">
        <v>145</v>
      </c>
      <c r="C31" s="9" t="s">
        <v>9</v>
      </c>
      <c r="D31" t="s">
        <v>141</v>
      </c>
      <c r="E31" s="19">
        <f>50/100</f>
        <v>0.5</v>
      </c>
      <c r="F31" s="66">
        <v>0</v>
      </c>
    </row>
    <row r="32" spans="1:15">
      <c r="A32" s="9"/>
      <c r="B32" s="53" t="s">
        <v>392</v>
      </c>
      <c r="C32" s="9" t="s">
        <v>9</v>
      </c>
      <c r="D32" t="s">
        <v>151</v>
      </c>
      <c r="E32" s="19">
        <f>30/1/2</f>
        <v>15</v>
      </c>
      <c r="F32" s="66">
        <v>0</v>
      </c>
    </row>
    <row r="33" spans="1:6">
      <c r="A33" s="9"/>
      <c r="B33" s="9" t="s">
        <v>133</v>
      </c>
      <c r="C33" s="9" t="s">
        <v>9</v>
      </c>
      <c r="D33" t="s">
        <v>196</v>
      </c>
      <c r="E33" s="19">
        <f>50/25</f>
        <v>2</v>
      </c>
      <c r="F33" s="66">
        <v>0</v>
      </c>
    </row>
    <row r="34" spans="1:6">
      <c r="A34" s="9"/>
      <c r="B34" s="9" t="s">
        <v>138</v>
      </c>
      <c r="C34" s="9" t="s">
        <v>9</v>
      </c>
      <c r="D34" t="s">
        <v>197</v>
      </c>
      <c r="E34" s="19">
        <f>50/25</f>
        <v>2</v>
      </c>
      <c r="F34" s="66">
        <v>0</v>
      </c>
    </row>
    <row r="35" spans="1:6">
      <c r="A35" s="9"/>
      <c r="B35" s="9" t="s">
        <v>150</v>
      </c>
      <c r="C35" s="9" t="s">
        <v>9</v>
      </c>
      <c r="D35" t="s">
        <v>212</v>
      </c>
      <c r="E35" s="19">
        <v>2</v>
      </c>
      <c r="F35" s="66">
        <v>0</v>
      </c>
    </row>
    <row r="36" spans="1:6">
      <c r="A36" s="9"/>
      <c r="B36" s="9" t="s">
        <v>154</v>
      </c>
      <c r="C36" s="9" t="s">
        <v>9</v>
      </c>
      <c r="D36" t="s">
        <v>213</v>
      </c>
      <c r="E36" s="19">
        <v>2</v>
      </c>
      <c r="F36" s="66">
        <v>0</v>
      </c>
    </row>
    <row r="37" spans="1:6">
      <c r="B37" s="9" t="s">
        <v>110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727</v>
      </c>
    </row>
    <row r="45" spans="1:6">
      <c r="B45" s="11" t="s">
        <v>737</v>
      </c>
      <c r="C45" s="11" t="s">
        <v>739</v>
      </c>
      <c r="D45" s="11" t="s">
        <v>740</v>
      </c>
      <c r="E45" s="11" t="s">
        <v>727</v>
      </c>
      <c r="F45" s="11" t="s">
        <v>654</v>
      </c>
    </row>
    <row r="46" spans="1:6">
      <c r="B46" s="9" t="s">
        <v>728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729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730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731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732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733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734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735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736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727</v>
      </c>
    </row>
    <row r="57" spans="2:6">
      <c r="B57" s="11" t="s">
        <v>754</v>
      </c>
      <c r="C57" t="s">
        <v>756</v>
      </c>
      <c r="D57" s="11" t="s">
        <v>757</v>
      </c>
      <c r="E57" s="11" t="s">
        <v>755</v>
      </c>
      <c r="F57" s="11" t="s">
        <v>654</v>
      </c>
    </row>
    <row r="58" spans="2:6">
      <c r="B58" s="16" t="s">
        <v>428</v>
      </c>
      <c r="E58" s="19" cm="1">
        <f t="array" ref="E58">밸런스시트31[체력 상승량]</f>
        <v>1.2</v>
      </c>
    </row>
    <row r="59" spans="2:6">
      <c r="B59" s="16" t="s">
        <v>344</v>
      </c>
      <c r="E59" s="19"/>
    </row>
    <row r="60" spans="2:6">
      <c r="B60" s="16" t="s">
        <v>331</v>
      </c>
      <c r="E60" s="19"/>
    </row>
    <row r="61" spans="2:6">
      <c r="B61" s="48" t="s">
        <v>454</v>
      </c>
      <c r="E61" s="57">
        <v>1</v>
      </c>
    </row>
    <row r="62" spans="2:6">
      <c r="B62" s="16" t="s">
        <v>316</v>
      </c>
      <c r="E62" s="19"/>
    </row>
    <row r="63" spans="2:6">
      <c r="B63" s="16" t="s">
        <v>337</v>
      </c>
      <c r="E63" s="19"/>
    </row>
    <row r="64" spans="2:6">
      <c r="B64" s="16" t="s">
        <v>332</v>
      </c>
      <c r="E64" s="19"/>
    </row>
    <row r="65" spans="2:5">
      <c r="B65" s="16" t="s">
        <v>342</v>
      </c>
      <c r="E65" s="19"/>
    </row>
    <row r="66" spans="2:5">
      <c r="B66" s="20" t="s">
        <v>443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107</v>
      </c>
      <c r="C3">
        <v>5</v>
      </c>
      <c r="D3" s="4" t="s">
        <v>120</v>
      </c>
    </row>
    <row r="4" spans="1:4">
      <c r="A4">
        <v>2</v>
      </c>
      <c r="B4" s="4" t="s">
        <v>148</v>
      </c>
      <c r="C4">
        <v>5</v>
      </c>
      <c r="D4" s="4" t="s">
        <v>106</v>
      </c>
    </row>
    <row r="5" spans="1:4">
      <c r="A5">
        <v>3</v>
      </c>
      <c r="B5" s="4" t="s">
        <v>155</v>
      </c>
      <c r="C5">
        <v>20</v>
      </c>
      <c r="D5" s="4" t="s">
        <v>1</v>
      </c>
    </row>
    <row r="6" spans="1:4">
      <c r="A6">
        <v>4</v>
      </c>
      <c r="B6" s="4" t="s">
        <v>156</v>
      </c>
      <c r="C6">
        <v>0.5</v>
      </c>
      <c r="D6" s="4" t="s">
        <v>114</v>
      </c>
    </row>
    <row r="7" spans="1:4">
      <c r="A7">
        <v>5</v>
      </c>
      <c r="B7" s="4" t="s">
        <v>192</v>
      </c>
      <c r="C7">
        <v>50</v>
      </c>
      <c r="D7" s="4" t="s">
        <v>220</v>
      </c>
    </row>
    <row r="8" spans="1:4">
      <c r="A8">
        <v>6</v>
      </c>
      <c r="B8" s="4" t="s">
        <v>195</v>
      </c>
      <c r="C8">
        <v>1</v>
      </c>
      <c r="D8" s="4" t="s">
        <v>105</v>
      </c>
    </row>
    <row r="9" spans="1:4">
      <c r="A9">
        <v>7</v>
      </c>
      <c r="B9" s="4" t="s">
        <v>219</v>
      </c>
      <c r="C9">
        <v>10</v>
      </c>
      <c r="D9" s="4" t="s">
        <v>218</v>
      </c>
    </row>
    <row r="10" spans="1:4">
      <c r="A10">
        <v>8</v>
      </c>
      <c r="B10" s="4" t="s">
        <v>12</v>
      </c>
      <c r="C10">
        <v>5</v>
      </c>
      <c r="D10" s="4" t="s">
        <v>103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162</v>
      </c>
      <c r="F2" t="s">
        <v>0</v>
      </c>
      <c r="G2" s="11" t="s">
        <v>361</v>
      </c>
      <c r="H2" t="s">
        <v>5</v>
      </c>
      <c r="I2" s="16" t="s">
        <v>340</v>
      </c>
      <c r="J2" t="s">
        <v>3</v>
      </c>
      <c r="K2" t="s">
        <v>13</v>
      </c>
      <c r="L2" t="s">
        <v>136</v>
      </c>
      <c r="M2" t="s">
        <v>157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6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341</v>
      </c>
      <c r="E2" s="6" t="s">
        <v>189</v>
      </c>
      <c r="F2" s="37" t="s">
        <v>453</v>
      </c>
      <c r="G2" s="6" t="s">
        <v>207</v>
      </c>
      <c r="H2" s="33" t="s">
        <v>877</v>
      </c>
      <c r="I2" s="33" t="s">
        <v>879</v>
      </c>
      <c r="J2" s="33" t="s">
        <v>875</v>
      </c>
      <c r="K2" s="33" t="s">
        <v>407</v>
      </c>
      <c r="L2" s="37" t="s">
        <v>399</v>
      </c>
      <c r="M2" s="6" t="s">
        <v>15</v>
      </c>
      <c r="N2" s="7" t="s">
        <v>133</v>
      </c>
      <c r="O2" s="7" t="s">
        <v>138</v>
      </c>
      <c r="P2" s="38" t="s">
        <v>405</v>
      </c>
      <c r="Q2" s="28" t="s">
        <v>406</v>
      </c>
      <c r="R2" s="1" t="s">
        <v>190</v>
      </c>
    </row>
    <row r="3" spans="2:24">
      <c r="B3">
        <v>200</v>
      </c>
      <c r="C3" s="4" t="s">
        <v>168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127</v>
      </c>
      <c r="E2" s="23" t="s">
        <v>119</v>
      </c>
      <c r="F2" s="23" t="s">
        <v>163</v>
      </c>
      <c r="G2" t="s">
        <v>6</v>
      </c>
      <c r="H2" t="s">
        <v>179</v>
      </c>
      <c r="I2" t="s">
        <v>125</v>
      </c>
      <c r="J2" t="s">
        <v>124</v>
      </c>
      <c r="K2" t="s">
        <v>166</v>
      </c>
      <c r="L2" t="s">
        <v>121</v>
      </c>
      <c r="M2" t="s">
        <v>126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380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381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383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345</v>
      </c>
      <c r="H2" t="s">
        <v>26</v>
      </c>
      <c r="I2" t="s">
        <v>50</v>
      </c>
    </row>
    <row r="3" spans="1:11">
      <c r="B3" s="23">
        <v>9001</v>
      </c>
      <c r="C3" s="25" t="s">
        <v>301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300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232</v>
      </c>
      <c r="B6">
        <v>9100</v>
      </c>
      <c r="C6" s="13" t="s">
        <v>298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299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25</v>
      </c>
      <c r="C1" s="16" t="s">
        <v>320</v>
      </c>
      <c r="D1" s="11" t="s">
        <v>232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304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319</v>
      </c>
      <c r="D2" s="12" t="s">
        <v>232</v>
      </c>
      <c r="E2" t="s">
        <v>69</v>
      </c>
      <c r="F2" s="16" t="s">
        <v>296</v>
      </c>
      <c r="G2" t="s">
        <v>173</v>
      </c>
      <c r="H2" t="s">
        <v>175</v>
      </c>
      <c r="I2" s="16" t="s">
        <v>324</v>
      </c>
      <c r="J2" t="s">
        <v>0</v>
      </c>
      <c r="K2" s="16" t="s">
        <v>305</v>
      </c>
      <c r="L2" t="s">
        <v>117</v>
      </c>
      <c r="M2" t="s">
        <v>113</v>
      </c>
      <c r="N2" t="s">
        <v>115</v>
      </c>
      <c r="O2" t="s">
        <v>172</v>
      </c>
      <c r="P2" t="s">
        <v>122</v>
      </c>
      <c r="Q2" t="s">
        <v>178</v>
      </c>
      <c r="R2" t="s">
        <v>176</v>
      </c>
      <c r="S2" t="s">
        <v>2</v>
      </c>
      <c r="T2" t="s">
        <v>181</v>
      </c>
      <c r="U2" s="5" t="s">
        <v>183</v>
      </c>
      <c r="V2" s="5" t="s">
        <v>199</v>
      </c>
    </row>
    <row r="3" spans="2:22">
      <c r="B3">
        <v>500</v>
      </c>
      <c r="C3" s="4" t="s">
        <v>20</v>
      </c>
      <c r="D3" s="13" t="s">
        <v>233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419</v>
      </c>
      <c r="D4" s="13" t="s">
        <v>235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334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420</v>
      </c>
      <c r="D5" s="13" t="s">
        <v>236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421</v>
      </c>
      <c r="D6" s="13" t="s">
        <v>255</v>
      </c>
      <c r="E6">
        <f>표14[적 기준 체력]*EnemyGameData[[#This Row],['#기준 적 체력 비율]]</f>
        <v>80</v>
      </c>
      <c r="F6">
        <v>16</v>
      </c>
      <c r="G6" t="s">
        <v>182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411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412</v>
      </c>
      <c r="C7" s="21" t="s">
        <v>142</v>
      </c>
      <c r="D7" s="21" t="s">
        <v>259</v>
      </c>
      <c r="E7" s="20">
        <f>표14[적 기준 체력]*EnemyGameData[[#This Row],['#기준 적 체력 비율]]</f>
        <v>80</v>
      </c>
      <c r="F7">
        <v>16</v>
      </c>
      <c r="G7" s="20" t="s">
        <v>182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318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413</v>
      </c>
      <c r="C8" s="21" t="s">
        <v>143</v>
      </c>
      <c r="D8" s="21" t="s">
        <v>259</v>
      </c>
      <c r="E8" s="20">
        <f>표14[적 기준 체력]*EnemyGameData[[#This Row],['#기준 적 체력 비율]]</f>
        <v>100</v>
      </c>
      <c r="F8">
        <v>16</v>
      </c>
      <c r="G8" s="20" t="s">
        <v>182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318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422</v>
      </c>
      <c r="D9" s="13" t="s">
        <v>258</v>
      </c>
      <c r="E9">
        <f>표14[적 기준 체력]*EnemyGameData[[#This Row],['#기준 적 체력 비율]]</f>
        <v>100</v>
      </c>
      <c r="F9">
        <v>16</v>
      </c>
      <c r="G9" t="s">
        <v>182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423</v>
      </c>
      <c r="D10" s="13" t="s">
        <v>261</v>
      </c>
      <c r="E10">
        <f>표14[적 기준 체력]*EnemyGameData[[#This Row],['#기준 적 체력 비율]]</f>
        <v>80</v>
      </c>
      <c r="F10">
        <v>50</v>
      </c>
      <c r="G10" t="s">
        <v>182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128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417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424</v>
      </c>
      <c r="D11" s="13" t="s">
        <v>234</v>
      </c>
      <c r="E11">
        <f>표14[적 기준 체력]*EnemyGameData[[#This Row],['#기준 적 체력 비율]]</f>
        <v>140</v>
      </c>
      <c r="F11">
        <v>50</v>
      </c>
      <c r="G11" s="16" t="s">
        <v>404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128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418</v>
      </c>
      <c r="U11">
        <v>1.4</v>
      </c>
      <c r="V11">
        <v>7</v>
      </c>
    </row>
    <row r="12" spans="2:22">
      <c r="B12" s="39">
        <v>551</v>
      </c>
      <c r="C12" s="40" t="s">
        <v>425</v>
      </c>
      <c r="D12" s="40" t="s">
        <v>237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410</v>
      </c>
      <c r="U12" s="39">
        <v>1.6</v>
      </c>
      <c r="V12" s="39">
        <v>7</v>
      </c>
    </row>
    <row r="13" spans="2:22">
      <c r="B13">
        <v>552</v>
      </c>
      <c r="C13" s="13" t="s">
        <v>426</v>
      </c>
      <c r="D13" s="13" t="s">
        <v>256</v>
      </c>
      <c r="E13">
        <f>표14[적 기준 체력]*EnemyGameData[[#This Row],['#기준 적 체력 비율]]</f>
        <v>140</v>
      </c>
      <c r="F13">
        <v>16</v>
      </c>
      <c r="G13" t="s">
        <v>182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416</v>
      </c>
      <c r="U13">
        <v>1.4</v>
      </c>
      <c r="V13">
        <v>7</v>
      </c>
    </row>
    <row r="14" spans="2:22">
      <c r="B14">
        <v>553</v>
      </c>
      <c r="C14" s="14" t="s">
        <v>427</v>
      </c>
      <c r="D14" s="13" t="s">
        <v>257</v>
      </c>
      <c r="E14">
        <f>표14[적 기준 체력]*EnemyGameData[[#This Row],['#기준 적 체력 비율]]</f>
        <v>160</v>
      </c>
      <c r="F14">
        <v>16</v>
      </c>
      <c r="G14" t="s">
        <v>182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415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408</v>
      </c>
      <c r="C15" s="22" t="s">
        <v>260</v>
      </c>
      <c r="D15" s="21" t="s">
        <v>259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317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864</v>
      </c>
      <c r="D16" s="40"/>
      <c r="E16" s="39">
        <v>1500</v>
      </c>
      <c r="F16" s="39">
        <v>16</v>
      </c>
      <c r="G16" s="39" t="s">
        <v>182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907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865</v>
      </c>
      <c r="D17" s="40"/>
      <c r="E17" s="39">
        <v>1500</v>
      </c>
      <c r="F17" s="39">
        <v>16</v>
      </c>
      <c r="G17" s="39" t="s">
        <v>182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908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905</v>
      </c>
      <c r="D18" s="40"/>
      <c r="E18" s="39">
        <v>200</v>
      </c>
      <c r="F18" s="39">
        <v>16</v>
      </c>
      <c r="G18" s="39" t="s">
        <v>182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910</v>
      </c>
      <c r="V18" s="20"/>
    </row>
    <row r="19" spans="2:22" s="39" customFormat="1">
      <c r="B19" s="39">
        <v>1103</v>
      </c>
      <c r="C19" s="45" t="s">
        <v>906</v>
      </c>
      <c r="D19" s="40"/>
      <c r="E19" s="39">
        <v>200</v>
      </c>
      <c r="F19" s="39">
        <v>16</v>
      </c>
      <c r="G19" s="39" t="s">
        <v>182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911</v>
      </c>
      <c r="V19" s="20"/>
    </row>
    <row r="20" spans="2:22" s="39" customFormat="1">
      <c r="B20" s="39">
        <v>1003</v>
      </c>
      <c r="C20" s="40" t="s">
        <v>863</v>
      </c>
      <c r="D20" s="40"/>
      <c r="E20" s="39">
        <v>3000</v>
      </c>
      <c r="F20" s="39">
        <v>16</v>
      </c>
      <c r="G20" s="39" t="s">
        <v>182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909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232</v>
      </c>
      <c r="I1" s="11" t="s">
        <v>232</v>
      </c>
    </row>
    <row r="2" spans="2:9">
      <c r="B2" t="s">
        <v>39</v>
      </c>
      <c r="C2" s="5" t="s">
        <v>23</v>
      </c>
      <c r="D2" t="s">
        <v>187</v>
      </c>
      <c r="E2" t="s">
        <v>67</v>
      </c>
      <c r="F2" t="s">
        <v>186</v>
      </c>
      <c r="G2" t="s">
        <v>184</v>
      </c>
      <c r="H2" s="11" t="s">
        <v>232</v>
      </c>
      <c r="I2" s="11" t="s">
        <v>283</v>
      </c>
    </row>
    <row r="3" spans="2:9">
      <c r="B3">
        <v>600</v>
      </c>
      <c r="C3" s="15" t="s">
        <v>275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269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238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294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238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294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238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294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238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294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294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294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294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238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238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238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294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294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238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294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294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294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294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294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294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238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294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271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279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279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279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270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209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209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209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280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281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282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276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277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278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264</v>
      </c>
      <c r="D45">
        <v>727</v>
      </c>
      <c r="E45" s="16" t="s">
        <v>262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265</v>
      </c>
      <c r="D46">
        <v>727</v>
      </c>
      <c r="E46" s="16" t="s">
        <v>262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266</v>
      </c>
      <c r="D47">
        <v>999</v>
      </c>
      <c r="E47" s="16" t="s">
        <v>263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264</v>
      </c>
      <c r="D48">
        <v>1000</v>
      </c>
      <c r="E48" s="16" t="s">
        <v>262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264</v>
      </c>
      <c r="D49">
        <v>1001</v>
      </c>
      <c r="E49" s="16" t="s">
        <v>262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264</v>
      </c>
      <c r="D50">
        <v>1002</v>
      </c>
      <c r="E50" s="16" t="s">
        <v>262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264</v>
      </c>
      <c r="D51">
        <v>1003</v>
      </c>
      <c r="E51" s="16" t="s">
        <v>262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264</v>
      </c>
      <c r="D52">
        <v>1004</v>
      </c>
      <c r="E52" s="16" t="s">
        <v>262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264</v>
      </c>
      <c r="D53">
        <v>1005</v>
      </c>
      <c r="E53" s="16" t="s">
        <v>262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264</v>
      </c>
      <c r="D54">
        <v>1006</v>
      </c>
      <c r="E54" s="16" t="s">
        <v>262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264</v>
      </c>
      <c r="D55">
        <v>1007</v>
      </c>
      <c r="E55" s="16" t="s">
        <v>262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264</v>
      </c>
      <c r="D56">
        <v>1008</v>
      </c>
      <c r="E56" s="16" t="s">
        <v>262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264</v>
      </c>
      <c r="D57">
        <v>1009</v>
      </c>
      <c r="E57" s="16" t="s">
        <v>262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264</v>
      </c>
      <c r="D58">
        <v>1010</v>
      </c>
      <c r="E58" s="16" t="s">
        <v>262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867</v>
      </c>
      <c r="D59">
        <v>2001</v>
      </c>
      <c r="E59" s="16" t="s">
        <v>263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871</v>
      </c>
      <c r="D60">
        <v>2002</v>
      </c>
      <c r="E60" s="16" t="s">
        <v>874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872</v>
      </c>
      <c r="D61">
        <v>2002</v>
      </c>
      <c r="E61" s="16" t="s">
        <v>263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873</v>
      </c>
      <c r="D62">
        <v>2002</v>
      </c>
      <c r="E62" s="16" t="s">
        <v>874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883</v>
      </c>
      <c r="D63">
        <v>2003</v>
      </c>
      <c r="E63" s="16" t="s">
        <v>263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883</v>
      </c>
      <c r="D64">
        <v>2004</v>
      </c>
      <c r="E64" s="16" t="s">
        <v>263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883</v>
      </c>
      <c r="D65">
        <v>2004</v>
      </c>
      <c r="E65" s="16" t="s">
        <v>263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883</v>
      </c>
      <c r="D66">
        <v>2005</v>
      </c>
      <c r="E66" s="16" t="s">
        <v>263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883</v>
      </c>
      <c r="D67">
        <v>2005</v>
      </c>
      <c r="E67" s="16" t="s">
        <v>263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883</v>
      </c>
      <c r="D68">
        <v>2006</v>
      </c>
      <c r="E68" s="16" t="s">
        <v>263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883</v>
      </c>
      <c r="D69">
        <v>2006</v>
      </c>
      <c r="E69" s="16" t="s">
        <v>263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883</v>
      </c>
      <c r="D70">
        <v>2007</v>
      </c>
      <c r="E70" s="16" t="s">
        <v>263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883</v>
      </c>
      <c r="D71">
        <v>2007</v>
      </c>
      <c r="E71" s="16" t="s">
        <v>263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903</v>
      </c>
      <c r="D72">
        <v>3104</v>
      </c>
      <c r="E72" s="16" t="s">
        <v>874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903</v>
      </c>
      <c r="D73">
        <v>3114</v>
      </c>
      <c r="E73" s="16" t="s">
        <v>874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903</v>
      </c>
      <c r="D74">
        <v>3109</v>
      </c>
      <c r="E74" s="16" t="s">
        <v>874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903</v>
      </c>
      <c r="D75">
        <v>3101</v>
      </c>
      <c r="E75" s="16" t="s">
        <v>874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903</v>
      </c>
      <c r="D76">
        <v>3102</v>
      </c>
      <c r="E76" s="16" t="s">
        <v>874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903</v>
      </c>
      <c r="D77">
        <v>3108</v>
      </c>
      <c r="E77" s="16" t="s">
        <v>874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903</v>
      </c>
      <c r="D78">
        <v>3111</v>
      </c>
      <c r="E78" s="16" t="s">
        <v>874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903</v>
      </c>
      <c r="D79">
        <v>3116</v>
      </c>
      <c r="E79" s="16" t="s">
        <v>874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903</v>
      </c>
      <c r="D80">
        <v>3115</v>
      </c>
      <c r="E80" s="16" t="s">
        <v>874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903</v>
      </c>
      <c r="D81">
        <v>3106</v>
      </c>
      <c r="E81" s="16" t="s">
        <v>874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903</v>
      </c>
      <c r="D82">
        <v>3103</v>
      </c>
      <c r="E82" s="16" t="s">
        <v>874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903</v>
      </c>
      <c r="D83">
        <v>3105</v>
      </c>
      <c r="E83" s="16" t="s">
        <v>874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903</v>
      </c>
      <c r="D84">
        <v>3113</v>
      </c>
      <c r="E84" s="16" t="s">
        <v>874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903</v>
      </c>
      <c r="D85">
        <v>3112</v>
      </c>
      <c r="E85" s="16" t="s">
        <v>874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903</v>
      </c>
      <c r="D86">
        <v>3110</v>
      </c>
      <c r="E86" s="16" t="s">
        <v>874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903</v>
      </c>
      <c r="D87">
        <v>3107</v>
      </c>
      <c r="E87" s="16" t="s">
        <v>874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903</v>
      </c>
      <c r="D88">
        <v>3110</v>
      </c>
      <c r="E88" s="16" t="s">
        <v>874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903</v>
      </c>
      <c r="D89">
        <v>3101</v>
      </c>
      <c r="E89" s="16" t="s">
        <v>874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903</v>
      </c>
      <c r="D90">
        <v>3116</v>
      </c>
      <c r="E90" s="16" t="s">
        <v>874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903</v>
      </c>
      <c r="D91">
        <v>3105</v>
      </c>
      <c r="E91" s="16" t="s">
        <v>874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903</v>
      </c>
      <c r="D92">
        <v>3115</v>
      </c>
      <c r="E92" s="16" t="s">
        <v>874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903</v>
      </c>
      <c r="D93">
        <v>3111</v>
      </c>
      <c r="E93" s="16" t="s">
        <v>874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903</v>
      </c>
      <c r="D94">
        <v>3112</v>
      </c>
      <c r="E94" s="16" t="s">
        <v>874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903</v>
      </c>
      <c r="D95">
        <v>3108</v>
      </c>
      <c r="E95" s="16" t="s">
        <v>874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903</v>
      </c>
      <c r="D96">
        <v>3107</v>
      </c>
      <c r="E96" s="16" t="s">
        <v>874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903</v>
      </c>
      <c r="D97">
        <v>3102</v>
      </c>
      <c r="E97" s="16" t="s">
        <v>874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903</v>
      </c>
      <c r="D98">
        <v>3106</v>
      </c>
      <c r="E98" s="16" t="s">
        <v>874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903</v>
      </c>
      <c r="D99">
        <v>3114</v>
      </c>
      <c r="E99" s="16" t="s">
        <v>874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903</v>
      </c>
      <c r="D100">
        <v>3103</v>
      </c>
      <c r="E100" s="16" t="s">
        <v>874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903</v>
      </c>
      <c r="D101">
        <v>3113</v>
      </c>
      <c r="E101" s="16" t="s">
        <v>874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903</v>
      </c>
      <c r="D102">
        <v>3104</v>
      </c>
      <c r="E102" s="16" t="s">
        <v>874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903</v>
      </c>
      <c r="D103">
        <v>3109</v>
      </c>
      <c r="E103" s="16" t="s">
        <v>874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903</v>
      </c>
      <c r="D104">
        <v>3110</v>
      </c>
      <c r="E104" s="16" t="s">
        <v>874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903</v>
      </c>
      <c r="D105">
        <v>3116</v>
      </c>
      <c r="E105" s="16" t="s">
        <v>874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903</v>
      </c>
      <c r="D106">
        <v>3108</v>
      </c>
      <c r="E106" s="16" t="s">
        <v>874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903</v>
      </c>
      <c r="D107">
        <v>3115</v>
      </c>
      <c r="E107" s="16" t="s">
        <v>874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903</v>
      </c>
      <c r="D108">
        <v>3103</v>
      </c>
      <c r="E108" s="16" t="s">
        <v>874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903</v>
      </c>
      <c r="D109">
        <v>3102</v>
      </c>
      <c r="E109" s="16" t="s">
        <v>874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903</v>
      </c>
      <c r="D110">
        <v>3114</v>
      </c>
      <c r="E110" s="16" t="s">
        <v>874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903</v>
      </c>
      <c r="D111">
        <v>3113</v>
      </c>
      <c r="E111" s="16" t="s">
        <v>874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903</v>
      </c>
      <c r="D112">
        <v>3111</v>
      </c>
      <c r="E112" s="16" t="s">
        <v>874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903</v>
      </c>
      <c r="D113">
        <v>3107</v>
      </c>
      <c r="E113" s="16" t="s">
        <v>874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903</v>
      </c>
      <c r="D114">
        <v>3106</v>
      </c>
      <c r="E114" s="16" t="s">
        <v>874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903</v>
      </c>
      <c r="D115">
        <v>3104</v>
      </c>
      <c r="E115" s="16" t="s">
        <v>874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903</v>
      </c>
      <c r="D116">
        <v>3112</v>
      </c>
      <c r="E116" s="16" t="s">
        <v>874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903</v>
      </c>
      <c r="D117">
        <v>3101</v>
      </c>
      <c r="E117" s="16" t="s">
        <v>874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903</v>
      </c>
      <c r="D118">
        <v>3105</v>
      </c>
      <c r="E118" s="16" t="s">
        <v>874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903</v>
      </c>
      <c r="D119">
        <v>3109</v>
      </c>
      <c r="E119" s="16" t="s">
        <v>874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903</v>
      </c>
      <c r="D120">
        <v>3101</v>
      </c>
      <c r="E120" s="16" t="s">
        <v>874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903</v>
      </c>
      <c r="D121">
        <v>3110</v>
      </c>
      <c r="E121" s="16" t="s">
        <v>874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903</v>
      </c>
      <c r="D122">
        <v>3103</v>
      </c>
      <c r="E122" s="16" t="s">
        <v>874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903</v>
      </c>
      <c r="D123">
        <v>3116</v>
      </c>
      <c r="E123" s="16" t="s">
        <v>874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903</v>
      </c>
      <c r="D124">
        <v>3109</v>
      </c>
      <c r="E124" s="16" t="s">
        <v>874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903</v>
      </c>
      <c r="D125">
        <v>3107</v>
      </c>
      <c r="E125" s="16" t="s">
        <v>874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903</v>
      </c>
      <c r="D126">
        <v>3113</v>
      </c>
      <c r="E126" s="16" t="s">
        <v>874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903</v>
      </c>
      <c r="D127">
        <v>3106</v>
      </c>
      <c r="E127" s="16" t="s">
        <v>874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903</v>
      </c>
      <c r="D128">
        <v>3102</v>
      </c>
      <c r="E128" s="16" t="s">
        <v>874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903</v>
      </c>
      <c r="D129">
        <v>3111</v>
      </c>
      <c r="E129" s="16" t="s">
        <v>874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903</v>
      </c>
      <c r="D130">
        <v>3115</v>
      </c>
      <c r="E130" s="16" t="s">
        <v>874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903</v>
      </c>
      <c r="D131">
        <v>3112</v>
      </c>
      <c r="E131" s="16" t="s">
        <v>874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903</v>
      </c>
      <c r="D132">
        <v>3114</v>
      </c>
      <c r="E132" s="16" t="s">
        <v>874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903</v>
      </c>
      <c r="D133">
        <v>3105</v>
      </c>
      <c r="E133" s="16" t="s">
        <v>874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903</v>
      </c>
      <c r="D134">
        <v>3104</v>
      </c>
      <c r="E134" s="16" t="s">
        <v>874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903</v>
      </c>
      <c r="D135">
        <v>3108</v>
      </c>
      <c r="E135" s="16" t="s">
        <v>874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113" zoomScaleNormal="75" zoomScaleSheetLayoutView="100" workbookViewId="0">
      <selection activeCell="G220" sqref="G22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188</v>
      </c>
      <c r="E2" t="s">
        <v>2</v>
      </c>
      <c r="F2" t="s">
        <v>129</v>
      </c>
      <c r="G2" t="s">
        <v>191</v>
      </c>
      <c r="H2" s="11" t="s">
        <v>896</v>
      </c>
    </row>
    <row r="3" spans="2:8">
      <c r="B3">
        <v>700</v>
      </c>
      <c r="C3" s="4" t="s">
        <v>203</v>
      </c>
      <c r="D3">
        <v>0</v>
      </c>
      <c r="E3">
        <v>400</v>
      </c>
      <c r="F3">
        <v>0</v>
      </c>
      <c r="G3">
        <v>6.5</v>
      </c>
      <c r="H3" s="11" t="s">
        <v>326</v>
      </c>
    </row>
    <row r="4" spans="2:8">
      <c r="B4">
        <v>700</v>
      </c>
      <c r="C4" s="4" t="s">
        <v>203</v>
      </c>
      <c r="D4">
        <v>90</v>
      </c>
      <c r="E4">
        <v>400</v>
      </c>
      <c r="F4">
        <v>0</v>
      </c>
      <c r="G4">
        <v>6.5</v>
      </c>
      <c r="H4" s="11" t="s">
        <v>326</v>
      </c>
    </row>
    <row r="5" spans="2:8">
      <c r="B5">
        <v>700</v>
      </c>
      <c r="C5" s="4" t="s">
        <v>203</v>
      </c>
      <c r="D5">
        <v>180</v>
      </c>
      <c r="E5">
        <v>400</v>
      </c>
      <c r="F5">
        <v>0</v>
      </c>
      <c r="G5">
        <v>6.5</v>
      </c>
      <c r="H5" s="11" t="s">
        <v>326</v>
      </c>
    </row>
    <row r="6" spans="2:8">
      <c r="B6">
        <v>700</v>
      </c>
      <c r="C6" s="4" t="s">
        <v>203</v>
      </c>
      <c r="D6">
        <v>-90</v>
      </c>
      <c r="E6">
        <v>400</v>
      </c>
      <c r="F6">
        <v>0</v>
      </c>
      <c r="G6">
        <v>6.5</v>
      </c>
      <c r="H6" s="11" t="s">
        <v>326</v>
      </c>
    </row>
    <row r="7" spans="2:8">
      <c r="B7">
        <v>701</v>
      </c>
      <c r="C7" s="4" t="s">
        <v>135</v>
      </c>
      <c r="D7">
        <v>45</v>
      </c>
      <c r="E7">
        <v>401</v>
      </c>
      <c r="F7">
        <v>0</v>
      </c>
      <c r="G7">
        <v>6.5</v>
      </c>
      <c r="H7" s="11" t="s">
        <v>326</v>
      </c>
    </row>
    <row r="8" spans="2:8">
      <c r="B8">
        <v>701</v>
      </c>
      <c r="C8" s="4" t="s">
        <v>135</v>
      </c>
      <c r="D8">
        <v>-45</v>
      </c>
      <c r="E8">
        <v>401</v>
      </c>
      <c r="F8">
        <v>0</v>
      </c>
      <c r="G8">
        <v>6.5</v>
      </c>
      <c r="H8" s="11" t="s">
        <v>326</v>
      </c>
    </row>
    <row r="9" spans="2:8">
      <c r="B9">
        <v>701</v>
      </c>
      <c r="C9" s="4" t="s">
        <v>135</v>
      </c>
      <c r="D9">
        <v>135</v>
      </c>
      <c r="E9">
        <v>401</v>
      </c>
      <c r="F9">
        <v>0</v>
      </c>
      <c r="G9">
        <v>6.5</v>
      </c>
      <c r="H9" s="11" t="s">
        <v>326</v>
      </c>
    </row>
    <row r="10" spans="2:8">
      <c r="B10">
        <v>701</v>
      </c>
      <c r="C10" s="4" t="s">
        <v>135</v>
      </c>
      <c r="D10">
        <v>-135</v>
      </c>
      <c r="E10">
        <v>401</v>
      </c>
      <c r="F10">
        <v>0</v>
      </c>
      <c r="G10">
        <v>6.5</v>
      </c>
      <c r="H10" s="11" t="s">
        <v>326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326</v>
      </c>
    </row>
    <row r="12" spans="2:8">
      <c r="B12">
        <v>703</v>
      </c>
      <c r="C12" s="13" t="s">
        <v>241</v>
      </c>
      <c r="D12">
        <v>5</v>
      </c>
      <c r="E12">
        <v>400</v>
      </c>
      <c r="F12">
        <v>0</v>
      </c>
      <c r="G12">
        <v>5.5</v>
      </c>
      <c r="H12" s="11" t="s">
        <v>326</v>
      </c>
    </row>
    <row r="13" spans="2:8">
      <c r="B13">
        <v>704</v>
      </c>
      <c r="C13" s="13" t="s">
        <v>242</v>
      </c>
      <c r="D13">
        <v>10</v>
      </c>
      <c r="E13">
        <v>400</v>
      </c>
      <c r="F13">
        <v>0</v>
      </c>
      <c r="G13">
        <v>5.5</v>
      </c>
      <c r="H13" s="11" t="s">
        <v>326</v>
      </c>
    </row>
    <row r="14" spans="2:8">
      <c r="B14">
        <v>705</v>
      </c>
      <c r="C14" s="13" t="s">
        <v>243</v>
      </c>
      <c r="D14">
        <v>15</v>
      </c>
      <c r="E14">
        <v>400</v>
      </c>
      <c r="F14">
        <v>0</v>
      </c>
      <c r="G14">
        <v>5.5</v>
      </c>
      <c r="H14" s="11" t="s">
        <v>326</v>
      </c>
    </row>
    <row r="15" spans="2:8">
      <c r="B15">
        <v>706</v>
      </c>
      <c r="C15" s="13" t="s">
        <v>244</v>
      </c>
      <c r="D15">
        <v>20</v>
      </c>
      <c r="E15">
        <v>400</v>
      </c>
      <c r="F15">
        <v>0</v>
      </c>
      <c r="G15">
        <v>5.5</v>
      </c>
      <c r="H15" s="11" t="s">
        <v>326</v>
      </c>
    </row>
    <row r="16" spans="2:8">
      <c r="B16">
        <v>707</v>
      </c>
      <c r="C16" s="13" t="s">
        <v>245</v>
      </c>
      <c r="D16">
        <v>25</v>
      </c>
      <c r="E16">
        <v>400</v>
      </c>
      <c r="F16">
        <v>0</v>
      </c>
      <c r="G16">
        <v>5.5</v>
      </c>
      <c r="H16" s="11" t="s">
        <v>326</v>
      </c>
    </row>
    <row r="17" spans="2:8">
      <c r="B17">
        <v>708</v>
      </c>
      <c r="C17" s="13" t="s">
        <v>246</v>
      </c>
      <c r="D17" s="11">
        <v>30</v>
      </c>
      <c r="E17">
        <v>400</v>
      </c>
      <c r="F17">
        <v>0</v>
      </c>
      <c r="G17">
        <v>5.5</v>
      </c>
      <c r="H17" s="11" t="s">
        <v>326</v>
      </c>
    </row>
    <row r="18" spans="2:8">
      <c r="B18">
        <v>709</v>
      </c>
      <c r="C18" s="13" t="s">
        <v>247</v>
      </c>
      <c r="D18">
        <v>35</v>
      </c>
      <c r="E18">
        <v>400</v>
      </c>
      <c r="F18">
        <v>0</v>
      </c>
      <c r="G18">
        <v>5.5</v>
      </c>
      <c r="H18" s="11" t="s">
        <v>326</v>
      </c>
    </row>
    <row r="19" spans="2:8">
      <c r="B19">
        <v>710</v>
      </c>
      <c r="C19" s="13" t="s">
        <v>248</v>
      </c>
      <c r="D19">
        <v>40</v>
      </c>
      <c r="E19">
        <v>400</v>
      </c>
      <c r="F19">
        <v>0</v>
      </c>
      <c r="G19">
        <v>5.5</v>
      </c>
      <c r="H19" s="11" t="s">
        <v>326</v>
      </c>
    </row>
    <row r="20" spans="2:8">
      <c r="B20">
        <v>711</v>
      </c>
      <c r="C20" s="13" t="s">
        <v>249</v>
      </c>
      <c r="D20">
        <v>-5</v>
      </c>
      <c r="E20">
        <v>400</v>
      </c>
      <c r="F20">
        <v>0</v>
      </c>
      <c r="G20">
        <v>5.5</v>
      </c>
      <c r="H20" s="11" t="s">
        <v>326</v>
      </c>
    </row>
    <row r="21" spans="2:8">
      <c r="B21">
        <v>712</v>
      </c>
      <c r="C21" s="13" t="s">
        <v>250</v>
      </c>
      <c r="D21">
        <v>-10</v>
      </c>
      <c r="E21">
        <v>400</v>
      </c>
      <c r="F21">
        <v>0</v>
      </c>
      <c r="G21">
        <v>5.5</v>
      </c>
      <c r="H21" s="11" t="s">
        <v>326</v>
      </c>
    </row>
    <row r="22" spans="2:8">
      <c r="B22">
        <v>713</v>
      </c>
      <c r="C22" s="13" t="s">
        <v>251</v>
      </c>
      <c r="D22">
        <v>-15</v>
      </c>
      <c r="E22">
        <v>400</v>
      </c>
      <c r="F22">
        <v>0</v>
      </c>
      <c r="G22">
        <v>5.5</v>
      </c>
      <c r="H22" s="11" t="s">
        <v>326</v>
      </c>
    </row>
    <row r="23" spans="2:8">
      <c r="B23">
        <v>714</v>
      </c>
      <c r="C23" s="13" t="s">
        <v>239</v>
      </c>
      <c r="D23">
        <v>-20</v>
      </c>
      <c r="E23">
        <v>400</v>
      </c>
      <c r="F23">
        <v>0</v>
      </c>
      <c r="G23">
        <v>5.5</v>
      </c>
      <c r="H23" s="11" t="s">
        <v>326</v>
      </c>
    </row>
    <row r="24" spans="2:8">
      <c r="B24">
        <v>715</v>
      </c>
      <c r="C24" s="13" t="s">
        <v>252</v>
      </c>
      <c r="D24">
        <v>-25</v>
      </c>
      <c r="E24">
        <v>400</v>
      </c>
      <c r="F24">
        <v>0</v>
      </c>
      <c r="G24">
        <v>5.5</v>
      </c>
      <c r="H24" s="11" t="s">
        <v>326</v>
      </c>
    </row>
    <row r="25" spans="2:8">
      <c r="B25">
        <v>716</v>
      </c>
      <c r="C25" s="13" t="s">
        <v>240</v>
      </c>
      <c r="D25">
        <v>-30</v>
      </c>
      <c r="E25">
        <v>400</v>
      </c>
      <c r="F25">
        <v>0</v>
      </c>
      <c r="G25">
        <v>5.5</v>
      </c>
      <c r="H25" s="11" t="s">
        <v>326</v>
      </c>
    </row>
    <row r="26" spans="2:8">
      <c r="B26">
        <v>717</v>
      </c>
      <c r="C26" s="13" t="s">
        <v>253</v>
      </c>
      <c r="D26">
        <v>-35</v>
      </c>
      <c r="E26">
        <v>400</v>
      </c>
      <c r="F26">
        <v>0</v>
      </c>
      <c r="G26">
        <v>5.5</v>
      </c>
      <c r="H26" s="11" t="s">
        <v>326</v>
      </c>
    </row>
    <row r="27" spans="2:8">
      <c r="B27">
        <v>718</v>
      </c>
      <c r="C27" s="13" t="s">
        <v>254</v>
      </c>
      <c r="D27">
        <v>-40</v>
      </c>
      <c r="E27">
        <v>400</v>
      </c>
      <c r="F27">
        <v>0</v>
      </c>
      <c r="G27">
        <v>5.5</v>
      </c>
      <c r="H27" s="11" t="s">
        <v>326</v>
      </c>
    </row>
    <row r="28" spans="2:8">
      <c r="B28">
        <v>719</v>
      </c>
      <c r="C28" s="13" t="s">
        <v>272</v>
      </c>
      <c r="D28">
        <v>0</v>
      </c>
      <c r="E28">
        <v>403</v>
      </c>
      <c r="F28">
        <v>0</v>
      </c>
      <c r="G28">
        <v>6</v>
      </c>
      <c r="H28" s="11" t="s">
        <v>326</v>
      </c>
    </row>
    <row r="29" spans="2:8">
      <c r="B29">
        <v>720</v>
      </c>
      <c r="C29" s="4" t="s">
        <v>210</v>
      </c>
      <c r="D29">
        <v>-35</v>
      </c>
      <c r="E29">
        <v>400</v>
      </c>
      <c r="F29">
        <v>0</v>
      </c>
      <c r="G29">
        <v>5.5</v>
      </c>
      <c r="H29" s="11" t="s">
        <v>326</v>
      </c>
    </row>
    <row r="30" spans="2:8">
      <c r="B30">
        <v>720</v>
      </c>
      <c r="C30" s="4" t="s">
        <v>210</v>
      </c>
      <c r="D30">
        <v>-25</v>
      </c>
      <c r="E30">
        <v>400</v>
      </c>
      <c r="F30">
        <v>0</v>
      </c>
      <c r="G30">
        <v>5.5</v>
      </c>
      <c r="H30" s="11" t="s">
        <v>326</v>
      </c>
    </row>
    <row r="31" spans="2:8">
      <c r="B31">
        <v>720</v>
      </c>
      <c r="C31" s="4" t="s">
        <v>210</v>
      </c>
      <c r="D31">
        <v>-15</v>
      </c>
      <c r="E31">
        <v>400</v>
      </c>
      <c r="F31">
        <v>0</v>
      </c>
      <c r="G31">
        <v>5.5</v>
      </c>
      <c r="H31" s="11" t="s">
        <v>326</v>
      </c>
    </row>
    <row r="32" spans="2:8">
      <c r="B32">
        <v>720</v>
      </c>
      <c r="C32" s="4" t="s">
        <v>210</v>
      </c>
      <c r="D32">
        <v>-5</v>
      </c>
      <c r="E32">
        <v>400</v>
      </c>
      <c r="F32">
        <v>0</v>
      </c>
      <c r="G32">
        <v>5.5</v>
      </c>
      <c r="H32" s="11" t="s">
        <v>326</v>
      </c>
    </row>
    <row r="33" spans="2:8">
      <c r="B33">
        <v>720</v>
      </c>
      <c r="C33" s="4" t="s">
        <v>210</v>
      </c>
      <c r="D33">
        <v>5</v>
      </c>
      <c r="E33">
        <v>400</v>
      </c>
      <c r="F33">
        <v>0</v>
      </c>
      <c r="G33">
        <v>5.5</v>
      </c>
      <c r="H33" s="11" t="s">
        <v>326</v>
      </c>
    </row>
    <row r="34" spans="2:8">
      <c r="B34">
        <v>720</v>
      </c>
      <c r="C34" s="4" t="s">
        <v>210</v>
      </c>
      <c r="D34">
        <v>15</v>
      </c>
      <c r="E34">
        <v>400</v>
      </c>
      <c r="F34">
        <v>0</v>
      </c>
      <c r="G34">
        <v>5.5</v>
      </c>
      <c r="H34" s="11" t="s">
        <v>326</v>
      </c>
    </row>
    <row r="35" spans="2:8">
      <c r="B35">
        <v>720</v>
      </c>
      <c r="C35" s="4" t="s">
        <v>210</v>
      </c>
      <c r="D35">
        <v>25</v>
      </c>
      <c r="E35">
        <v>400</v>
      </c>
      <c r="F35">
        <v>0</v>
      </c>
      <c r="G35">
        <v>5.5</v>
      </c>
      <c r="H35" s="11" t="s">
        <v>326</v>
      </c>
    </row>
    <row r="36" spans="2:8">
      <c r="B36">
        <v>720</v>
      </c>
      <c r="C36" s="4" t="s">
        <v>210</v>
      </c>
      <c r="D36">
        <v>35</v>
      </c>
      <c r="E36">
        <v>400</v>
      </c>
      <c r="F36">
        <v>0</v>
      </c>
      <c r="G36">
        <v>5.5</v>
      </c>
      <c r="H36" s="11" t="s">
        <v>326</v>
      </c>
    </row>
    <row r="37" spans="2:8">
      <c r="B37">
        <v>721</v>
      </c>
      <c r="C37" s="4" t="s">
        <v>137</v>
      </c>
      <c r="D37">
        <v>-26</v>
      </c>
      <c r="E37">
        <v>402</v>
      </c>
      <c r="F37">
        <v>0</v>
      </c>
      <c r="G37">
        <v>5.5</v>
      </c>
      <c r="H37" s="11" t="s">
        <v>326</v>
      </c>
    </row>
    <row r="38" spans="2:8">
      <c r="B38">
        <v>721</v>
      </c>
      <c r="C38" s="4" t="s">
        <v>137</v>
      </c>
      <c r="D38">
        <v>-12</v>
      </c>
      <c r="E38">
        <v>402</v>
      </c>
      <c r="F38">
        <v>0</v>
      </c>
      <c r="G38">
        <v>5.5</v>
      </c>
      <c r="H38" s="11" t="s">
        <v>326</v>
      </c>
    </row>
    <row r="39" spans="2:8">
      <c r="B39">
        <v>721</v>
      </c>
      <c r="C39" s="4" t="s">
        <v>137</v>
      </c>
      <c r="D39">
        <v>-7</v>
      </c>
      <c r="E39">
        <v>402</v>
      </c>
      <c r="F39">
        <v>0</v>
      </c>
      <c r="G39">
        <v>5.5</v>
      </c>
      <c r="H39" s="11" t="s">
        <v>326</v>
      </c>
    </row>
    <row r="40" spans="2:8">
      <c r="B40">
        <v>721</v>
      </c>
      <c r="C40" s="4" t="s">
        <v>137</v>
      </c>
      <c r="D40">
        <v>1</v>
      </c>
      <c r="E40">
        <v>402</v>
      </c>
      <c r="F40">
        <v>0</v>
      </c>
      <c r="G40">
        <v>5.5</v>
      </c>
      <c r="H40" s="11" t="s">
        <v>326</v>
      </c>
    </row>
    <row r="41" spans="2:8">
      <c r="B41">
        <v>721</v>
      </c>
      <c r="C41" s="4" t="s">
        <v>137</v>
      </c>
      <c r="D41">
        <v>5</v>
      </c>
      <c r="E41">
        <v>402</v>
      </c>
      <c r="F41">
        <v>0</v>
      </c>
      <c r="G41">
        <v>5.5</v>
      </c>
      <c r="H41" s="11" t="s">
        <v>326</v>
      </c>
    </row>
    <row r="42" spans="2:8">
      <c r="B42">
        <v>721</v>
      </c>
      <c r="C42" s="4" t="s">
        <v>137</v>
      </c>
      <c r="D42">
        <v>10</v>
      </c>
      <c r="E42">
        <v>402</v>
      </c>
      <c r="F42">
        <v>0</v>
      </c>
      <c r="G42">
        <v>5.5</v>
      </c>
      <c r="H42" s="11" t="s">
        <v>326</v>
      </c>
    </row>
    <row r="43" spans="2:8">
      <c r="B43">
        <v>721</v>
      </c>
      <c r="C43" s="4" t="s">
        <v>137</v>
      </c>
      <c r="D43">
        <v>14</v>
      </c>
      <c r="E43">
        <v>402</v>
      </c>
      <c r="F43">
        <v>0</v>
      </c>
      <c r="G43">
        <v>5.5</v>
      </c>
      <c r="H43" s="11" t="s">
        <v>326</v>
      </c>
    </row>
    <row r="44" spans="2:8">
      <c r="B44">
        <v>721</v>
      </c>
      <c r="C44" s="4" t="s">
        <v>137</v>
      </c>
      <c r="D44">
        <v>22</v>
      </c>
      <c r="E44">
        <v>402</v>
      </c>
      <c r="F44">
        <v>0</v>
      </c>
      <c r="G44">
        <v>5.5</v>
      </c>
      <c r="H44" s="11" t="s">
        <v>326</v>
      </c>
    </row>
    <row r="45" spans="2:8">
      <c r="B45">
        <v>722</v>
      </c>
      <c r="C45" s="4" t="s">
        <v>146</v>
      </c>
      <c r="D45">
        <v>28</v>
      </c>
      <c r="E45">
        <v>402</v>
      </c>
      <c r="F45">
        <v>0</v>
      </c>
      <c r="G45">
        <v>5.5</v>
      </c>
      <c r="H45" s="11" t="s">
        <v>326</v>
      </c>
    </row>
    <row r="46" spans="2:8">
      <c r="B46">
        <v>722</v>
      </c>
      <c r="C46" s="4" t="s">
        <v>146</v>
      </c>
      <c r="D46">
        <v>12</v>
      </c>
      <c r="E46">
        <v>402</v>
      </c>
      <c r="F46">
        <v>0</v>
      </c>
      <c r="G46">
        <v>5.5</v>
      </c>
      <c r="H46" s="11" t="s">
        <v>326</v>
      </c>
    </row>
    <row r="47" spans="2:8">
      <c r="B47">
        <v>722</v>
      </c>
      <c r="C47" s="4" t="s">
        <v>146</v>
      </c>
      <c r="D47">
        <v>0</v>
      </c>
      <c r="E47">
        <v>402</v>
      </c>
      <c r="F47">
        <v>0</v>
      </c>
      <c r="G47">
        <v>5.5</v>
      </c>
      <c r="H47" s="11" t="s">
        <v>326</v>
      </c>
    </row>
    <row r="48" spans="2:8">
      <c r="B48">
        <v>722</v>
      </c>
      <c r="C48" s="4" t="s">
        <v>146</v>
      </c>
      <c r="D48">
        <v>-21</v>
      </c>
      <c r="E48">
        <v>402</v>
      </c>
      <c r="F48">
        <v>0</v>
      </c>
      <c r="G48">
        <v>5.5</v>
      </c>
      <c r="H48" s="11" t="s">
        <v>326</v>
      </c>
    </row>
    <row r="49" spans="2:8">
      <c r="B49">
        <v>722</v>
      </c>
      <c r="C49" s="4" t="s">
        <v>146</v>
      </c>
      <c r="D49">
        <v>24</v>
      </c>
      <c r="E49">
        <v>402</v>
      </c>
      <c r="F49">
        <v>0</v>
      </c>
      <c r="G49">
        <v>5.5</v>
      </c>
      <c r="H49" s="11" t="s">
        <v>326</v>
      </c>
    </row>
    <row r="50" spans="2:8">
      <c r="B50">
        <v>722</v>
      </c>
      <c r="C50" s="4" t="s">
        <v>146</v>
      </c>
      <c r="D50">
        <v>26</v>
      </c>
      <c r="E50">
        <v>402</v>
      </c>
      <c r="F50">
        <v>0</v>
      </c>
      <c r="G50">
        <v>5.5</v>
      </c>
      <c r="H50" s="11" t="s">
        <v>326</v>
      </c>
    </row>
    <row r="51" spans="2:8">
      <c r="B51">
        <v>722</v>
      </c>
      <c r="C51" s="4" t="s">
        <v>146</v>
      </c>
      <c r="D51">
        <v>-23</v>
      </c>
      <c r="E51">
        <v>402</v>
      </c>
      <c r="F51">
        <v>0</v>
      </c>
      <c r="G51">
        <v>5.5</v>
      </c>
      <c r="H51" s="11" t="s">
        <v>326</v>
      </c>
    </row>
    <row r="52" spans="2:8">
      <c r="B52">
        <v>722</v>
      </c>
      <c r="C52" s="4" t="s">
        <v>146</v>
      </c>
      <c r="D52">
        <v>-17</v>
      </c>
      <c r="E52">
        <v>402</v>
      </c>
      <c r="F52">
        <v>0</v>
      </c>
      <c r="G52">
        <v>5.5</v>
      </c>
      <c r="H52" s="11" t="s">
        <v>326</v>
      </c>
    </row>
    <row r="53" spans="2:8">
      <c r="B53">
        <v>723</v>
      </c>
      <c r="C53" s="4" t="s">
        <v>140</v>
      </c>
      <c r="D53">
        <v>-5</v>
      </c>
      <c r="E53">
        <v>402</v>
      </c>
      <c r="F53">
        <v>0</v>
      </c>
      <c r="G53">
        <v>5.5</v>
      </c>
      <c r="H53" s="11" t="s">
        <v>326</v>
      </c>
    </row>
    <row r="54" spans="2:8">
      <c r="B54">
        <v>723</v>
      </c>
      <c r="C54" s="4" t="s">
        <v>140</v>
      </c>
      <c r="D54">
        <v>-17</v>
      </c>
      <c r="E54">
        <v>402</v>
      </c>
      <c r="F54">
        <v>0</v>
      </c>
      <c r="G54">
        <v>5.5</v>
      </c>
      <c r="H54" s="11" t="s">
        <v>326</v>
      </c>
    </row>
    <row r="55" spans="2:8">
      <c r="B55">
        <v>723</v>
      </c>
      <c r="C55" s="4" t="s">
        <v>140</v>
      </c>
      <c r="D55">
        <v>-10</v>
      </c>
      <c r="E55">
        <v>402</v>
      </c>
      <c r="F55">
        <v>0</v>
      </c>
      <c r="G55">
        <v>5.5</v>
      </c>
      <c r="H55" s="11" t="s">
        <v>326</v>
      </c>
    </row>
    <row r="56" spans="2:8">
      <c r="B56">
        <v>723</v>
      </c>
      <c r="C56" s="4" t="s">
        <v>140</v>
      </c>
      <c r="D56">
        <v>3</v>
      </c>
      <c r="E56">
        <v>402</v>
      </c>
      <c r="F56">
        <v>0</v>
      </c>
      <c r="G56">
        <v>5.5</v>
      </c>
      <c r="H56" s="11" t="s">
        <v>326</v>
      </c>
    </row>
    <row r="57" spans="2:8">
      <c r="B57">
        <v>723</v>
      </c>
      <c r="C57" s="4" t="s">
        <v>140</v>
      </c>
      <c r="D57">
        <v>15</v>
      </c>
      <c r="E57">
        <v>402</v>
      </c>
      <c r="F57">
        <v>0</v>
      </c>
      <c r="G57">
        <v>5.5</v>
      </c>
      <c r="H57" s="11" t="s">
        <v>326</v>
      </c>
    </row>
    <row r="58" spans="2:8">
      <c r="B58">
        <v>723</v>
      </c>
      <c r="C58" s="4" t="s">
        <v>140</v>
      </c>
      <c r="D58">
        <v>23</v>
      </c>
      <c r="E58">
        <v>402</v>
      </c>
      <c r="F58">
        <v>0</v>
      </c>
      <c r="G58">
        <v>5.5</v>
      </c>
      <c r="H58" s="11" t="s">
        <v>326</v>
      </c>
    </row>
    <row r="59" spans="2:8">
      <c r="B59">
        <v>723</v>
      </c>
      <c r="C59" s="4" t="s">
        <v>140</v>
      </c>
      <c r="D59">
        <v>-4</v>
      </c>
      <c r="E59">
        <v>402</v>
      </c>
      <c r="F59">
        <v>0</v>
      </c>
      <c r="G59">
        <v>5.5</v>
      </c>
      <c r="H59" s="11" t="s">
        <v>326</v>
      </c>
    </row>
    <row r="60" spans="2:8">
      <c r="B60">
        <v>723</v>
      </c>
      <c r="C60" s="4" t="s">
        <v>140</v>
      </c>
      <c r="D60">
        <v>-8</v>
      </c>
      <c r="E60">
        <v>402</v>
      </c>
      <c r="F60">
        <v>0</v>
      </c>
      <c r="G60">
        <v>5.5</v>
      </c>
      <c r="H60" s="11" t="s">
        <v>326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326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326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326</v>
      </c>
    </row>
    <row r="64" spans="2:8">
      <c r="B64">
        <v>726</v>
      </c>
      <c r="C64" s="19" t="s">
        <v>204</v>
      </c>
      <c r="D64">
        <v>0</v>
      </c>
      <c r="E64">
        <v>404</v>
      </c>
      <c r="F64">
        <v>1</v>
      </c>
      <c r="G64">
        <v>6.5</v>
      </c>
      <c r="H64" s="11" t="s">
        <v>326</v>
      </c>
    </row>
    <row r="65" spans="2:8">
      <c r="B65">
        <v>727</v>
      </c>
      <c r="C65" s="14" t="s">
        <v>303</v>
      </c>
      <c r="D65">
        <v>22.5</v>
      </c>
      <c r="E65">
        <v>401</v>
      </c>
      <c r="F65">
        <v>0</v>
      </c>
      <c r="G65">
        <v>6.5</v>
      </c>
      <c r="H65" s="11" t="s">
        <v>326</v>
      </c>
    </row>
    <row r="66" spans="2:8">
      <c r="B66">
        <v>727</v>
      </c>
      <c r="C66" s="14" t="s">
        <v>303</v>
      </c>
      <c r="D66">
        <v>45</v>
      </c>
      <c r="E66">
        <v>401</v>
      </c>
      <c r="F66">
        <v>0</v>
      </c>
      <c r="G66">
        <v>6.5</v>
      </c>
      <c r="H66" s="11" t="s">
        <v>326</v>
      </c>
    </row>
    <row r="67" spans="2:8">
      <c r="B67">
        <v>727</v>
      </c>
      <c r="C67" s="14" t="s">
        <v>302</v>
      </c>
      <c r="D67">
        <v>67.5</v>
      </c>
      <c r="E67">
        <v>401</v>
      </c>
      <c r="F67">
        <v>0</v>
      </c>
      <c r="G67">
        <v>6.5</v>
      </c>
      <c r="H67" s="11" t="s">
        <v>326</v>
      </c>
    </row>
    <row r="68" spans="2:8">
      <c r="B68">
        <v>727</v>
      </c>
      <c r="C68" s="14" t="s">
        <v>302</v>
      </c>
      <c r="D68">
        <v>90</v>
      </c>
      <c r="E68">
        <v>401</v>
      </c>
      <c r="F68">
        <v>0</v>
      </c>
      <c r="G68">
        <v>6.5</v>
      </c>
      <c r="H68" s="11" t="s">
        <v>326</v>
      </c>
    </row>
    <row r="69" spans="2:8">
      <c r="B69">
        <v>727</v>
      </c>
      <c r="C69" s="14" t="s">
        <v>302</v>
      </c>
      <c r="D69">
        <v>112.5</v>
      </c>
      <c r="E69">
        <v>401</v>
      </c>
      <c r="F69">
        <v>0</v>
      </c>
      <c r="G69">
        <v>6.5</v>
      </c>
      <c r="H69" s="11" t="s">
        <v>326</v>
      </c>
    </row>
    <row r="70" spans="2:8">
      <c r="B70">
        <v>727</v>
      </c>
      <c r="C70" s="14" t="s">
        <v>302</v>
      </c>
      <c r="D70">
        <v>135</v>
      </c>
      <c r="E70">
        <v>401</v>
      </c>
      <c r="F70">
        <v>0</v>
      </c>
      <c r="G70">
        <v>6.5</v>
      </c>
      <c r="H70" s="11" t="s">
        <v>326</v>
      </c>
    </row>
    <row r="71" spans="2:8">
      <c r="B71">
        <v>727</v>
      </c>
      <c r="C71" s="14" t="s">
        <v>302</v>
      </c>
      <c r="D71">
        <v>157.5</v>
      </c>
      <c r="E71">
        <v>401</v>
      </c>
      <c r="F71">
        <v>0</v>
      </c>
      <c r="G71">
        <v>6.5</v>
      </c>
      <c r="H71" s="11" t="s">
        <v>326</v>
      </c>
    </row>
    <row r="72" spans="2:8">
      <c r="B72">
        <v>727</v>
      </c>
      <c r="C72" s="14" t="s">
        <v>302</v>
      </c>
      <c r="D72">
        <v>180</v>
      </c>
      <c r="E72">
        <v>401</v>
      </c>
      <c r="F72">
        <v>0</v>
      </c>
      <c r="G72">
        <v>6.5</v>
      </c>
      <c r="H72" s="11" t="s">
        <v>326</v>
      </c>
    </row>
    <row r="73" spans="2:8">
      <c r="B73">
        <v>727</v>
      </c>
      <c r="C73" s="14" t="s">
        <v>303</v>
      </c>
      <c r="D73">
        <v>202.5</v>
      </c>
      <c r="E73">
        <v>401</v>
      </c>
      <c r="F73">
        <v>0</v>
      </c>
      <c r="G73">
        <v>6.5</v>
      </c>
      <c r="H73" s="11" t="s">
        <v>326</v>
      </c>
    </row>
    <row r="74" spans="2:8">
      <c r="B74">
        <v>727</v>
      </c>
      <c r="C74" s="14" t="s">
        <v>303</v>
      </c>
      <c r="D74">
        <v>225</v>
      </c>
      <c r="E74">
        <v>401</v>
      </c>
      <c r="F74">
        <v>0</v>
      </c>
      <c r="G74">
        <v>6.5</v>
      </c>
      <c r="H74" s="11" t="s">
        <v>326</v>
      </c>
    </row>
    <row r="75" spans="2:8">
      <c r="B75">
        <v>727</v>
      </c>
      <c r="C75" s="14" t="s">
        <v>302</v>
      </c>
      <c r="D75">
        <v>247.5</v>
      </c>
      <c r="E75">
        <v>401</v>
      </c>
      <c r="F75">
        <v>0</v>
      </c>
      <c r="G75">
        <v>6.5</v>
      </c>
      <c r="H75" s="11" t="s">
        <v>326</v>
      </c>
    </row>
    <row r="76" spans="2:8">
      <c r="B76">
        <v>727</v>
      </c>
      <c r="C76" s="14" t="s">
        <v>302</v>
      </c>
      <c r="D76">
        <v>270</v>
      </c>
      <c r="E76">
        <v>401</v>
      </c>
      <c r="F76">
        <v>0</v>
      </c>
      <c r="G76">
        <v>6.5</v>
      </c>
      <c r="H76" s="11" t="s">
        <v>326</v>
      </c>
    </row>
    <row r="77" spans="2:8">
      <c r="B77">
        <v>727</v>
      </c>
      <c r="C77" s="14" t="s">
        <v>302</v>
      </c>
      <c r="D77">
        <v>292.5</v>
      </c>
      <c r="E77">
        <v>401</v>
      </c>
      <c r="F77">
        <v>0</v>
      </c>
      <c r="G77">
        <v>6.5</v>
      </c>
      <c r="H77" s="11" t="s">
        <v>326</v>
      </c>
    </row>
    <row r="78" spans="2:8">
      <c r="B78">
        <v>727</v>
      </c>
      <c r="C78" s="14" t="s">
        <v>302</v>
      </c>
      <c r="D78">
        <v>315</v>
      </c>
      <c r="E78">
        <v>401</v>
      </c>
      <c r="F78">
        <v>0</v>
      </c>
      <c r="G78">
        <v>6.5</v>
      </c>
      <c r="H78" s="11" t="s">
        <v>326</v>
      </c>
    </row>
    <row r="79" spans="2:8">
      <c r="B79">
        <v>727</v>
      </c>
      <c r="C79" s="14" t="s">
        <v>302</v>
      </c>
      <c r="D79">
        <v>337.5</v>
      </c>
      <c r="E79">
        <v>401</v>
      </c>
      <c r="F79">
        <v>0</v>
      </c>
      <c r="G79">
        <v>6.5</v>
      </c>
      <c r="H79" s="11" t="s">
        <v>326</v>
      </c>
    </row>
    <row r="80" spans="2:8">
      <c r="B80">
        <v>727</v>
      </c>
      <c r="C80" s="14" t="s">
        <v>302</v>
      </c>
      <c r="D80">
        <v>360</v>
      </c>
      <c r="E80">
        <v>401</v>
      </c>
      <c r="F80">
        <v>0</v>
      </c>
      <c r="G80">
        <v>6.5</v>
      </c>
      <c r="H80" s="11" t="s">
        <v>326</v>
      </c>
    </row>
    <row r="81" spans="2:8">
      <c r="B81">
        <v>800</v>
      </c>
      <c r="C81" s="11" t="s">
        <v>358</v>
      </c>
      <c r="D81">
        <v>30</v>
      </c>
      <c r="E81">
        <v>201</v>
      </c>
      <c r="F81">
        <v>0</v>
      </c>
      <c r="G81">
        <v>6.5</v>
      </c>
      <c r="H81" s="11" t="s">
        <v>326</v>
      </c>
    </row>
    <row r="82" spans="2:8">
      <c r="B82">
        <v>800</v>
      </c>
      <c r="C82" s="11" t="s">
        <v>358</v>
      </c>
      <c r="D82">
        <v>0</v>
      </c>
      <c r="E82">
        <v>201</v>
      </c>
      <c r="F82">
        <v>0</v>
      </c>
      <c r="G82">
        <v>6.5</v>
      </c>
      <c r="H82" s="11" t="s">
        <v>326</v>
      </c>
    </row>
    <row r="83" spans="2:8">
      <c r="B83">
        <v>800</v>
      </c>
      <c r="C83" s="11" t="s">
        <v>358</v>
      </c>
      <c r="D83">
        <v>-30</v>
      </c>
      <c r="E83">
        <v>201</v>
      </c>
      <c r="F83">
        <v>0</v>
      </c>
      <c r="G83">
        <v>6.5</v>
      </c>
      <c r="H83" s="11" t="s">
        <v>326</v>
      </c>
    </row>
    <row r="84" spans="2:8">
      <c r="B84">
        <v>804</v>
      </c>
      <c r="C84" s="11" t="s">
        <v>388</v>
      </c>
      <c r="D84">
        <v>0</v>
      </c>
      <c r="E84">
        <v>204</v>
      </c>
      <c r="F84">
        <v>2</v>
      </c>
      <c r="G84">
        <v>8</v>
      </c>
      <c r="H84" s="11" t="s">
        <v>326</v>
      </c>
    </row>
    <row r="85" spans="2:8">
      <c r="B85">
        <v>804</v>
      </c>
      <c r="C85" s="11" t="s">
        <v>388</v>
      </c>
      <c r="D85">
        <v>90</v>
      </c>
      <c r="E85">
        <v>204</v>
      </c>
      <c r="F85">
        <v>2</v>
      </c>
      <c r="G85">
        <v>8</v>
      </c>
      <c r="H85" s="11" t="s">
        <v>326</v>
      </c>
    </row>
    <row r="86" spans="2:8">
      <c r="B86">
        <v>804</v>
      </c>
      <c r="C86" s="11" t="s">
        <v>388</v>
      </c>
      <c r="D86">
        <v>180</v>
      </c>
      <c r="E86">
        <v>204</v>
      </c>
      <c r="F86">
        <v>2</v>
      </c>
      <c r="G86">
        <v>8</v>
      </c>
      <c r="H86" s="11" t="s">
        <v>326</v>
      </c>
    </row>
    <row r="87" spans="2:8">
      <c r="B87">
        <v>804</v>
      </c>
      <c r="C87" s="11" t="s">
        <v>388</v>
      </c>
      <c r="D87">
        <v>-90</v>
      </c>
      <c r="E87">
        <v>204</v>
      </c>
      <c r="F87">
        <v>2</v>
      </c>
      <c r="G87">
        <v>8</v>
      </c>
      <c r="H87" s="11" t="s">
        <v>326</v>
      </c>
    </row>
    <row r="88" spans="2:8">
      <c r="B88">
        <v>804</v>
      </c>
      <c r="C88" s="11" t="s">
        <v>388</v>
      </c>
      <c r="D88">
        <v>45</v>
      </c>
      <c r="E88">
        <v>204</v>
      </c>
      <c r="F88">
        <v>2</v>
      </c>
      <c r="G88">
        <v>8</v>
      </c>
      <c r="H88" s="11" t="s">
        <v>326</v>
      </c>
    </row>
    <row r="89" spans="2:8">
      <c r="B89">
        <v>804</v>
      </c>
      <c r="C89" s="11" t="s">
        <v>388</v>
      </c>
      <c r="D89">
        <v>-45</v>
      </c>
      <c r="E89">
        <v>204</v>
      </c>
      <c r="F89">
        <v>2</v>
      </c>
      <c r="G89">
        <v>8</v>
      </c>
      <c r="H89" s="11" t="s">
        <v>326</v>
      </c>
    </row>
    <row r="90" spans="2:8">
      <c r="B90">
        <v>804</v>
      </c>
      <c r="C90" s="11" t="s">
        <v>388</v>
      </c>
      <c r="D90">
        <v>135</v>
      </c>
      <c r="E90">
        <v>204</v>
      </c>
      <c r="F90">
        <v>2</v>
      </c>
      <c r="G90">
        <v>8</v>
      </c>
      <c r="H90" s="11" t="s">
        <v>326</v>
      </c>
    </row>
    <row r="91" spans="2:8">
      <c r="B91">
        <v>804</v>
      </c>
      <c r="C91" s="11" t="s">
        <v>388</v>
      </c>
      <c r="D91">
        <v>-135</v>
      </c>
      <c r="E91">
        <v>204</v>
      </c>
      <c r="F91">
        <v>2</v>
      </c>
      <c r="G91">
        <v>8</v>
      </c>
      <c r="H91" s="11" t="s">
        <v>326</v>
      </c>
    </row>
    <row r="92" spans="2:8">
      <c r="B92">
        <v>805</v>
      </c>
      <c r="C92" s="11" t="s">
        <v>434</v>
      </c>
      <c r="D92">
        <v>45</v>
      </c>
      <c r="E92">
        <v>205</v>
      </c>
      <c r="F92">
        <v>1</v>
      </c>
      <c r="G92">
        <v>8</v>
      </c>
      <c r="H92" s="11" t="s">
        <v>326</v>
      </c>
    </row>
    <row r="93" spans="2:8">
      <c r="B93">
        <v>805</v>
      </c>
      <c r="C93" s="11" t="s">
        <v>434</v>
      </c>
      <c r="D93">
        <v>-45</v>
      </c>
      <c r="E93">
        <v>205</v>
      </c>
      <c r="F93">
        <v>1</v>
      </c>
      <c r="G93">
        <v>8</v>
      </c>
      <c r="H93" s="11" t="s">
        <v>326</v>
      </c>
    </row>
    <row r="94" spans="2:8">
      <c r="B94">
        <v>805</v>
      </c>
      <c r="C94" s="11" t="s">
        <v>434</v>
      </c>
      <c r="D94">
        <v>225</v>
      </c>
      <c r="E94">
        <v>205</v>
      </c>
      <c r="F94">
        <v>1</v>
      </c>
      <c r="G94">
        <v>8</v>
      </c>
      <c r="H94" s="11" t="s">
        <v>326</v>
      </c>
    </row>
    <row r="95" spans="2:8">
      <c r="B95">
        <v>805</v>
      </c>
      <c r="C95" s="11" t="s">
        <v>434</v>
      </c>
      <c r="D95">
        <v>-225</v>
      </c>
      <c r="E95">
        <v>205</v>
      </c>
      <c r="F95">
        <v>1</v>
      </c>
      <c r="G95">
        <v>8</v>
      </c>
      <c r="H95" s="11" t="s">
        <v>326</v>
      </c>
    </row>
    <row r="96" spans="2:8">
      <c r="B96">
        <v>999</v>
      </c>
      <c r="C96" s="16" t="s">
        <v>267</v>
      </c>
      <c r="D96">
        <v>0</v>
      </c>
      <c r="E96">
        <v>999</v>
      </c>
      <c r="F96">
        <v>8</v>
      </c>
      <c r="G96">
        <v>15</v>
      </c>
      <c r="H96" s="11" t="s">
        <v>326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326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326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326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326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326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326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326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326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326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326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326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326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326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326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326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326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326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326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326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326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326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326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326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326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326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326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326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326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326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326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326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326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326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326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326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326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326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326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326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326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326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326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326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326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326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326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326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326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326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326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326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326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326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326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326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326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326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326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326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326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326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326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326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326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326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326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326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326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326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326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326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326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326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326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326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326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326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326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326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326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326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326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326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326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326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326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326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326</v>
      </c>
    </row>
    <row r="185" spans="2:8">
      <c r="B185">
        <v>2001</v>
      </c>
      <c r="C185" s="16" t="s">
        <v>867</v>
      </c>
      <c r="D185">
        <v>0</v>
      </c>
      <c r="E185">
        <v>2001</v>
      </c>
      <c r="F185">
        <v>1</v>
      </c>
      <c r="G185">
        <v>5</v>
      </c>
      <c r="H185" s="11" t="s">
        <v>326</v>
      </c>
    </row>
    <row r="186" spans="2:8">
      <c r="B186">
        <v>2002</v>
      </c>
      <c r="C186" s="16" t="s">
        <v>868</v>
      </c>
      <c r="D186">
        <v>25</v>
      </c>
      <c r="E186">
        <v>2001</v>
      </c>
      <c r="F186">
        <v>2</v>
      </c>
      <c r="G186">
        <v>7</v>
      </c>
      <c r="H186" s="11" t="s">
        <v>326</v>
      </c>
    </row>
    <row r="187" spans="2:8">
      <c r="B187">
        <v>2002</v>
      </c>
      <c r="C187" s="16" t="s">
        <v>868</v>
      </c>
      <c r="D187">
        <v>0</v>
      </c>
      <c r="E187">
        <v>2001</v>
      </c>
      <c r="F187">
        <v>2</v>
      </c>
      <c r="G187">
        <v>7</v>
      </c>
      <c r="H187" s="11" t="s">
        <v>326</v>
      </c>
    </row>
    <row r="188" spans="2:8">
      <c r="B188">
        <v>2002</v>
      </c>
      <c r="C188" s="16" t="s">
        <v>868</v>
      </c>
      <c r="D188">
        <v>-25</v>
      </c>
      <c r="E188">
        <v>2001</v>
      </c>
      <c r="F188">
        <v>2</v>
      </c>
      <c r="G188">
        <v>7</v>
      </c>
      <c r="H188" s="11" t="s">
        <v>326</v>
      </c>
    </row>
    <row r="189" spans="2:8">
      <c r="B189">
        <v>2003</v>
      </c>
      <c r="C189" s="11" t="s">
        <v>884</v>
      </c>
      <c r="D189">
        <v>96</v>
      </c>
      <c r="E189">
        <v>2001</v>
      </c>
      <c r="F189">
        <v>0</v>
      </c>
      <c r="G189">
        <v>5</v>
      </c>
      <c r="H189" s="11" t="s">
        <v>326</v>
      </c>
    </row>
    <row r="190" spans="2:8">
      <c r="B190">
        <v>2003</v>
      </c>
      <c r="C190" s="11" t="s">
        <v>884</v>
      </c>
      <c r="D190">
        <v>213</v>
      </c>
      <c r="E190">
        <v>2001</v>
      </c>
      <c r="F190">
        <v>0</v>
      </c>
      <c r="G190">
        <v>5</v>
      </c>
      <c r="H190" s="11" t="s">
        <v>326</v>
      </c>
    </row>
    <row r="191" spans="2:8">
      <c r="B191">
        <v>2003</v>
      </c>
      <c r="C191" s="11" t="s">
        <v>884</v>
      </c>
      <c r="D191">
        <v>153</v>
      </c>
      <c r="E191">
        <v>2001</v>
      </c>
      <c r="F191">
        <v>0</v>
      </c>
      <c r="G191">
        <v>5</v>
      </c>
      <c r="H191" s="11" t="s">
        <v>326</v>
      </c>
    </row>
    <row r="192" spans="2:8">
      <c r="B192">
        <v>2004</v>
      </c>
      <c r="C192" s="11" t="s">
        <v>885</v>
      </c>
      <c r="D192">
        <v>264</v>
      </c>
      <c r="E192">
        <v>2001</v>
      </c>
      <c r="F192">
        <v>0</v>
      </c>
      <c r="G192">
        <v>5</v>
      </c>
      <c r="H192" s="11" t="s">
        <v>326</v>
      </c>
    </row>
    <row r="193" spans="2:8">
      <c r="B193">
        <v>2004</v>
      </c>
      <c r="C193" s="11" t="s">
        <v>885</v>
      </c>
      <c r="D193">
        <v>124</v>
      </c>
      <c r="E193">
        <v>2001</v>
      </c>
      <c r="F193">
        <v>0</v>
      </c>
      <c r="G193">
        <v>5</v>
      </c>
      <c r="H193" s="11" t="s">
        <v>326</v>
      </c>
    </row>
    <row r="194" spans="2:8">
      <c r="B194">
        <v>2004</v>
      </c>
      <c r="C194" s="11" t="s">
        <v>885</v>
      </c>
      <c r="D194">
        <v>188</v>
      </c>
      <c r="E194">
        <v>2001</v>
      </c>
      <c r="F194">
        <v>0</v>
      </c>
      <c r="G194">
        <v>5</v>
      </c>
      <c r="H194" s="11" t="s">
        <v>326</v>
      </c>
    </row>
    <row r="195" spans="2:8">
      <c r="B195">
        <v>2005</v>
      </c>
      <c r="C195" s="11" t="s">
        <v>886</v>
      </c>
      <c r="D195">
        <v>59</v>
      </c>
      <c r="E195">
        <v>2001</v>
      </c>
      <c r="F195">
        <v>0</v>
      </c>
      <c r="G195">
        <v>5</v>
      </c>
      <c r="H195" s="11" t="s">
        <v>326</v>
      </c>
    </row>
    <row r="196" spans="2:8">
      <c r="B196">
        <v>2005</v>
      </c>
      <c r="C196" s="11" t="s">
        <v>886</v>
      </c>
      <c r="D196">
        <v>30</v>
      </c>
      <c r="E196">
        <v>2001</v>
      </c>
      <c r="F196">
        <v>0</v>
      </c>
      <c r="G196">
        <v>5</v>
      </c>
      <c r="H196" s="11" t="s">
        <v>326</v>
      </c>
    </row>
    <row r="197" spans="2:8">
      <c r="B197">
        <v>2005</v>
      </c>
      <c r="C197" s="11" t="s">
        <v>886</v>
      </c>
      <c r="D197">
        <v>120</v>
      </c>
      <c r="E197">
        <v>2001</v>
      </c>
      <c r="F197">
        <v>0</v>
      </c>
      <c r="G197">
        <v>5</v>
      </c>
      <c r="H197" s="11" t="s">
        <v>326</v>
      </c>
    </row>
    <row r="198" spans="2:8">
      <c r="B198">
        <v>2006</v>
      </c>
      <c r="C198" s="11" t="s">
        <v>887</v>
      </c>
      <c r="D198">
        <v>90</v>
      </c>
      <c r="E198">
        <v>2001</v>
      </c>
      <c r="F198">
        <v>0</v>
      </c>
      <c r="G198">
        <v>5</v>
      </c>
      <c r="H198" s="11" t="s">
        <v>326</v>
      </c>
    </row>
    <row r="199" spans="2:8">
      <c r="B199">
        <v>2006</v>
      </c>
      <c r="C199" s="11" t="s">
        <v>887</v>
      </c>
      <c r="D199">
        <v>350</v>
      </c>
      <c r="E199">
        <v>2001</v>
      </c>
      <c r="F199">
        <v>0</v>
      </c>
      <c r="G199">
        <v>5</v>
      </c>
      <c r="H199" s="11" t="s">
        <v>326</v>
      </c>
    </row>
    <row r="200" spans="2:8">
      <c r="B200">
        <v>2006</v>
      </c>
      <c r="C200" s="11" t="s">
        <v>887</v>
      </c>
      <c r="D200">
        <v>72</v>
      </c>
      <c r="E200">
        <v>2001</v>
      </c>
      <c r="F200">
        <v>0</v>
      </c>
      <c r="G200">
        <v>5</v>
      </c>
      <c r="H200" s="11" t="s">
        <v>326</v>
      </c>
    </row>
    <row r="201" spans="2:8">
      <c r="B201">
        <v>2007</v>
      </c>
      <c r="C201" s="11" t="s">
        <v>888</v>
      </c>
      <c r="D201">
        <v>255</v>
      </c>
      <c r="E201">
        <v>2001</v>
      </c>
      <c r="F201">
        <v>0</v>
      </c>
      <c r="G201">
        <v>5</v>
      </c>
      <c r="H201" s="11" t="s">
        <v>326</v>
      </c>
    </row>
    <row r="202" spans="2:8">
      <c r="B202">
        <v>2007</v>
      </c>
      <c r="C202" s="11" t="s">
        <v>888</v>
      </c>
      <c r="D202">
        <v>25</v>
      </c>
      <c r="E202">
        <v>2001</v>
      </c>
      <c r="F202">
        <v>0</v>
      </c>
      <c r="G202">
        <v>5</v>
      </c>
      <c r="H202" s="11" t="s">
        <v>326</v>
      </c>
    </row>
    <row r="203" spans="2:8">
      <c r="B203">
        <v>2007</v>
      </c>
      <c r="C203" s="11" t="s">
        <v>888</v>
      </c>
      <c r="D203">
        <v>105</v>
      </c>
      <c r="E203">
        <v>2001</v>
      </c>
      <c r="F203">
        <v>0</v>
      </c>
      <c r="G203">
        <v>5</v>
      </c>
      <c r="H203" s="11" t="s">
        <v>326</v>
      </c>
    </row>
    <row r="204" spans="2:8">
      <c r="B204">
        <v>3001</v>
      </c>
      <c r="C204" s="11" t="s">
        <v>898</v>
      </c>
      <c r="D204">
        <v>-90</v>
      </c>
      <c r="E204">
        <v>3001</v>
      </c>
      <c r="F204">
        <v>1</v>
      </c>
      <c r="G204">
        <v>5.5</v>
      </c>
      <c r="H204" s="11" t="s">
        <v>901</v>
      </c>
    </row>
    <row r="205" spans="2:8">
      <c r="B205">
        <v>3002</v>
      </c>
      <c r="C205" s="11" t="s">
        <v>897</v>
      </c>
      <c r="D205">
        <v>-90</v>
      </c>
      <c r="E205">
        <v>3002</v>
      </c>
      <c r="F205">
        <v>1</v>
      </c>
      <c r="G205">
        <v>5</v>
      </c>
      <c r="H205" s="11" t="s">
        <v>901</v>
      </c>
    </row>
    <row r="206" spans="2:8">
      <c r="B206">
        <v>3101</v>
      </c>
      <c r="C206" s="11" t="s">
        <v>903</v>
      </c>
      <c r="D206">
        <v>185</v>
      </c>
      <c r="E206">
        <v>3003</v>
      </c>
      <c r="F206">
        <v>0</v>
      </c>
      <c r="G206">
        <v>3</v>
      </c>
      <c r="H206" s="11" t="s">
        <v>326</v>
      </c>
    </row>
    <row r="207" spans="2:8">
      <c r="B207">
        <v>3102</v>
      </c>
      <c r="C207" s="11" t="s">
        <v>903</v>
      </c>
      <c r="D207">
        <v>190</v>
      </c>
      <c r="E207">
        <v>3003</v>
      </c>
      <c r="F207">
        <v>0</v>
      </c>
      <c r="G207">
        <v>3.5</v>
      </c>
      <c r="H207" s="11" t="s">
        <v>326</v>
      </c>
    </row>
    <row r="208" spans="2:8">
      <c r="B208">
        <v>3103</v>
      </c>
      <c r="C208" s="11" t="s">
        <v>903</v>
      </c>
      <c r="D208">
        <v>195</v>
      </c>
      <c r="E208">
        <v>3003</v>
      </c>
      <c r="F208">
        <v>0</v>
      </c>
      <c r="G208">
        <v>3</v>
      </c>
      <c r="H208" s="11" t="s">
        <v>326</v>
      </c>
    </row>
    <row r="209" spans="2:8">
      <c r="B209">
        <v>3104</v>
      </c>
      <c r="C209" s="11" t="s">
        <v>903</v>
      </c>
      <c r="D209">
        <v>200</v>
      </c>
      <c r="E209">
        <v>3003</v>
      </c>
      <c r="F209">
        <v>0</v>
      </c>
      <c r="G209">
        <v>3.5</v>
      </c>
      <c r="H209" s="11" t="s">
        <v>326</v>
      </c>
    </row>
    <row r="210" spans="2:8">
      <c r="B210">
        <v>3105</v>
      </c>
      <c r="C210" s="11" t="s">
        <v>903</v>
      </c>
      <c r="D210">
        <v>205</v>
      </c>
      <c r="E210">
        <v>3003</v>
      </c>
      <c r="F210">
        <v>0</v>
      </c>
      <c r="G210">
        <v>3</v>
      </c>
      <c r="H210" s="11" t="s">
        <v>326</v>
      </c>
    </row>
    <row r="211" spans="2:8">
      <c r="B211">
        <v>3106</v>
      </c>
      <c r="C211" s="11" t="s">
        <v>903</v>
      </c>
      <c r="D211" s="11">
        <v>210</v>
      </c>
      <c r="E211">
        <v>3003</v>
      </c>
      <c r="F211">
        <v>0</v>
      </c>
      <c r="G211">
        <v>3.5</v>
      </c>
      <c r="H211" s="11" t="s">
        <v>326</v>
      </c>
    </row>
    <row r="212" spans="2:8">
      <c r="B212">
        <v>3107</v>
      </c>
      <c r="C212" s="11" t="s">
        <v>903</v>
      </c>
      <c r="D212">
        <v>215</v>
      </c>
      <c r="E212">
        <v>3003</v>
      </c>
      <c r="F212">
        <v>0</v>
      </c>
      <c r="G212">
        <v>3</v>
      </c>
      <c r="H212" s="11" t="s">
        <v>326</v>
      </c>
    </row>
    <row r="213" spans="2:8">
      <c r="B213">
        <v>3108</v>
      </c>
      <c r="C213" s="11" t="s">
        <v>903</v>
      </c>
      <c r="D213">
        <v>220</v>
      </c>
      <c r="E213">
        <v>3003</v>
      </c>
      <c r="F213">
        <v>0</v>
      </c>
      <c r="G213">
        <v>3.5</v>
      </c>
      <c r="H213" s="11" t="s">
        <v>326</v>
      </c>
    </row>
    <row r="214" spans="2:8">
      <c r="B214">
        <v>3109</v>
      </c>
      <c r="C214" s="11" t="s">
        <v>903</v>
      </c>
      <c r="D214">
        <v>-185</v>
      </c>
      <c r="E214">
        <v>3003</v>
      </c>
      <c r="F214">
        <v>0</v>
      </c>
      <c r="G214">
        <v>3</v>
      </c>
      <c r="H214" s="11" t="s">
        <v>326</v>
      </c>
    </row>
    <row r="215" spans="2:8">
      <c r="B215">
        <v>3110</v>
      </c>
      <c r="C215" s="11" t="s">
        <v>903</v>
      </c>
      <c r="D215">
        <v>-190</v>
      </c>
      <c r="E215">
        <v>3003</v>
      </c>
      <c r="F215">
        <v>0</v>
      </c>
      <c r="G215">
        <v>3.5</v>
      </c>
      <c r="H215" s="11" t="s">
        <v>326</v>
      </c>
    </row>
    <row r="216" spans="2:8">
      <c r="B216">
        <v>3111</v>
      </c>
      <c r="C216" s="11" t="s">
        <v>903</v>
      </c>
      <c r="D216">
        <v>-195</v>
      </c>
      <c r="E216">
        <v>3003</v>
      </c>
      <c r="F216">
        <v>0</v>
      </c>
      <c r="G216">
        <v>3</v>
      </c>
      <c r="H216" s="11" t="s">
        <v>326</v>
      </c>
    </row>
    <row r="217" spans="2:8">
      <c r="B217">
        <v>3112</v>
      </c>
      <c r="C217" s="11" t="s">
        <v>903</v>
      </c>
      <c r="D217">
        <v>-200</v>
      </c>
      <c r="E217">
        <v>3003</v>
      </c>
      <c r="F217">
        <v>0</v>
      </c>
      <c r="G217">
        <v>3.5</v>
      </c>
      <c r="H217" s="11" t="s">
        <v>326</v>
      </c>
    </row>
    <row r="218" spans="2:8">
      <c r="B218">
        <v>3113</v>
      </c>
      <c r="C218" s="11" t="s">
        <v>903</v>
      </c>
      <c r="D218">
        <v>-205</v>
      </c>
      <c r="E218">
        <v>3003</v>
      </c>
      <c r="F218">
        <v>0</v>
      </c>
      <c r="G218">
        <v>3</v>
      </c>
      <c r="H218" s="11" t="s">
        <v>326</v>
      </c>
    </row>
    <row r="219" spans="2:8">
      <c r="B219">
        <v>3114</v>
      </c>
      <c r="C219" s="11" t="s">
        <v>903</v>
      </c>
      <c r="D219" s="11">
        <v>-210</v>
      </c>
      <c r="E219">
        <v>3003</v>
      </c>
      <c r="F219">
        <v>0</v>
      </c>
      <c r="G219">
        <v>3.5</v>
      </c>
      <c r="H219" s="11" t="s">
        <v>326</v>
      </c>
    </row>
    <row r="220" spans="2:8">
      <c r="B220">
        <v>3115</v>
      </c>
      <c r="C220" s="11" t="s">
        <v>903</v>
      </c>
      <c r="D220">
        <v>-215</v>
      </c>
      <c r="E220">
        <v>3003</v>
      </c>
      <c r="F220">
        <v>0</v>
      </c>
      <c r="G220">
        <v>3</v>
      </c>
      <c r="H220" s="11" t="s">
        <v>326</v>
      </c>
    </row>
    <row r="221" spans="2:8">
      <c r="B221">
        <v>3116</v>
      </c>
      <c r="C221" s="11" t="s">
        <v>903</v>
      </c>
      <c r="D221">
        <v>-220</v>
      </c>
      <c r="E221">
        <v>3003</v>
      </c>
      <c r="F221">
        <v>0</v>
      </c>
      <c r="G221">
        <v>3.5</v>
      </c>
      <c r="H221" s="11" t="s">
        <v>326</v>
      </c>
    </row>
    <row r="222" spans="2:8">
      <c r="B222">
        <v>3201</v>
      </c>
      <c r="C222" s="11" t="s">
        <v>902</v>
      </c>
      <c r="D222">
        <v>22.5</v>
      </c>
      <c r="E222">
        <v>3003</v>
      </c>
      <c r="F222">
        <v>0</v>
      </c>
      <c r="G222">
        <v>6</v>
      </c>
      <c r="H222" s="11" t="s">
        <v>326</v>
      </c>
    </row>
    <row r="223" spans="2:8">
      <c r="B223">
        <v>3201</v>
      </c>
      <c r="C223" s="11" t="s">
        <v>902</v>
      </c>
      <c r="D223">
        <v>67.5</v>
      </c>
      <c r="E223">
        <v>3003</v>
      </c>
      <c r="F223">
        <v>0</v>
      </c>
      <c r="G223">
        <v>6</v>
      </c>
      <c r="H223" s="11" t="s">
        <v>326</v>
      </c>
    </row>
    <row r="224" spans="2:8">
      <c r="B224">
        <v>3201</v>
      </c>
      <c r="C224" s="11" t="s">
        <v>902</v>
      </c>
      <c r="D224">
        <v>112.5</v>
      </c>
      <c r="E224">
        <v>3003</v>
      </c>
      <c r="F224">
        <v>0</v>
      </c>
      <c r="G224">
        <v>6</v>
      </c>
      <c r="H224" s="11" t="s">
        <v>326</v>
      </c>
    </row>
    <row r="225" spans="2:8">
      <c r="B225">
        <v>3201</v>
      </c>
      <c r="C225" s="11" t="s">
        <v>902</v>
      </c>
      <c r="D225">
        <v>157.5</v>
      </c>
      <c r="E225">
        <v>3003</v>
      </c>
      <c r="F225">
        <v>0</v>
      </c>
      <c r="G225">
        <v>6</v>
      </c>
      <c r="H225" s="11" t="s">
        <v>326</v>
      </c>
    </row>
    <row r="226" spans="2:8">
      <c r="B226">
        <v>3201</v>
      </c>
      <c r="C226" s="11" t="s">
        <v>902</v>
      </c>
      <c r="D226">
        <v>202.5</v>
      </c>
      <c r="E226">
        <v>3003</v>
      </c>
      <c r="F226">
        <v>0</v>
      </c>
      <c r="G226">
        <v>6</v>
      </c>
      <c r="H226" s="11" t="s">
        <v>326</v>
      </c>
    </row>
    <row r="227" spans="2:8">
      <c r="B227">
        <v>3201</v>
      </c>
      <c r="C227" s="11" t="s">
        <v>902</v>
      </c>
      <c r="D227">
        <v>247.5</v>
      </c>
      <c r="E227">
        <v>3003</v>
      </c>
      <c r="F227">
        <v>0</v>
      </c>
      <c r="G227">
        <v>6</v>
      </c>
      <c r="H227" s="11" t="s">
        <v>326</v>
      </c>
    </row>
    <row r="228" spans="2:8">
      <c r="B228">
        <v>3201</v>
      </c>
      <c r="C228" s="11" t="s">
        <v>902</v>
      </c>
      <c r="D228">
        <v>292.5</v>
      </c>
      <c r="E228">
        <v>3003</v>
      </c>
      <c r="F228">
        <v>0</v>
      </c>
      <c r="G228">
        <v>6</v>
      </c>
      <c r="H228" s="11" t="s">
        <v>326</v>
      </c>
    </row>
    <row r="229" spans="2:8">
      <c r="B229">
        <v>3201</v>
      </c>
      <c r="C229" s="11" t="s">
        <v>902</v>
      </c>
      <c r="D229">
        <v>337.5</v>
      </c>
      <c r="E229">
        <v>3003</v>
      </c>
      <c r="F229">
        <v>0</v>
      </c>
      <c r="G229">
        <v>6</v>
      </c>
      <c r="H229" s="11" t="s">
        <v>326</v>
      </c>
    </row>
    <row r="230" spans="2:8">
      <c r="B230">
        <v>3202</v>
      </c>
      <c r="C230" s="11" t="s">
        <v>902</v>
      </c>
      <c r="D230">
        <v>45</v>
      </c>
      <c r="E230">
        <v>3003</v>
      </c>
      <c r="F230">
        <v>0</v>
      </c>
      <c r="G230">
        <v>7</v>
      </c>
      <c r="H230" s="11" t="s">
        <v>326</v>
      </c>
    </row>
    <row r="231" spans="2:8">
      <c r="B231">
        <v>3202</v>
      </c>
      <c r="C231" s="11" t="s">
        <v>902</v>
      </c>
      <c r="D231">
        <v>90</v>
      </c>
      <c r="E231">
        <v>3003</v>
      </c>
      <c r="F231">
        <v>0</v>
      </c>
      <c r="G231">
        <v>7</v>
      </c>
      <c r="H231" s="11" t="s">
        <v>326</v>
      </c>
    </row>
    <row r="232" spans="2:8">
      <c r="B232">
        <v>3202</v>
      </c>
      <c r="C232" s="11" t="s">
        <v>902</v>
      </c>
      <c r="D232">
        <v>135</v>
      </c>
      <c r="E232">
        <v>3003</v>
      </c>
      <c r="F232">
        <v>0</v>
      </c>
      <c r="G232">
        <v>7</v>
      </c>
      <c r="H232" s="11" t="s">
        <v>326</v>
      </c>
    </row>
    <row r="233" spans="2:8">
      <c r="B233">
        <v>3202</v>
      </c>
      <c r="C233" s="11" t="s">
        <v>902</v>
      </c>
      <c r="D233">
        <v>180</v>
      </c>
      <c r="E233">
        <v>3003</v>
      </c>
      <c r="F233">
        <v>0</v>
      </c>
      <c r="G233">
        <v>7</v>
      </c>
      <c r="H233" s="11" t="s">
        <v>326</v>
      </c>
    </row>
    <row r="234" spans="2:8">
      <c r="B234">
        <v>3202</v>
      </c>
      <c r="C234" s="11" t="s">
        <v>902</v>
      </c>
      <c r="D234">
        <v>225</v>
      </c>
      <c r="E234">
        <v>3003</v>
      </c>
      <c r="F234">
        <v>0</v>
      </c>
      <c r="G234">
        <v>7</v>
      </c>
      <c r="H234" s="11" t="s">
        <v>326</v>
      </c>
    </row>
    <row r="235" spans="2:8">
      <c r="B235">
        <v>3202</v>
      </c>
      <c r="C235" s="11" t="s">
        <v>902</v>
      </c>
      <c r="D235">
        <v>270</v>
      </c>
      <c r="E235">
        <v>3003</v>
      </c>
      <c r="F235">
        <v>0</v>
      </c>
      <c r="G235">
        <v>7</v>
      </c>
      <c r="H235" s="11" t="s">
        <v>326</v>
      </c>
    </row>
    <row r="236" spans="2:8">
      <c r="B236">
        <v>3202</v>
      </c>
      <c r="C236" s="11" t="s">
        <v>902</v>
      </c>
      <c r="D236">
        <v>315</v>
      </c>
      <c r="E236">
        <v>3003</v>
      </c>
      <c r="F236">
        <v>0</v>
      </c>
      <c r="G236">
        <v>7</v>
      </c>
      <c r="H236" s="11" t="s">
        <v>326</v>
      </c>
    </row>
    <row r="237" spans="2:8">
      <c r="B237">
        <v>3202</v>
      </c>
      <c r="C237" s="11" t="s">
        <v>902</v>
      </c>
      <c r="D237">
        <v>360</v>
      </c>
      <c r="E237">
        <v>3003</v>
      </c>
      <c r="F237">
        <v>0</v>
      </c>
      <c r="G237">
        <v>7</v>
      </c>
      <c r="H237" s="11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201</v>
      </c>
      <c r="E2" t="s">
        <v>104</v>
      </c>
      <c r="F2" t="s">
        <v>174</v>
      </c>
      <c r="G2" t="s">
        <v>181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217</v>
      </c>
    </row>
    <row r="4" spans="2:7">
      <c r="B4">
        <v>201</v>
      </c>
      <c r="C4" s="14" t="s">
        <v>359</v>
      </c>
      <c r="D4" t="b">
        <v>1</v>
      </c>
      <c r="E4">
        <v>0.8</v>
      </c>
      <c r="F4">
        <v>15</v>
      </c>
      <c r="G4" s="11" t="s">
        <v>390</v>
      </c>
    </row>
    <row r="5" spans="2:7">
      <c r="B5">
        <v>204</v>
      </c>
      <c r="C5" s="14" t="s">
        <v>389</v>
      </c>
      <c r="D5" t="b">
        <v>1</v>
      </c>
      <c r="E5">
        <v>1.5</v>
      </c>
      <c r="F5">
        <v>15</v>
      </c>
      <c r="G5" s="11" t="s">
        <v>844</v>
      </c>
    </row>
    <row r="6" spans="2:7">
      <c r="B6">
        <v>205</v>
      </c>
      <c r="C6" s="14" t="s">
        <v>435</v>
      </c>
      <c r="D6" t="b">
        <v>1</v>
      </c>
      <c r="E6">
        <v>1.2</v>
      </c>
      <c r="F6">
        <v>10</v>
      </c>
      <c r="G6" s="11" t="s">
        <v>401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216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216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216</v>
      </c>
    </row>
    <row r="10" spans="2:7">
      <c r="B10">
        <v>401</v>
      </c>
      <c r="C10" s="19" t="s">
        <v>211</v>
      </c>
      <c r="D10" s="3" t="b">
        <v>1</v>
      </c>
      <c r="E10">
        <v>0.25</v>
      </c>
      <c r="F10">
        <v>25</v>
      </c>
      <c r="G10" t="s">
        <v>216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216</v>
      </c>
    </row>
    <row r="12" spans="2:7">
      <c r="B12">
        <v>403</v>
      </c>
      <c r="C12" s="13" t="s">
        <v>273</v>
      </c>
      <c r="D12" s="3" t="b">
        <v>0</v>
      </c>
      <c r="E12">
        <v>0.8</v>
      </c>
      <c r="F12">
        <v>25</v>
      </c>
      <c r="G12" t="s">
        <v>216</v>
      </c>
    </row>
    <row r="13" spans="2:7">
      <c r="B13">
        <v>404</v>
      </c>
      <c r="C13" s="13" t="s">
        <v>274</v>
      </c>
      <c r="D13" s="3" t="b">
        <v>1</v>
      </c>
      <c r="E13">
        <v>0.8</v>
      </c>
      <c r="F13">
        <v>25</v>
      </c>
      <c r="G13" t="s">
        <v>216</v>
      </c>
    </row>
    <row r="14" spans="2:7">
      <c r="B14">
        <v>999</v>
      </c>
      <c r="C14" s="18" t="s">
        <v>268</v>
      </c>
      <c r="D14" t="b">
        <v>1</v>
      </c>
      <c r="E14">
        <v>1</v>
      </c>
      <c r="F14">
        <v>25</v>
      </c>
      <c r="G14" s="16" t="s">
        <v>295</v>
      </c>
    </row>
    <row r="15" spans="2:7">
      <c r="B15">
        <v>2000</v>
      </c>
      <c r="C15" s="18" t="s">
        <v>870</v>
      </c>
      <c r="D15" t="b">
        <v>1</v>
      </c>
      <c r="E15">
        <v>2</v>
      </c>
      <c r="F15">
        <v>25</v>
      </c>
      <c r="G15" s="16" t="s">
        <v>866</v>
      </c>
    </row>
    <row r="16" spans="2:7">
      <c r="B16">
        <v>2001</v>
      </c>
      <c r="C16" s="18" t="s">
        <v>869</v>
      </c>
      <c r="D16" t="b">
        <v>1</v>
      </c>
      <c r="E16">
        <v>0.8</v>
      </c>
      <c r="F16">
        <v>25</v>
      </c>
      <c r="G16" t="s">
        <v>216</v>
      </c>
    </row>
    <row r="17" spans="2:7">
      <c r="B17">
        <v>3001</v>
      </c>
      <c r="C17" s="14" t="s">
        <v>900</v>
      </c>
      <c r="D17" t="b">
        <v>1</v>
      </c>
      <c r="E17">
        <v>2</v>
      </c>
      <c r="F17">
        <v>25</v>
      </c>
      <c r="G17" s="16" t="s">
        <v>866</v>
      </c>
    </row>
    <row r="18" spans="2:7">
      <c r="B18">
        <v>3002</v>
      </c>
      <c r="C18" s="14" t="s">
        <v>899</v>
      </c>
      <c r="D18" t="b">
        <v>1</v>
      </c>
      <c r="E18">
        <v>2</v>
      </c>
      <c r="F18">
        <v>25</v>
      </c>
      <c r="G18" s="16" t="s">
        <v>866</v>
      </c>
    </row>
    <row r="19" spans="2:7">
      <c r="B19">
        <v>3003</v>
      </c>
      <c r="C19" s="14" t="s">
        <v>904</v>
      </c>
      <c r="D19" t="b">
        <v>1</v>
      </c>
      <c r="E19">
        <v>0.8</v>
      </c>
      <c r="F19">
        <v>25</v>
      </c>
      <c r="G19" t="s">
        <v>216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4"/>
  <sheetViews>
    <sheetView topLeftCell="A8" zoomScaleNormal="100" zoomScaleSheetLayoutView="100" workbookViewId="0">
      <pane xSplit="3" topLeftCell="D1" activePane="topRight" state="frozen"/>
      <selection pane="topRight" activeCell="E28" sqref="E28"/>
    </sheetView>
  </sheetViews>
  <sheetFormatPr defaultColWidth="8.796875" defaultRowHeight="17.399999999999999"/>
  <cols>
    <col min="1" max="1" width="8.796875" style="42"/>
    <col min="2" max="3" width="11.5" style="42" customWidth="1"/>
    <col min="4" max="4" width="66.796875" style="42" customWidth="1"/>
    <col min="5" max="6" width="14.69921875" style="42" customWidth="1"/>
    <col min="7" max="7" width="3.19921875" style="42" customWidth="1"/>
    <col min="8" max="8" width="3.69921875" style="42" customWidth="1"/>
    <col min="9" max="9" width="3.09765625" style="42" customWidth="1"/>
    <col min="10" max="10" width="3.69921875" style="42" customWidth="1"/>
    <col min="11" max="11" width="14.69921875" style="42" customWidth="1"/>
    <col min="12" max="14" width="16.19921875" style="42" customWidth="1"/>
    <col min="15" max="15" width="22.19921875" style="42" customWidth="1"/>
    <col min="16" max="16" width="32.69921875" style="42" customWidth="1"/>
    <col min="17" max="17" width="36.296875" style="42" customWidth="1"/>
    <col min="18" max="18" width="24.69921875" style="42" customWidth="1"/>
    <col min="19" max="16384" width="8.796875" style="42"/>
  </cols>
  <sheetData>
    <row r="1" spans="2:19">
      <c r="E1" s="42" t="s">
        <v>40</v>
      </c>
      <c r="G1" s="42" t="s">
        <v>25</v>
      </c>
      <c r="H1" s="42" t="s">
        <v>25</v>
      </c>
      <c r="I1" s="42" t="s">
        <v>25</v>
      </c>
      <c r="J1" s="42" t="s">
        <v>25</v>
      </c>
      <c r="L1" s="42" t="s">
        <v>51</v>
      </c>
      <c r="M1" s="42" t="s">
        <v>27</v>
      </c>
    </row>
    <row r="2" spans="2:19">
      <c r="B2" s="58" t="s">
        <v>39</v>
      </c>
      <c r="C2" s="80" t="s">
        <v>850</v>
      </c>
      <c r="D2" s="80" t="s">
        <v>914</v>
      </c>
      <c r="E2" s="80" t="s">
        <v>915</v>
      </c>
      <c r="F2" s="80" t="s">
        <v>916</v>
      </c>
      <c r="G2" s="58" t="s">
        <v>42</v>
      </c>
      <c r="H2" s="58" t="s">
        <v>101</v>
      </c>
      <c r="I2" s="58" t="s">
        <v>346</v>
      </c>
      <c r="J2" s="58" t="s">
        <v>347</v>
      </c>
      <c r="K2" s="58" t="s">
        <v>158</v>
      </c>
      <c r="L2" s="58" t="s">
        <v>851</v>
      </c>
      <c r="M2" s="58" t="s">
        <v>46</v>
      </c>
      <c r="N2" s="58" t="s">
        <v>49</v>
      </c>
      <c r="O2" s="58" t="s">
        <v>159</v>
      </c>
      <c r="P2" s="58" t="s">
        <v>7</v>
      </c>
      <c r="Q2" s="58" t="s">
        <v>111</v>
      </c>
      <c r="R2" s="59" t="s">
        <v>493</v>
      </c>
      <c r="S2" s="59" t="s">
        <v>494</v>
      </c>
    </row>
    <row r="3" spans="2:19">
      <c r="B3" s="42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7" t="e">
        <f>INDEX(LocaleTable[LocaleKR],MATCH(ItemTable[[#This Row],[Name]],LocaleTable[StringKey],0))</f>
        <v>#N/A</v>
      </c>
      <c r="D3" s="57" t="e">
        <f>INDEX(LocaleTable[LocaleKR],MATCH(ItemTable[[#This Row],[Desc]],LocaleTable[StringKey],0))</f>
        <v>#N/A</v>
      </c>
      <c r="E3" s="57" t="e">
        <f>INDEX(LocaleTable[LocaleKR],MATCH(ItemTable[[#This Row],[PlusDesc]],LocaleTable[StringKey],0))</f>
        <v>#N/A</v>
      </c>
      <c r="F3" s="57" t="e">
        <f>INDEX(LocaleTable[LocaleKR],MATCH(ItemTable[[#This Row],[MinusDesc]],LocaleTable[StringKey],0))</f>
        <v>#N/A</v>
      </c>
      <c r="K3" s="42" t="s">
        <v>26</v>
      </c>
      <c r="L3" s="8">
        <v>0</v>
      </c>
      <c r="M3" s="42">
        <v>25</v>
      </c>
      <c r="N3" s="42">
        <f>INDEX(아이템가격[],MATCH(MID(ItemTable[[#Headers],[CostHp]],5,10),아이템가격[재화],0),MATCH(ItemTable[[#This Row],[GradeType]],아이템가격[#Headers],0))*ItemTable[[#This Row],[Value]]</f>
        <v>0</v>
      </c>
      <c r="O3" s="42">
        <v>10</v>
      </c>
      <c r="P3" s="42">
        <f t="array" ref="P3">_xlfn.IFS(OR(ItemTable[[#This Row],[GradeType]]="Hp",ItemTable[[#This Row],[GradeType]]="Gold"),0,TRUE,5000+ItemTable[[#This Row],[Index]])</f>
        <v>0</v>
      </c>
      <c r="R3" s="57"/>
      <c r="S3" s="57" t="str">
        <f>SUBSTITUTE(PROPER(ItemTable[[#This Row],['#번역본]])," "," ")</f>
        <v/>
      </c>
    </row>
    <row r="4" spans="2:19">
      <c r="B4" s="42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7" t="e">
        <f>INDEX(LocaleTable[LocaleKR],MATCH(ItemTable[[#This Row],[Name]],LocaleTable[StringKey],0))</f>
        <v>#N/A</v>
      </c>
      <c r="D4" s="57" t="e">
        <f>INDEX(LocaleTable[LocaleKR],MATCH(ItemTable[[#This Row],[Desc]],LocaleTable[StringKey],0))</f>
        <v>#N/A</v>
      </c>
      <c r="E4" s="57" t="e">
        <f>INDEX(LocaleTable[LocaleKR],MATCH(ItemTable[[#This Row],[PlusDesc]],LocaleTable[StringKey],0))</f>
        <v>#N/A</v>
      </c>
      <c r="F4" s="57" t="e">
        <f>INDEX(LocaleTable[LocaleKR],MATCH(ItemTable[[#This Row],[MinusDesc]],LocaleTable[StringKey],0))</f>
        <v>#N/A</v>
      </c>
      <c r="K4" s="42" t="s">
        <v>26</v>
      </c>
      <c r="L4" s="8">
        <v>0</v>
      </c>
      <c r="M4" s="42">
        <v>50</v>
      </c>
      <c r="N4" s="42">
        <f>INDEX(아이템가격[],MATCH(MID(ItemTable[[#Headers],[CostHp]],5,10),아이템가격[재화],0),MATCH(ItemTable[[#This Row],[GradeType]],아이템가격[#Headers],0))*ItemTable[[#This Row],[Value]]</f>
        <v>0</v>
      </c>
      <c r="O4" s="42">
        <v>20</v>
      </c>
      <c r="P4" s="42">
        <f t="array" ref="P4">_xlfn.IFS(OR(ItemTable[[#This Row],[GradeType]]="Hp",ItemTable[[#This Row],[GradeType]]="Gold"),0,TRUE,5000+ItemTable[[#This Row],[Index]])</f>
        <v>0</v>
      </c>
      <c r="R4" s="57"/>
      <c r="S4" s="57" t="str">
        <f>SUBSTITUTE(PROPER(ItemTable[[#This Row],['#번역본]])," "," ")</f>
        <v/>
      </c>
    </row>
    <row r="5" spans="2:19">
      <c r="B5" s="42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7" t="e">
        <f>INDEX(LocaleTable[LocaleKR],MATCH(ItemTable[[#This Row],[Name]],LocaleTable[StringKey],0))</f>
        <v>#N/A</v>
      </c>
      <c r="D5" s="57" t="e">
        <f>INDEX(LocaleTable[LocaleKR],MATCH(ItemTable[[#This Row],[Desc]],LocaleTable[StringKey],0))</f>
        <v>#N/A</v>
      </c>
      <c r="E5" s="57" t="e">
        <f>INDEX(LocaleTable[LocaleKR],MATCH(ItemTable[[#This Row],[PlusDesc]],LocaleTable[StringKey],0))</f>
        <v>#N/A</v>
      </c>
      <c r="F5" s="57" t="e">
        <f>INDEX(LocaleTable[LocaleKR],MATCH(ItemTable[[#This Row],[MinusDesc]],LocaleTable[StringKey],0))</f>
        <v>#N/A</v>
      </c>
      <c r="K5" s="42" t="s">
        <v>50</v>
      </c>
      <c r="L5" s="8">
        <v>0</v>
      </c>
      <c r="M5" s="42">
        <v>15</v>
      </c>
      <c r="N5" s="42">
        <v>25</v>
      </c>
      <c r="O5" s="42">
        <f>INDEX(아이템가격[],MATCH(MID(ItemTable[[#Headers],[CostGold]],5,10),아이템가격[재화],0),MATCH(ItemTable[[#This Row],[GradeType]],아이템가격[#Headers],0))*ItemTable[[#This Row],[Value]]</f>
        <v>0</v>
      </c>
      <c r="P5" s="42">
        <f t="array" ref="P5">_xlfn.IFS(OR(ItemTable[[#This Row],[GradeType]]="Hp",ItemTable[[#This Row],[GradeType]]="Gold"),0,TRUE,5000+ItemTable[[#This Row],[Index]])</f>
        <v>0</v>
      </c>
      <c r="Q5" s="42" t="s">
        <v>17</v>
      </c>
      <c r="R5" s="57"/>
      <c r="S5" s="57" t="str">
        <f>SUBSTITUTE(PROPER(ItemTable[[#This Row],['#번역본]])," "," ")</f>
        <v/>
      </c>
    </row>
    <row r="6" spans="2:19">
      <c r="B6" s="42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7" t="e">
        <f>INDEX(LocaleTable[LocaleKR],MATCH(ItemTable[[#This Row],[Name]],LocaleTable[StringKey],0))</f>
        <v>#N/A</v>
      </c>
      <c r="D6" s="57" t="e">
        <f>INDEX(LocaleTable[LocaleKR],MATCH(ItemTable[[#This Row],[Desc]],LocaleTable[StringKey],0))</f>
        <v>#N/A</v>
      </c>
      <c r="E6" s="57" t="e">
        <f>INDEX(LocaleTable[LocaleKR],MATCH(ItemTable[[#This Row],[PlusDesc]],LocaleTable[StringKey],0))</f>
        <v>#N/A</v>
      </c>
      <c r="F6" s="57" t="e">
        <f>INDEX(LocaleTable[LocaleKR],MATCH(ItemTable[[#This Row],[MinusDesc]],LocaleTable[StringKey],0))</f>
        <v>#N/A</v>
      </c>
      <c r="K6" s="42" t="s">
        <v>50</v>
      </c>
      <c r="L6" s="8">
        <v>0</v>
      </c>
      <c r="M6" s="42">
        <v>30</v>
      </c>
      <c r="N6" s="42">
        <v>50</v>
      </c>
      <c r="O6" s="42">
        <f>INDEX(아이템가격[],MATCH(MID(ItemTable[[#Headers],[CostGold]],5,10),아이템가격[재화],0),MATCH(ItemTable[[#This Row],[GradeType]],아이템가격[#Headers],0))*ItemTable[[#This Row],[Value]]</f>
        <v>0</v>
      </c>
      <c r="P6" s="42">
        <f t="array" ref="P6">_xlfn.IFS(OR(ItemTable[[#This Row],[GradeType]]="Hp",ItemTable[[#This Row],[GradeType]]="Gold"),0,TRUE,5000+ItemTable[[#This Row],[Index]])</f>
        <v>0</v>
      </c>
      <c r="Q6" s="42" t="s">
        <v>17</v>
      </c>
      <c r="R6" s="57"/>
      <c r="S6" s="57" t="str">
        <f>SUBSTITUTE(PROPER(ItemTable[[#This Row],['#번역본]])," "," ")</f>
        <v/>
      </c>
    </row>
    <row r="7" spans="2:19">
      <c r="B7" s="42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7" t="e">
        <f>INDEX(LocaleTable[LocaleKR],MATCH(ItemTable[[#This Row],[Name]],LocaleTable[StringKey],0))</f>
        <v>#N/A</v>
      </c>
      <c r="D7" s="57" t="e">
        <f>INDEX(LocaleTable[LocaleKR],MATCH(ItemTable[[#This Row],[Desc]],LocaleTable[StringKey],0))</f>
        <v>#N/A</v>
      </c>
      <c r="E7" s="57" t="e">
        <f>INDEX(LocaleTable[LocaleKR],MATCH(ItemTable[[#This Row],[PlusDesc]],LocaleTable[StringKey],0))</f>
        <v>#N/A</v>
      </c>
      <c r="F7" s="57" t="e">
        <f>INDEX(LocaleTable[LocaleKR],MATCH(ItemTable[[#This Row],[MinusDesc]],LocaleTable[StringKey],0))</f>
        <v>#N/A</v>
      </c>
      <c r="K7" s="42" t="s">
        <v>50</v>
      </c>
      <c r="L7" s="8">
        <v>0</v>
      </c>
      <c r="M7" s="42">
        <v>45</v>
      </c>
      <c r="N7" s="42">
        <v>75</v>
      </c>
      <c r="O7" s="42">
        <f>INDEX(아이템가격[],MATCH(MID(ItemTable[[#Headers],[CostGold]],5,10),아이템가격[재화],0),MATCH(ItemTable[[#This Row],[GradeType]],아이템가격[#Headers],0))*ItemTable[[#This Row],[Value]]</f>
        <v>0</v>
      </c>
      <c r="P7" s="42">
        <f t="array" ref="P7">_xlfn.IFS(OR(ItemTable[[#This Row],[GradeType]]="Hp",ItemTable[[#This Row],[GradeType]]="Gold"),0,TRUE,5000+ItemTable[[#This Row],[Index]])</f>
        <v>0</v>
      </c>
      <c r="Q7" s="42" t="s">
        <v>17</v>
      </c>
      <c r="R7" s="57"/>
      <c r="S7" s="57" t="str">
        <f>SUBSTITUTE(PROPER(ItemTable[[#This Row],['#번역본]])," "," ")</f>
        <v/>
      </c>
    </row>
    <row r="8" spans="2:19">
      <c r="B8" s="42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7" t="str">
        <f>INDEX(LocaleTable[LocaleKR],MATCH(ItemTable[[#This Row],[Name]],LocaleTable[StringKey],0))</f>
        <v>메탈유니콘 키링</v>
      </c>
      <c r="D8" s="57" t="str">
        <f>INDEX(LocaleTable[LocaleKR],MATCH(ItemTable[[#This Row],[Desc]],LocaleTable[StringKey],0))</f>
        <v>배트에 달아놓으면 휘두를 때\n짤랑짤랑 소리가 납니다.</v>
      </c>
      <c r="E8" s="57" t="str">
        <f>INDEX(LocaleTable[LocaleKR],MATCH(ItemTable[[#This Row],[PlusDesc]],LocaleTable[StringKey],0))</f>
        <v>플레이어의 공이\n적을 관통합니다.</v>
      </c>
      <c r="F8" s="57" t="e">
        <f>INDEX(LocaleTable[LocaleKR],MATCH(ItemTable[[#This Row],[MinusDesc]],LocaleTable[StringKey],0))</f>
        <v>#N/A</v>
      </c>
      <c r="G8" s="42" t="str">
        <f>_xlfn.CONCAT("Item_Name_",ItemTable[[#This Row],[Index]])</f>
        <v>Item_Name_2000</v>
      </c>
      <c r="H8" s="42" t="str">
        <f>_xlfn.CONCAT("Item_Desc_",ItemTable[[#This Row],[Index]])</f>
        <v>Item_Desc_2000</v>
      </c>
      <c r="I8" s="42" t="str">
        <f>_xlfn.CONCAT("Item_PlusDesc_",ItemTable[[#This Row],[Index]])</f>
        <v>Item_PlusDesc_2000</v>
      </c>
      <c r="K8" s="42" t="s">
        <v>43</v>
      </c>
      <c r="L8" s="8">
        <v>0</v>
      </c>
      <c r="M8" s="42">
        <v>1</v>
      </c>
      <c r="N8" s="42">
        <f t="array" ref="N8">_xlfn.IFS(ItemTable[[#This Row],[GradeType]]="Normal",25,ItemTable[[#This Row],[GradeType]]="Cursed",50,ItemTable[[#This Row],[GradeType]]="Rare",50)</f>
        <v>25</v>
      </c>
      <c r="O8" s="42">
        <v>30</v>
      </c>
      <c r="P8" s="42">
        <f t="array" ref="P8">_xlfn.IFS(OR(ItemTable[[#This Row],[GradeType]]="Hp",ItemTable[[#This Row],[GradeType]]="Gold"),0,TRUE,5000+ItemTable[[#This Row],[Index]])</f>
        <v>7000</v>
      </c>
      <c r="Q8" s="42" t="s">
        <v>575</v>
      </c>
      <c r="R8" s="57" t="s">
        <v>480</v>
      </c>
      <c r="S8" s="57" t="str">
        <f>SUBSTITUTE(PROPER(ItemTable[[#This Row],['#번역본]])," "," ")</f>
        <v>Metal Unicorn Keyring</v>
      </c>
    </row>
    <row r="9" spans="2:19">
      <c r="B9" s="42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7" t="str">
        <f>INDEX(LocaleTable[LocaleKR],MATCH(ItemTable[[#This Row],[Name]],LocaleTable[StringKey],0))</f>
        <v>천사의 열매</v>
      </c>
      <c r="D9" s="57" t="str">
        <f>INDEX(LocaleTable[LocaleKR],MATCH(ItemTable[[#This Row],[Desc]],LocaleTable[StringKey],0))</f>
        <v>먹으면 배트가 고무처럼 늘어납니다.\n산에 올라갈 때 고산증이 잘 오는 부작용이 있습니다.</v>
      </c>
      <c r="E9" s="57" t="str">
        <f>INDEX(LocaleTable[LocaleKR],MATCH(ItemTable[[#This Row],[PlusDesc]],LocaleTable[StringKey],0))</f>
        <v>공격범위 +30%</v>
      </c>
      <c r="F9" s="57" t="e">
        <f>INDEX(LocaleTable[LocaleKR],MATCH(ItemTable[[#This Row],[MinusDesc]],LocaleTable[StringKey],0))</f>
        <v>#N/A</v>
      </c>
      <c r="G9" s="42" t="str">
        <f>_xlfn.CONCAT("Item_Name_",ItemTable[[#This Row],[Index]])</f>
        <v>Item_Name_2001</v>
      </c>
      <c r="H9" s="42" t="str">
        <f>_xlfn.CONCAT("Item_Desc_",ItemTable[[#This Row],[Index]])</f>
        <v>Item_Desc_2001</v>
      </c>
      <c r="I9" s="42" t="str">
        <f>_xlfn.CONCAT("Item_PlusDesc_",ItemTable[[#This Row],[Index]])</f>
        <v>Item_PlusDesc_2001</v>
      </c>
      <c r="K9" s="42" t="s">
        <v>43</v>
      </c>
      <c r="L9" s="8">
        <v>0</v>
      </c>
      <c r="M9" s="42">
        <v>1</v>
      </c>
      <c r="N9" s="42">
        <f t="array" ref="N9">_xlfn.IFS(ItemTable[[#This Row],[GradeType]]="Normal",25,ItemTable[[#This Row],[GradeType]]="Cursed",50,ItemTable[[#This Row],[GradeType]]="Rare",50)</f>
        <v>25</v>
      </c>
      <c r="O9" s="42">
        <v>30</v>
      </c>
      <c r="P9" s="42">
        <f t="array" ref="P9">_xlfn.IFS(OR(ItemTable[[#This Row],[GradeType]]="Hp",ItemTable[[#This Row],[GradeType]]="Gold"),0,TRUE,5000+ItemTable[[#This Row],[Index]])</f>
        <v>7001</v>
      </c>
      <c r="Q9" s="42" t="s">
        <v>917</v>
      </c>
      <c r="R9" s="57" t="s">
        <v>481</v>
      </c>
      <c r="S9" s="57" t="str">
        <f>SUBSTITUTE(PROPER(ItemTable[[#This Row],['#번역본]])," "," ")</f>
        <v>A Champion Hat</v>
      </c>
    </row>
    <row r="10" spans="2:19">
      <c r="B10" s="42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7" t="str">
        <f>INDEX(LocaleTable[LocaleKR],MATCH(ItemTable[[#This Row],[Name]],LocaleTable[StringKey],0))</f>
        <v>쿨 - 도그</v>
      </c>
      <c r="D10" s="57" t="str">
        <f>INDEX(LocaleTable[LocaleKR],MATCH(ItemTable[[#This Row],[Desc]],LocaleTable[StringKey],0))</f>
        <v>얼.죽.아 클럽의 새로운 유행입니다.</v>
      </c>
      <c r="E10" s="57" t="str">
        <f>INDEX(LocaleTable[LocaleKR],MATCH(ItemTable[[#This Row],[PlusDesc]],LocaleTable[StringKey],0))</f>
        <v>차징속도 +15%</v>
      </c>
      <c r="F10" s="57" t="e">
        <f>INDEX(LocaleTable[LocaleKR],MATCH(ItemTable[[#This Row],[MinusDesc]],LocaleTable[StringKey],0))</f>
        <v>#N/A</v>
      </c>
      <c r="G10" s="42" t="str">
        <f>_xlfn.CONCAT("Item_Name_",ItemTable[[#This Row],[Index]])</f>
        <v>Item_Name_2002</v>
      </c>
      <c r="H10" s="42" t="str">
        <f>_xlfn.CONCAT("Item_Desc_",ItemTable[[#This Row],[Index]])</f>
        <v>Item_Desc_2002</v>
      </c>
      <c r="I10" s="42" t="str">
        <f>_xlfn.CONCAT("Item_PlusDesc_",ItemTable[[#This Row],[Index]])</f>
        <v>Item_PlusDesc_2002</v>
      </c>
      <c r="K10" s="42" t="s">
        <v>43</v>
      </c>
      <c r="L10" s="8">
        <v>0</v>
      </c>
      <c r="M10" s="42">
        <v>1</v>
      </c>
      <c r="N10" s="42">
        <f t="array" ref="N10">_xlfn.IFS(ItemTable[[#This Row],[GradeType]]="Normal",25,ItemTable[[#This Row],[GradeType]]="Cursed",50,ItemTable[[#This Row],[GradeType]]="Rare",50)</f>
        <v>25</v>
      </c>
      <c r="O10" s="42">
        <v>30</v>
      </c>
      <c r="P10" s="42">
        <f t="array" ref="P10">_xlfn.IFS(OR(ItemTable[[#This Row],[GradeType]]="Hp",ItemTable[[#This Row],[GradeType]]="Gold"),0,TRUE,5000+ItemTable[[#This Row],[Index]])</f>
        <v>7002</v>
      </c>
      <c r="Q10" s="42" t="s">
        <v>455</v>
      </c>
      <c r="R10" s="57" t="s">
        <v>482</v>
      </c>
      <c r="S10" s="57" t="str">
        <f>SUBSTITUTE(PROPER(ItemTable[[#This Row],['#번역본]])," "," ")</f>
        <v>Cool - Dog</v>
      </c>
    </row>
    <row r="11" spans="2:19">
      <c r="B11" s="42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7" t="str">
        <f>INDEX(LocaleTable[LocaleKR],MATCH(ItemTable[[#This Row],[Name]],LocaleTable[StringKey],0))</f>
        <v>QT 파우더</v>
      </c>
      <c r="D11" s="57" t="str">
        <f>INDEX(LocaleTable[LocaleKR],MATCH(ItemTable[[#This Row],[Desc]],LocaleTable[StringKey],0))</f>
        <v>배트 이외의 물건에 사용하지 마시오\nQT추출물 0.0006% 함유\nQT향 0.1%함유</v>
      </c>
      <c r="E11" s="57" t="str">
        <f>INDEX(LocaleTable[LocaleKR],MATCH(ItemTable[[#This Row],[PlusDesc]],LocaleTable[StringKey],0))</f>
        <v>차징 타격 시 5초간\n공격력 +20%</v>
      </c>
      <c r="F11" s="57" t="e">
        <f>INDEX(LocaleTable[LocaleKR],MATCH(ItemTable[[#This Row],[MinusDesc]],LocaleTable[StringKey],0))</f>
        <v>#N/A</v>
      </c>
      <c r="G11" s="42" t="str">
        <f>_xlfn.CONCAT("Item_Name_",ItemTable[[#This Row],[Index]])</f>
        <v>Item_Name_2003</v>
      </c>
      <c r="H11" s="42" t="str">
        <f>_xlfn.CONCAT("Item_Desc_",ItemTable[[#This Row],[Index]])</f>
        <v>Item_Desc_2003</v>
      </c>
      <c r="I11" s="42" t="str">
        <f>_xlfn.CONCAT("Item_PlusDesc_",ItemTable[[#This Row],[Index]])</f>
        <v>Item_PlusDesc_2003</v>
      </c>
      <c r="K11" s="42" t="s">
        <v>43</v>
      </c>
      <c r="L11" s="8">
        <v>0</v>
      </c>
      <c r="M11" s="42">
        <v>1</v>
      </c>
      <c r="N11" s="42">
        <f t="array" ref="N11">_xlfn.IFS(ItemTable[[#This Row],[GradeType]]="Normal",25,ItemTable[[#This Row],[GradeType]]="Cursed",50,ItemTable[[#This Row],[GradeType]]="Rare",50)</f>
        <v>25</v>
      </c>
      <c r="O11" s="42">
        <v>30</v>
      </c>
      <c r="P11" s="42">
        <f t="array" ref="P11">_xlfn.IFS(OR(ItemTable[[#This Row],[GradeType]]="Hp",ItemTable[[#This Row],[GradeType]]="Gold"),0,TRUE,5000+ItemTable[[#This Row],[Index]])</f>
        <v>7003</v>
      </c>
      <c r="Q11" s="42" t="s">
        <v>456</v>
      </c>
      <c r="R11" s="57" t="s">
        <v>483</v>
      </c>
      <c r="S11" s="57" t="str">
        <f>SUBSTITUTE(PROPER(ItemTable[[#This Row],['#번역본]])," "," ")</f>
        <v>Qt Powder</v>
      </c>
    </row>
    <row r="12" spans="2:19">
      <c r="B12" s="42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7" t="str">
        <f>INDEX(LocaleTable[LocaleKR],MATCH(ItemTable[[#This Row],[Name]],LocaleTable[StringKey],0))</f>
        <v>적토목마</v>
      </c>
      <c r="D12" s="57" t="str">
        <f>INDEX(LocaleTable[LocaleKR],MATCH(ItemTable[[#This Row],[Desc]],LocaleTable[StringKey],0))</f>
        <v>시크한 표정을 믿고 산책에 나갔다가는\n마라톤을 하게 될 수 있습니다.</v>
      </c>
      <c r="E12" s="57" t="str">
        <f>INDEX(LocaleTable[LocaleKR],MATCH(ItemTable[[#This Row],[PlusDesc]],LocaleTable[StringKey],0))</f>
        <v>공격속도 +20%</v>
      </c>
      <c r="F12" s="57" t="e">
        <f>INDEX(LocaleTable[LocaleKR],MATCH(ItemTable[[#This Row],[MinusDesc]],LocaleTable[StringKey],0))</f>
        <v>#N/A</v>
      </c>
      <c r="G12" s="42" t="str">
        <f>_xlfn.CONCAT("Item_Name_",ItemTable[[#This Row],[Index]])</f>
        <v>Item_Name_2004</v>
      </c>
      <c r="H12" s="42" t="str">
        <f>_xlfn.CONCAT("Item_Desc_",ItemTable[[#This Row],[Index]])</f>
        <v>Item_Desc_2004</v>
      </c>
      <c r="I12" s="42" t="str">
        <f>_xlfn.CONCAT("Item_PlusDesc_",ItemTable[[#This Row],[Index]])</f>
        <v>Item_PlusDesc_2004</v>
      </c>
      <c r="K12" s="42" t="s">
        <v>43</v>
      </c>
      <c r="L12" s="8">
        <v>0</v>
      </c>
      <c r="M12" s="42">
        <v>1</v>
      </c>
      <c r="N12" s="42">
        <f t="array" ref="N12">_xlfn.IFS(ItemTable[[#This Row],[GradeType]]="Normal",25,ItemTable[[#This Row],[GradeType]]="Cursed",50,ItemTable[[#This Row],[GradeType]]="Rare",50)</f>
        <v>25</v>
      </c>
      <c r="O12" s="42">
        <v>30</v>
      </c>
      <c r="P12" s="42">
        <f t="array" ref="P12">_xlfn.IFS(OR(ItemTable[[#This Row],[GradeType]]="Hp",ItemTable[[#This Row],[GradeType]]="Gold"),0,TRUE,5000+ItemTable[[#This Row],[Index]])</f>
        <v>7004</v>
      </c>
      <c r="Q12" s="42" t="s">
        <v>457</v>
      </c>
      <c r="R12" s="57" t="s">
        <v>496</v>
      </c>
      <c r="S12" s="57" t="str">
        <f>SUBSTITUTE(PROPER(ItemTable[[#This Row],['#번역본]])," "," ")</f>
        <v>Red Hobbyhorse</v>
      </c>
    </row>
    <row r="13" spans="2:19">
      <c r="B13" s="42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7" t="str">
        <f>INDEX(LocaleTable[LocaleKR],MATCH(ItemTable[[#This Row],[Name]],LocaleTable[StringKey],0))</f>
        <v>삼각김곰</v>
      </c>
      <c r="D13" s="57" t="str">
        <f>INDEX(LocaleTable[LocaleKR],MATCH(ItemTable[[#This Row],[Desc]],LocaleTable[StringKey],0))</f>
        <v>대나무 향을 머금은 흰 밥이\n까만 김을 만나 완성된 환상적인 조합.</v>
      </c>
      <c r="E13" s="57" t="str">
        <f>INDEX(LocaleTable[LocaleKR],MATCH(ItemTable[[#This Row],[PlusDesc]],LocaleTable[StringKey],0))</f>
        <v>최대체력 + 1칸</v>
      </c>
      <c r="F13" s="57" t="e">
        <f>INDEX(LocaleTable[LocaleKR],MATCH(ItemTable[[#This Row],[MinusDesc]],LocaleTable[StringKey],0))</f>
        <v>#N/A</v>
      </c>
      <c r="G13" s="42" t="str">
        <f>_xlfn.CONCAT("Item_Name_",ItemTable[[#This Row],[Index]])</f>
        <v>Item_Name_2005</v>
      </c>
      <c r="H13" s="42" t="str">
        <f>_xlfn.CONCAT("Item_Desc_",ItemTable[[#This Row],[Index]])</f>
        <v>Item_Desc_2005</v>
      </c>
      <c r="I13" s="42" t="str">
        <f>_xlfn.CONCAT("Item_PlusDesc_",ItemTable[[#This Row],[Index]])</f>
        <v>Item_PlusDesc_2005</v>
      </c>
      <c r="K13" s="42" t="s">
        <v>43</v>
      </c>
      <c r="L13" s="8">
        <v>0</v>
      </c>
      <c r="M13" s="42">
        <v>1</v>
      </c>
      <c r="N13" s="42">
        <f t="array" ref="N13">_xlfn.IFS(ItemTable[[#This Row],[GradeType]]="Normal",25,ItemTable[[#This Row],[GradeType]]="Cursed",50,ItemTable[[#This Row],[GradeType]]="Rare",50)</f>
        <v>25</v>
      </c>
      <c r="O13" s="42">
        <v>30</v>
      </c>
      <c r="P13" s="42">
        <f t="array" ref="P13">_xlfn.IFS(OR(ItemTable[[#This Row],[GradeType]]="Hp",ItemTable[[#This Row],[GradeType]]="Gold"),0,TRUE,5000+ItemTable[[#This Row],[Index]])</f>
        <v>7005</v>
      </c>
      <c r="Q13" s="42" t="s">
        <v>458</v>
      </c>
      <c r="R13" s="57" t="s">
        <v>497</v>
      </c>
      <c r="S13" s="57" t="str">
        <f>SUBSTITUTE(PROPER(ItemTable[[#This Row],['#번역본]])," "," ")</f>
        <v>Rice_Ball</v>
      </c>
    </row>
    <row r="14" spans="2:19">
      <c r="B14" s="42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7" t="str">
        <f>INDEX(LocaleTable[LocaleKR],MATCH(ItemTable[[#This Row],[Name]],LocaleTable[StringKey],0))</f>
        <v>데빌불</v>
      </c>
      <c r="D14" s="57" t="str">
        <f>INDEX(LocaleTable[LocaleKR],MATCH(ItemTable[[#This Row],[Desc]],LocaleTable[StringKey],0))</f>
        <v>데빌불, 숨겨진 악성을 펼쳐줘요.\n불티나게 팔리고 있는 음료입니다.</v>
      </c>
      <c r="E14" s="57" t="str">
        <f>INDEX(LocaleTable[LocaleKR],MATCH(ItemTable[[#This Row],[PlusDesc]],LocaleTable[StringKey],0))</f>
        <v>기절한 적을 공격할 때\n4초간 공격력 +30%</v>
      </c>
      <c r="F14" s="57" t="e">
        <f>INDEX(LocaleTable[LocaleKR],MATCH(ItemTable[[#This Row],[MinusDesc]],LocaleTable[StringKey],0))</f>
        <v>#N/A</v>
      </c>
      <c r="G14" s="42" t="str">
        <f>_xlfn.CONCAT("Item_Name_",ItemTable[[#This Row],[Index]])</f>
        <v>Item_Name_3000</v>
      </c>
      <c r="H14" s="42" t="str">
        <f>_xlfn.CONCAT("Item_Desc_",ItemTable[[#This Row],[Index]])</f>
        <v>Item_Desc_3000</v>
      </c>
      <c r="I14" s="42" t="str">
        <f>_xlfn.CONCAT("Item_PlusDesc_",ItemTable[[#This Row],[Index]])</f>
        <v>Item_PlusDesc_3000</v>
      </c>
      <c r="K14" s="42" t="s">
        <v>429</v>
      </c>
      <c r="L14" s="8">
        <v>0</v>
      </c>
      <c r="M14" s="42">
        <v>1</v>
      </c>
      <c r="N14" s="42">
        <f t="array" ref="N14">_xlfn.IFS(ItemTable[[#This Row],[GradeType]]="Normal",25,ItemTable[[#This Row],[GradeType]]="Cursed",50,ItemTable[[#This Row],[GradeType]]="Rare",50)</f>
        <v>50</v>
      </c>
      <c r="O14" s="42">
        <v>50</v>
      </c>
      <c r="P14" s="42">
        <f t="array" ref="P14">_xlfn.IFS(OR(ItemTable[[#This Row],[GradeType]]="Hp",ItemTable[[#This Row],[GradeType]]="Gold"),0,TRUE,5000+ItemTable[[#This Row],[Index]])</f>
        <v>8000</v>
      </c>
      <c r="Q14" s="42" t="s">
        <v>459</v>
      </c>
      <c r="R14" s="57" t="s">
        <v>484</v>
      </c>
      <c r="S14" s="57" t="str">
        <f>SUBSTITUTE(PROPER(ItemTable[[#This Row],['#번역본]])," "," ")</f>
        <v>Devil Bull</v>
      </c>
    </row>
    <row r="15" spans="2:19">
      <c r="B15" s="42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7" t="str">
        <f>INDEX(LocaleTable[LocaleKR],MATCH(ItemTable[[#This Row],[Name]],LocaleTable[StringKey],0))</f>
        <v>배트리트</v>
      </c>
      <c r="D15" s="57" t="str">
        <f>INDEX(LocaleTable[LocaleKR],MATCH(ItemTable[[#This Row],[Desc]],LocaleTable[StringKey],0))</f>
        <v>'너의 소중한 모든 것들을 바쳐라\n그러면 너의 소원이 이루어질테니'</v>
      </c>
      <c r="E15" s="57" t="str">
        <f>INDEX(LocaleTable[LocaleKR],MATCH(ItemTable[[#This Row],[PlusDesc]],LocaleTable[StringKey],0))</f>
        <v>잃은 체력 반칸당 공격력 +5%</v>
      </c>
      <c r="F15" s="57" t="e">
        <f>INDEX(LocaleTable[LocaleKR],MATCH(ItemTable[[#This Row],[MinusDesc]],LocaleTable[StringKey],0))</f>
        <v>#N/A</v>
      </c>
      <c r="G15" s="42" t="str">
        <f>_xlfn.CONCAT("Item_Name_",ItemTable[[#This Row],[Index]])</f>
        <v>Item_Name_3001</v>
      </c>
      <c r="H15" s="42" t="str">
        <f>_xlfn.CONCAT("Item_Desc_",ItemTable[[#This Row],[Index]])</f>
        <v>Item_Desc_3001</v>
      </c>
      <c r="I15" s="42" t="str">
        <f>_xlfn.CONCAT("Item_PlusDesc_",ItemTable[[#This Row],[Index]])</f>
        <v>Item_PlusDesc_3001</v>
      </c>
      <c r="K15" s="42" t="s">
        <v>44</v>
      </c>
      <c r="L15" s="8">
        <v>0</v>
      </c>
      <c r="M15" s="42">
        <v>1</v>
      </c>
      <c r="N15" s="42">
        <f t="array" ref="N15">_xlfn.IFS(ItemTable[[#This Row],[GradeType]]="Normal",25,ItemTable[[#This Row],[GradeType]]="Cursed",50,ItemTable[[#This Row],[GradeType]]="Rare",50)</f>
        <v>50</v>
      </c>
      <c r="O15" s="42">
        <v>50</v>
      </c>
      <c r="P15" s="42">
        <f t="array" ref="P15">_xlfn.IFS(OR(ItemTable[[#This Row],[GradeType]]="Hp",ItemTable[[#This Row],[GradeType]]="Gold"),0,TRUE,5000+ItemTable[[#This Row],[Index]])</f>
        <v>8001</v>
      </c>
      <c r="Q15" s="42" t="s">
        <v>921</v>
      </c>
      <c r="R15" s="57" t="s">
        <v>498</v>
      </c>
      <c r="S15" s="57" t="str">
        <f>SUBSTITUTE(PROPER(ItemTable[[#This Row],['#번역본]])," "," ")</f>
        <v>The Boobytrap</v>
      </c>
    </row>
    <row r="16" spans="2:19">
      <c r="B16" s="42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7" t="str">
        <f>INDEX(LocaleTable[LocaleKR],MATCH(ItemTable[[#This Row],[Name]],LocaleTable[StringKey],0))</f>
        <v>돌가면</v>
      </c>
      <c r="D16" s="57" t="str">
        <f>INDEX(LocaleTable[LocaleKR],MATCH(ItemTable[[#This Row],[Desc]],LocaleTable[StringKey],0))</f>
        <v>꽤 무게가 나가는 돌가면.\n안쪽에 숨겨진 침들이 보이는데...\n위험하진 않겠죠?</v>
      </c>
      <c r="E16" s="57" t="str">
        <f>INDEX(LocaleTable[LocaleKR],MATCH(ItemTable[[#This Row],[PlusDesc]],LocaleTable[StringKey],0))</f>
        <v>기절한 적을 공격할 때\n10%확률로 반칸 회복</v>
      </c>
      <c r="F16" s="57" t="e">
        <f>INDEX(LocaleTable[LocaleKR],MATCH(ItemTable[[#This Row],[MinusDesc]],LocaleTable[StringKey],0))</f>
        <v>#N/A</v>
      </c>
      <c r="G16" s="42" t="str">
        <f>_xlfn.CONCAT("Item_Name_",ItemTable[[#This Row],[Index]])</f>
        <v>Item_Name_3002</v>
      </c>
      <c r="H16" s="42" t="str">
        <f>_xlfn.CONCAT("Item_Desc_",ItemTable[[#This Row],[Index]])</f>
        <v>Item_Desc_3002</v>
      </c>
      <c r="I16" s="42" t="str">
        <f>_xlfn.CONCAT("Item_PlusDesc_",ItemTable[[#This Row],[Index]])</f>
        <v>Item_PlusDesc_3002</v>
      </c>
      <c r="K16" s="42" t="s">
        <v>44</v>
      </c>
      <c r="L16" s="8">
        <v>0</v>
      </c>
      <c r="M16" s="42">
        <v>1</v>
      </c>
      <c r="N16" s="42">
        <f t="array" ref="N16">_xlfn.IFS(ItemTable[[#This Row],[GradeType]]="Normal",25,ItemTable[[#This Row],[GradeType]]="Cursed",50,ItemTable[[#This Row],[GradeType]]="Rare",50)</f>
        <v>50</v>
      </c>
      <c r="O16" s="42">
        <v>50</v>
      </c>
      <c r="P16" s="42">
        <f t="array" ref="P16">_xlfn.IFS(OR(ItemTable[[#This Row],[GradeType]]="Hp",ItemTable[[#This Row],[GradeType]]="Gold"),0,TRUE,5000+ItemTable[[#This Row],[Index]])</f>
        <v>8002</v>
      </c>
      <c r="Q16" s="42" t="s">
        <v>460</v>
      </c>
      <c r="R16" s="57" t="s">
        <v>500</v>
      </c>
      <c r="S16" s="57" t="str">
        <f>SUBSTITUTE(PROPER(ItemTable[[#This Row],['#번역본]])," "," ")</f>
        <v>Stone Mask</v>
      </c>
    </row>
    <row r="17" spans="2:19">
      <c r="B17" s="42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7" t="str">
        <f>INDEX(LocaleTable[LocaleKR],MATCH(ItemTable[[#This Row],[Name]],LocaleTable[StringKey],0))</f>
        <v>사나운 돼지저금통</v>
      </c>
      <c r="D17" s="5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7" s="57" t="str">
        <f>INDEX(LocaleTable[LocaleKR],MATCH(ItemTable[[#This Row],[PlusDesc]],LocaleTable[StringKey],0))</f>
        <v>골드획득량 +50%</v>
      </c>
      <c r="F17" s="57" t="e">
        <f>INDEX(LocaleTable[LocaleKR],MATCH(ItemTable[[#This Row],[MinusDesc]],LocaleTable[StringKey],0))</f>
        <v>#N/A</v>
      </c>
      <c r="G17" s="42" t="str">
        <f>_xlfn.CONCAT("Item_Name_",ItemTable[[#This Row],[Index]])</f>
        <v>Item_Name_3003</v>
      </c>
      <c r="H17" s="42" t="str">
        <f>_xlfn.CONCAT("Item_Desc_",ItemTable[[#This Row],[Index]])</f>
        <v>Item_Desc_3003</v>
      </c>
      <c r="I17" s="42" t="str">
        <f>_xlfn.CONCAT("Item_PlusDesc_",ItemTable[[#This Row],[Index]])</f>
        <v>Item_PlusDesc_3003</v>
      </c>
      <c r="K17" s="42" t="s">
        <v>44</v>
      </c>
      <c r="L17" s="8">
        <v>0</v>
      </c>
      <c r="M17" s="42">
        <v>1</v>
      </c>
      <c r="N17" s="42">
        <f t="array" ref="N17">_xlfn.IFS(ItemTable[[#This Row],[GradeType]]="Normal",25,ItemTable[[#This Row],[GradeType]]="Cursed",50,ItemTable[[#This Row],[GradeType]]="Rare",50)</f>
        <v>50</v>
      </c>
      <c r="O17" s="42">
        <v>50</v>
      </c>
      <c r="P17" s="42">
        <f t="array" ref="P17">_xlfn.IFS(OR(ItemTable[[#This Row],[GradeType]]="Hp",ItemTable[[#This Row],[GradeType]]="Gold"),0,TRUE,5000+ItemTable[[#This Row],[Index]])</f>
        <v>8003</v>
      </c>
      <c r="Q17" s="42" t="s">
        <v>461</v>
      </c>
      <c r="R17" s="57" t="s">
        <v>501</v>
      </c>
      <c r="S17" s="57" t="str">
        <f>SUBSTITUTE(PROPER(ItemTable[[#This Row],['#번역본]])," "," ")</f>
        <v>A Fierce Piggy Bank</v>
      </c>
    </row>
    <row r="18" spans="2:19">
      <c r="B18" s="42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7" t="str">
        <f>INDEX(LocaleTable[LocaleKR],MATCH(ItemTable[[#This Row],[Name]],LocaleTable[StringKey],0))</f>
        <v>성배 속 무언가</v>
      </c>
      <c r="D18" s="57" t="str">
        <f>INDEX(LocaleTable[LocaleKR],MATCH(ItemTable[[#This Row],[Desc]],LocaleTable[StringKey],0))</f>
        <v>종교적인 용도로 보이는 컵입니다.\n잠깐, 방금 조금 움직인 것 같은데요?</v>
      </c>
      <c r="E18" s="57" t="str">
        <f>INDEX(LocaleTable[LocaleKR],MATCH(ItemTable[[#This Row],[PlusDesc]],LocaleTable[StringKey],0))</f>
        <v>공 충돌횟수 +3</v>
      </c>
      <c r="F18" s="57" t="e">
        <f>INDEX(LocaleTable[LocaleKR],MATCH(ItemTable[[#This Row],[MinusDesc]],LocaleTable[StringKey],0))</f>
        <v>#N/A</v>
      </c>
      <c r="G18" s="42" t="str">
        <f>_xlfn.CONCAT("Item_Name_",ItemTable[[#This Row],[Index]])</f>
        <v>Item_Name_3004</v>
      </c>
      <c r="H18" s="42" t="str">
        <f>_xlfn.CONCAT("Item_Desc_",ItemTable[[#This Row],[Index]])</f>
        <v>Item_Desc_3004</v>
      </c>
      <c r="I18" s="42" t="str">
        <f>_xlfn.CONCAT("Item_PlusDesc_",ItemTable[[#This Row],[Index]])</f>
        <v>Item_PlusDesc_3004</v>
      </c>
      <c r="K18" s="42" t="s">
        <v>44</v>
      </c>
      <c r="L18" s="8">
        <v>0</v>
      </c>
      <c r="M18" s="42">
        <v>1</v>
      </c>
      <c r="N18" s="42">
        <f t="array" ref="N18">_xlfn.IFS(ItemTable[[#This Row],[GradeType]]="Normal",25,ItemTable[[#This Row],[GradeType]]="Cursed",50,ItemTable[[#This Row],[GradeType]]="Rare",50)</f>
        <v>50</v>
      </c>
      <c r="O18" s="42">
        <v>50</v>
      </c>
      <c r="P18" s="42">
        <f t="array" ref="P18">_xlfn.IFS(OR(ItemTable[[#This Row],[GradeType]]="Hp",ItemTable[[#This Row],[GradeType]]="Gold"),0,TRUE,5000+ItemTable[[#This Row],[Index]])</f>
        <v>8004</v>
      </c>
      <c r="Q18" s="42" t="s">
        <v>462</v>
      </c>
      <c r="R18" s="57" t="s">
        <v>502</v>
      </c>
      <c r="S18" s="57" t="str">
        <f>SUBSTITUTE(PROPER(ItemTable[[#This Row],['#번역본]])," "," ")</f>
        <v>Something In The Holy Grail</v>
      </c>
    </row>
    <row r="19" spans="2:19">
      <c r="B19" s="42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7" t="str">
        <f>INDEX(LocaleTable[LocaleKR],MATCH(ItemTable[[#This Row],[Name]],LocaleTable[StringKey],0))</f>
        <v>이상한 사탕</v>
      </c>
      <c r="D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9" s="57" t="str">
        <f>INDEX(LocaleTable[LocaleKR],MATCH(ItemTable[[#This Row],[PlusDesc]],LocaleTable[StringKey],0))</f>
        <v>체력을 전부 회복합니다.\n최대체력 + 2칸</v>
      </c>
      <c r="F19" s="57" t="e">
        <f>INDEX(LocaleTable[LocaleKR],MATCH(ItemTable[[#This Row],[MinusDesc]],LocaleTable[StringKey],0))</f>
        <v>#N/A</v>
      </c>
      <c r="G19" s="42" t="str">
        <f>_xlfn.CONCAT("Item_Name_",ItemTable[[#This Row],[Index]])</f>
        <v>Item_Name_3005</v>
      </c>
      <c r="H19" s="42" t="str">
        <f>_xlfn.CONCAT("Item_Desc_",ItemTable[[#This Row],[Index]])</f>
        <v>Item_Desc_3005</v>
      </c>
      <c r="I19" s="42" t="str">
        <f>_xlfn.CONCAT("Item_PlusDesc_",ItemTable[[#This Row],[Index]])</f>
        <v>Item_PlusDesc_3005</v>
      </c>
      <c r="K19" s="42" t="s">
        <v>44</v>
      </c>
      <c r="L19" s="8">
        <v>0</v>
      </c>
      <c r="M19" s="42">
        <v>1</v>
      </c>
      <c r="N19" s="42">
        <f t="array" ref="N19">_xlfn.IFS(ItemTable[[#This Row],[GradeType]]="Normal",25,ItemTable[[#This Row],[GradeType]]="Cursed",50,ItemTable[[#This Row],[GradeType]]="Rare",50)</f>
        <v>50</v>
      </c>
      <c r="O19" s="42">
        <v>50</v>
      </c>
      <c r="P19" s="42">
        <f t="array" ref="P19">_xlfn.IFS(OR(ItemTable[[#This Row],[GradeType]]="Hp",ItemTable[[#This Row],[GradeType]]="Gold"),0,TRUE,5000+ItemTable[[#This Row],[Index]])</f>
        <v>8005</v>
      </c>
      <c r="Q19" s="42" t="s">
        <v>463</v>
      </c>
      <c r="R19" s="57" t="s">
        <v>485</v>
      </c>
      <c r="S19" s="57" t="str">
        <f>SUBSTITUTE(PROPER(ItemTable[[#This Row],['#번역본]])," "," ")</f>
        <v>Strange Candy</v>
      </c>
    </row>
    <row r="20" spans="2:19">
      <c r="B20" s="42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7" t="str">
        <f>INDEX(LocaleTable[LocaleKR],MATCH(ItemTable[[#This Row],[Name]],LocaleTable[StringKey],0))</f>
        <v>투수 케르베로스</v>
      </c>
      <c r="D20" s="57" t="str">
        <f>INDEX(LocaleTable[LocaleKR],MATCH(ItemTable[[#This Row],[Desc]],LocaleTable[StringKey],0))</f>
        <v>공을 좋아하는 개들입니다.\n자세히보니 한마리였네요…</v>
      </c>
      <c r="E20" s="57" t="str">
        <f>INDEX(LocaleTable[LocaleKR],MATCH(ItemTable[[#This Row],[PlusDesc]],LocaleTable[StringKey],0))</f>
        <v>공격 시 33%확률로 공 3개 발사</v>
      </c>
      <c r="F20" s="57" t="e">
        <f>INDEX(LocaleTable[LocaleKR],MATCH(ItemTable[[#This Row],[MinusDesc]],LocaleTable[StringKey],0))</f>
        <v>#N/A</v>
      </c>
      <c r="G20" s="42" t="str">
        <f>_xlfn.CONCAT("Item_Name_",ItemTable[[#This Row],[Index]])</f>
        <v>Item_Name_3006</v>
      </c>
      <c r="H20" s="42" t="str">
        <f>_xlfn.CONCAT("Item_Desc_",ItemTable[[#This Row],[Index]])</f>
        <v>Item_Desc_3006</v>
      </c>
      <c r="I20" s="42" t="str">
        <f>_xlfn.CONCAT("Item_PlusDesc_",ItemTable[[#This Row],[Index]])</f>
        <v>Item_PlusDesc_3006</v>
      </c>
      <c r="K20" s="42" t="s">
        <v>44</v>
      </c>
      <c r="L20" s="8">
        <v>0</v>
      </c>
      <c r="M20" s="42">
        <v>1</v>
      </c>
      <c r="N20" s="42">
        <f t="array" ref="N20">_xlfn.IFS(ItemTable[[#This Row],[GradeType]]="Normal",25,ItemTable[[#This Row],[GradeType]]="Cursed",50,ItemTable[[#This Row],[GradeType]]="Rare",50)</f>
        <v>50</v>
      </c>
      <c r="O20" s="42">
        <v>50</v>
      </c>
      <c r="P20" s="42">
        <f t="array" ref="P20">_xlfn.IFS(OR(ItemTable[[#This Row],[GradeType]]="Hp",ItemTable[[#This Row],[GradeType]]="Gold"),0,TRUE,5000+ItemTable[[#This Row],[Index]])</f>
        <v>8006</v>
      </c>
      <c r="Q20" s="42" t="s">
        <v>464</v>
      </c>
      <c r="R20" s="57" t="s">
        <v>503</v>
      </c>
      <c r="S20" s="57" t="str">
        <f>SUBSTITUTE(PROPER(ItemTable[[#This Row],['#번역본]])," "," ")</f>
        <v>Kerberos Pitcher</v>
      </c>
    </row>
    <row r="21" spans="2:19">
      <c r="B21" s="42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4000</v>
      </c>
      <c r="C21" s="57" t="str">
        <f>INDEX(LocaleTable[LocaleKR],MATCH(ItemTable[[#This Row],[Name]],LocaleTable[StringKey],0))</f>
        <v>코코아 한통</v>
      </c>
      <c r="D21" s="57" t="str">
        <f>INDEX(LocaleTable[LocaleKR],MATCH(ItemTable[[#This Row],[Desc]],LocaleTable[StringKey],0))</f>
        <v>온 몸이 녹는 듯 한 강력한 단맛입니다.\n끈적해지지 않게 조심하세요!</v>
      </c>
      <c r="E21" s="57" t="str">
        <f>INDEX(LocaleTable[LocaleKR],MATCH(ItemTable[[#This Row],[PlusDesc]],LocaleTable[StringKey],0))</f>
        <v>일반 공격이\n차징 공격이 됩니다.</v>
      </c>
      <c r="F21" s="57" t="str">
        <f>INDEX(LocaleTable[LocaleKR],MATCH(ItemTable[[#This Row],[MinusDesc]],LocaleTable[StringKey],0))</f>
        <v>공격속도 -50%</v>
      </c>
      <c r="G21" s="42" t="str">
        <f>_xlfn.CONCAT("Item_Name_",ItemTable[[#This Row],[Index]])</f>
        <v>Item_Name_4000</v>
      </c>
      <c r="H21" s="42" t="str">
        <f>_xlfn.CONCAT("Item_Desc_",ItemTable[[#This Row],[Index]])</f>
        <v>Item_Desc_4000</v>
      </c>
      <c r="I21" s="42" t="str">
        <f>_xlfn.CONCAT("Item_PlusDesc_",ItemTable[[#This Row],[Index]])</f>
        <v>Item_PlusDesc_4000</v>
      </c>
      <c r="J21" s="42" t="str">
        <f>_xlfn.CONCAT("Item_MinusDesc_",ItemTable[[#This Row],[Index]])</f>
        <v>Item_MinusDesc_4000</v>
      </c>
      <c r="K21" s="42" t="s">
        <v>48</v>
      </c>
      <c r="L21" s="8">
        <v>0</v>
      </c>
      <c r="M21" s="42">
        <v>1</v>
      </c>
      <c r="N21" s="42">
        <f t="array" ref="N21">_xlfn.IFS(ItemTable[[#This Row],[GradeType]]="Normal",25,ItemTable[[#This Row],[GradeType]]="Cursed",50,ItemTable[[#This Row],[GradeType]]="Rare",50)</f>
        <v>50</v>
      </c>
      <c r="O21" s="42">
        <v>60</v>
      </c>
      <c r="P21" s="42">
        <f t="array" ref="P21">_xlfn.IFS(OR(ItemTable[[#This Row],[GradeType]]="Hp",ItemTable[[#This Row],[GradeType]]="Gold"),0,TRUE,5000+ItemTable[[#This Row],[Index]])</f>
        <v>9000</v>
      </c>
      <c r="Q21" s="42" t="s">
        <v>465</v>
      </c>
      <c r="R21" s="57" t="s">
        <v>486</v>
      </c>
      <c r="S21" s="57" t="str">
        <f>SUBSTITUTE(PROPER(ItemTable[[#This Row],['#번역본]])," "," ")</f>
        <v>A Bucket Of Cocoa</v>
      </c>
    </row>
    <row r="22" spans="2:19">
      <c r="B22" s="42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4001</v>
      </c>
      <c r="C22" s="57" t="str">
        <f>INDEX(LocaleTable[LocaleKR],MATCH(ItemTable[[#This Row],[Name]],LocaleTable[StringKey],0))</f>
        <v>슬픈 캔리오</v>
      </c>
      <c r="D22" s="57" t="str">
        <f>INDEX(LocaleTable[LocaleKR],MATCH(ItemTable[[#This Row],[Desc]],LocaleTable[StringKey],0))</f>
        <v>어째선지 계속해서 울고 있는 양초입니다.\n건드리고 싶지 않네요.</v>
      </c>
      <c r="E22" s="57" t="str">
        <f>INDEX(LocaleTable[LocaleKR],MATCH(ItemTable[[#This Row],[PlusDesc]],LocaleTable[StringKey],0))</f>
        <v>타격 시마다 4초간\n공격속도 +10%\n(효과는 중첩될 수 있습니다.)</v>
      </c>
      <c r="F22" s="57" t="str">
        <f>INDEX(LocaleTable[LocaleKR],MATCH(ItemTable[[#This Row],[MinusDesc]],LocaleTable[StringKey],0))</f>
        <v>공격속도 -30%</v>
      </c>
      <c r="G22" s="42" t="str">
        <f>_xlfn.CONCAT("Item_Name_",ItemTable[[#This Row],[Index]])</f>
        <v>Item_Name_4001</v>
      </c>
      <c r="H22" s="42" t="str">
        <f>_xlfn.CONCAT("Item_Desc_",ItemTable[[#This Row],[Index]])</f>
        <v>Item_Desc_4001</v>
      </c>
      <c r="I22" s="42" t="str">
        <f>_xlfn.CONCAT("Item_PlusDesc_",ItemTable[[#This Row],[Index]])</f>
        <v>Item_PlusDesc_4001</v>
      </c>
      <c r="J22" s="42" t="str">
        <f>_xlfn.CONCAT("Item_MinusDesc_",ItemTable[[#This Row],[Index]])</f>
        <v>Item_MinusDesc_4001</v>
      </c>
      <c r="K22" s="42" t="s">
        <v>48</v>
      </c>
      <c r="L22" s="8">
        <v>0</v>
      </c>
      <c r="M22" s="42">
        <v>1</v>
      </c>
      <c r="N22" s="42">
        <f t="array" ref="N22">_xlfn.IFS(ItemTable[[#This Row],[GradeType]]="Normal",25,ItemTable[[#This Row],[GradeType]]="Cursed",50,ItemTable[[#This Row],[GradeType]]="Rare",50)</f>
        <v>50</v>
      </c>
      <c r="O22" s="42">
        <v>60</v>
      </c>
      <c r="P22" s="42">
        <f t="array" ref="P22">_xlfn.IFS(OR(ItemTable[[#This Row],[GradeType]]="Hp",ItemTable[[#This Row],[GradeType]]="Gold"),0,TRUE,5000+ItemTable[[#This Row],[Index]])</f>
        <v>9001</v>
      </c>
      <c r="Q22" s="42" t="s">
        <v>466</v>
      </c>
      <c r="R22" s="57" t="s">
        <v>487</v>
      </c>
      <c r="S22" s="57" t="str">
        <f>SUBSTITUTE(PROPER(ItemTable[[#This Row],['#번역본]])," "," ")</f>
        <v>Sad Canrio</v>
      </c>
    </row>
    <row r="23" spans="2:19">
      <c r="B23" s="42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4002</v>
      </c>
      <c r="C23" s="57" t="str">
        <f>INDEX(LocaleTable[LocaleKR],MATCH(ItemTable[[#This Row],[Name]],LocaleTable[StringKey],0))</f>
        <v>청개구리 총</v>
      </c>
      <c r="D23" s="5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3" s="57" t="str">
        <f>INDEX(LocaleTable[LocaleKR],MATCH(ItemTable[[#This Row],[PlusDesc]],LocaleTable[StringKey],0))</f>
        <v>공격력 +100%</v>
      </c>
      <c r="F23" s="57" t="str">
        <f>INDEX(LocaleTable[LocaleKR],MATCH(ItemTable[[#This Row],[MinusDesc]],LocaleTable[StringKey],0))</f>
        <v>공격 방향이 반대가 됩니다.</v>
      </c>
      <c r="G23" s="42" t="str">
        <f>_xlfn.CONCAT("Item_Name_",ItemTable[[#This Row],[Index]])</f>
        <v>Item_Name_4002</v>
      </c>
      <c r="H23" s="42" t="str">
        <f>_xlfn.CONCAT("Item_Desc_",ItemTable[[#This Row],[Index]])</f>
        <v>Item_Desc_4002</v>
      </c>
      <c r="I23" s="42" t="str">
        <f>_xlfn.CONCAT("Item_PlusDesc_",ItemTable[[#This Row],[Index]])</f>
        <v>Item_PlusDesc_4002</v>
      </c>
      <c r="J23" s="42" t="str">
        <f>_xlfn.CONCAT("Item_MinusDesc_",ItemTable[[#This Row],[Index]])</f>
        <v>Item_MinusDesc_4002</v>
      </c>
      <c r="K23" s="42" t="s">
        <v>48</v>
      </c>
      <c r="L23" s="8">
        <v>0</v>
      </c>
      <c r="M23" s="42">
        <v>1</v>
      </c>
      <c r="N23" s="42">
        <f t="array" ref="N23">_xlfn.IFS(ItemTable[[#This Row],[GradeType]]="Normal",25,ItemTable[[#This Row],[GradeType]]="Cursed",50,ItemTable[[#This Row],[GradeType]]="Rare",50)</f>
        <v>50</v>
      </c>
      <c r="O23" s="42">
        <v>60</v>
      </c>
      <c r="P23" s="42">
        <f t="array" ref="P23">_xlfn.IFS(OR(ItemTable[[#This Row],[GradeType]]="Hp",ItemTable[[#This Row],[GradeType]]="Gold"),0,TRUE,5000+ItemTable[[#This Row],[Index]])</f>
        <v>9002</v>
      </c>
      <c r="Q23" s="42" t="s">
        <v>920</v>
      </c>
      <c r="R23" s="57" t="s">
        <v>568</v>
      </c>
      <c r="S23" s="57" t="str">
        <f>SUBSTITUTE(PROPER(ItemTable[[#This Row],['#번역본]])," "," ")</f>
        <v>Grilled Tree Frog</v>
      </c>
    </row>
    <row r="24" spans="2:19">
      <c r="B24" s="42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4003</v>
      </c>
      <c r="C24" s="57" t="str">
        <f>INDEX(LocaleTable[LocaleKR],MATCH(ItemTable[[#This Row],[Name]],LocaleTable[StringKey],0))</f>
        <v>누군가의 일기장</v>
      </c>
      <c r="D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E24" s="57" t="str">
        <f>INDEX(LocaleTable[LocaleKR],MATCH(ItemTable[[#This Row],[PlusDesc]],LocaleTable[StringKey],0))</f>
        <v>공격력 +60%</v>
      </c>
      <c r="F24" s="57" t="str">
        <f>INDEX(LocaleTable[LocaleKR],MATCH(ItemTable[[#This Row],[MinusDesc]],LocaleTable[StringKey],0))</f>
        <v>최대체력 - 2칸</v>
      </c>
      <c r="G24" s="42" t="str">
        <f>_xlfn.CONCAT("Item_Name_",ItemTable[[#This Row],[Index]])</f>
        <v>Item_Name_4003</v>
      </c>
      <c r="H24" s="42" t="str">
        <f>_xlfn.CONCAT("Item_Desc_",ItemTable[[#This Row],[Index]])</f>
        <v>Item_Desc_4003</v>
      </c>
      <c r="I24" s="42" t="str">
        <f>_xlfn.CONCAT("Item_PlusDesc_",ItemTable[[#This Row],[Index]])</f>
        <v>Item_PlusDesc_4003</v>
      </c>
      <c r="J24" s="42" t="str">
        <f>_xlfn.CONCAT("Item_MinusDesc_",ItemTable[[#This Row],[Index]])</f>
        <v>Item_MinusDesc_4003</v>
      </c>
      <c r="K24" s="42" t="s">
        <v>48</v>
      </c>
      <c r="L24" s="8">
        <v>0</v>
      </c>
      <c r="M24" s="42">
        <v>1</v>
      </c>
      <c r="N24" s="42">
        <v>50</v>
      </c>
      <c r="O24" s="42">
        <v>60</v>
      </c>
      <c r="P24" s="42">
        <f t="array" ref="P24">_xlfn.IFS(OR(ItemTable[[#This Row],[GradeType]]="Hp",ItemTable[[#This Row],[GradeType]]="Gold"),0,TRUE,5000+ItemTable[[#This Row],[Index]])</f>
        <v>9003</v>
      </c>
      <c r="Q24" s="42" t="s">
        <v>467</v>
      </c>
      <c r="R24" s="57" t="s">
        <v>488</v>
      </c>
      <c r="S24" s="57" t="str">
        <f>SUBSTITUTE(PROPER(ItemTable[[#This Row],['#번역본]])," "," ")</f>
        <v>Someone'S Diary</v>
      </c>
    </row>
    <row r="25" spans="2:19">
      <c r="B25" s="42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4004</v>
      </c>
      <c r="C25" s="57" t="str">
        <f>INDEX(LocaleTable[LocaleKR],MATCH(ItemTable[[#This Row],[Name]],LocaleTable[StringKey],0))</f>
        <v>행성 만세</v>
      </c>
      <c r="D25" s="57" t="str">
        <f>INDEX(LocaleTable[LocaleKR],MATCH(ItemTable[[#This Row],[Desc]],LocaleTable[StringKey],0))</f>
        <v>1. 태양의 방향으로 기립.\n2. 팔을 벌려 Y자로 선다.\n3. 태양을 바라보며 외친다.</v>
      </c>
      <c r="E25" s="57" t="str">
        <f>INDEX(LocaleTable[LocaleKR],MATCH(ItemTable[[#This Row],[PlusDesc]],LocaleTable[StringKey],0))</f>
        <v>피격 시 공 8개 발사</v>
      </c>
      <c r="F25" s="57" t="str">
        <f>INDEX(LocaleTable[LocaleKR],MATCH(ItemTable[[#This Row],[MinusDesc]],LocaleTable[StringKey],0))</f>
        <v>이동속도 -20%</v>
      </c>
      <c r="G25" s="42" t="str">
        <f>_xlfn.CONCAT("Item_Name_",ItemTable[[#This Row],[Index]])</f>
        <v>Item_Name_4004</v>
      </c>
      <c r="H25" s="42" t="str">
        <f>_xlfn.CONCAT("Item_Desc_",ItemTable[[#This Row],[Index]])</f>
        <v>Item_Desc_4004</v>
      </c>
      <c r="I25" s="42" t="str">
        <f>_xlfn.CONCAT("Item_PlusDesc_",ItemTable[[#This Row],[Index]])</f>
        <v>Item_PlusDesc_4004</v>
      </c>
      <c r="J25" s="42" t="str">
        <f>_xlfn.CONCAT("Item_MinusDesc_",ItemTable[[#This Row],[Index]])</f>
        <v>Item_MinusDesc_4004</v>
      </c>
      <c r="K25" s="42" t="s">
        <v>48</v>
      </c>
      <c r="L25" s="8">
        <v>0</v>
      </c>
      <c r="M25" s="42">
        <v>1</v>
      </c>
      <c r="N25" s="42">
        <f t="array" ref="N25">_xlfn.IFS(ItemTable[[#This Row],[GradeType]]="Normal",25,ItemTable[[#This Row],[GradeType]]="Cursed",50,ItemTable[[#This Row],[GradeType]]="Rare",50)</f>
        <v>50</v>
      </c>
      <c r="O25" s="42">
        <v>60</v>
      </c>
      <c r="P25" s="42">
        <f t="array" ref="P25">_xlfn.IFS(OR(ItemTable[[#This Row],[GradeType]]="Hp",ItemTable[[#This Row],[GradeType]]="Gold"),0,TRUE,5000+ItemTable[[#This Row],[Index]])</f>
        <v>9004</v>
      </c>
      <c r="Q25" s="42" t="s">
        <v>468</v>
      </c>
      <c r="R25" s="57" t="s">
        <v>504</v>
      </c>
      <c r="S25" s="57" t="str">
        <f>SUBSTITUTE(PROPER(ItemTable[[#This Row],['#번역본]])," "," ")</f>
        <v>Praise The Sun</v>
      </c>
    </row>
    <row r="26" spans="2:19">
      <c r="B26" s="42">
        <f t="array" ref="B26">_xlfn.IFS(ItemTable[[#This Row],[GradeType]]="Hp",IF(K25=ItemTable[[#This Row],[GradeType]],B25+1,10),ItemTable[[#This Row],[GradeType]]="Gold",IF(K25=ItemTable[[#This Row],[GradeType]],B25+1,20),ItemTable[[#This Row],[GradeType]]="Weapon",IF(K25=ItemTable[[#This Row],[GradeType]],B25+1,1000),ItemTable[[#This Row],[GradeType]]="Normal",IF(K25=ItemTable[[#This Row],[GradeType]],B25+1,2000),ItemTable[[#This Row],[GradeType]]="Rare",IF(K25=ItemTable[[#This Row],[GradeType]],B25+1,3000),ItemTable[[#This Row],[GradeType]]="Cursed",IF(K25=ItemTable[[#This Row],[GradeType]],B25+1,4000))</f>
        <v>4005</v>
      </c>
      <c r="C26" s="57" t="str">
        <f>INDEX(LocaleTable[LocaleKR],MATCH(ItemTable[[#This Row],[Name]],LocaleTable[StringKey],0))</f>
        <v>회피 캣</v>
      </c>
      <c r="D26" s="57" t="str">
        <f>INDEX(LocaleTable[LocaleKR],MATCH(ItemTable[[#This Row],[Desc]],LocaleTable[StringKey],0))</f>
        <v>하지만 이렇게 간단하게 회피했습니다.</v>
      </c>
      <c r="E26" s="57" t="str">
        <f>INDEX(LocaleTable[LocaleKR],MATCH(ItemTable[[#This Row],[PlusDesc]],LocaleTable[StringKey],0))</f>
        <v>회피 시 공 4개 발사</v>
      </c>
      <c r="F26" s="57" t="str">
        <f>INDEX(LocaleTable[LocaleKR],MATCH(ItemTable[[#This Row],[MinusDesc]],LocaleTable[StringKey],0))</f>
        <v>회피쿨타임 +100%</v>
      </c>
      <c r="G26" s="42" t="str">
        <f>_xlfn.CONCAT("Item_Name_",ItemTable[[#This Row],[Index]])</f>
        <v>Item_Name_4005</v>
      </c>
      <c r="H26" s="42" t="str">
        <f>_xlfn.CONCAT("Item_Desc_",ItemTable[[#This Row],[Index]])</f>
        <v>Item_Desc_4005</v>
      </c>
      <c r="I26" s="42" t="str">
        <f>_xlfn.CONCAT("Item_PlusDesc_",ItemTable[[#This Row],[Index]])</f>
        <v>Item_PlusDesc_4005</v>
      </c>
      <c r="J26" s="42" t="str">
        <f>_xlfn.CONCAT("Item_MinusDesc_",ItemTable[[#This Row],[Index]])</f>
        <v>Item_MinusDesc_4005</v>
      </c>
      <c r="K26" s="42" t="s">
        <v>48</v>
      </c>
      <c r="L26" s="8">
        <v>0</v>
      </c>
      <c r="M26" s="42">
        <v>1</v>
      </c>
      <c r="N26" s="42">
        <f t="array" ref="N26">_xlfn.IFS(ItemTable[[#This Row],[GradeType]]="Normal",25,ItemTable[[#This Row],[GradeType]]="Cursed",50,ItemTable[[#This Row],[GradeType]]="Rare",50)</f>
        <v>50</v>
      </c>
      <c r="O26" s="42">
        <v>60</v>
      </c>
      <c r="P26" s="42">
        <f t="array" ref="P26">_xlfn.IFS(OR(ItemTable[[#This Row],[GradeType]]="Hp",ItemTable[[#This Row],[GradeType]]="Gold"),0,TRUE,5000+ItemTable[[#This Row],[Index]])</f>
        <v>9005</v>
      </c>
      <c r="Q26" s="42" t="s">
        <v>918</v>
      </c>
      <c r="R26" s="57" t="s">
        <v>505</v>
      </c>
      <c r="S26" s="57" t="str">
        <f>SUBSTITUTE(PROPER(ItemTable[[#This Row],['#번역본]])," "," ")</f>
        <v>Dodge Cat</v>
      </c>
    </row>
    <row r="27" spans="2:19">
      <c r="B27" s="42">
        <f t="array" ref="B27">_xlfn.IFS(ItemTable[[#This Row],[GradeType]]="Hp",IF(K26=ItemTable[[#This Row],[GradeType]],B26+1,10),ItemTable[[#This Row],[GradeType]]="Gold",IF(K26=ItemTable[[#This Row],[GradeType]],B26+1,20),ItemTable[[#This Row],[GradeType]]="Weapon",IF(K26=ItemTable[[#This Row],[GradeType]],B26+1,1000),ItemTable[[#This Row],[GradeType]]="Normal",IF(K26=ItemTable[[#This Row],[GradeType]],B26+1,2000),ItemTable[[#This Row],[GradeType]]="Rare",IF(K26=ItemTable[[#This Row],[GradeType]],B26+1,3000),ItemTable[[#This Row],[GradeType]]="Cursed",IF(K26=ItemTable[[#This Row],[GradeType]],B26+1,4000))</f>
        <v>4006</v>
      </c>
      <c r="C27" s="57" t="str">
        <f>INDEX(LocaleTable[LocaleKR],MATCH(ItemTable[[#This Row],[Name]],LocaleTable[StringKey],0))</f>
        <v>어른의 카드</v>
      </c>
      <c r="D27" s="57" t="str">
        <f>INDEX(LocaleTable[LocaleKR],MATCH(ItemTable[[#This Row],[Desc]],LocaleTable[StringKey],0))</f>
        <v>리스크는 이해하고 있습니다.\n사용할수록, 깎여나갑니다.\n당신의 삶과 시간이…</v>
      </c>
      <c r="E27" s="57" t="str">
        <f>INDEX(LocaleTable[LocaleKR],MATCH(ItemTable[[#This Row],[PlusDesc]],LocaleTable[StringKey],0))</f>
        <v>공격범위 +60%</v>
      </c>
      <c r="F27" s="57" t="str">
        <f>INDEX(LocaleTable[LocaleKR],MATCH(ItemTable[[#This Row],[MinusDesc]],LocaleTable[StringKey],0))</f>
        <v>공격속도 -20%,\n공격 시 골드 -1</v>
      </c>
      <c r="G27" s="42" t="str">
        <f>_xlfn.CONCAT("Item_Name_",ItemTable[[#This Row],[Index]])</f>
        <v>Item_Name_4006</v>
      </c>
      <c r="H27" s="42" t="str">
        <f>_xlfn.CONCAT("Item_Desc_",ItemTable[[#This Row],[Index]])</f>
        <v>Item_Desc_4006</v>
      </c>
      <c r="I27" s="42" t="str">
        <f>_xlfn.CONCAT("Item_PlusDesc_",ItemTable[[#This Row],[Index]])</f>
        <v>Item_PlusDesc_4006</v>
      </c>
      <c r="J27" s="42" t="str">
        <f>_xlfn.CONCAT("Item_MinusDesc_",ItemTable[[#This Row],[Index]])</f>
        <v>Item_MinusDesc_4006</v>
      </c>
      <c r="K27" s="42" t="s">
        <v>48</v>
      </c>
      <c r="L27" s="8">
        <v>0</v>
      </c>
      <c r="M27" s="42">
        <v>1</v>
      </c>
      <c r="N27" s="42">
        <f t="array" ref="N27">_xlfn.IFS(ItemTable[[#This Row],[GradeType]]="Normal",25,ItemTable[[#This Row],[GradeType]]="Cursed",50,ItemTable[[#This Row],[GradeType]]="Rare",50)</f>
        <v>50</v>
      </c>
      <c r="O27" s="42">
        <v>60</v>
      </c>
      <c r="P27" s="42">
        <f t="array" ref="P27">_xlfn.IFS(OR(ItemTable[[#This Row],[GradeType]]="Hp",ItemTable[[#This Row],[GradeType]]="Gold"),0,TRUE,5000+ItemTable[[#This Row],[Index]])</f>
        <v>9006</v>
      </c>
      <c r="Q27" s="42" t="s">
        <v>919</v>
      </c>
      <c r="R27" s="57" t="s">
        <v>572</v>
      </c>
      <c r="S27" s="57" t="str">
        <f>SUBSTITUTE(PROPER(ItemTable[[#This Row],['#번역본]])," "," ")</f>
        <v>The Adult Card</v>
      </c>
    </row>
    <row r="28" spans="2:19">
      <c r="B28" s="42">
        <f t="array" ref="B28">_xlfn.IFS(ItemTable[[#This Row],[GradeType]]="Hp",IF(K27=ItemTable[[#This Row],[GradeType]],B27+1,10),ItemTable[[#This Row],[GradeType]]="Gold",IF(K27=ItemTable[[#This Row],[GradeType]],B27+1,20),ItemTable[[#This Row],[GradeType]]="Weapon",IF(K27=ItemTable[[#This Row],[GradeType]],B27+1,1000),ItemTable[[#This Row],[GradeType]]="Normal",IF(K27=ItemTable[[#This Row],[GradeType]],B27+1,2000),ItemTable[[#This Row],[GradeType]]="Rare",IF(K27=ItemTable[[#This Row],[GradeType]],B27+1,3000),ItemTable[[#This Row],[GradeType]]="Cursed",IF(K27=ItemTable[[#This Row],[GradeType]],B27+1,4000))</f>
        <v>4007</v>
      </c>
      <c r="C28" s="57" t="str">
        <f>INDEX(LocaleTable[LocaleKR],MATCH(ItemTable[[#This Row],[Name]],LocaleTable[StringKey],0))</f>
        <v>악마의 적금통장</v>
      </c>
      <c r="D28" s="57" t="str">
        <f>INDEX(LocaleTable[LocaleKR],MATCH(ItemTable[[#This Row],[Desc]],LocaleTable[StringKey],0))</f>
        <v>'체력이 생기면 고민도 행복해진다.'\n마계 국민 첫 재테크 적금으로 딱입니다.</v>
      </c>
      <c r="E28" s="57" t="str">
        <f>INDEX(LocaleTable[LocaleKR],MATCH(ItemTable[[#This Row],[PlusDesc]],LocaleTable[StringKey],0))</f>
        <v>6개의 방을 클리어할 경우 체력 +4칸</v>
      </c>
      <c r="F28" s="57" t="str">
        <f>INDEX(LocaleTable[LocaleKR],MATCH(ItemTable[[#This Row],[MinusDesc]],LocaleTable[StringKey],0))</f>
        <v>최대체력 -1칸</v>
      </c>
      <c r="G28" s="42" t="str">
        <f>_xlfn.CONCAT("Item_Name_",ItemTable[[#This Row],[Index]])</f>
        <v>Item_Name_4007</v>
      </c>
      <c r="H28" s="42" t="str">
        <f>_xlfn.CONCAT("Item_Desc_",ItemTable[[#This Row],[Index]])</f>
        <v>Item_Desc_4007</v>
      </c>
      <c r="I28" s="42" t="str">
        <f>_xlfn.CONCAT("Item_PlusDesc_",ItemTable[[#This Row],[Index]])</f>
        <v>Item_PlusDesc_4007</v>
      </c>
      <c r="J28" s="42" t="str">
        <f>_xlfn.CONCAT("Item_MinusDesc_",ItemTable[[#This Row],[Index]])</f>
        <v>Item_MinusDesc_4007</v>
      </c>
      <c r="K28" s="42" t="s">
        <v>48</v>
      </c>
      <c r="L28" s="8">
        <v>7</v>
      </c>
      <c r="M28" s="42">
        <v>1</v>
      </c>
      <c r="N28" s="42">
        <f t="array" ref="N28">_xlfn.IFS(ItemTable[[#This Row],[GradeType]]="Normal",25,ItemTable[[#This Row],[GradeType]]="Cursed",50,ItemTable[[#This Row],[GradeType]]="Rare",50)</f>
        <v>50</v>
      </c>
      <c r="O28" s="42">
        <v>60</v>
      </c>
      <c r="P28" s="42">
        <f t="array" ref="P28">_xlfn.IFS(OR(ItemTable[[#This Row],[GradeType]]="Hp",ItemTable[[#This Row],[GradeType]]="Gold"),0,TRUE,5000+ItemTable[[#This Row],[Index]])</f>
        <v>9007</v>
      </c>
      <c r="Q28" s="42" t="s">
        <v>919</v>
      </c>
      <c r="R28" s="57" t="s">
        <v>572</v>
      </c>
      <c r="S28" s="57" t="str">
        <f>SUBSTITUTE(PROPER(ItemTable[[#This Row],['#번역본]])," "," ")</f>
        <v>The Adult Card</v>
      </c>
    </row>
    <row r="29" spans="2:19">
      <c r="B29" s="42">
        <v>10000</v>
      </c>
      <c r="C29" s="57" t="str">
        <f>INDEX(LocaleTable[LocaleKR],MATCH(ItemTable[[#This Row],[Name]],LocaleTable[StringKey],0))</f>
        <v>인피니티 도넛</v>
      </c>
      <c r="D29" s="57" t="str">
        <f>INDEX(LocaleTable[LocaleKR],MATCH(ItemTable[[#This Row],[Desc]],LocaleTable[StringKey],0))</f>
        <v>도넛에 구멍은 몇 개일까요?\n이 도넛은 무한한 구멍을 가졌습니다.</v>
      </c>
      <c r="E29" s="57" t="str">
        <f>INDEX(LocaleTable[LocaleKR],MATCH(ItemTable[[#This Row],[PlusDesc]],LocaleTable[StringKey],0))</f>
        <v>기절한 적에게 순간이동하며 공격합니다.</v>
      </c>
      <c r="F29" s="57" t="e">
        <f>INDEX(LocaleTable[LocaleKR],MATCH(ItemTable[[#This Row],[MinusDesc]],LocaleTable[StringKey],0))</f>
        <v>#N/A</v>
      </c>
      <c r="G29" s="42" t="str">
        <f>_xlfn.CONCAT("Item_Name_",ItemTable[[#This Row],[Index]])</f>
        <v>Item_Name_10000</v>
      </c>
      <c r="H29" s="42" t="str">
        <f>_xlfn.CONCAT("Item_Desc_",ItemTable[[#This Row],[Index]])</f>
        <v>Item_Desc_10000</v>
      </c>
      <c r="I29" s="42" t="str">
        <f>_xlfn.CONCAT("Item_PlusDesc_",ItemTable[[#This Row],[Index]])</f>
        <v>Item_PlusDesc_10000</v>
      </c>
      <c r="K29" s="42" t="s">
        <v>345</v>
      </c>
      <c r="L29" s="8">
        <v>0</v>
      </c>
      <c r="M29" s="42">
        <v>1</v>
      </c>
      <c r="N29" s="42">
        <v>50</v>
      </c>
      <c r="O29" s="42">
        <v>100</v>
      </c>
      <c r="P29" s="42">
        <v>10000</v>
      </c>
      <c r="Q29" s="42" t="s">
        <v>469</v>
      </c>
      <c r="R29" s="57" t="s">
        <v>489</v>
      </c>
      <c r="S29" s="57" t="str">
        <f>SUBSTITUTE(PROPER(ItemTable[[#This Row],['#번역본]])," "," ")</f>
        <v>Infinity Doughnut</v>
      </c>
    </row>
    <row r="30" spans="2:19">
      <c r="B30" s="42">
        <v>10001</v>
      </c>
      <c r="C30" s="57" t="str">
        <f>INDEX(LocaleTable[LocaleKR],MATCH(ItemTable[[#This Row],[Name]],LocaleTable[StringKey],0))</f>
        <v>초소형 블랙홀</v>
      </c>
      <c r="D30" s="57" t="str">
        <f>INDEX(LocaleTable[LocaleKR],MATCH(ItemTable[[#This Row],[Desc]],LocaleTable[StringKey],0))</f>
        <v>공공장소에서 사용으로 인한\n피해는 책임지지 않습니다.</v>
      </c>
      <c r="E30" s="57" t="str">
        <f>INDEX(LocaleTable[LocaleKR],MATCH(ItemTable[[#This Row],[PlusDesc]],LocaleTable[StringKey],0))</f>
        <v>주변 투사체를 흡수하여 발사합니다.\n(쿨타임 10초)</v>
      </c>
      <c r="F30" s="57" t="e">
        <f>INDEX(LocaleTable[LocaleKR],MATCH(ItemTable[[#This Row],[MinusDesc]],LocaleTable[StringKey],0))</f>
        <v>#N/A</v>
      </c>
      <c r="G30" s="42" t="str">
        <f>_xlfn.CONCAT("Item_Name_",ItemTable[[#This Row],[Index]])</f>
        <v>Item_Name_10001</v>
      </c>
      <c r="H30" s="42" t="str">
        <f>_xlfn.CONCAT("Item_Desc_",ItemTable[[#This Row],[Index]])</f>
        <v>Item_Desc_10001</v>
      </c>
      <c r="I30" s="42" t="str">
        <f>_xlfn.CONCAT("Item_PlusDesc_",ItemTable[[#This Row],[Index]])</f>
        <v>Item_PlusDesc_10001</v>
      </c>
      <c r="K30" s="42" t="s">
        <v>345</v>
      </c>
      <c r="L30" s="8">
        <v>0</v>
      </c>
      <c r="M30" s="42">
        <v>1</v>
      </c>
      <c r="N30" s="42">
        <v>50</v>
      </c>
      <c r="O30" s="42">
        <v>100</v>
      </c>
      <c r="P30" s="42">
        <v>10001</v>
      </c>
      <c r="Q30" s="42" t="s">
        <v>470</v>
      </c>
      <c r="R30" s="57" t="s">
        <v>506</v>
      </c>
      <c r="S30" s="57" t="str">
        <f>SUBSTITUTE(PROPER(ItemTable[[#This Row],['#번역본]])," "," ")</f>
        <v>Ultra-Small Black Hole</v>
      </c>
    </row>
    <row r="31" spans="2:19">
      <c r="B31" s="42">
        <v>10002</v>
      </c>
      <c r="C31" s="57" t="str">
        <f>INDEX(LocaleTable[LocaleKR],MATCH(ItemTable[[#This Row],[Name]],LocaleTable[StringKey],0))</f>
        <v>사이버웨어</v>
      </c>
      <c r="D31" s="57" t="str">
        <f>INDEX(LocaleTable[LocaleKR],MATCH(ItemTable[[#This Row],[Desc]],LocaleTable[StringKey],0))</f>
        <v>기초적인 임플란트입니다.\n마구 사용하다간 무언가 고장날 수 있습니다.</v>
      </c>
      <c r="E31" s="57" t="str">
        <f>INDEX(LocaleTable[LocaleKR],MATCH(ItemTable[[#This Row],[PlusDesc]],LocaleTable[StringKey],0))</f>
        <v>6초간 주변 시간이 느려집니다.\n(쿨타임 12초)</v>
      </c>
      <c r="F31" s="57" t="e">
        <f>INDEX(LocaleTable[LocaleKR],MATCH(ItemTable[[#This Row],[MinusDesc]],LocaleTable[StringKey],0))</f>
        <v>#N/A</v>
      </c>
      <c r="G31" s="42" t="str">
        <f>_xlfn.CONCAT("Item_Name_",ItemTable[[#This Row],[Index]])</f>
        <v>Item_Name_10002</v>
      </c>
      <c r="H31" s="42" t="str">
        <f>_xlfn.CONCAT("Item_Desc_",ItemTable[[#This Row],[Index]])</f>
        <v>Item_Desc_10002</v>
      </c>
      <c r="I31" s="42" t="str">
        <f>_xlfn.CONCAT("Item_PlusDesc_",ItemTable[[#This Row],[Index]])</f>
        <v>Item_PlusDesc_10002</v>
      </c>
      <c r="K31" s="42" t="s">
        <v>345</v>
      </c>
      <c r="L31" s="8">
        <v>0</v>
      </c>
      <c r="M31" s="42">
        <v>1</v>
      </c>
      <c r="N31" s="42">
        <v>50</v>
      </c>
      <c r="O31" s="42">
        <v>100</v>
      </c>
      <c r="P31" s="42">
        <v>10002</v>
      </c>
      <c r="Q31" s="42" t="s">
        <v>471</v>
      </c>
      <c r="R31" s="57" t="s">
        <v>490</v>
      </c>
      <c r="S31" s="57" t="str">
        <f>SUBSTITUTE(PROPER(ItemTable[[#This Row],['#번역본]])," "," ")</f>
        <v>Cyberware</v>
      </c>
    </row>
    <row r="32" spans="2:19">
      <c r="B32" s="42">
        <v>10003</v>
      </c>
      <c r="C32" s="57" t="str">
        <f>INDEX(LocaleTable[LocaleKR],MATCH(ItemTable[[#This Row],[Name]],LocaleTable[StringKey],0))</f>
        <v>미사일 백팩</v>
      </c>
      <c r="D32" s="57" t="str">
        <f>INDEX(LocaleTable[LocaleKR],MATCH(ItemTable[[#This Row],[Desc]],LocaleTable[StringKey],0))</f>
        <v>앞만 보고 살아가는 당신에게 추천합니다.\n데일리룩으로 안성맞춤.</v>
      </c>
      <c r="E32" s="57" t="str">
        <f>INDEX(LocaleTable[LocaleKR],MATCH(ItemTable[[#This Row],[PlusDesc]],LocaleTable[StringKey],0))</f>
        <v>커서 방향으로 돌진합니다.\n(쿨타임 8초)</v>
      </c>
      <c r="F32" s="57" t="e">
        <f>INDEX(LocaleTable[LocaleKR],MATCH(ItemTable[[#This Row],[MinusDesc]],LocaleTable[StringKey],0))</f>
        <v>#N/A</v>
      </c>
      <c r="G32" s="42" t="str">
        <f>_xlfn.CONCAT("Item_Name_",ItemTable[[#This Row],[Index]])</f>
        <v>Item_Name_10003</v>
      </c>
      <c r="H32" s="42" t="str">
        <f>_xlfn.CONCAT("Item_Desc_",ItemTable[[#This Row],[Index]])</f>
        <v>Item_Desc_10003</v>
      </c>
      <c r="I32" s="42" t="str">
        <f>_xlfn.CONCAT("Item_PlusDesc_",ItemTable[[#This Row],[Index]])</f>
        <v>Item_PlusDesc_10003</v>
      </c>
      <c r="K32" s="42" t="s">
        <v>345</v>
      </c>
      <c r="L32" s="8">
        <v>3</v>
      </c>
      <c r="M32" s="42">
        <v>1</v>
      </c>
      <c r="N32" s="42">
        <v>50</v>
      </c>
      <c r="O32" s="42">
        <v>100</v>
      </c>
      <c r="P32" s="42">
        <v>10003</v>
      </c>
      <c r="Q32" s="42" t="s">
        <v>472</v>
      </c>
      <c r="R32" s="57" t="s">
        <v>491</v>
      </c>
      <c r="S32" s="57" t="str">
        <f>SUBSTITUTE(PROPER(ItemTable[[#This Row],['#번역본]])," "," ")</f>
        <v>A Missile Backpack</v>
      </c>
    </row>
    <row r="33" spans="2:19">
      <c r="B33" s="42" t="s">
        <v>447</v>
      </c>
      <c r="C33" s="57" t="e">
        <f>INDEX(LocaleTable[LocaleKR],MATCH(ItemTable[[#This Row],[Name]],LocaleTable[StringKey],0))</f>
        <v>#N/A</v>
      </c>
      <c r="D33" s="57" t="e">
        <f>INDEX(LocaleTable[LocaleKR],MATCH(ItemTable[[#This Row],[Desc]],LocaleTable[StringKey],0))</f>
        <v>#N/A</v>
      </c>
      <c r="E33" s="57" t="e">
        <f>INDEX(LocaleTable[LocaleKR],MATCH(ItemTable[[#This Row],[PlusDesc]],LocaleTable[StringKey],0))</f>
        <v>#N/A</v>
      </c>
      <c r="F33" s="57" t="e">
        <f>INDEX(LocaleTable[LocaleKR],MATCH(ItemTable[[#This Row],[MinusDesc]],LocaleTable[StringKey],0))</f>
        <v>#N/A</v>
      </c>
      <c r="G33" s="42" t="str">
        <f>_xlfn.CONCAT("Item_Name_",ItemTable[[#This Row],[Index]])</f>
        <v>Item_Name_#10004</v>
      </c>
      <c r="H33" s="42" t="str">
        <f>_xlfn.CONCAT("Item_Desc_",ItemTable[[#This Row],[Index]])</f>
        <v>Item_Desc_#10004</v>
      </c>
      <c r="I33" s="42" t="str">
        <f>_xlfn.CONCAT("Item_PlusDesc_",ItemTable[[#This Row],[Index]])</f>
        <v>Item_PlusDesc_#10004</v>
      </c>
      <c r="K33" s="42" t="s">
        <v>345</v>
      </c>
      <c r="L33" s="8">
        <v>0</v>
      </c>
      <c r="M33" s="42">
        <v>1</v>
      </c>
      <c r="N33" s="42">
        <v>50</v>
      </c>
      <c r="O33" s="42">
        <v>100</v>
      </c>
      <c r="P33" s="42">
        <v>10004</v>
      </c>
      <c r="Q33" s="42" t="s">
        <v>472</v>
      </c>
      <c r="R33" s="57" t="s">
        <v>492</v>
      </c>
      <c r="S33" s="57" t="str">
        <f>SUBSTITUTE(PROPER(ItemTable[[#This Row],['#번역본]])," "," ")</f>
        <v>Excalibat</v>
      </c>
    </row>
    <row r="34" spans="2:19">
      <c r="B34" s="42">
        <v>10005</v>
      </c>
      <c r="C34" s="57" t="str">
        <f>INDEX(LocaleTable[LocaleKR],MATCH(ItemTable[[#This Row],[Name]],LocaleTable[StringKey],0))</f>
        <v>여의배트</v>
      </c>
      <c r="D34" s="57" t="str">
        <f>INDEX(LocaleTable[LocaleKR],MATCH(ItemTable[[#This Row],[Desc]],LocaleTable[StringKey],0))</f>
        <v>배트를 마음대로 늘릴 수 있습니다!</v>
      </c>
      <c r="E34" s="57" t="str">
        <f>INDEX(LocaleTable[LocaleKR],MATCH(ItemTable[[#This Row],[PlusDesc]],LocaleTable[StringKey],0))</f>
        <v>10초간 공격범위 +100%\n(쿨타임 18초)</v>
      </c>
      <c r="F34" s="57" t="e">
        <f>INDEX(LocaleTable[LocaleKR],MATCH(ItemTable[[#This Row],[MinusDesc]],LocaleTable[StringKey],0))</f>
        <v>#N/A</v>
      </c>
      <c r="G34" s="42" t="str">
        <f>_xlfn.CONCAT("Item_Name_",ItemTable[[#This Row],[Index]])</f>
        <v>Item_Name_10005</v>
      </c>
      <c r="H34" s="42" t="str">
        <f>_xlfn.CONCAT("Item_Desc_",ItemTable[[#This Row],[Index]])</f>
        <v>Item_Desc_10005</v>
      </c>
      <c r="I34" s="42" t="str">
        <f>_xlfn.CONCAT("Item_PlusDesc_",ItemTable[[#This Row],[Index]])</f>
        <v>Item_PlusDesc_10005</v>
      </c>
      <c r="K34" s="42" t="s">
        <v>345</v>
      </c>
      <c r="L34" s="8">
        <v>0</v>
      </c>
      <c r="M34" s="42">
        <v>1</v>
      </c>
      <c r="N34" s="42">
        <v>50</v>
      </c>
      <c r="O34" s="42">
        <v>100</v>
      </c>
      <c r="P34" s="42">
        <v>10005</v>
      </c>
      <c r="Q34" s="42" t="s">
        <v>473</v>
      </c>
      <c r="R34" s="57" t="s">
        <v>507</v>
      </c>
      <c r="S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opLeftCell="C16" zoomScaleNormal="100" zoomScaleSheetLayoutView="100" workbookViewId="0">
      <selection activeCell="K30" sqref="K30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25</v>
      </c>
      <c r="E1" s="16" t="s">
        <v>304</v>
      </c>
      <c r="F1" s="16" t="s">
        <v>304</v>
      </c>
      <c r="G1" s="16" t="s">
        <v>306</v>
      </c>
      <c r="H1" t="s">
        <v>66</v>
      </c>
      <c r="I1" s="16" t="s">
        <v>320</v>
      </c>
      <c r="J1" t="s">
        <v>66</v>
      </c>
      <c r="K1" s="16" t="s">
        <v>306</v>
      </c>
    </row>
    <row r="2" spans="2:19">
      <c r="B2" s="71" t="s">
        <v>850</v>
      </c>
      <c r="C2" s="71" t="s">
        <v>68</v>
      </c>
      <c r="D2" t="s">
        <v>39</v>
      </c>
      <c r="E2" s="16" t="s">
        <v>329</v>
      </c>
      <c r="F2" s="16" t="s">
        <v>330</v>
      </c>
      <c r="G2" s="16" t="s">
        <v>307</v>
      </c>
      <c r="H2" s="16" t="s">
        <v>308</v>
      </c>
      <c r="I2" s="30" t="s">
        <v>310</v>
      </c>
      <c r="J2" s="16" t="s">
        <v>309</v>
      </c>
      <c r="K2" s="30" t="s">
        <v>325</v>
      </c>
      <c r="L2" s="70" t="s">
        <v>669</v>
      </c>
      <c r="M2" s="70" t="s">
        <v>671</v>
      </c>
      <c r="N2" s="70" t="s">
        <v>670</v>
      </c>
      <c r="O2" s="70" t="s">
        <v>741</v>
      </c>
      <c r="P2" s="70" t="s">
        <v>742</v>
      </c>
      <c r="Q2" s="70" t="s">
        <v>743</v>
      </c>
      <c r="R2" s="70" t="s">
        <v>744</v>
      </c>
      <c r="S2" s="70" t="s">
        <v>745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327</v>
      </c>
      <c r="I3" s="16"/>
      <c r="J3" s="16" t="s">
        <v>326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327</v>
      </c>
      <c r="J4" s="16" t="s">
        <v>326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327</v>
      </c>
      <c r="I5" s="16"/>
      <c r="J5" s="16" t="s">
        <v>326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373</v>
      </c>
      <c r="J6" s="16" t="s">
        <v>326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327</v>
      </c>
      <c r="J7" s="16" t="s">
        <v>326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327</v>
      </c>
      <c r="J8" s="16" t="s">
        <v>326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354</v>
      </c>
      <c r="J9" s="16" t="s">
        <v>326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430</v>
      </c>
      <c r="J10" s="16" t="s">
        <v>326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354</v>
      </c>
      <c r="J11" s="16" t="s">
        <v>431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327</v>
      </c>
      <c r="J12" s="16" t="s">
        <v>326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327</v>
      </c>
      <c r="J13" s="16" t="s">
        <v>326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327</v>
      </c>
      <c r="J14" s="16" t="s">
        <v>326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343</v>
      </c>
      <c r="J15" s="16" t="s">
        <v>431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코코아 한통</v>
      </c>
      <c r="C16" s="19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327</v>
      </c>
      <c r="J16" s="16" t="s">
        <v>326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슬픈 캔리오</v>
      </c>
      <c r="C17" s="19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375</v>
      </c>
      <c r="J17" s="16" t="s">
        <v>326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INDEX(ItemTable['#이름],MATCH(ItemEffectTable[[#This Row],[Index]],ItemTable[ItemEffectDataId],0))</f>
        <v>슬픈 캔리오</v>
      </c>
      <c r="C18" s="19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327</v>
      </c>
      <c r="J18" s="16" t="s">
        <v>326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청개구리 총</v>
      </c>
      <c r="C19" s="19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327</v>
      </c>
      <c r="J19" s="16" t="s">
        <v>326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누군가의 일기장</v>
      </c>
      <c r="C20" s="19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327</v>
      </c>
      <c r="J20" s="16" t="s">
        <v>326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448</v>
      </c>
      <c r="J21" s="16" t="s">
        <v>326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327</v>
      </c>
      <c r="J22" s="16" t="s">
        <v>326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395</v>
      </c>
      <c r="J23" s="16" t="s">
        <v>326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327</v>
      </c>
      <c r="J24" s="16" t="s">
        <v>326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327</v>
      </c>
      <c r="I25" s="39"/>
      <c r="J25" s="16" t="s">
        <v>326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INDEX(ItemTable['#이름],MATCH(ItemEffectTable[[#This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343</v>
      </c>
      <c r="I26" s="39"/>
      <c r="J26" s="16" t="s">
        <v>326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77" t="str">
        <f>INDEX(ItemTable['#이름],MATCH(ItemEffectTable[[#This Row],[Index]],ItemTable[ItemEffectDataId],0))</f>
        <v>악마의 적금통장</v>
      </c>
      <c r="C27" s="77" t="str">
        <f>INDEX(ItemTable[GradeType],MATCH(ItemEffectTable[[#This Row],[Index]],ItemTable[ItemEffectDataId],0))</f>
        <v>Cursed</v>
      </c>
      <c r="D27" s="78">
        <v>9007</v>
      </c>
      <c r="E27" s="78">
        <v>9107</v>
      </c>
      <c r="F27" s="78"/>
      <c r="G27" s="77">
        <v>0</v>
      </c>
      <c r="H27" s="78" t="s">
        <v>327</v>
      </c>
      <c r="I27" s="77"/>
      <c r="J27" s="79" t="s">
        <v>326</v>
      </c>
      <c r="K27" s="77"/>
      <c r="L27" s="78" t="str">
        <f>IFERROR(LEFT(ItemEffectTable[[#This Row],[TriggerType]],FIND(",",ItemEffectTable[[#This Row],[TriggerType]],1)-1),ItemEffectTable[[#This Row],[TriggerType]])</f>
        <v>Equip</v>
      </c>
      <c r="M27" s="7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7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78">
        <f>IFERROR(INDEX(스텟별가치29[발동율],MATCH(ItemEffectTable[[#This Row],['#트리거1]],스텟별가치29[트리거],0)),0)</f>
        <v>-1</v>
      </c>
      <c r="P27" s="78">
        <f>IFERROR(INDEX(스텟별가치29[발동율],MATCH(ItemEffectTable[[#This Row],['#트리거2]],스텟별가치29[트리거],0)),-1)</f>
        <v>-1</v>
      </c>
      <c r="Q27" s="78">
        <f>IFERROR(INDEX(스텟별가치29[발동율],MATCH(ItemEffectTable[[#This Row],['#트리거3]],스텟별가치29[트리거],0)),-1)</f>
        <v>-1</v>
      </c>
      <c r="R27" s="7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7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77" t="str">
        <f>INDEX(ItemTable['#이름],MATCH(ItemEffectTable[[#This Row],[Index]],ItemTable[ItemEffectDataId],0))</f>
        <v>악마의 적금통장</v>
      </c>
      <c r="C28" s="77" t="str">
        <f>INDEX(ItemTable[GradeType],MATCH(ItemEffectTable[[#This Row],[Index]],ItemTable[ItemEffectDataId],0))</f>
        <v>Cursed</v>
      </c>
      <c r="D28" s="78">
        <v>9007</v>
      </c>
      <c r="E28" s="78"/>
      <c r="F28" s="78">
        <v>9007</v>
      </c>
      <c r="G28" s="77">
        <v>0</v>
      </c>
      <c r="H28" s="78" t="s">
        <v>892</v>
      </c>
      <c r="I28" s="77"/>
      <c r="J28" s="78" t="s">
        <v>326</v>
      </c>
      <c r="K28" s="77"/>
      <c r="L28" s="78" t="str">
        <f>IFERROR(LEFT(ItemEffectTable[[#This Row],[TriggerType]],FIND(",",ItemEffectTable[[#This Row],[TriggerType]],1)-1),ItemEffectTable[[#This Row],[TriggerType]])</f>
        <v>OnClearRoom</v>
      </c>
      <c r="M28" s="7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7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78">
        <f>IFERROR(INDEX(스텟별가치29[발동율],MATCH(ItemEffectTable[[#This Row],['#트리거1]],스텟별가치29[트리거],0)),0)</f>
        <v>0</v>
      </c>
      <c r="P28" s="78">
        <f>IFERROR(INDEX(스텟별가치29[발동율],MATCH(ItemEffectTable[[#This Row],['#트리거2]],스텟별가치29[트리거],0)),-1)</f>
        <v>-1</v>
      </c>
      <c r="Q28" s="78">
        <f>IFERROR(INDEX(스텟별가치29[발동율],MATCH(ItemEffectTable[[#This Row],['#트리거3]],스텟별가치29[트리거],0)),-1)</f>
        <v>-1</v>
      </c>
      <c r="R28" s="7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7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77" t="str">
        <f>INDEX(ItemTable['#이름],MATCH(ItemEffectTable[[#This Row],[Index]],ItemTable[ItemEffectDataId],0))</f>
        <v>악마의 적금통장</v>
      </c>
      <c r="C29" s="77" t="str">
        <f>INDEX(ItemTable[GradeType],MATCH(ItemEffectTable[[#This Row],[Index]],ItemTable[ItemEffectDataId],0))</f>
        <v>Cursed</v>
      </c>
      <c r="D29" s="78">
        <v>9007</v>
      </c>
      <c r="E29" s="78">
        <v>9007</v>
      </c>
      <c r="F29" s="78"/>
      <c r="G29" s="77">
        <v>0</v>
      </c>
      <c r="H29" s="78" t="s">
        <v>892</v>
      </c>
      <c r="I29" s="79" t="s">
        <v>890</v>
      </c>
      <c r="J29" s="79" t="s">
        <v>944</v>
      </c>
      <c r="K29" s="77">
        <v>5</v>
      </c>
      <c r="L29" s="78" t="str">
        <f>IFERROR(LEFT(ItemEffectTable[[#This Row],[TriggerType]],FIND(",",ItemEffectTable[[#This Row],[TriggerType]],1)-1),ItemEffectTable[[#This Row],[TriggerType]])</f>
        <v>OnClearRoom</v>
      </c>
      <c r="M29" s="7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7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78">
        <f>IFERROR(INDEX(스텟별가치29[발동율],MATCH(ItemEffectTable[[#This Row],['#트리거1]],스텟별가치29[트리거],0)),0)</f>
        <v>0</v>
      </c>
      <c r="P29" s="78">
        <f>IFERROR(INDEX(스텟별가치29[발동율],MATCH(ItemEffectTable[[#This Row],['#트리거2]],스텟별가치29[트리거],0)),-1)</f>
        <v>-1</v>
      </c>
      <c r="Q29" s="78">
        <f>IFERROR(INDEX(스텟별가치29[발동율],MATCH(ItemEffectTable[[#This Row],['#트리거3]],스텟별가치29[트리거],0)),-1)</f>
        <v>-1</v>
      </c>
      <c r="R29" s="7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7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77" t="str">
        <f>INDEX(ItemTable['#이름],MATCH(ItemEffectTable[[#This Row],[Index]],ItemTable[ItemEffectDataId],0))</f>
        <v>악마의 적금통장</v>
      </c>
      <c r="C30" s="77" t="str">
        <f>INDEX(ItemTable[GradeType],MATCH(ItemEffectTable[[#This Row],[Index]],ItemTable[ItemEffectDataId],0))</f>
        <v>Cursed</v>
      </c>
      <c r="D30" s="78">
        <v>9007</v>
      </c>
      <c r="E30" s="78"/>
      <c r="F30" s="78">
        <v>9107</v>
      </c>
      <c r="G30" s="77">
        <v>0</v>
      </c>
      <c r="H30" s="78" t="s">
        <v>892</v>
      </c>
      <c r="I30" s="79" t="s">
        <v>890</v>
      </c>
      <c r="J30" s="79" t="s">
        <v>891</v>
      </c>
      <c r="K30" s="77">
        <v>6</v>
      </c>
      <c r="L30" s="78" t="str">
        <f>IFERROR(LEFT(ItemEffectTable[[#This Row],[TriggerType]],FIND(",",ItemEffectTable[[#This Row],[TriggerType]],1)-1),ItemEffectTable[[#This Row],[TriggerType]])</f>
        <v>OnClearRoom</v>
      </c>
      <c r="M30" s="7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7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78">
        <f>IFERROR(INDEX(스텟별가치29[발동율],MATCH(ItemEffectTable[[#This Row],['#트리거1]],스텟별가치29[트리거],0)),0)</f>
        <v>0</v>
      </c>
      <c r="P30" s="78">
        <f>IFERROR(INDEX(스텟별가치29[발동율],MATCH(ItemEffectTable[[#This Row],['#트리거2]],스텟별가치29[트리거],0)),-1)</f>
        <v>-1</v>
      </c>
      <c r="Q30" s="78">
        <f>IFERROR(INDEX(스텟별가치29[발동율],MATCH(ItemEffectTable[[#This Row],['#트리거3]],스텟별가치29[트리거],0)),-1)</f>
        <v>-1</v>
      </c>
      <c r="R30" s="7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7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32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333</v>
      </c>
      <c r="I31" s="16"/>
      <c r="J31" s="16" t="s">
        <v>326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32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10</v>
      </c>
      <c r="H32" s="16" t="s">
        <v>333</v>
      </c>
      <c r="I32" s="16" t="s">
        <v>339</v>
      </c>
      <c r="J32" s="16" t="s">
        <v>338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32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333</v>
      </c>
      <c r="J33" s="16" t="s">
        <v>326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32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3</v>
      </c>
      <c r="H34" s="16" t="s">
        <v>333</v>
      </c>
      <c r="J34" s="16" t="s">
        <v>326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e">
        <f>INDEX(ItemTable['#이름],MATCH(ItemEffectTable[[#This Row],[Index]],ItemTable[ItemEffectDataId],0))</f>
        <v>#N/A</v>
      </c>
      <c r="C35" s="32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16</v>
      </c>
      <c r="H35" s="16" t="s">
        <v>333</v>
      </c>
      <c r="J35" s="16" t="s">
        <v>326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6" spans="2:19">
      <c r="B36" s="19" t="str">
        <f>INDEX(ItemTable['#이름],MATCH(ItemEffectTable[[#This Row],[Index]],ItemTable[ItemEffectDataId],0))</f>
        <v>여의배트</v>
      </c>
      <c r="C36" s="32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333</v>
      </c>
      <c r="J36" s="16" t="s">
        <v>326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10" zoomScaleNormal="100" zoomScaleSheetLayoutView="100" workbookViewId="0">
      <selection activeCell="F23" sqref="F23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659</v>
      </c>
      <c r="E1" s="16" t="s">
        <v>660</v>
      </c>
      <c r="F1" s="16" t="s">
        <v>315</v>
      </c>
      <c r="G1" s="16" t="s">
        <v>322</v>
      </c>
      <c r="H1" s="16" t="s">
        <v>315</v>
      </c>
    </row>
    <row r="2" spans="2:21" s="42" customFormat="1">
      <c r="B2" s="68" t="s">
        <v>751</v>
      </c>
      <c r="C2" s="68" t="s">
        <v>638</v>
      </c>
      <c r="D2" s="58" t="s">
        <v>39</v>
      </c>
      <c r="E2" s="58" t="s">
        <v>311</v>
      </c>
      <c r="F2" s="58" t="s">
        <v>321</v>
      </c>
      <c r="G2" s="60" t="s">
        <v>4</v>
      </c>
      <c r="H2" s="60" t="s">
        <v>323</v>
      </c>
      <c r="I2" s="68" t="s">
        <v>640</v>
      </c>
      <c r="J2" s="68" t="s">
        <v>639</v>
      </c>
      <c r="K2" s="69" t="s">
        <v>661</v>
      </c>
      <c r="L2" s="68" t="s">
        <v>658</v>
      </c>
      <c r="M2" s="68" t="s">
        <v>668</v>
      </c>
      <c r="N2" s="68" t="s">
        <v>746</v>
      </c>
      <c r="O2" s="68" t="s">
        <v>747</v>
      </c>
      <c r="P2" s="68" t="s">
        <v>641</v>
      </c>
      <c r="Q2" s="68" t="s">
        <v>750</v>
      </c>
      <c r="R2" s="68" t="s">
        <v>753</v>
      </c>
      <c r="S2" s="74" t="s">
        <v>758</v>
      </c>
      <c r="T2" s="68" t="s">
        <v>749</v>
      </c>
      <c r="U2" s="68" t="s">
        <v>748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876</v>
      </c>
      <c r="F3" s="16">
        <v>1</v>
      </c>
      <c r="G3" s="11" t="s">
        <v>397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189</v>
      </c>
      <c r="F4" s="53">
        <v>0.3</v>
      </c>
      <c r="G4" s="42" t="s">
        <v>474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335</v>
      </c>
      <c r="F5" s="53">
        <v>0.85</v>
      </c>
      <c r="G5" s="42" t="s">
        <v>214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372</v>
      </c>
      <c r="F6" s="42">
        <v>0.2</v>
      </c>
      <c r="G6" s="42" t="s">
        <v>328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130</v>
      </c>
      <c r="F7" s="42">
        <v>0.92</v>
      </c>
      <c r="G7" s="42" t="s">
        <v>214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402</v>
      </c>
      <c r="F8" s="42">
        <v>50</v>
      </c>
      <c r="G8" s="42" t="s">
        <v>328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190</v>
      </c>
      <c r="F9" s="42">
        <v>0.3</v>
      </c>
      <c r="G9" s="42" t="s">
        <v>328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190</v>
      </c>
      <c r="F10" s="42" t="s">
        <v>662</v>
      </c>
      <c r="G10" s="42" t="s">
        <v>328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157</v>
      </c>
      <c r="F11" s="42">
        <v>0.5</v>
      </c>
      <c r="G11" s="42" t="s">
        <v>328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392</v>
      </c>
      <c r="F12" s="42">
        <v>3</v>
      </c>
      <c r="G12" s="42" t="s">
        <v>328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402</v>
      </c>
      <c r="F13" s="42">
        <v>50</v>
      </c>
      <c r="G13" s="42" t="s">
        <v>328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130</v>
      </c>
      <c r="F14" s="42">
        <v>1.5</v>
      </c>
      <c r="G14" s="42" t="s">
        <v>214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207</v>
      </c>
      <c r="F15" s="42">
        <v>0</v>
      </c>
      <c r="G15" s="42" t="s">
        <v>214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376</v>
      </c>
      <c r="F16" s="42">
        <v>0.9</v>
      </c>
      <c r="G16" s="42" t="s">
        <v>214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376</v>
      </c>
      <c r="F17" s="42">
        <v>1.3</v>
      </c>
      <c r="G17" s="42" t="s">
        <v>214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190</v>
      </c>
      <c r="F18" s="42">
        <v>1</v>
      </c>
      <c r="G18" s="42" t="s">
        <v>328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402</v>
      </c>
      <c r="F19" s="42">
        <v>-100</v>
      </c>
      <c r="G19" s="42" t="s">
        <v>328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372</v>
      </c>
      <c r="F20" s="42">
        <v>0.45</v>
      </c>
      <c r="G20" s="42" t="s">
        <v>328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1" s="16">
        <v>9104</v>
      </c>
      <c r="E21" s="11" t="s">
        <v>437</v>
      </c>
      <c r="F21">
        <v>0.8</v>
      </c>
      <c r="G21" s="11" t="s">
        <v>391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-64.999999999999986</v>
      </c>
      <c r="Q21" s="19">
        <f>SUMIF(ItemEffectTable23['#아이템 명칭],ItemEffectTable23[[#This Row],['#아이템 명칭]],ItemEffectTable23['#총 가치판단])</f>
        <v>-64.999999999999986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0.10000000000000028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2" s="16">
        <v>9105</v>
      </c>
      <c r="E22" s="11" t="s">
        <v>400</v>
      </c>
      <c r="F22">
        <v>2</v>
      </c>
      <c r="G22" s="11" t="s">
        <v>391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106.25</v>
      </c>
      <c r="Q22" s="19">
        <f>SUMIF(ItemEffectTable23['#아이템 명칭],ItemEffectTable23[[#This Row],['#아이템 명칭]],ItemEffectTable23['#총 가치판단])</f>
        <v>106.25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106.25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2.125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189</v>
      </c>
      <c r="F23">
        <v>1.6</v>
      </c>
      <c r="G23" s="11" t="s">
        <v>474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130</v>
      </c>
      <c r="F24">
        <v>1.2</v>
      </c>
      <c r="G24" t="s">
        <v>214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75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25" s="42">
        <v>9107</v>
      </c>
      <c r="E25" s="53" t="s">
        <v>402</v>
      </c>
      <c r="F25" s="42">
        <v>-50</v>
      </c>
      <c r="G25" s="42" t="s">
        <v>328</v>
      </c>
      <c r="H25" s="42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0</v>
      </c>
      <c r="P25" s="19" t="e">
        <f>ItemEffectTable23[[#This Row],['#효력 가치 판단]]/IF(ItemEffectTable23[[#This Row],['#발동량]]=-1,1,ItemEffectTable23[[#This Row],['#발동량]])</f>
        <v>#DIV/0!</v>
      </c>
      <c r="Q25" s="19" t="e">
        <f>SUMIF(ItemEffectTable23['#아이템 명칭],ItemEffectTable23[[#This Row],['#아이템 명칭]],ItemEffectTable23['#총 가치판단])</f>
        <v>#DIV/0!</v>
      </c>
      <c r="R25" s="19">
        <f>IFERROR(INDEX(ItemEffectTable2324['#가치판단],MATCH(ItemEffectTable23[[#This Row],['#아이템 명칭]],ItemEffectTable2324['#명칭],0)),0)</f>
        <v>0</v>
      </c>
      <c r="S2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 t="e">
        <f>ItemEffectTable23[[#This Row],['#종합 효력]]/ItemEffectTable23[[#This Row],['#기준 효력]]</f>
        <v>#DIV/0!</v>
      </c>
    </row>
    <row r="26" spans="2:21">
      <c r="B26" s="75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+200</v>
      </c>
      <c r="D26" s="42">
        <v>9007</v>
      </c>
      <c r="E26" s="53" t="s">
        <v>402</v>
      </c>
      <c r="F26" s="42">
        <v>200</v>
      </c>
      <c r="G26" s="42" t="s">
        <v>328</v>
      </c>
      <c r="H26" s="42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200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0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214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632</v>
      </c>
      <c r="F28">
        <v>0.8</v>
      </c>
      <c r="G28" t="s">
        <v>214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136</v>
      </c>
      <c r="F29">
        <v>2</v>
      </c>
      <c r="G29" t="s">
        <v>214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130</v>
      </c>
      <c r="F30">
        <v>0.5</v>
      </c>
      <c r="G30" t="s">
        <v>214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214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335</v>
      </c>
      <c r="F32">
        <v>0.5</v>
      </c>
      <c r="G32" t="s">
        <v>214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e">
        <f>IFERROR(INDEX(ItemEffectTable['#이름],MATCH(ItemEffectTable23[[#This Row],[Index]],ItemEffectTable[Index],0)),INDEX(ItemEffectTable['#이름],MATCH(ItemEffectTable23[[#This Row],[Index]],ItemEffectTable[ApplyBuffId],0)))</f>
        <v>#N/A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214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452</v>
      </c>
      <c r="F34">
        <v>2.5</v>
      </c>
      <c r="G34" s="11" t="s">
        <v>474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tabSelected="1" zoomScaleNormal="100" zoomScaleSheetLayoutView="100" workbookViewId="0">
      <selection activeCell="E14" sqref="E14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25</v>
      </c>
      <c r="D1" t="s">
        <v>66</v>
      </c>
      <c r="E1" s="16" t="s">
        <v>306</v>
      </c>
      <c r="F1" s="16"/>
      <c r="G1" s="16" t="s">
        <v>315</v>
      </c>
      <c r="H1" s="16"/>
      <c r="I1" s="16" t="s">
        <v>315</v>
      </c>
      <c r="J1" s="16"/>
      <c r="K1" s="16" t="s">
        <v>315</v>
      </c>
    </row>
    <row r="2" spans="1:14">
      <c r="B2" t="s">
        <v>39</v>
      </c>
      <c r="C2" s="36" t="s">
        <v>357</v>
      </c>
      <c r="D2" s="16" t="s">
        <v>336</v>
      </c>
      <c r="E2" s="16" t="s">
        <v>312</v>
      </c>
      <c r="F2" s="34" t="s">
        <v>348</v>
      </c>
      <c r="G2" s="30" t="s">
        <v>313</v>
      </c>
      <c r="H2" s="34" t="s">
        <v>349</v>
      </c>
      <c r="I2" s="30" t="s">
        <v>314</v>
      </c>
      <c r="J2" s="34" t="s">
        <v>350</v>
      </c>
      <c r="K2" s="30" t="s">
        <v>363</v>
      </c>
      <c r="L2" s="34" t="s">
        <v>362</v>
      </c>
      <c r="M2" s="68" t="s">
        <v>752</v>
      </c>
      <c r="N2" s="73" t="s">
        <v>759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428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428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IFERROR(INDEX(ItemEffectTable[],MATCH(ItemEffectTable2324[[#This Row],[Index]],ItemEffectTable[Index],0)),INDEX(ItemEffectTable['#이름],MATCH(ItemEffectTable2324[[#This Row],[Index]],ItemEffectTable[ApplyBuffId],0)))</f>
        <v>이상한 사탕</v>
      </c>
      <c r="D5" s="16" t="s">
        <v>428</v>
      </c>
      <c r="E5">
        <v>1000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344</v>
      </c>
      <c r="E6">
        <v>800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344</v>
      </c>
      <c r="E7">
        <v>804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344</v>
      </c>
      <c r="E8">
        <v>805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청개구리 총</v>
      </c>
      <c r="D9" s="16" t="s">
        <v>331</v>
      </c>
      <c r="E9" s="9"/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428</v>
      </c>
      <c r="E10" s="9">
        <v>-50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454</v>
      </c>
      <c r="E11" s="51">
        <v>-1</v>
      </c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1" s="48"/>
      <c r="H11" s="52"/>
      <c r="I11" s="48"/>
      <c r="J11" s="49"/>
      <c r="K11" s="48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9007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악마의 적금통장</v>
      </c>
      <c r="D12" s="16" t="s">
        <v>852</v>
      </c>
      <c r="E12">
        <v>1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1:14" s="48" customFormat="1">
      <c r="A13" s="47"/>
      <c r="B13" s="16">
        <v>9107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악마의 적금통장</v>
      </c>
      <c r="D13" s="16" t="s">
        <v>428</v>
      </c>
      <c r="E13">
        <v>200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G13"/>
      <c r="H13" s="19"/>
      <c r="I13"/>
      <c r="J13" s="19"/>
      <c r="K13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480</v>
      </c>
      <c r="N13">
        <f>INDEX(표29[1당 가치],MATCH(ItemEffectTable2324[[#This Row],[EffectType]],표29[특수 이펙트 명칭],0))*IF(ISBLANK(ItemEffectTable2324[[#This Row],[Param1]]),1,ItemEffectTable2324[[#This Row],[Param1]])</f>
        <v>240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316</v>
      </c>
      <c r="E14" s="9">
        <v>8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337</v>
      </c>
      <c r="E15">
        <v>6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332</v>
      </c>
      <c r="E16">
        <v>0.5</v>
      </c>
      <c r="F16" s="14" t="s">
        <v>946</v>
      </c>
      <c r="G16">
        <v>3</v>
      </c>
      <c r="H16" s="14" t="s">
        <v>439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342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859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852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449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443</v>
      </c>
      <c r="E19" s="20">
        <v>70</v>
      </c>
      <c r="F19" s="22" t="s">
        <v>444</v>
      </c>
      <c r="G19" s="20">
        <v>5</v>
      </c>
      <c r="H19" s="22" t="s">
        <v>445</v>
      </c>
      <c r="I19" s="20">
        <v>18</v>
      </c>
      <c r="J19" s="22" t="s">
        <v>446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131</v>
      </c>
      <c r="F2" t="s">
        <v>132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193</v>
      </c>
      <c r="E3" t="s">
        <v>31</v>
      </c>
      <c r="F3" t="s">
        <v>149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170</v>
      </c>
      <c r="F4" t="s">
        <v>222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193</v>
      </c>
      <c r="E5" t="s">
        <v>31</v>
      </c>
      <c r="F5" t="s">
        <v>221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169</v>
      </c>
      <c r="E6" t="s">
        <v>116</v>
      </c>
      <c r="F6" t="s">
        <v>108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194</v>
      </c>
      <c r="E7" t="s">
        <v>177</v>
      </c>
      <c r="F7" t="s">
        <v>224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193</v>
      </c>
      <c r="E8" t="s">
        <v>31</v>
      </c>
      <c r="F8" t="s">
        <v>223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194</v>
      </c>
      <c r="E9" t="s">
        <v>177</v>
      </c>
      <c r="F9" t="s">
        <v>153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6"/>
  <sheetViews>
    <sheetView topLeftCell="B144" zoomScaleNormal="100" zoomScaleSheetLayoutView="100" workbookViewId="0">
      <selection activeCell="C153" sqref="C153"/>
    </sheetView>
  </sheetViews>
  <sheetFormatPr defaultColWidth="8.796875" defaultRowHeight="17.399999999999999"/>
  <cols>
    <col min="2" max="2" width="22.8984375" customWidth="1"/>
    <col min="3" max="3" width="73.5" style="9" customWidth="1"/>
    <col min="4" max="4" width="64.09765625" customWidth="1"/>
    <col min="5" max="5" width="13.69921875" customWidth="1"/>
    <col min="6" max="6" width="12.296875" bestFit="1" customWidth="1"/>
    <col min="7" max="7" width="16.69921875" customWidth="1"/>
    <col min="8" max="8" width="12.296875" bestFit="1" customWidth="1"/>
    <col min="9" max="9" width="34.19921875" customWidth="1"/>
  </cols>
  <sheetData>
    <row r="1" spans="2:9">
      <c r="B1" t="s">
        <v>28</v>
      </c>
      <c r="C1" s="9" t="s">
        <v>40</v>
      </c>
      <c r="D1" t="s">
        <v>40</v>
      </c>
      <c r="E1" t="s">
        <v>232</v>
      </c>
      <c r="F1" t="s">
        <v>232</v>
      </c>
      <c r="G1" t="s">
        <v>232</v>
      </c>
      <c r="H1" t="s">
        <v>232</v>
      </c>
      <c r="I1" t="s">
        <v>232</v>
      </c>
    </row>
    <row r="2" spans="2:9">
      <c r="B2" s="11" t="s">
        <v>569</v>
      </c>
      <c r="C2" s="9" t="s">
        <v>161</v>
      </c>
      <c r="D2" t="s">
        <v>160</v>
      </c>
      <c r="E2" s="36" t="s">
        <v>509</v>
      </c>
      <c r="F2" s="36" t="s">
        <v>510</v>
      </c>
      <c r="G2" s="36" t="s">
        <v>511</v>
      </c>
      <c r="H2" s="36" t="s">
        <v>512</v>
      </c>
      <c r="I2" s="36" t="s">
        <v>550</v>
      </c>
    </row>
    <row r="3" spans="2:9">
      <c r="B3" t="str">
        <f>LocaleTable[[#This Row],['#인덱스제너레이터]]</f>
        <v>UI_Title_Button_Start</v>
      </c>
      <c r="C3" s="53" t="s">
        <v>543</v>
      </c>
      <c r="D3" s="53" t="s">
        <v>536</v>
      </c>
      <c r="E3" s="14" t="s">
        <v>514</v>
      </c>
      <c r="F3" s="14" t="s">
        <v>548</v>
      </c>
      <c r="G3" s="14" t="s">
        <v>540</v>
      </c>
      <c r="H3" s="14" t="s">
        <v>537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544</v>
      </c>
      <c r="D4" s="53" t="s">
        <v>538</v>
      </c>
      <c r="E4" s="14" t="s">
        <v>514</v>
      </c>
      <c r="F4" s="14" t="s">
        <v>548</v>
      </c>
      <c r="G4" s="14" t="s">
        <v>540</v>
      </c>
      <c r="H4" s="14" t="s">
        <v>539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545</v>
      </c>
      <c r="D5" s="53" t="s">
        <v>541</v>
      </c>
      <c r="E5" s="14" t="s">
        <v>514</v>
      </c>
      <c r="F5" s="14" t="s">
        <v>548</v>
      </c>
      <c r="G5" s="56" t="s">
        <v>540</v>
      </c>
      <c r="H5" s="14" t="s">
        <v>542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608</v>
      </c>
      <c r="D6" s="53" t="s">
        <v>603</v>
      </c>
      <c r="E6" s="14" t="s">
        <v>514</v>
      </c>
      <c r="F6" s="14" t="s">
        <v>548</v>
      </c>
      <c r="G6" s="56" t="s">
        <v>540</v>
      </c>
      <c r="H6" s="14" t="s">
        <v>603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699</v>
      </c>
      <c r="D7" s="53" t="s">
        <v>541</v>
      </c>
      <c r="E7" s="14" t="s">
        <v>514</v>
      </c>
      <c r="F7" s="56" t="s">
        <v>539</v>
      </c>
      <c r="G7" s="56" t="s">
        <v>548</v>
      </c>
      <c r="H7" s="14" t="s">
        <v>542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779</v>
      </c>
      <c r="D8" s="53" t="s">
        <v>778</v>
      </c>
      <c r="E8" s="14" t="s">
        <v>514</v>
      </c>
      <c r="F8" s="56" t="s">
        <v>539</v>
      </c>
      <c r="G8" s="56" t="s">
        <v>548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682</v>
      </c>
      <c r="D9" s="53" t="s">
        <v>700</v>
      </c>
      <c r="E9" s="14" t="s">
        <v>514</v>
      </c>
      <c r="F9" s="56" t="s">
        <v>539</v>
      </c>
      <c r="G9" s="56" t="s">
        <v>548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683</v>
      </c>
      <c r="D10" s="53" t="s">
        <v>775</v>
      </c>
      <c r="E10" s="14" t="s">
        <v>514</v>
      </c>
      <c r="F10" s="56" t="s">
        <v>539</v>
      </c>
      <c r="G10" s="56" t="s">
        <v>548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684</v>
      </c>
      <c r="D11" s="53" t="s">
        <v>701</v>
      </c>
      <c r="E11" s="14" t="s">
        <v>514</v>
      </c>
      <c r="F11" s="56" t="s">
        <v>539</v>
      </c>
      <c r="G11" s="56" t="s">
        <v>548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685</v>
      </c>
      <c r="D12" s="53" t="s">
        <v>702</v>
      </c>
      <c r="E12" s="14" t="s">
        <v>514</v>
      </c>
      <c r="F12" s="56" t="s">
        <v>539</v>
      </c>
      <c r="G12" s="56" t="s">
        <v>548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686</v>
      </c>
      <c r="D13" s="53" t="s">
        <v>703</v>
      </c>
      <c r="E13" s="14" t="s">
        <v>514</v>
      </c>
      <c r="F13" s="56" t="s">
        <v>539</v>
      </c>
      <c r="G13" s="56" t="s">
        <v>548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687</v>
      </c>
      <c r="D14" s="53" t="s">
        <v>776</v>
      </c>
      <c r="E14" s="14" t="s">
        <v>514</v>
      </c>
      <c r="F14" s="56" t="s">
        <v>539</v>
      </c>
      <c r="G14" s="56" t="s">
        <v>548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549</v>
      </c>
      <c r="D15" s="53" t="s">
        <v>508</v>
      </c>
      <c r="E15" s="14" t="s">
        <v>514</v>
      </c>
      <c r="F15" s="56" t="s">
        <v>539</v>
      </c>
      <c r="G15" s="56" t="s">
        <v>548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807</v>
      </c>
      <c r="D16" s="53" t="s">
        <v>813</v>
      </c>
      <c r="E16" s="14" t="s">
        <v>820</v>
      </c>
      <c r="F16" s="56" t="s">
        <v>539</v>
      </c>
      <c r="G16" s="56" t="s">
        <v>777</v>
      </c>
      <c r="H16" s="14" t="s">
        <v>813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808</v>
      </c>
      <c r="D17" s="53" t="s">
        <v>814</v>
      </c>
      <c r="E17" s="14" t="s">
        <v>820</v>
      </c>
      <c r="F17" s="56" t="s">
        <v>539</v>
      </c>
      <c r="G17" s="56" t="s">
        <v>777</v>
      </c>
      <c r="H17" s="14" t="s">
        <v>814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809</v>
      </c>
      <c r="D18" s="53" t="s">
        <v>815</v>
      </c>
      <c r="E18" s="14" t="s">
        <v>820</v>
      </c>
      <c r="F18" s="56" t="s">
        <v>539</v>
      </c>
      <c r="G18" s="56" t="s">
        <v>777</v>
      </c>
      <c r="H18" s="14" t="s">
        <v>815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810</v>
      </c>
      <c r="D19" s="53" t="s">
        <v>703</v>
      </c>
      <c r="E19" s="14" t="s">
        <v>820</v>
      </c>
      <c r="F19" s="56" t="s">
        <v>539</v>
      </c>
      <c r="G19" s="56" t="s">
        <v>777</v>
      </c>
      <c r="H19" s="14" t="s">
        <v>821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608</v>
      </c>
      <c r="D20" s="53" t="s">
        <v>603</v>
      </c>
      <c r="E20" s="14" t="s">
        <v>820</v>
      </c>
      <c r="F20" s="56" t="s">
        <v>539</v>
      </c>
      <c r="G20" s="56" t="s">
        <v>777</v>
      </c>
      <c r="H20" s="14" t="s">
        <v>603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811</v>
      </c>
      <c r="D21" s="53" t="s">
        <v>816</v>
      </c>
      <c r="E21" s="14" t="s">
        <v>820</v>
      </c>
      <c r="F21" s="56" t="s">
        <v>539</v>
      </c>
      <c r="G21" s="56" t="s">
        <v>777</v>
      </c>
      <c r="H21" s="14" t="s">
        <v>822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812</v>
      </c>
      <c r="D22" s="53" t="s">
        <v>817</v>
      </c>
      <c r="E22" s="14" t="s">
        <v>820</v>
      </c>
      <c r="F22" s="56" t="s">
        <v>539</v>
      </c>
      <c r="G22" s="56" t="s">
        <v>777</v>
      </c>
      <c r="H22" s="14" t="s">
        <v>345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514</v>
      </c>
      <c r="F23" s="56" t="s">
        <v>539</v>
      </c>
      <c r="G23" s="56" t="s">
        <v>688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689</v>
      </c>
      <c r="D24" s="53" t="s">
        <v>773</v>
      </c>
      <c r="E24" s="14" t="s">
        <v>514</v>
      </c>
      <c r="F24" s="56" t="s">
        <v>539</v>
      </c>
      <c r="G24" s="56" t="s">
        <v>688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690</v>
      </c>
      <c r="D25" s="53" t="s">
        <v>774</v>
      </c>
      <c r="E25" s="14" t="s">
        <v>514</v>
      </c>
      <c r="F25" s="56" t="s">
        <v>539</v>
      </c>
      <c r="G25" s="56" t="s">
        <v>688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818</v>
      </c>
      <c r="D26" s="53" t="s">
        <v>819</v>
      </c>
      <c r="E26" s="14" t="s">
        <v>514</v>
      </c>
      <c r="F26" s="56" t="s">
        <v>539</v>
      </c>
      <c r="G26" s="56" t="s">
        <v>688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691</v>
      </c>
      <c r="D27" s="53" t="s">
        <v>704</v>
      </c>
      <c r="E27" s="14" t="s">
        <v>514</v>
      </c>
      <c r="F27" s="56" t="s">
        <v>539</v>
      </c>
      <c r="G27" s="56" t="s">
        <v>688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692</v>
      </c>
      <c r="D28" s="53" t="s">
        <v>705</v>
      </c>
      <c r="E28" s="14" t="s">
        <v>514</v>
      </c>
      <c r="F28" s="56" t="s">
        <v>539</v>
      </c>
      <c r="G28" s="56" t="s">
        <v>688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693</v>
      </c>
      <c r="D29" s="53" t="s">
        <v>706</v>
      </c>
      <c r="E29" s="14" t="s">
        <v>514</v>
      </c>
      <c r="F29" s="56" t="s">
        <v>539</v>
      </c>
      <c r="G29" s="56" t="s">
        <v>688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694</v>
      </c>
      <c r="D30" s="53" t="s">
        <v>707</v>
      </c>
      <c r="E30" s="14" t="s">
        <v>514</v>
      </c>
      <c r="F30" s="56" t="s">
        <v>539</v>
      </c>
      <c r="G30" s="56" t="s">
        <v>688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514</v>
      </c>
      <c r="F31" s="56" t="s">
        <v>539</v>
      </c>
      <c r="G31" s="56" t="s">
        <v>695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3" t="s">
        <v>713</v>
      </c>
      <c r="D32" s="53" t="s">
        <v>714</v>
      </c>
      <c r="E32" s="14" t="s">
        <v>514</v>
      </c>
      <c r="F32" s="56" t="s">
        <v>539</v>
      </c>
      <c r="G32" s="56" t="s">
        <v>695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696</v>
      </c>
      <c r="D33" s="53" t="s">
        <v>708</v>
      </c>
      <c r="E33" s="14" t="s">
        <v>514</v>
      </c>
      <c r="F33" s="56" t="s">
        <v>539</v>
      </c>
      <c r="G33" s="56" t="s">
        <v>695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3" t="s">
        <v>717</v>
      </c>
      <c r="D34" s="53" t="s">
        <v>716</v>
      </c>
      <c r="E34" s="14" t="s">
        <v>514</v>
      </c>
      <c r="F34" s="56" t="s">
        <v>539</v>
      </c>
      <c r="G34" s="56" t="s">
        <v>695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3" t="s">
        <v>718</v>
      </c>
      <c r="D35" s="53" t="s">
        <v>715</v>
      </c>
      <c r="E35" s="14" t="s">
        <v>514</v>
      </c>
      <c r="F35" s="56" t="s">
        <v>539</v>
      </c>
      <c r="G35" s="56" t="s">
        <v>695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697</v>
      </c>
      <c r="D36" s="53" t="s">
        <v>709</v>
      </c>
      <c r="E36" s="14" t="s">
        <v>514</v>
      </c>
      <c r="F36" s="56" t="s">
        <v>539</v>
      </c>
      <c r="G36" s="56" t="s">
        <v>695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711</v>
      </c>
      <c r="D37" s="53" t="s">
        <v>712</v>
      </c>
      <c r="E37" s="14" t="s">
        <v>514</v>
      </c>
      <c r="F37" s="56" t="s">
        <v>539</v>
      </c>
      <c r="G37" s="56" t="s">
        <v>695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698</v>
      </c>
      <c r="D38" s="53" t="s">
        <v>710</v>
      </c>
      <c r="E38" s="14" t="s">
        <v>514</v>
      </c>
      <c r="F38" s="56" t="s">
        <v>539</v>
      </c>
      <c r="G38" s="56" t="s">
        <v>695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608</v>
      </c>
      <c r="D39" s="53" t="s">
        <v>603</v>
      </c>
      <c r="E39" s="14" t="s">
        <v>514</v>
      </c>
      <c r="F39" s="14" t="s">
        <v>603</v>
      </c>
      <c r="G39" s="56" t="s">
        <v>548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610</v>
      </c>
      <c r="D40" s="53" t="s">
        <v>609</v>
      </c>
      <c r="E40" s="14" t="s">
        <v>514</v>
      </c>
      <c r="F40" s="14" t="s">
        <v>603</v>
      </c>
      <c r="G40" s="56" t="s">
        <v>604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611</v>
      </c>
      <c r="D41" s="53" t="s">
        <v>614</v>
      </c>
      <c r="E41" s="14" t="s">
        <v>514</v>
      </c>
      <c r="F41" s="14" t="s">
        <v>603</v>
      </c>
      <c r="G41" s="56" t="s">
        <v>605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612</v>
      </c>
      <c r="D42" s="53" t="s">
        <v>613</v>
      </c>
      <c r="E42" s="14" t="s">
        <v>514</v>
      </c>
      <c r="F42" s="14" t="s">
        <v>603</v>
      </c>
      <c r="G42" s="56" t="s">
        <v>606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615</v>
      </c>
      <c r="D43" s="53" t="s">
        <v>607</v>
      </c>
      <c r="E43" s="14" t="s">
        <v>514</v>
      </c>
      <c r="F43" s="14" t="s">
        <v>603</v>
      </c>
      <c r="G43" s="56" t="s">
        <v>607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617</v>
      </c>
      <c r="D44" s="53" t="s">
        <v>618</v>
      </c>
      <c r="E44" s="14" t="s">
        <v>514</v>
      </c>
      <c r="F44" s="14" t="s">
        <v>603</v>
      </c>
      <c r="G44" s="56" t="s">
        <v>616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619</v>
      </c>
      <c r="D45" s="53" t="s">
        <v>539</v>
      </c>
      <c r="E45" s="14" t="s">
        <v>514</v>
      </c>
      <c r="F45" s="14" t="s">
        <v>603</v>
      </c>
      <c r="G45" s="56" t="s">
        <v>539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549</v>
      </c>
      <c r="D46" s="53" t="s">
        <v>630</v>
      </c>
      <c r="E46" s="14" t="s">
        <v>514</v>
      </c>
      <c r="F46" s="14" t="s">
        <v>546</v>
      </c>
      <c r="G46" s="14" t="s">
        <v>547</v>
      </c>
      <c r="H46" s="14" t="s">
        <v>630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529</v>
      </c>
      <c r="D47" s="53" t="s">
        <v>515</v>
      </c>
      <c r="E47" s="14" t="s">
        <v>514</v>
      </c>
      <c r="F47" s="14" t="s">
        <v>546</v>
      </c>
      <c r="G47" s="14" t="s">
        <v>547</v>
      </c>
      <c r="H47" s="14" t="s">
        <v>516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825</v>
      </c>
      <c r="D48" s="53" t="s">
        <v>837</v>
      </c>
      <c r="E48" s="14" t="s">
        <v>514</v>
      </c>
      <c r="F48" s="14" t="s">
        <v>546</v>
      </c>
      <c r="G48" s="14" t="s">
        <v>826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830</v>
      </c>
      <c r="D49" s="53" t="s">
        <v>836</v>
      </c>
      <c r="E49" s="14" t="s">
        <v>514</v>
      </c>
      <c r="F49" s="14" t="s">
        <v>546</v>
      </c>
      <c r="G49" s="14" t="s">
        <v>826</v>
      </c>
      <c r="H49" s="14" t="s">
        <v>339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831</v>
      </c>
      <c r="D50" s="53" t="s">
        <v>827</v>
      </c>
      <c r="E50" s="14" t="s">
        <v>514</v>
      </c>
      <c r="F50" s="14" t="s">
        <v>546</v>
      </c>
      <c r="G50" s="14" t="s">
        <v>826</v>
      </c>
      <c r="H50" s="14" t="s">
        <v>827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832</v>
      </c>
      <c r="D51" s="53" t="s">
        <v>828</v>
      </c>
      <c r="E51" s="14" t="s">
        <v>514</v>
      </c>
      <c r="F51" s="14" t="s">
        <v>546</v>
      </c>
      <c r="G51" s="14" t="s">
        <v>826</v>
      </c>
      <c r="H51" s="14" t="s">
        <v>828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833</v>
      </c>
      <c r="D52" s="53" t="s">
        <v>835</v>
      </c>
      <c r="E52" s="14" t="s">
        <v>514</v>
      </c>
      <c r="F52" s="14" t="s">
        <v>546</v>
      </c>
      <c r="G52" s="14" t="s">
        <v>826</v>
      </c>
      <c r="H52" s="14" t="s">
        <v>829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834</v>
      </c>
      <c r="D53" s="53" t="s">
        <v>620</v>
      </c>
      <c r="E53" s="14" t="s">
        <v>514</v>
      </c>
      <c r="F53" s="14" t="s">
        <v>546</v>
      </c>
      <c r="G53" s="14" t="s">
        <v>826</v>
      </c>
      <c r="H53" s="14" t="s">
        <v>620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530</v>
      </c>
      <c r="D54" s="53" t="s">
        <v>518</v>
      </c>
      <c r="E54" s="19" t="s">
        <v>514</v>
      </c>
      <c r="F54" s="14" t="s">
        <v>546</v>
      </c>
      <c r="G54" s="19" t="s">
        <v>517</v>
      </c>
      <c r="H54" s="14" t="s">
        <v>519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531</v>
      </c>
      <c r="D55" s="53" t="s">
        <v>525</v>
      </c>
      <c r="E55" s="19" t="s">
        <v>514</v>
      </c>
      <c r="F55" s="14" t="s">
        <v>546</v>
      </c>
      <c r="G55" s="19" t="s">
        <v>517</v>
      </c>
      <c r="H55" s="14" t="s">
        <v>526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532</v>
      </c>
      <c r="D56" s="53" t="s">
        <v>522</v>
      </c>
      <c r="E56" s="14" t="s">
        <v>514</v>
      </c>
      <c r="F56" s="14" t="s">
        <v>546</v>
      </c>
      <c r="G56" s="14" t="s">
        <v>517</v>
      </c>
      <c r="H56" s="14" t="s">
        <v>523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534</v>
      </c>
      <c r="D57" s="53" t="s">
        <v>520</v>
      </c>
      <c r="E57" s="14" t="s">
        <v>514</v>
      </c>
      <c r="F57" s="14" t="s">
        <v>546</v>
      </c>
      <c r="G57" s="14" t="s">
        <v>517</v>
      </c>
      <c r="H57" s="14" t="s">
        <v>521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533</v>
      </c>
      <c r="D58" s="53" t="s">
        <v>527</v>
      </c>
      <c r="E58" s="14" t="s">
        <v>514</v>
      </c>
      <c r="F58" s="14" t="s">
        <v>546</v>
      </c>
      <c r="G58" s="14" t="s">
        <v>517</v>
      </c>
      <c r="H58" s="14" t="s">
        <v>528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535</v>
      </c>
      <c r="D59" s="53" t="s">
        <v>157</v>
      </c>
      <c r="E59" s="14" t="s">
        <v>514</v>
      </c>
      <c r="F59" s="14" t="s">
        <v>546</v>
      </c>
      <c r="G59" s="14" t="s">
        <v>517</v>
      </c>
      <c r="H59" s="14" t="s">
        <v>524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629</v>
      </c>
      <c r="D60" s="53" t="s">
        <v>548</v>
      </c>
      <c r="E60" s="14" t="s">
        <v>514</v>
      </c>
      <c r="F60" s="14" t="s">
        <v>626</v>
      </c>
      <c r="G60" s="14" t="s">
        <v>548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628</v>
      </c>
      <c r="D61" s="53" t="s">
        <v>627</v>
      </c>
      <c r="E61" s="14" t="s">
        <v>514</v>
      </c>
      <c r="F61" s="14" t="s">
        <v>626</v>
      </c>
      <c r="G61" s="14" t="s">
        <v>627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849</v>
      </c>
      <c r="D62" s="53" t="s">
        <v>847</v>
      </c>
      <c r="E62" s="14" t="s">
        <v>514</v>
      </c>
      <c r="F62" s="14" t="s">
        <v>845</v>
      </c>
      <c r="G62" s="14" t="s">
        <v>847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848</v>
      </c>
      <c r="D63" s="53" t="s">
        <v>846</v>
      </c>
      <c r="E63" s="14" t="s">
        <v>514</v>
      </c>
      <c r="F63" s="14" t="s">
        <v>845</v>
      </c>
      <c r="G63" s="14" t="s">
        <v>846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838</v>
      </c>
      <c r="D64" s="53" t="s">
        <v>839</v>
      </c>
      <c r="E64" s="14" t="s">
        <v>514</v>
      </c>
      <c r="F64" s="14" t="s">
        <v>672</v>
      </c>
      <c r="G64" s="14" t="s">
        <v>673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674</v>
      </c>
      <c r="D65" s="53" t="s">
        <v>800</v>
      </c>
      <c r="E65" s="14" t="s">
        <v>514</v>
      </c>
      <c r="F65" s="14" t="s">
        <v>672</v>
      </c>
      <c r="G65" s="14" t="s">
        <v>673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675</v>
      </c>
      <c r="D66" s="53" t="s">
        <v>799</v>
      </c>
      <c r="E66" s="14" t="s">
        <v>514</v>
      </c>
      <c r="F66" s="14" t="s">
        <v>672</v>
      </c>
      <c r="G66" s="14" t="s">
        <v>673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676</v>
      </c>
      <c r="D67" s="53" t="s">
        <v>801</v>
      </c>
      <c r="E67" s="14" t="s">
        <v>514</v>
      </c>
      <c r="F67" s="14" t="s">
        <v>672</v>
      </c>
      <c r="G67" s="14" t="s">
        <v>673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802</v>
      </c>
      <c r="D68" s="53" t="s">
        <v>803</v>
      </c>
      <c r="E68" s="14" t="s">
        <v>514</v>
      </c>
      <c r="F68" s="14" t="s">
        <v>672</v>
      </c>
      <c r="G68" s="14" t="s">
        <v>673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677</v>
      </c>
      <c r="D69" s="53" t="s">
        <v>680</v>
      </c>
      <c r="E69" s="14" t="s">
        <v>514</v>
      </c>
      <c r="F69" s="14" t="s">
        <v>672</v>
      </c>
      <c r="G69" s="14" t="s">
        <v>673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3" t="s">
        <v>678</v>
      </c>
      <c r="D70" s="53" t="s">
        <v>804</v>
      </c>
      <c r="E70" s="14" t="s">
        <v>514</v>
      </c>
      <c r="F70" s="14" t="s">
        <v>672</v>
      </c>
      <c r="G70" s="14" t="s">
        <v>673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679</v>
      </c>
      <c r="D71" s="53" t="s">
        <v>681</v>
      </c>
      <c r="E71" s="14" t="s">
        <v>514</v>
      </c>
      <c r="F71" s="14" t="s">
        <v>672</v>
      </c>
      <c r="G71" s="14" t="s">
        <v>673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806</v>
      </c>
      <c r="D72" s="53" t="s">
        <v>805</v>
      </c>
      <c r="E72" s="14" t="s">
        <v>514</v>
      </c>
      <c r="F72" s="14" t="s">
        <v>672</v>
      </c>
      <c r="G72" s="14" t="s">
        <v>673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842</v>
      </c>
      <c r="D73" s="53" t="s">
        <v>843</v>
      </c>
      <c r="E73" s="14" t="s">
        <v>514</v>
      </c>
      <c r="F73" s="14" t="s">
        <v>672</v>
      </c>
      <c r="G73" s="14" t="s">
        <v>673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840</v>
      </c>
      <c r="D74" s="53" t="s">
        <v>841</v>
      </c>
      <c r="E74" s="14" t="s">
        <v>514</v>
      </c>
      <c r="F74" s="14" t="s">
        <v>672</v>
      </c>
      <c r="G74" s="14" t="s">
        <v>673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823</v>
      </c>
      <c r="D75" s="53" t="s">
        <v>824</v>
      </c>
      <c r="E75" s="14" t="s">
        <v>514</v>
      </c>
      <c r="F75" s="14" t="s">
        <v>672</v>
      </c>
      <c r="G75" s="14" t="s">
        <v>673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622</v>
      </c>
      <c r="D76" s="53" t="s">
        <v>625</v>
      </c>
      <c r="E76" s="14" t="s">
        <v>514</v>
      </c>
      <c r="F76" s="14" t="s">
        <v>620</v>
      </c>
      <c r="G76" s="14" t="s">
        <v>621</v>
      </c>
      <c r="H76" s="14" t="s">
        <v>548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623</v>
      </c>
      <c r="D77" s="53" t="s">
        <v>624</v>
      </c>
      <c r="E77" s="14" t="s">
        <v>514</v>
      </c>
      <c r="F77" s="14" t="s">
        <v>620</v>
      </c>
      <c r="G77" s="14" t="s">
        <v>621</v>
      </c>
      <c r="H77" s="14" t="s">
        <v>319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208</v>
      </c>
      <c r="D78" s="53" t="s">
        <v>480</v>
      </c>
      <c r="E78" s="14" t="s">
        <v>508</v>
      </c>
      <c r="F78" s="14" t="s">
        <v>319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912</v>
      </c>
      <c r="D79" s="53" t="s">
        <v>913</v>
      </c>
      <c r="E79" s="14" t="s">
        <v>508</v>
      </c>
      <c r="F79" s="14" t="s">
        <v>319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99</v>
      </c>
      <c r="D80" s="53" t="s">
        <v>482</v>
      </c>
      <c r="E80" s="14" t="s">
        <v>508</v>
      </c>
      <c r="F80" s="14" t="s">
        <v>319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98</v>
      </c>
      <c r="D81" s="53" t="s">
        <v>551</v>
      </c>
      <c r="E81" s="14" t="s">
        <v>508</v>
      </c>
      <c r="F81" s="14" t="s">
        <v>319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495</v>
      </c>
      <c r="E82" s="14" t="s">
        <v>508</v>
      </c>
      <c r="F82" s="14" t="s">
        <v>319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100</v>
      </c>
      <c r="D83" s="53" t="s">
        <v>562</v>
      </c>
      <c r="E83" s="14" t="s">
        <v>508</v>
      </c>
      <c r="F83" s="14" t="s">
        <v>319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484</v>
      </c>
      <c r="E84" s="14" t="s">
        <v>508</v>
      </c>
      <c r="F84" s="14" t="s">
        <v>319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922</v>
      </c>
      <c r="D85" s="53" t="s">
        <v>923</v>
      </c>
      <c r="E85" s="14" t="s">
        <v>508</v>
      </c>
      <c r="F85" s="14" t="s">
        <v>319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499</v>
      </c>
      <c r="E86" s="14" t="s">
        <v>508</v>
      </c>
      <c r="F86" s="14" t="s">
        <v>319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205</v>
      </c>
      <c r="D87" s="53" t="s">
        <v>552</v>
      </c>
      <c r="E87" s="14" t="s">
        <v>508</v>
      </c>
      <c r="F87" s="14" t="s">
        <v>319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215</v>
      </c>
      <c r="D88" s="53" t="s">
        <v>553</v>
      </c>
      <c r="E88" s="14" t="s">
        <v>508</v>
      </c>
      <c r="F88" s="14" t="s">
        <v>319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102</v>
      </c>
      <c r="D89" s="53" t="s">
        <v>554</v>
      </c>
      <c r="E89" s="14" t="s">
        <v>508</v>
      </c>
      <c r="F89" s="14" t="s">
        <v>319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355</v>
      </c>
      <c r="D90" s="53" t="s">
        <v>555</v>
      </c>
      <c r="E90" s="14" t="s">
        <v>508</v>
      </c>
      <c r="F90" s="14" t="s">
        <v>319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97</v>
      </c>
      <c r="D91" s="53" t="s">
        <v>556</v>
      </c>
      <c r="E91" s="14" t="s">
        <v>508</v>
      </c>
      <c r="F91" s="14" t="s">
        <v>319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487</v>
      </c>
      <c r="E92" s="14" t="s">
        <v>508</v>
      </c>
      <c r="F92" s="14" t="s">
        <v>319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927</v>
      </c>
      <c r="D93" s="53" t="s">
        <v>924</v>
      </c>
      <c r="E93" s="14" t="s">
        <v>508</v>
      </c>
      <c r="F93" s="14" t="s">
        <v>319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206</v>
      </c>
      <c r="D94" s="53" t="s">
        <v>928</v>
      </c>
      <c r="E94" s="14" t="s">
        <v>508</v>
      </c>
      <c r="F94" s="14" t="s">
        <v>319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360</v>
      </c>
      <c r="D95" s="53" t="s">
        <v>557</v>
      </c>
      <c r="E95" s="14" t="s">
        <v>508</v>
      </c>
      <c r="F95" s="14" t="s">
        <v>319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435</v>
      </c>
      <c r="D96" s="53" t="s">
        <v>558</v>
      </c>
      <c r="E96" s="14" t="s">
        <v>508</v>
      </c>
      <c r="F96" s="14" t="s">
        <v>319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438</v>
      </c>
      <c r="D97" s="53" t="s">
        <v>780</v>
      </c>
      <c r="E97" s="14" t="s">
        <v>508</v>
      </c>
      <c r="F97" s="14" t="s">
        <v>319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Item_Name_4007</v>
      </c>
      <c r="C98" s="54" t="s">
        <v>934</v>
      </c>
      <c r="D98" s="54" t="s">
        <v>933</v>
      </c>
      <c r="E98" s="14" t="s">
        <v>508</v>
      </c>
      <c r="F98" s="14" t="s">
        <v>319</v>
      </c>
      <c r="G98" s="19">
        <v>4007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99" spans="2:9">
      <c r="B99" t="str">
        <f>LocaleTable[[#This Row],['#인덱스제너레이터]]</f>
        <v>Item_Name_10000</v>
      </c>
      <c r="C99" s="53" t="s">
        <v>351</v>
      </c>
      <c r="D99" s="53" t="s">
        <v>559</v>
      </c>
      <c r="E99" s="14" t="s">
        <v>508</v>
      </c>
      <c r="F99" s="14" t="s">
        <v>319</v>
      </c>
      <c r="G99" s="19">
        <v>10000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00" spans="2:9">
      <c r="B100" t="str">
        <f>LocaleTable[[#This Row],['#인덱스제너레이터]]</f>
        <v>Item_Name_10001</v>
      </c>
      <c r="C100" s="54" t="s">
        <v>365</v>
      </c>
      <c r="D100" s="53" t="s">
        <v>560</v>
      </c>
      <c r="E100" s="14" t="s">
        <v>508</v>
      </c>
      <c r="F100" s="14" t="s">
        <v>319</v>
      </c>
      <c r="G100" s="19">
        <v>10001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1" spans="2:9">
      <c r="B101" t="str">
        <f>LocaleTable[[#This Row],['#인덱스제너레이터]]</f>
        <v>Item_Name_10002</v>
      </c>
      <c r="C101" s="54" t="s">
        <v>478</v>
      </c>
      <c r="D101" s="53" t="s">
        <v>490</v>
      </c>
      <c r="E101" s="14" t="s">
        <v>508</v>
      </c>
      <c r="F101" s="14" t="s">
        <v>319</v>
      </c>
      <c r="G101" s="19">
        <v>10002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2" spans="2:9">
      <c r="B102" t="str">
        <f>LocaleTable[[#This Row],['#인덱스제너레이터]]</f>
        <v>Item_Name_10003</v>
      </c>
      <c r="C102" s="54" t="s">
        <v>353</v>
      </c>
      <c r="D102" s="53" t="s">
        <v>561</v>
      </c>
      <c r="E102" s="14" t="s">
        <v>508</v>
      </c>
      <c r="F102" s="14" t="s">
        <v>319</v>
      </c>
      <c r="G102" s="19">
        <v>10003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3" spans="2:9">
      <c r="B103" t="str">
        <f>LocaleTable[[#This Row],['#인덱스제너레이터]]</f>
        <v>Item_Name_10004</v>
      </c>
      <c r="C103" s="53" t="s">
        <v>440</v>
      </c>
      <c r="D103" s="53" t="s">
        <v>492</v>
      </c>
      <c r="E103" s="14" t="s">
        <v>508</v>
      </c>
      <c r="F103" s="14" t="s">
        <v>319</v>
      </c>
      <c r="G103" s="19">
        <v>10004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4" spans="2:9">
      <c r="B104" t="str">
        <f>LocaleTable[[#This Row],['#인덱스제너레이터]]</f>
        <v>Item_Name_10005</v>
      </c>
      <c r="C104" s="53" t="s">
        <v>450</v>
      </c>
      <c r="D104" s="53" t="s">
        <v>781</v>
      </c>
      <c r="E104" s="14" t="s">
        <v>508</v>
      </c>
      <c r="F104" s="14" t="s">
        <v>319</v>
      </c>
      <c r="G104" s="19">
        <v>10005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5" spans="2:9">
      <c r="B105" t="str">
        <f>LocaleTable[[#This Row],['#인덱스제너레이터]]</f>
        <v>Item_Desc_2000</v>
      </c>
      <c r="C105" s="53" t="s">
        <v>393</v>
      </c>
      <c r="D105" s="53" t="s">
        <v>564</v>
      </c>
      <c r="E105" s="14" t="s">
        <v>508</v>
      </c>
      <c r="F105" s="14" t="s">
        <v>513</v>
      </c>
      <c r="G105" s="19">
        <v>2000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6" spans="2:9" ht="34.799999999999997">
      <c r="B106" t="str">
        <f>LocaleTable[[#This Row],['#인덱스제너레이터]]</f>
        <v>Item_Desc_2001</v>
      </c>
      <c r="C106" s="54" t="s">
        <v>929</v>
      </c>
      <c r="D106" s="53" t="s">
        <v>930</v>
      </c>
      <c r="E106" s="14" t="s">
        <v>508</v>
      </c>
      <c r="F106" s="14" t="s">
        <v>513</v>
      </c>
      <c r="G106" s="19">
        <v>2001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7" spans="2:9">
      <c r="B107" t="str">
        <f>LocaleTable[[#This Row],['#인덱스제너레이터]]</f>
        <v>Item_Desc_2002</v>
      </c>
      <c r="C107" s="54" t="s">
        <v>225</v>
      </c>
      <c r="D107" s="53" t="s">
        <v>565</v>
      </c>
      <c r="E107" s="14" t="s">
        <v>508</v>
      </c>
      <c r="F107" s="14" t="s">
        <v>513</v>
      </c>
      <c r="G107" s="19">
        <v>2002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8" spans="2:9" ht="34.799999999999997">
      <c r="B108" t="str">
        <f>LocaleTable[[#This Row],['#인덱스제너레이터]]</f>
        <v>Item_Desc_2003</v>
      </c>
      <c r="C108" s="53" t="s">
        <v>226</v>
      </c>
      <c r="D108" s="53" t="s">
        <v>719</v>
      </c>
      <c r="E108" s="14" t="s">
        <v>508</v>
      </c>
      <c r="F108" s="14" t="s">
        <v>513</v>
      </c>
      <c r="G108" s="19">
        <v>2003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9" spans="2:9" ht="34.799999999999997">
      <c r="B109" t="str">
        <f>LocaleTable[[#This Row],['#인덱스제너레이터]]</f>
        <v>Item_Desc_2004</v>
      </c>
      <c r="C109" s="55" t="s">
        <v>367</v>
      </c>
      <c r="D109" s="53" t="s">
        <v>566</v>
      </c>
      <c r="E109" s="14" t="s">
        <v>508</v>
      </c>
      <c r="F109" s="14" t="s">
        <v>513</v>
      </c>
      <c r="G109" s="19">
        <v>2004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10" spans="2:9">
      <c r="B110" t="str">
        <f>LocaleTable[[#This Row],['#인덱스제너레이터]]</f>
        <v>Item_Desc_2005</v>
      </c>
      <c r="C110" s="53" t="s">
        <v>230</v>
      </c>
      <c r="D110" s="53" t="s">
        <v>720</v>
      </c>
      <c r="E110" s="14" t="s">
        <v>508</v>
      </c>
      <c r="F110" s="14" t="s">
        <v>513</v>
      </c>
      <c r="G110" s="19">
        <v>2005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1" spans="2:9">
      <c r="B111" t="str">
        <f>LocaleTable[[#This Row],['#인덱스제너레이터]]</f>
        <v>Item_Desc_3000</v>
      </c>
      <c r="C111" s="55" t="s">
        <v>567</v>
      </c>
      <c r="D111" s="53" t="s">
        <v>721</v>
      </c>
      <c r="E111" s="14" t="s">
        <v>508</v>
      </c>
      <c r="F111" s="14" t="s">
        <v>513</v>
      </c>
      <c r="G111" s="19">
        <v>3000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2" spans="2:9">
      <c r="B112" t="str">
        <f>LocaleTable[[#This Row],['#인덱스제너레이터]]</f>
        <v>Item_Desc_3001</v>
      </c>
      <c r="C112" s="81" t="s">
        <v>931</v>
      </c>
      <c r="D112" s="55" t="s">
        <v>932</v>
      </c>
      <c r="E112" s="14" t="s">
        <v>508</v>
      </c>
      <c r="F112" s="14" t="s">
        <v>513</v>
      </c>
      <c r="G112" s="19">
        <v>3001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3" spans="2:9">
      <c r="B113" t="str">
        <f>LocaleTable[[#This Row],['#인덱스제너레이터]]</f>
        <v>Item_Desc_3002</v>
      </c>
      <c r="C113" s="54" t="s">
        <v>368</v>
      </c>
      <c r="D113" s="53" t="s">
        <v>853</v>
      </c>
      <c r="E113" s="14" t="s">
        <v>508</v>
      </c>
      <c r="F113" s="14" t="s">
        <v>513</v>
      </c>
      <c r="G113" s="19">
        <v>3002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4" spans="2:9" ht="34.799999999999997">
      <c r="B114" t="str">
        <f>LocaleTable[[#This Row],['#인덱스제너레이터]]</f>
        <v>Item_Desc_3003</v>
      </c>
      <c r="C114" s="54" t="s">
        <v>854</v>
      </c>
      <c r="D114" s="53" t="s">
        <v>722</v>
      </c>
      <c r="E114" s="14" t="s">
        <v>508</v>
      </c>
      <c r="F114" s="14" t="s">
        <v>513</v>
      </c>
      <c r="G114" s="19">
        <v>3003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5" spans="2:9">
      <c r="B115" t="str">
        <f>LocaleTable[[#This Row],['#인덱스제너레이터]]</f>
        <v>Item_Desc_3004</v>
      </c>
      <c r="C115" s="54" t="s">
        <v>228</v>
      </c>
      <c r="D115" s="53" t="s">
        <v>726</v>
      </c>
      <c r="E115" s="14" t="s">
        <v>508</v>
      </c>
      <c r="F115" s="14" t="s">
        <v>513</v>
      </c>
      <c r="G115" s="19">
        <v>3004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6" spans="2:9">
      <c r="B116" t="str">
        <f>LocaleTable[[#This Row],['#인덱스제너레이터]]</f>
        <v>Item_Desc_3005</v>
      </c>
      <c r="C116" s="54" t="s">
        <v>563</v>
      </c>
      <c r="D116" s="53" t="s">
        <v>855</v>
      </c>
      <c r="E116" s="14" t="s">
        <v>508</v>
      </c>
      <c r="F116" s="14" t="s">
        <v>513</v>
      </c>
      <c r="G116" s="19">
        <v>3005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7" spans="2:9">
      <c r="B117" t="str">
        <f>LocaleTable[[#This Row],['#인덱스제너레이터]]</f>
        <v>Item_Desc_3006</v>
      </c>
      <c r="C117" s="54" t="s">
        <v>356</v>
      </c>
      <c r="D117" s="53" t="s">
        <v>856</v>
      </c>
      <c r="E117" s="14" t="s">
        <v>508</v>
      </c>
      <c r="F117" s="14" t="s">
        <v>513</v>
      </c>
      <c r="G117" s="19">
        <v>3006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8" spans="2:9" ht="34.799999999999997">
      <c r="B118" t="str">
        <f>LocaleTable[[#This Row],['#인덱스제너레이터]]</f>
        <v>Item_Desc_4000</v>
      </c>
      <c r="C118" s="53" t="s">
        <v>229</v>
      </c>
      <c r="D118" s="53" t="s">
        <v>857</v>
      </c>
      <c r="E118" s="14" t="s">
        <v>508</v>
      </c>
      <c r="F118" s="14" t="s">
        <v>513</v>
      </c>
      <c r="G118" s="19">
        <v>4000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9" spans="2:9">
      <c r="B119" t="str">
        <f>LocaleTable[[#This Row],['#인덱스제너레이터]]</f>
        <v>Item_Desc_4001</v>
      </c>
      <c r="C119" s="53" t="s">
        <v>371</v>
      </c>
      <c r="D119" s="53" t="s">
        <v>858</v>
      </c>
      <c r="E119" s="14" t="s">
        <v>508</v>
      </c>
      <c r="F119" s="14" t="s">
        <v>513</v>
      </c>
      <c r="G119" s="19">
        <v>4001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20" spans="2:9" ht="34.799999999999997">
      <c r="B120" t="str">
        <f>LocaleTable[[#This Row],['#인덱스제너레이터]]</f>
        <v>Item_Desc_4002</v>
      </c>
      <c r="C120" s="54" t="s">
        <v>925</v>
      </c>
      <c r="D120" s="53" t="s">
        <v>926</v>
      </c>
      <c r="E120" s="14" t="s">
        <v>508</v>
      </c>
      <c r="F120" s="14" t="s">
        <v>513</v>
      </c>
      <c r="G120" s="19">
        <v>4002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1" spans="2:9" ht="34.799999999999997">
      <c r="B121" t="str">
        <f>LocaleTable[[#This Row],['#인덱스제너레이터]]</f>
        <v>Item_Desc_4003</v>
      </c>
      <c r="C121" s="53" t="s">
        <v>227</v>
      </c>
      <c r="D121" s="53" t="s">
        <v>571</v>
      </c>
      <c r="E121" s="14" t="s">
        <v>508</v>
      </c>
      <c r="F121" s="14" t="s">
        <v>513</v>
      </c>
      <c r="G121" s="19">
        <v>4003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2" spans="2:9" ht="34.799999999999997">
      <c r="B122" t="str">
        <f>LocaleTable[[#This Row],['#인덱스제너레이터]]</f>
        <v>Item_Desc_4004</v>
      </c>
      <c r="C122" s="53" t="s">
        <v>231</v>
      </c>
      <c r="D122" s="53" t="s">
        <v>570</v>
      </c>
      <c r="E122" s="14" t="s">
        <v>508</v>
      </c>
      <c r="F122" s="14" t="s">
        <v>513</v>
      </c>
      <c r="G122" s="19">
        <v>4004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3" spans="2:9">
      <c r="B123" t="str">
        <f>LocaleTable[[#This Row],['#인덱스제너레이터]]</f>
        <v>Item_Desc_4005</v>
      </c>
      <c r="C123" s="53" t="s">
        <v>795</v>
      </c>
      <c r="D123" s="53" t="s">
        <v>723</v>
      </c>
      <c r="E123" s="14" t="s">
        <v>508</v>
      </c>
      <c r="F123" s="14" t="s">
        <v>513</v>
      </c>
      <c r="G123" s="19">
        <v>4005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4" spans="2:9">
      <c r="B124" t="str">
        <f>LocaleTable[[#This Row],['#인덱스제너레이터]]</f>
        <v>Item_Desc_4006</v>
      </c>
      <c r="C124" s="53" t="s">
        <v>860</v>
      </c>
      <c r="D124" s="53" t="s">
        <v>573</v>
      </c>
      <c r="E124" s="14" t="s">
        <v>508</v>
      </c>
      <c r="F124" s="14" t="s">
        <v>513</v>
      </c>
      <c r="G124" s="19">
        <v>4006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5" spans="2:9" ht="34.799999999999997">
      <c r="B125" t="str">
        <f>LocaleTable[[#This Row],['#인덱스제너레이터]]</f>
        <v>Item_Desc_4007</v>
      </c>
      <c r="C125" s="81" t="s">
        <v>942</v>
      </c>
      <c r="D125" s="55" t="s">
        <v>943</v>
      </c>
      <c r="E125" s="14" t="s">
        <v>508</v>
      </c>
      <c r="F125" s="14" t="s">
        <v>513</v>
      </c>
      <c r="G125" s="19">
        <v>4007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26" spans="2:9" ht="34.799999999999997">
      <c r="B126" t="str">
        <f>LocaleTable[[#This Row],['#인덱스제너레이터]]</f>
        <v>Item_Desc_10000</v>
      </c>
      <c r="C126" s="53" t="s">
        <v>862</v>
      </c>
      <c r="D126" s="53" t="s">
        <v>724</v>
      </c>
      <c r="E126" s="14" t="s">
        <v>508</v>
      </c>
      <c r="F126" s="14" t="s">
        <v>513</v>
      </c>
      <c r="G126" s="19">
        <v>10000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7" spans="2:9">
      <c r="B127" t="str">
        <f>LocaleTable[[#This Row],['#인덱스제너레이터]]</f>
        <v>Item_Desc_10001</v>
      </c>
      <c r="C127" s="54" t="s">
        <v>369</v>
      </c>
      <c r="D127" s="53" t="s">
        <v>574</v>
      </c>
      <c r="E127" s="14" t="s">
        <v>508</v>
      </c>
      <c r="F127" s="14" t="s">
        <v>513</v>
      </c>
      <c r="G127" s="19">
        <v>10001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8" spans="2:9" ht="34.799999999999997">
      <c r="B128" t="str">
        <f>LocaleTable[[#This Row],['#인덱스제너레이터]]</f>
        <v>Item_Desc_10002</v>
      </c>
      <c r="C128" s="54" t="s">
        <v>861</v>
      </c>
      <c r="D128" s="55" t="s">
        <v>725</v>
      </c>
      <c r="E128" s="14" t="s">
        <v>508</v>
      </c>
      <c r="F128" s="14" t="s">
        <v>513</v>
      </c>
      <c r="G128" s="19">
        <v>10002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9" spans="2:9">
      <c r="B129" t="str">
        <f>LocaleTable[[#This Row],['#인덱스제너레이터]]</f>
        <v>Item_Desc_10003</v>
      </c>
      <c r="C129" s="54" t="s">
        <v>366</v>
      </c>
      <c r="D129" s="53" t="s">
        <v>788</v>
      </c>
      <c r="E129" s="14" t="s">
        <v>508</v>
      </c>
      <c r="F129" s="14" t="s">
        <v>513</v>
      </c>
      <c r="G129" s="19">
        <v>10003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30" spans="2:9">
      <c r="B130" t="str">
        <f>LocaleTable[[#This Row],['#인덱스제너레이터]]</f>
        <v>Item_Desc_10004</v>
      </c>
      <c r="C130" s="53" t="s">
        <v>441</v>
      </c>
      <c r="D130" s="53" t="s">
        <v>580</v>
      </c>
      <c r="E130" s="14" t="s">
        <v>508</v>
      </c>
      <c r="F130" s="14" t="s">
        <v>513</v>
      </c>
      <c r="G130" s="19">
        <v>10004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31" spans="2:9">
      <c r="B131" t="str">
        <f>LocaleTable[[#This Row],['#인덱스제너레이터]]</f>
        <v>Item_Desc_10005</v>
      </c>
      <c r="C131" s="53" t="s">
        <v>451</v>
      </c>
      <c r="D131" s="53" t="s">
        <v>581</v>
      </c>
      <c r="E131" s="14" t="s">
        <v>508</v>
      </c>
      <c r="F131" s="14" t="s">
        <v>513</v>
      </c>
      <c r="G131" s="19">
        <v>10005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2" spans="2:9">
      <c r="B132" t="str">
        <f>LocaleTable[[#This Row],['#인덱스제너레이터]]</f>
        <v>Item_PlusDesc_2000</v>
      </c>
      <c r="C132" s="54" t="s">
        <v>398</v>
      </c>
      <c r="D132" s="53" t="s">
        <v>582</v>
      </c>
      <c r="E132" s="14" t="s">
        <v>508</v>
      </c>
      <c r="F132" s="14" t="s">
        <v>346</v>
      </c>
      <c r="G132" s="19">
        <v>2000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3" spans="2:9">
      <c r="B133" t="str">
        <f>LocaleTable[[#This Row],['#인덱스제너레이터]]</f>
        <v>Item_PlusDesc_2001</v>
      </c>
      <c r="C133" s="53" t="s">
        <v>760</v>
      </c>
      <c r="D133" s="53" t="s">
        <v>770</v>
      </c>
      <c r="E133" s="14" t="s">
        <v>508</v>
      </c>
      <c r="F133" s="14" t="s">
        <v>346</v>
      </c>
      <c r="G133" s="19">
        <v>2001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4" spans="2:9">
      <c r="B134" t="str">
        <f>LocaleTable[[#This Row],['#인덱스제너레이터]]</f>
        <v>Item_PlusDesc_2002</v>
      </c>
      <c r="C134" s="53" t="s">
        <v>761</v>
      </c>
      <c r="D134" s="53" t="s">
        <v>769</v>
      </c>
      <c r="E134" s="14" t="s">
        <v>508</v>
      </c>
      <c r="F134" s="14" t="s">
        <v>346</v>
      </c>
      <c r="G134" s="19">
        <v>2002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5" spans="2:9">
      <c r="B135" t="str">
        <f>LocaleTable[[#This Row],['#인덱스제너레이터]]</f>
        <v>Item_PlusDesc_2003</v>
      </c>
      <c r="C135" s="53" t="s">
        <v>394</v>
      </c>
      <c r="D135" s="53" t="s">
        <v>787</v>
      </c>
      <c r="E135" s="14" t="s">
        <v>508</v>
      </c>
      <c r="F135" s="14" t="s">
        <v>346</v>
      </c>
      <c r="G135" s="19">
        <v>2003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6" spans="2:9">
      <c r="B136" t="str">
        <f>LocaleTable[[#This Row],['#인덱스제너레이터]]</f>
        <v>Item_PlusDesc_2004</v>
      </c>
      <c r="C136" s="53" t="s">
        <v>762</v>
      </c>
      <c r="D136" s="53" t="s">
        <v>768</v>
      </c>
      <c r="E136" s="14" t="s">
        <v>508</v>
      </c>
      <c r="F136" s="14" t="s">
        <v>346</v>
      </c>
      <c r="G136" s="19">
        <v>2004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7" spans="2:9">
      <c r="B137" t="str">
        <f>LocaleTable[[#This Row],['#인덱스제너레이터]]</f>
        <v>Item_PlusDesc_2005</v>
      </c>
      <c r="C137" s="16" t="s">
        <v>782</v>
      </c>
      <c r="D137" s="53" t="s">
        <v>935</v>
      </c>
      <c r="E137" s="14" t="s">
        <v>508</v>
      </c>
      <c r="F137" s="14" t="s">
        <v>346</v>
      </c>
      <c r="G137" s="19">
        <v>2005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8" spans="2:9" ht="34.799999999999997">
      <c r="B138" t="str">
        <f>LocaleTable[[#This Row],['#인덱스제너레이터]]</f>
        <v>Item_PlusDesc_3000</v>
      </c>
      <c r="C138" s="55" t="s">
        <v>432</v>
      </c>
      <c r="D138" s="53" t="s">
        <v>786</v>
      </c>
      <c r="E138" s="14" t="s">
        <v>508</v>
      </c>
      <c r="F138" s="14" t="s">
        <v>346</v>
      </c>
      <c r="G138" s="19">
        <v>3000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9" spans="2:9">
      <c r="B139" t="str">
        <f>LocaleTable[[#This Row],['#인덱스제너레이터]]</f>
        <v>Item_PlusDesc_3001</v>
      </c>
      <c r="C139" s="53" t="s">
        <v>663</v>
      </c>
      <c r="D139" s="53" t="s">
        <v>664</v>
      </c>
      <c r="E139" s="14" t="s">
        <v>508</v>
      </c>
      <c r="F139" s="14" t="s">
        <v>346</v>
      </c>
      <c r="G139" s="19">
        <v>3001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40" spans="2:9" ht="34.799999999999997">
      <c r="B140" t="str">
        <f>LocaleTable[[#This Row],['#인덱스제너레이터]]</f>
        <v>Item_PlusDesc_3002</v>
      </c>
      <c r="C140" s="53" t="s">
        <v>764</v>
      </c>
      <c r="D140" s="53" t="s">
        <v>785</v>
      </c>
      <c r="E140" s="14" t="s">
        <v>508</v>
      </c>
      <c r="F140" s="14" t="s">
        <v>346</v>
      </c>
      <c r="G140" s="19">
        <v>3002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41" spans="2:9">
      <c r="B141" t="str">
        <f>LocaleTable[[#This Row],['#인덱스제너레이터]]</f>
        <v>Item_PlusDesc_3003</v>
      </c>
      <c r="C141" s="53" t="s">
        <v>364</v>
      </c>
      <c r="D141" s="53" t="s">
        <v>583</v>
      </c>
      <c r="E141" s="14" t="s">
        <v>508</v>
      </c>
      <c r="F141" s="14" t="s">
        <v>346</v>
      </c>
      <c r="G141" s="19">
        <v>3003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2" spans="2:9">
      <c r="B142" t="str">
        <f>LocaleTable[[#This Row],['#인덱스제너레이터]]</f>
        <v>Item_PlusDesc_3004</v>
      </c>
      <c r="C142" s="53" t="s">
        <v>374</v>
      </c>
      <c r="D142" s="53" t="s">
        <v>784</v>
      </c>
      <c r="E142" s="14" t="s">
        <v>508</v>
      </c>
      <c r="F142" s="14" t="s">
        <v>346</v>
      </c>
      <c r="G142" s="19">
        <v>3004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3" spans="2:9">
      <c r="B143" t="str">
        <f>LocaleTable[[#This Row],['#인덱스제너레이터]]</f>
        <v>Item_PlusDesc_3005</v>
      </c>
      <c r="C143" s="11" t="s">
        <v>937</v>
      </c>
      <c r="D143" s="53" t="s">
        <v>936</v>
      </c>
      <c r="E143" s="14" t="s">
        <v>508</v>
      </c>
      <c r="F143" s="14" t="s">
        <v>346</v>
      </c>
      <c r="G143" s="19">
        <v>3005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4" spans="2:9">
      <c r="B144" t="str">
        <f>LocaleTable[[#This Row],['#인덱스제너레이터]]</f>
        <v>Item_PlusDesc_3006</v>
      </c>
      <c r="C144" s="54" t="s">
        <v>433</v>
      </c>
      <c r="D144" s="53" t="s">
        <v>584</v>
      </c>
      <c r="E144" s="14" t="s">
        <v>508</v>
      </c>
      <c r="F144" s="14" t="s">
        <v>346</v>
      </c>
      <c r="G144" s="19">
        <v>3006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5" spans="2:9">
      <c r="B145" t="str">
        <f>LocaleTable[[#This Row],['#인덱스제너레이터]]</f>
        <v>Item_PlusDesc_4000</v>
      </c>
      <c r="C145" s="53" t="s">
        <v>403</v>
      </c>
      <c r="D145" s="53" t="s">
        <v>585</v>
      </c>
      <c r="E145" s="14" t="s">
        <v>508</v>
      </c>
      <c r="F145" s="14" t="s">
        <v>346</v>
      </c>
      <c r="G145" s="19">
        <v>4000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6" spans="2:9" ht="34.799999999999997">
      <c r="B146" t="str">
        <f>LocaleTable[[#This Row],['#인덱스제너레이터]]</f>
        <v>Item_PlusDesc_4001</v>
      </c>
      <c r="C146" s="53" t="s">
        <v>765</v>
      </c>
      <c r="D146" s="53" t="s">
        <v>793</v>
      </c>
      <c r="E146" s="14" t="s">
        <v>508</v>
      </c>
      <c r="F146" s="14" t="s">
        <v>346</v>
      </c>
      <c r="G146" s="19">
        <v>4001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7" spans="2:9">
      <c r="B147" t="str">
        <f>LocaleTable[[#This Row],['#인덱스제너레이터]]</f>
        <v>Item_PlusDesc_4002</v>
      </c>
      <c r="C147" s="53" t="s">
        <v>293</v>
      </c>
      <c r="D147" s="53" t="s">
        <v>586</v>
      </c>
      <c r="E147" s="14" t="s">
        <v>508</v>
      </c>
      <c r="F147" s="14" t="s">
        <v>346</v>
      </c>
      <c r="G147" s="19">
        <v>4002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8" spans="2:9">
      <c r="B148" t="str">
        <f>LocaleTable[[#This Row],['#인덱스제너레이터]]</f>
        <v>Item_PlusDesc_4003</v>
      </c>
      <c r="C148" s="53" t="s">
        <v>377</v>
      </c>
      <c r="D148" s="53" t="s">
        <v>587</v>
      </c>
      <c r="E148" s="14" t="s">
        <v>508</v>
      </c>
      <c r="F148" s="14" t="s">
        <v>346</v>
      </c>
      <c r="G148" s="19">
        <v>4003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9" spans="2:9">
      <c r="B149" t="str">
        <f>LocaleTable[[#This Row],['#인덱스제너레이터]]</f>
        <v>Item_PlusDesc_4004</v>
      </c>
      <c r="C149" s="53" t="s">
        <v>436</v>
      </c>
      <c r="D149" s="53" t="s">
        <v>797</v>
      </c>
      <c r="E149" s="14" t="s">
        <v>508</v>
      </c>
      <c r="F149" s="14" t="s">
        <v>346</v>
      </c>
      <c r="G149" s="19">
        <v>4004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50" spans="2:9">
      <c r="B150" t="str">
        <f>LocaleTable[[#This Row],['#인덱스제너레이터]]</f>
        <v>Item_PlusDesc_4005</v>
      </c>
      <c r="C150" s="53" t="s">
        <v>396</v>
      </c>
      <c r="D150" s="53" t="s">
        <v>796</v>
      </c>
      <c r="E150" s="14" t="s">
        <v>508</v>
      </c>
      <c r="F150" s="14" t="s">
        <v>346</v>
      </c>
      <c r="G150" s="19">
        <v>4005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51" spans="2:9">
      <c r="B151" t="str">
        <f>LocaleTable[[#This Row],['#인덱스제너레이터]]</f>
        <v>Item_PlusDesc_4006</v>
      </c>
      <c r="C151" s="53" t="s">
        <v>763</v>
      </c>
      <c r="D151" s="53" t="s">
        <v>771</v>
      </c>
      <c r="E151" s="14" t="s">
        <v>508</v>
      </c>
      <c r="F151" s="14" t="s">
        <v>346</v>
      </c>
      <c r="G151" s="19">
        <v>4006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2" spans="2:9">
      <c r="B152" t="str">
        <f>LocaleTable[[#This Row],['#인덱스제너레이터]]</f>
        <v>Item_PlusDesc_4007</v>
      </c>
      <c r="C152" s="53" t="s">
        <v>945</v>
      </c>
      <c r="D152" s="53" t="s">
        <v>938</v>
      </c>
      <c r="E152" s="14" t="s">
        <v>508</v>
      </c>
      <c r="F152" s="14" t="s">
        <v>346</v>
      </c>
      <c r="G152" s="19">
        <v>4007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53" spans="2:9">
      <c r="B153" t="str">
        <f>LocaleTable[[#This Row],['#인덱스제너레이터]]</f>
        <v>Item_PlusDesc_10000</v>
      </c>
      <c r="C153" s="54" t="s">
        <v>352</v>
      </c>
      <c r="D153" s="53" t="s">
        <v>588</v>
      </c>
      <c r="E153" s="14" t="s">
        <v>508</v>
      </c>
      <c r="F153" s="14" t="s">
        <v>346</v>
      </c>
      <c r="G153" s="19">
        <v>10000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4" spans="2:9">
      <c r="B154" t="str">
        <f>LocaleTable[[#This Row],['#인덱스제너레이터]]</f>
        <v>Item_PlusDesc_10001</v>
      </c>
      <c r="C154" s="54" t="s">
        <v>477</v>
      </c>
      <c r="D154" s="53" t="s">
        <v>792</v>
      </c>
      <c r="E154" s="14" t="s">
        <v>508</v>
      </c>
      <c r="F154" s="14" t="s">
        <v>346</v>
      </c>
      <c r="G154" s="19">
        <v>10001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5" spans="2:9">
      <c r="B155" t="str">
        <f>LocaleTable[[#This Row],['#인덱스제너레이터]]</f>
        <v>Item_PlusDesc_10002</v>
      </c>
      <c r="C155" s="54" t="s">
        <v>479</v>
      </c>
      <c r="D155" s="53" t="s">
        <v>791</v>
      </c>
      <c r="E155" s="14" t="s">
        <v>508</v>
      </c>
      <c r="F155" s="14" t="s">
        <v>346</v>
      </c>
      <c r="G155" s="19">
        <v>10002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6" spans="2:9">
      <c r="B156" t="str">
        <f>LocaleTable[[#This Row],['#인덱스제너레이터]]</f>
        <v>Item_PlusDesc_10003</v>
      </c>
      <c r="C156" s="54" t="s">
        <v>475</v>
      </c>
      <c r="D156" s="53" t="s">
        <v>790</v>
      </c>
      <c r="E156" s="14" t="s">
        <v>508</v>
      </c>
      <c r="F156" s="14" t="s">
        <v>346</v>
      </c>
      <c r="G156" s="19">
        <v>10003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7" spans="2:9">
      <c r="B157" t="str">
        <f>LocaleTable[[#This Row],['#인덱스제너레이터]]</f>
        <v>Item_PlusDesc_10004</v>
      </c>
      <c r="C157" s="53" t="s">
        <v>442</v>
      </c>
      <c r="D157" s="53" t="s">
        <v>589</v>
      </c>
      <c r="E157" s="14" t="s">
        <v>508</v>
      </c>
      <c r="F157" s="14" t="s">
        <v>346</v>
      </c>
      <c r="G157" s="19">
        <v>10004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8" spans="2:9">
      <c r="B158" t="str">
        <f>LocaleTable[[#This Row],['#인덱스제너레이터]]</f>
        <v>Item_PlusDesc_10005</v>
      </c>
      <c r="C158" s="53" t="s">
        <v>476</v>
      </c>
      <c r="D158" s="53" t="s">
        <v>789</v>
      </c>
      <c r="E158" s="14" t="s">
        <v>508</v>
      </c>
      <c r="F158" s="14" t="s">
        <v>346</v>
      </c>
      <c r="G158" s="19">
        <v>10005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9" spans="2:9">
      <c r="B159" t="str">
        <f>LocaleTable[[#This Row],['#인덱스제너레이터]]</f>
        <v>Item_MinusDesc_4000</v>
      </c>
      <c r="C159" s="53" t="s">
        <v>766</v>
      </c>
      <c r="D159" s="63" t="s">
        <v>767</v>
      </c>
      <c r="E159" s="14" t="s">
        <v>508</v>
      </c>
      <c r="F159" s="14" t="s">
        <v>347</v>
      </c>
      <c r="G159" s="19">
        <v>4000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60" spans="2:9">
      <c r="B160" t="str">
        <f>LocaleTable[[#This Row],['#인덱스제너레이터]]</f>
        <v>Item_MinusDesc_4001</v>
      </c>
      <c r="C160" s="53" t="s">
        <v>370</v>
      </c>
      <c r="D160" s="63" t="s">
        <v>590</v>
      </c>
      <c r="E160" s="14" t="s">
        <v>508</v>
      </c>
      <c r="F160" s="14" t="s">
        <v>347</v>
      </c>
      <c r="G160" s="19">
        <v>4001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61" spans="2:9">
      <c r="B161" t="str">
        <f>LocaleTable[[#This Row],['#인덱스제너레이터]]</f>
        <v>Item_MinusDesc_4002</v>
      </c>
      <c r="C161" s="53" t="s">
        <v>147</v>
      </c>
      <c r="D161" s="53" t="s">
        <v>591</v>
      </c>
      <c r="E161" s="14" t="s">
        <v>508</v>
      </c>
      <c r="F161" s="14" t="s">
        <v>347</v>
      </c>
      <c r="G161" s="19">
        <v>4002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62" spans="2:9">
      <c r="B162" t="str">
        <f>LocaleTable[[#This Row],['#인덱스제너레이터]]</f>
        <v>Item_MinusDesc_4003</v>
      </c>
      <c r="C162" s="53" t="s">
        <v>783</v>
      </c>
      <c r="D162" s="53" t="s">
        <v>941</v>
      </c>
      <c r="E162" s="14" t="s">
        <v>508</v>
      </c>
      <c r="F162" s="14" t="s">
        <v>347</v>
      </c>
      <c r="G162" s="19">
        <v>4003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3" spans="2:9">
      <c r="B163" t="str">
        <f>LocaleTable[[#This Row],['#인덱스제너레이터]]</f>
        <v>Item_MinusDesc_4004</v>
      </c>
      <c r="C163" s="53" t="s">
        <v>893</v>
      </c>
      <c r="D163" s="53" t="s">
        <v>894</v>
      </c>
      <c r="E163" s="14" t="s">
        <v>508</v>
      </c>
      <c r="F163" s="14" t="s">
        <v>347</v>
      </c>
      <c r="G163" s="19">
        <v>4004</v>
      </c>
      <c r="H163" s="19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4" spans="2:9">
      <c r="B164" t="str">
        <f>LocaleTable[[#This Row],['#인덱스제너레이터]]</f>
        <v>Item_MinusDesc_4005</v>
      </c>
      <c r="C164" s="53" t="s">
        <v>889</v>
      </c>
      <c r="D164" s="53" t="s">
        <v>895</v>
      </c>
      <c r="E164" s="14" t="s">
        <v>508</v>
      </c>
      <c r="F164" s="14" t="s">
        <v>347</v>
      </c>
      <c r="G164" s="19">
        <v>4005</v>
      </c>
      <c r="H164" s="19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5" spans="2:9">
      <c r="B165" t="str">
        <f>LocaleTable[[#This Row],['#인덱스제너레이터]]</f>
        <v>Item_MinusDesc_4006</v>
      </c>
      <c r="C165" s="53" t="s">
        <v>794</v>
      </c>
      <c r="D165" s="53" t="s">
        <v>798</v>
      </c>
      <c r="E165" s="14" t="s">
        <v>508</v>
      </c>
      <c r="F165" s="14" t="s">
        <v>347</v>
      </c>
      <c r="G165" s="19">
        <v>4006</v>
      </c>
      <c r="H165" s="19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166" spans="2:9">
      <c r="B166" t="str">
        <f>LocaleTable[[#This Row],['#인덱스제너레이터]]</f>
        <v>Item_MinusDesc_4007</v>
      </c>
      <c r="C166" s="53" t="s">
        <v>939</v>
      </c>
      <c r="D166" s="53" t="s">
        <v>940</v>
      </c>
      <c r="E166" s="14" t="s">
        <v>508</v>
      </c>
      <c r="F166" s="14" t="s">
        <v>347</v>
      </c>
      <c r="G166" s="19">
        <v>4007</v>
      </c>
      <c r="H166" s="19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2023-11-07T07:09:32Z</dcterms:modified>
  <cp:version>1200.0100.01</cp:version>
</cp:coreProperties>
</file>