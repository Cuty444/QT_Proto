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EC6A0D67-9301-40A1-B6EF-0AE97CA2A7A0}" xr6:coauthVersionLast="47" xr6:coauthVersionMax="47" xr10:uidLastSave="{00000000-0000-0000-0000-000000000000}"/>
  <bookViews>
    <workbookView xWindow="-108" yWindow="-108" windowWidth="23256" windowHeight="12456" firstSheet="15" activeTab="1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3" l="1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<sst xmlns="http://schemas.openxmlformats.org/spreadsheetml/2006/main" count="2655" uniqueCount="1104">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</sst>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39" totalsRowShown="0">
  <autoFilter ref="B2:F39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1036</v>
      </c>
      <c r="D2" s="12" t="s">
        <v>1037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1034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1035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1033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872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872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872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890</v>
      </c>
      <c r="D94">
        <v>0</v>
      </c>
      <c r="E94">
        <v>206</v>
      </c>
      <c r="F94">
        <v>0</v>
      </c>
      <c r="G94">
        <v>16</v>
      </c>
      <c r="H94" s="11" t="s">
        <v>986</v>
      </c>
    </row>
    <row r="95" spans="2:8">
      <c r="B95">
        <v>806</v>
      </c>
      <c r="C95" s="11" t="s">
        <v>890</v>
      </c>
      <c r="D95">
        <v>15</v>
      </c>
      <c r="E95">
        <v>206</v>
      </c>
      <c r="F95">
        <v>0</v>
      </c>
      <c r="G95">
        <v>16</v>
      </c>
      <c r="H95" s="11" t="s">
        <v>986</v>
      </c>
    </row>
    <row r="96" spans="2:8">
      <c r="B96">
        <v>806</v>
      </c>
      <c r="C96" s="11" t="s">
        <v>890</v>
      </c>
      <c r="D96">
        <v>-15</v>
      </c>
      <c r="E96">
        <v>206</v>
      </c>
      <c r="F96">
        <v>0</v>
      </c>
      <c r="G96">
        <v>16</v>
      </c>
      <c r="H96" s="11" t="s">
        <v>986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879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6" sqref="F6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890</v>
      </c>
      <c r="D7" t="b">
        <v>1</v>
      </c>
      <c r="E7">
        <v>2</v>
      </c>
      <c r="F7">
        <v>40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877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878</v>
      </c>
    </row>
    <row r="20" spans="2:7">
      <c r="B20">
        <v>3003</v>
      </c>
      <c r="C20" s="14" t="s">
        <v>874</v>
      </c>
      <c r="D20" t="b">
        <v>1</v>
      </c>
      <c r="E20">
        <v>1</v>
      </c>
      <c r="F20">
        <v>25</v>
      </c>
      <c r="G20" s="16" t="s">
        <v>875</v>
      </c>
    </row>
    <row r="21" spans="2:7">
      <c r="B21">
        <v>3004</v>
      </c>
      <c r="C21" s="14" t="s">
        <v>873</v>
      </c>
      <c r="D21" t="b">
        <v>1</v>
      </c>
      <c r="E21">
        <v>1</v>
      </c>
      <c r="F21">
        <v>25</v>
      </c>
      <c r="G21" s="16" t="s">
        <v>876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B15" sqref="B15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7968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870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871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880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1016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1018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1048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1049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848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849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889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987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15" sqref="F15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1003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996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992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993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884</v>
      </c>
      <c r="I18" s="11" t="s">
        <v>823</v>
      </c>
      <c r="J18" s="11" t="s">
        <v>866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884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1008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1017</v>
      </c>
      <c r="I21" s="11" t="s">
        <v>823</v>
      </c>
      <c r="J21" s="16" t="s">
        <v>992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1017</v>
      </c>
      <c r="I22" s="16" t="s">
        <v>823</v>
      </c>
      <c r="J22" s="11" t="s">
        <v>993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1028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988</v>
      </c>
      <c r="J33" s="11" t="s">
        <v>866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996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988</v>
      </c>
      <c r="J35" s="11" t="s">
        <v>866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D13" sqref="D13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1015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883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1026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1027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1025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114.28571428571425</v>
      </c>
      <c r="Q19" s="19">
        <f>SUMIF(ItemEffectTable23['#아이템 명칭],ItemEffectTable23[[#This Row],['#아이템 명칭]],ItemEffectTable23['#총 가치판단])</f>
        <v>39.285714285714235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0.7857142857142847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39.285714285714235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0.7857142857142847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991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869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991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39"/>
  <sheetViews>
    <sheetView topLeftCell="C19" workbookViewId="0">
      <selection activeCell="E40" sqref="E40"/>
    </sheetView>
  </sheetViews>
  <sheetFormatPr defaultColWidth="11.19921875" defaultRowHeight="17.399999999999999"/>
  <cols>
    <col min="3" max="3" width="28.69921875" customWidth="1"/>
    <col min="4" max="4" width="14.296875" customWidth="1"/>
    <col min="5" max="5" width="100.296875" customWidth="1"/>
    <col min="6" max="6" width="105.796875" customWidth="1"/>
  </cols>
  <sheetData>
    <row r="1" spans="2:6">
      <c r="B1" s="16" t="s">
        <v>610</v>
      </c>
      <c r="C1" s="16" t="s">
        <v>1058</v>
      </c>
      <c r="D1" s="16" t="s">
        <v>312</v>
      </c>
      <c r="E1" s="16"/>
      <c r="F1" s="16"/>
    </row>
    <row r="2" spans="2:6">
      <c r="B2" s="16" t="s">
        <v>1056</v>
      </c>
      <c r="C2" s="16" t="s">
        <v>1057</v>
      </c>
      <c r="D2" s="16" t="s">
        <v>320</v>
      </c>
      <c r="E2" s="87" t="s">
        <v>1059</v>
      </c>
      <c r="F2" s="87" t="s">
        <v>1060</v>
      </c>
    </row>
    <row r="3" spans="2:6">
      <c r="B3">
        <v>1000</v>
      </c>
      <c r="C3" s="16" t="s">
        <v>1061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1062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1063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1064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1065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1066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1067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1068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1069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1070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1071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1072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1073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1074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1075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1076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1077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1078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1079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1080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1081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1082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1083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1084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1085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1086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1087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1088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1089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1090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1091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1092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1093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1094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1095</v>
      </c>
      <c r="D37">
        <v>1</v>
      </c>
      <c r="E37" s="88" t="str">
        <f>INDEX(LocaleTable[LocaleKR],MATCH(표31[[#This Row],[LocaleId]],LocaleTable[StringKey],0))</f>
        <v>그 난폭한 젤로를 쓰러트리다니!/n엄청난 성장세입니다 배쉬 선수!</v>
      </c>
      <c r="F37" s="88" t="str">
        <f>INDEX(LocaleTable[LocaleUS],MATCH(표31[[#This Row],[LocaleId]],LocaleTable[StringKey],0))</f>
        <v>You took down that unruly Jello!/nYou're making great progress, Ms. Bash!</v>
      </c>
    </row>
    <row r="38" spans="2:6">
      <c r="B38">
        <v>3002</v>
      </c>
      <c r="C38" t="s">
        <v>1096</v>
      </c>
      <c r="D38">
        <v>1</v>
      </c>
      <c r="E38" s="88" t="str">
        <f>INDEX(LocaleTable[LocaleKR],MATCH(표31[[#This Row],[LocaleId]],LocaleTable[StringKey],0))</f>
        <v>이럴 수가! 새디마저 배쉬 선수의 손에 꺾이다니!/n이제 챔피언까지 한걸음 남았습니다!</v>
      </c>
      <c r="F38" s="88" t="str">
        <f>INDEX(LocaleTable[LocaleUS],MATCH(표31[[#This Row],[LocaleId]],LocaleTable[StringKey],0))</f>
        <v>I can't believe it! Even Saddy was defeated by Ms. Bash!/nNow you're one step away from being crowned champion!</v>
      </c>
    </row>
    <row r="39" spans="2:6">
      <c r="B39">
        <v>3003</v>
      </c>
      <c r="C39" t="s">
        <v>1097</v>
      </c>
      <c r="D39">
        <v>1</v>
      </c>
      <c r="E39" s="88" t="str">
        <f>INDEX(LocaleTable[LocaleKR],MATCH(표31[[#This Row],[LocaleId]],LocaleTable[StringKey],0))</f>
        <v>준비되시면 제 앞에서 F를 눌러주시길! 다음 층으로 가는 지하철로 보내드리겠습니다!</v>
      </c>
      <c r="F39" s="88" t="str">
        <f>INDEX(LocaleTable[LocaleUS],MATCH(표31[[#This Row],[LocaleId]],LocaleTable[StringKey],0))</f>
        <v>When you're ready, press F in front of me and I'll send you on the subway to the next level!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abSelected="1" topLeftCell="A173" zoomScale="85" zoomScaleNormal="85" zoomScaleSheetLayoutView="100" workbookViewId="0">
      <selection activeCell="C190" sqref="C190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916</v>
      </c>
      <c r="D78" s="51" t="s">
        <v>917</v>
      </c>
      <c r="E78" s="81" t="s">
        <v>901</v>
      </c>
      <c r="F78" s="81" t="s">
        <v>902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918</v>
      </c>
      <c r="D79" s="51" t="s">
        <v>919</v>
      </c>
      <c r="E79" s="83" t="s">
        <v>901</v>
      </c>
      <c r="F79" s="83" t="s">
        <v>902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920</v>
      </c>
      <c r="D80" s="51" t="s">
        <v>921</v>
      </c>
      <c r="E80" s="83" t="s">
        <v>901</v>
      </c>
      <c r="F80" s="83" t="s">
        <v>902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922</v>
      </c>
      <c r="D81" s="51" t="s">
        <v>923</v>
      </c>
      <c r="E81" s="83" t="s">
        <v>901</v>
      </c>
      <c r="F81" s="83" t="s">
        <v>902</v>
      </c>
      <c r="G81" s="83" t="s">
        <v>903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924</v>
      </c>
      <c r="D82" s="51" t="s">
        <v>925</v>
      </c>
      <c r="E82" s="83" t="s">
        <v>901</v>
      </c>
      <c r="F82" s="83" t="s">
        <v>902</v>
      </c>
      <c r="G82" s="83" t="s">
        <v>903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926</v>
      </c>
      <c r="D83" s="51" t="s">
        <v>927</v>
      </c>
      <c r="E83" s="83" t="s">
        <v>901</v>
      </c>
      <c r="F83" s="83" t="s">
        <v>902</v>
      </c>
      <c r="G83" s="83" t="s">
        <v>904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928</v>
      </c>
      <c r="D84" s="51" t="s">
        <v>929</v>
      </c>
      <c r="E84" s="83" t="s">
        <v>901</v>
      </c>
      <c r="F84" s="83" t="s">
        <v>902</v>
      </c>
      <c r="G84" s="83" t="s">
        <v>904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930</v>
      </c>
      <c r="D85" s="51" t="s">
        <v>931</v>
      </c>
      <c r="E85" s="83" t="s">
        <v>901</v>
      </c>
      <c r="F85" s="83" t="s">
        <v>902</v>
      </c>
      <c r="G85" s="83" t="s">
        <v>904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932</v>
      </c>
      <c r="D86" s="51" t="s">
        <v>933</v>
      </c>
      <c r="E86" s="83" t="s">
        <v>901</v>
      </c>
      <c r="F86" s="83" t="s">
        <v>902</v>
      </c>
      <c r="G86" s="83" t="s">
        <v>905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934</v>
      </c>
      <c r="D87" s="51" t="s">
        <v>935</v>
      </c>
      <c r="E87" s="83" t="s">
        <v>901</v>
      </c>
      <c r="F87" s="83" t="s">
        <v>902</v>
      </c>
      <c r="G87" s="83" t="s">
        <v>906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936</v>
      </c>
      <c r="D88" s="51" t="s">
        <v>937</v>
      </c>
      <c r="E88" s="83" t="s">
        <v>901</v>
      </c>
      <c r="F88" s="83" t="s">
        <v>902</v>
      </c>
      <c r="G88" s="83" t="s">
        <v>907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938</v>
      </c>
      <c r="D89" s="51" t="s">
        <v>939</v>
      </c>
      <c r="E89" s="83" t="s">
        <v>901</v>
      </c>
      <c r="F89" s="83" t="s">
        <v>902</v>
      </c>
      <c r="G89" s="83" t="s">
        <v>908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940</v>
      </c>
      <c r="D90" s="51" t="s">
        <v>941</v>
      </c>
      <c r="E90" s="83" t="s">
        <v>901</v>
      </c>
      <c r="F90" s="83" t="s">
        <v>902</v>
      </c>
      <c r="G90" s="83" t="s">
        <v>908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942</v>
      </c>
      <c r="D91" s="51" t="s">
        <v>943</v>
      </c>
      <c r="E91" s="83" t="s">
        <v>901</v>
      </c>
      <c r="F91" s="83" t="s">
        <v>902</v>
      </c>
      <c r="G91" s="83" t="s">
        <v>908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944</v>
      </c>
      <c r="D92" s="51" t="s">
        <v>945</v>
      </c>
      <c r="E92" s="83" t="s">
        <v>901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946</v>
      </c>
      <c r="D93" s="51" t="s">
        <v>947</v>
      </c>
      <c r="E93" s="83" t="s">
        <v>901</v>
      </c>
      <c r="F93" s="83" t="s">
        <v>497</v>
      </c>
      <c r="G93" s="83" t="s">
        <v>909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948</v>
      </c>
      <c r="D94" s="51" t="s">
        <v>1043</v>
      </c>
      <c r="E94" s="83" t="s">
        <v>901</v>
      </c>
      <c r="F94" s="83" t="s">
        <v>497</v>
      </c>
      <c r="G94" s="83" t="s">
        <v>909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949</v>
      </c>
      <c r="D95" s="51" t="s">
        <v>950</v>
      </c>
      <c r="E95" s="83" t="s">
        <v>901</v>
      </c>
      <c r="F95" s="83" t="s">
        <v>497</v>
      </c>
      <c r="G95" s="83" t="s">
        <v>909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951</v>
      </c>
      <c r="D96" s="51" t="s">
        <v>1044</v>
      </c>
      <c r="E96" s="83" t="s">
        <v>901</v>
      </c>
      <c r="F96" s="83" t="s">
        <v>497</v>
      </c>
      <c r="G96" s="83" t="s">
        <v>909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952</v>
      </c>
      <c r="D97" s="51" t="s">
        <v>953</v>
      </c>
      <c r="E97" s="83" t="s">
        <v>901</v>
      </c>
      <c r="F97" s="83" t="s">
        <v>497</v>
      </c>
      <c r="G97" s="83" t="s">
        <v>909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954</v>
      </c>
      <c r="D98" s="51" t="s">
        <v>955</v>
      </c>
      <c r="E98" s="83" t="s">
        <v>901</v>
      </c>
      <c r="F98" s="83" t="s">
        <v>497</v>
      </c>
      <c r="G98" s="83" t="s">
        <v>909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1045</v>
      </c>
      <c r="D99" s="51" t="s">
        <v>1046</v>
      </c>
      <c r="E99" s="83" t="s">
        <v>901</v>
      </c>
      <c r="F99" s="83" t="s">
        <v>497</v>
      </c>
      <c r="G99" s="83" t="s">
        <v>909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956</v>
      </c>
      <c r="D100" s="51" t="s">
        <v>957</v>
      </c>
      <c r="E100" s="83" t="s">
        <v>901</v>
      </c>
      <c r="F100" s="83" t="s">
        <v>497</v>
      </c>
      <c r="G100" s="83" t="s">
        <v>909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958</v>
      </c>
      <c r="D101" s="51" t="s">
        <v>959</v>
      </c>
      <c r="E101" s="83" t="s">
        <v>901</v>
      </c>
      <c r="F101" s="83" t="s">
        <v>497</v>
      </c>
      <c r="G101" s="83" t="s">
        <v>909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960</v>
      </c>
      <c r="D102" s="51" t="s">
        <v>961</v>
      </c>
      <c r="E102" s="83" t="s">
        <v>901</v>
      </c>
      <c r="F102" s="83" t="s">
        <v>497</v>
      </c>
      <c r="G102" s="83" t="s">
        <v>909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962</v>
      </c>
      <c r="D103" s="51" t="s">
        <v>963</v>
      </c>
      <c r="E103" s="83" t="s">
        <v>901</v>
      </c>
      <c r="F103" s="83" t="s">
        <v>497</v>
      </c>
      <c r="G103" s="83" t="s">
        <v>910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964</v>
      </c>
      <c r="D104" s="51" t="s">
        <v>965</v>
      </c>
      <c r="E104" s="83" t="s">
        <v>901</v>
      </c>
      <c r="F104" s="83" t="s">
        <v>497</v>
      </c>
      <c r="G104" s="83" t="s">
        <v>910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966</v>
      </c>
      <c r="D105" s="51" t="s">
        <v>967</v>
      </c>
      <c r="E105" s="83" t="s">
        <v>901</v>
      </c>
      <c r="F105" s="83" t="s">
        <v>497</v>
      </c>
      <c r="G105" s="83" t="s">
        <v>911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968</v>
      </c>
      <c r="D106" s="51" t="s">
        <v>969</v>
      </c>
      <c r="E106" s="83" t="s">
        <v>901</v>
      </c>
      <c r="F106" s="83" t="s">
        <v>497</v>
      </c>
      <c r="G106" s="83" t="s">
        <v>911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970</v>
      </c>
      <c r="D107" s="51" t="s">
        <v>971</v>
      </c>
      <c r="E107" s="83" t="s">
        <v>901</v>
      </c>
      <c r="F107" s="83" t="s">
        <v>497</v>
      </c>
      <c r="G107" s="83" t="s">
        <v>911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972</v>
      </c>
      <c r="D108" s="51" t="s">
        <v>973</v>
      </c>
      <c r="E108" s="83" t="s">
        <v>901</v>
      </c>
      <c r="F108" s="83" t="s">
        <v>497</v>
      </c>
      <c r="G108" s="83" t="s">
        <v>911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974</v>
      </c>
      <c r="D109" s="51" t="s">
        <v>975</v>
      </c>
      <c r="E109" s="83" t="s">
        <v>901</v>
      </c>
      <c r="F109" s="83" t="s">
        <v>497</v>
      </c>
      <c r="G109" s="83" t="s">
        <v>912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976</v>
      </c>
      <c r="D110" s="51" t="s">
        <v>977</v>
      </c>
      <c r="E110" s="83" t="s">
        <v>901</v>
      </c>
      <c r="F110" s="83" t="s">
        <v>497</v>
      </c>
      <c r="G110" s="83" t="s">
        <v>912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978</v>
      </c>
      <c r="D111" s="51" t="s">
        <v>979</v>
      </c>
      <c r="E111" s="83" t="s">
        <v>901</v>
      </c>
      <c r="F111" s="83" t="s">
        <v>497</v>
      </c>
      <c r="G111" s="83" t="s">
        <v>912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980</v>
      </c>
      <c r="D112" s="51" t="s">
        <v>981</v>
      </c>
      <c r="E112" s="83" t="s">
        <v>901</v>
      </c>
      <c r="F112" s="83" t="s">
        <v>913</v>
      </c>
      <c r="G112" s="83" t="s">
        <v>914</v>
      </c>
      <c r="H112" s="83" t="s">
        <v>905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982</v>
      </c>
      <c r="D113" s="51" t="s">
        <v>983</v>
      </c>
      <c r="E113" s="83" t="s">
        <v>901</v>
      </c>
      <c r="F113" s="83" t="s">
        <v>913</v>
      </c>
      <c r="G113" s="83" t="s">
        <v>914</v>
      </c>
      <c r="H113" s="83" t="s">
        <v>906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984</v>
      </c>
      <c r="D114" s="51" t="s">
        <v>985</v>
      </c>
      <c r="E114" s="83" t="s">
        <v>901</v>
      </c>
      <c r="F114" s="83" t="s">
        <v>913</v>
      </c>
      <c r="G114" s="83" t="s">
        <v>914</v>
      </c>
      <c r="H114" s="83" t="s">
        <v>915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1009</v>
      </c>
      <c r="D121" s="51" t="s">
        <v>1010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852</v>
      </c>
      <c r="D123" s="51" t="s">
        <v>853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867</v>
      </c>
      <c r="D129" s="51" t="s">
        <v>868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1019</v>
      </c>
      <c r="D131" s="51" t="s">
        <v>1020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1031</v>
      </c>
      <c r="D132" s="51" t="s">
        <v>1032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857</v>
      </c>
      <c r="D134" s="51" t="s">
        <v>854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1050</v>
      </c>
      <c r="D135" s="51" t="s">
        <v>1051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863</v>
      </c>
      <c r="D139" s="51" t="s">
        <v>862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858</v>
      </c>
      <c r="D147" s="51" t="s">
        <v>859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1011</v>
      </c>
      <c r="D152" s="51" t="s">
        <v>1012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860</v>
      </c>
      <c r="D154" s="77" t="s">
        <v>861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881</v>
      </c>
      <c r="D160" s="51" t="s">
        <v>882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1021</v>
      </c>
      <c r="D162" s="51" t="s">
        <v>1022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1029</v>
      </c>
      <c r="D163" s="51" t="s">
        <v>1030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855</v>
      </c>
      <c r="D165" s="51" t="s">
        <v>856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1053</v>
      </c>
      <c r="D166" s="51" t="s">
        <v>1052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885</v>
      </c>
      <c r="D170" s="77" t="s">
        <v>886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1098</v>
      </c>
      <c r="D180" s="51" t="s">
        <v>1100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1099</v>
      </c>
      <c r="D181" s="51" t="s">
        <v>1101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864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1013</v>
      </c>
      <c r="D183" s="51" t="s">
        <v>1014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1004</v>
      </c>
      <c r="D184" s="51" t="s">
        <v>1005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1040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887</v>
      </c>
      <c r="D187" s="51" t="s">
        <v>888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1102</v>
      </c>
      <c r="D189" s="51" t="s">
        <v>1103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989</v>
      </c>
      <c r="D190" s="51" t="s">
        <v>990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1038</v>
      </c>
      <c r="D191" s="51" t="s">
        <v>1039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1006</v>
      </c>
      <c r="D192" s="51" t="s">
        <v>1007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1023</v>
      </c>
      <c r="D193" s="51" t="s">
        <v>1024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1041</v>
      </c>
      <c r="D194" s="51" t="s">
        <v>1042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999</v>
      </c>
      <c r="D198" s="51" t="s">
        <v>1000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997</v>
      </c>
      <c r="D200" s="51" t="s">
        <v>998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1001</v>
      </c>
      <c r="D201" s="51" t="s">
        <v>1002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899</v>
      </c>
      <c r="D202" s="51" t="s">
        <v>898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895</v>
      </c>
      <c r="D203" s="51" t="s">
        <v>891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896</v>
      </c>
      <c r="D204" s="51" t="s">
        <v>892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893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900</v>
      </c>
      <c r="D206" s="51" t="s">
        <v>897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894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865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1054</v>
      </c>
      <c r="D212" s="51" t="s">
        <v>1055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994</v>
      </c>
      <c r="D213" s="51" t="s">
        <v>995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2023-11-17T10:09:44Z</dcterms:modified>
  <cp:version>1200.0100.01</cp:version>
</cp:coreProperties>
</file>